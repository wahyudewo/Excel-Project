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E:\Lonsum\"/>
    </mc:Choice>
  </mc:AlternateContent>
  <xr:revisionPtr revIDLastSave="0" documentId="13_ncr:1_{C52D6ABA-43D5-40A7-8105-AF98C440E93F}" xr6:coauthVersionLast="47" xr6:coauthVersionMax="47" xr10:uidLastSave="{00000000-0000-0000-0000-000000000000}"/>
  <bookViews>
    <workbookView xWindow="-120" yWindow="-120" windowWidth="20730" windowHeight="11040" xr2:uid="{00000000-000D-0000-FFFF-FFFF00000000}"/>
  </bookViews>
  <sheets>
    <sheet name="Dashboard" sheetId="10" r:id="rId1"/>
    <sheet name="Rekomendasi HAV" sheetId="7" r:id="rId2"/>
    <sheet name="Analysis" sheetId="4" state="hidden" r:id="rId3"/>
    <sheet name="Data Assessment" sheetId="3" r:id="rId4"/>
    <sheet name="SW" sheetId="8" r:id="rId5"/>
    <sheet name="Standar" sheetId="2" r:id="rId6"/>
    <sheet name="Kompetensi" sheetId="11" r:id="rId7"/>
    <sheet name="9 Grid" sheetId="6" r:id="rId8"/>
  </sheets>
  <definedNames>
    <definedName name="_xlnm._FilterDatabase" localSheetId="3" hidden="1">'Data Assessment'!$E$1:$AO$816</definedName>
    <definedName name="_xlnm._FilterDatabase" localSheetId="1" hidden="1">'Rekomendasi HAV'!$A$1:$P$191</definedName>
    <definedName name="ExternalData_1" localSheetId="3" hidden="1">'Data Assessment'!$A$1:$K$816</definedName>
    <definedName name="_xlnm.Print_Area" localSheetId="0">Dashboard!$B$3:$M$79,Dashboard!$P$3:$Y$73</definedName>
    <definedName name="_xlnm.Print_Area" localSheetId="3">'Data Assessment'!$E$1:$AO$331</definedName>
    <definedName name="Std_Dev">OFFSET(Standar!$B$2,IF('Rekomendasi HAV'!$E1="VPP*",'Rekomendasi HAV'!$E1,MATCH(SUBSTITUTE('Rekomendasi HAV'!$E1,RIGHT('Rekomendasi HAV'!$E1,3),"DEV"),Standar!$B$2:$B$25,0)),1,1,13)</definedName>
    <definedName name="Std_Est">OFFSET(Standar!$B$2,IF('Rekomendasi HAV'!$E1="VPP*",'Rekomendasi HAV'!$E1,MATCH(SUBSTITUTE('Rekomendasi HAV'!$E1,RIGHT('Rekomendasi HAV'!$E1,3),"EST"),Standar!$B$2:$B$25,0)),1,1,13)</definedName>
  </definedNames>
  <calcPr calcId="191029"/>
  <extLst>
    <ext xmlns:x15="http://schemas.microsoft.com/office/spreadsheetml/2010/11/main" uri="{FCE2AD5D-F65C-4FA6-A056-5C36A1767C68}">
      <x15:dataModel>
        <x15:modelTables>
          <x15:modelTable id="Data_Base_edbc291a-fb53-46fa-8973-f211aecdec46" name="Data_Base" connection="Query - Data_Bas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7" l="1"/>
  <c r="N3"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I2" i="7"/>
  <c r="I3"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U62" i="10" l="1"/>
  <c r="C28" i="4"/>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2" i="3"/>
  <c r="D9" i="10" l="1"/>
  <c r="D8" i="10"/>
  <c r="D7" i="10"/>
  <c r="D5" i="10"/>
  <c r="D6" i="10"/>
  <c r="D11" i="10"/>
  <c r="D4" i="10"/>
  <c r="M2" i="7" a="1"/>
  <c r="M2" i="7" s="1"/>
  <c r="H2" i="7" a="1"/>
  <c r="H2" i="7" s="1"/>
  <c r="H3" i="7" a="1"/>
  <c r="H3" i="7" s="1"/>
  <c r="H4" i="7" a="1"/>
  <c r="H4" i="7" s="1"/>
  <c r="H5" i="7" a="1"/>
  <c r="H5" i="7" s="1"/>
  <c r="H7" i="7" a="1"/>
  <c r="H7" i="7" s="1"/>
  <c r="H8" i="7" a="1"/>
  <c r="H8" i="7" s="1"/>
  <c r="H9" i="7" a="1"/>
  <c r="H9" i="7" s="1"/>
  <c r="H10" i="7" a="1"/>
  <c r="H10" i="7" s="1"/>
  <c r="H11" i="7" a="1"/>
  <c r="H11" i="7" s="1"/>
  <c r="H12" i="7" a="1"/>
  <c r="H12" i="7" s="1"/>
  <c r="H13" i="7" a="1"/>
  <c r="H13" i="7" s="1"/>
  <c r="H14" i="7" a="1"/>
  <c r="H14" i="7" s="1"/>
  <c r="H15" i="7" a="1"/>
  <c r="H15" i="7" s="1"/>
  <c r="H16" i="7" a="1"/>
  <c r="H16" i="7" s="1"/>
  <c r="H17" i="7" a="1"/>
  <c r="H17" i="7" s="1"/>
  <c r="H18" i="7" a="1"/>
  <c r="H18" i="7" s="1"/>
  <c r="H19" i="7" a="1"/>
  <c r="H19" i="7" s="1"/>
  <c r="H20" i="7" a="1"/>
  <c r="H20" i="7" s="1"/>
  <c r="H21" i="7" a="1"/>
  <c r="H21" i="7" s="1"/>
  <c r="H22" i="7" a="1"/>
  <c r="H22" i="7" s="1"/>
  <c r="H23" i="7" a="1"/>
  <c r="H23" i="7" s="1"/>
  <c r="H24" i="7" a="1"/>
  <c r="H24" i="7" s="1"/>
  <c r="H25" i="7" a="1"/>
  <c r="H25" i="7" s="1"/>
  <c r="H26" i="7" a="1"/>
  <c r="H26" i="7" s="1"/>
  <c r="H27" i="7" a="1"/>
  <c r="H27" i="7" s="1"/>
  <c r="H28" i="7" a="1"/>
  <c r="H28" i="7" s="1"/>
  <c r="H29" i="7" a="1"/>
  <c r="H29" i="7" s="1"/>
  <c r="H30" i="7" a="1"/>
  <c r="H30" i="7" s="1"/>
  <c r="H31" i="7" a="1"/>
  <c r="H31" i="7" s="1"/>
  <c r="H32" i="7" a="1"/>
  <c r="H32" i="7" s="1"/>
  <c r="H33" i="7" a="1"/>
  <c r="H33" i="7" s="1"/>
  <c r="H34" i="7" a="1"/>
  <c r="H34" i="7" s="1"/>
  <c r="H35" i="7" a="1"/>
  <c r="H35" i="7" s="1"/>
  <c r="H36" i="7" a="1"/>
  <c r="H36" i="7" s="1"/>
  <c r="H37" i="7" a="1"/>
  <c r="H37" i="7" s="1"/>
  <c r="H38" i="7" a="1"/>
  <c r="H38" i="7" s="1"/>
  <c r="H39" i="7" a="1"/>
  <c r="H39" i="7" s="1"/>
  <c r="H40" i="7" a="1"/>
  <c r="H40" i="7" s="1"/>
  <c r="H41" i="7" a="1"/>
  <c r="H41" i="7" s="1"/>
  <c r="H42" i="7" a="1"/>
  <c r="H42" i="7" s="1"/>
  <c r="H43" i="7" a="1"/>
  <c r="H43" i="7" s="1"/>
  <c r="H44" i="7" a="1"/>
  <c r="H44" i="7" s="1"/>
  <c r="H45" i="7" a="1"/>
  <c r="H45" i="7" s="1"/>
  <c r="H46" i="7" a="1"/>
  <c r="H46" i="7" s="1"/>
  <c r="H47" i="7" a="1"/>
  <c r="H47" i="7" s="1"/>
  <c r="H48" i="7" a="1"/>
  <c r="H48" i="7" s="1"/>
  <c r="H49" i="7" a="1"/>
  <c r="H49" i="7" s="1"/>
  <c r="H50" i="7" a="1"/>
  <c r="H50" i="7" s="1"/>
  <c r="H51" i="7" a="1"/>
  <c r="H51" i="7" s="1"/>
  <c r="H52" i="7" a="1"/>
  <c r="H52" i="7" s="1"/>
  <c r="H53" i="7" a="1"/>
  <c r="H53" i="7" s="1"/>
  <c r="H54" i="7" a="1"/>
  <c r="H54" i="7" s="1"/>
  <c r="H55" i="7" a="1"/>
  <c r="H55" i="7" s="1"/>
  <c r="H56" i="7" a="1"/>
  <c r="H56" i="7" s="1"/>
  <c r="H57" i="7" a="1"/>
  <c r="H57" i="7" s="1"/>
  <c r="H58" i="7" a="1"/>
  <c r="H58" i="7" s="1"/>
  <c r="H59" i="7" a="1"/>
  <c r="H59" i="7" s="1"/>
  <c r="H60" i="7" a="1"/>
  <c r="H60" i="7" s="1"/>
  <c r="H61" i="7" a="1"/>
  <c r="H61" i="7" s="1"/>
  <c r="H62" i="7" a="1"/>
  <c r="H62" i="7" s="1"/>
  <c r="H63" i="7" a="1"/>
  <c r="H63" i="7" s="1"/>
  <c r="H64" i="7" a="1"/>
  <c r="H64" i="7" s="1"/>
  <c r="H65" i="7" a="1"/>
  <c r="H65" i="7" s="1"/>
  <c r="H66" i="7" a="1"/>
  <c r="H66" i="7" s="1"/>
  <c r="H67" i="7" a="1"/>
  <c r="H67" i="7" s="1"/>
  <c r="H68" i="7" a="1"/>
  <c r="H68" i="7" s="1"/>
  <c r="H69" i="7" a="1"/>
  <c r="H69" i="7" s="1"/>
  <c r="H70" i="7" a="1"/>
  <c r="H70" i="7" s="1"/>
  <c r="H71" i="7" a="1"/>
  <c r="H71" i="7" s="1"/>
  <c r="H72" i="7" a="1"/>
  <c r="H72" i="7" s="1"/>
  <c r="H73" i="7" a="1"/>
  <c r="H73" i="7" s="1"/>
  <c r="H74" i="7" a="1"/>
  <c r="H74" i="7" s="1"/>
  <c r="H75" i="7" a="1"/>
  <c r="H75" i="7" s="1"/>
  <c r="H76" i="7" a="1"/>
  <c r="H76" i="7" s="1"/>
  <c r="H77" i="7" a="1"/>
  <c r="H77" i="7" s="1"/>
  <c r="H78" i="7" a="1"/>
  <c r="H78" i="7" s="1"/>
  <c r="H79" i="7" a="1"/>
  <c r="H79" i="7" s="1"/>
  <c r="H80" i="7" a="1"/>
  <c r="H80" i="7" s="1"/>
  <c r="H81" i="7" a="1"/>
  <c r="H81" i="7" s="1"/>
  <c r="H82" i="7" a="1"/>
  <c r="H82" i="7" s="1"/>
  <c r="H83" i="7" a="1"/>
  <c r="H83" i="7" s="1"/>
  <c r="H84" i="7" a="1"/>
  <c r="H84" i="7" s="1"/>
  <c r="H85" i="7" a="1"/>
  <c r="H85" i="7" s="1"/>
  <c r="H86" i="7" a="1"/>
  <c r="H86" i="7" s="1"/>
  <c r="H87" i="7" a="1"/>
  <c r="H87" i="7" s="1"/>
  <c r="H88" i="7" a="1"/>
  <c r="H88" i="7" s="1"/>
  <c r="H89" i="7" a="1"/>
  <c r="H89" i="7" s="1"/>
  <c r="H90" i="7" a="1"/>
  <c r="H90" i="7" s="1"/>
  <c r="H91" i="7" a="1"/>
  <c r="H91" i="7" s="1"/>
  <c r="H92" i="7" a="1"/>
  <c r="H92" i="7" s="1"/>
  <c r="H93" i="7" a="1"/>
  <c r="H93" i="7" s="1"/>
  <c r="H94" i="7" a="1"/>
  <c r="H94" i="7" s="1"/>
  <c r="H95" i="7" a="1"/>
  <c r="H95" i="7" s="1"/>
  <c r="H96" i="7" a="1"/>
  <c r="H96" i="7" s="1"/>
  <c r="H97" i="7" a="1"/>
  <c r="H97" i="7" s="1"/>
  <c r="H98" i="7" a="1"/>
  <c r="H98" i="7" s="1"/>
  <c r="H99" i="7" a="1"/>
  <c r="H99" i="7" s="1"/>
  <c r="H100" i="7" a="1"/>
  <c r="H100" i="7" s="1"/>
  <c r="H101" i="7" a="1"/>
  <c r="H101" i="7" s="1"/>
  <c r="H102" i="7" a="1"/>
  <c r="H102" i="7" s="1"/>
  <c r="H103" i="7" a="1"/>
  <c r="H103" i="7" s="1"/>
  <c r="H104" i="7" a="1"/>
  <c r="H104" i="7" s="1"/>
  <c r="H105" i="7" a="1"/>
  <c r="H105" i="7" s="1"/>
  <c r="H106" i="7" a="1"/>
  <c r="H106" i="7" s="1"/>
  <c r="H107" i="7" a="1"/>
  <c r="H107" i="7" s="1"/>
  <c r="H108" i="7" a="1"/>
  <c r="H108" i="7" s="1"/>
  <c r="H109" i="7" a="1"/>
  <c r="H109" i="7" s="1"/>
  <c r="H110" i="7" a="1"/>
  <c r="H110" i="7" s="1"/>
  <c r="H111" i="7" a="1"/>
  <c r="H111" i="7" s="1"/>
  <c r="H112" i="7" a="1"/>
  <c r="H112" i="7" s="1"/>
  <c r="H113" i="7" a="1"/>
  <c r="H113" i="7" s="1"/>
  <c r="H114" i="7" a="1"/>
  <c r="H114" i="7" s="1"/>
  <c r="H115" i="7" a="1"/>
  <c r="H115" i="7" s="1"/>
  <c r="H116" i="7" a="1"/>
  <c r="H116" i="7" s="1"/>
  <c r="H117" i="7" a="1"/>
  <c r="H117" i="7" s="1"/>
  <c r="H118" i="7" a="1"/>
  <c r="H118" i="7" s="1"/>
  <c r="H119" i="7" a="1"/>
  <c r="H119" i="7" s="1"/>
  <c r="H120" i="7" a="1"/>
  <c r="H120" i="7" s="1"/>
  <c r="H121" i="7" a="1"/>
  <c r="H121" i="7" s="1"/>
  <c r="H122" i="7" a="1"/>
  <c r="H122" i="7" s="1"/>
  <c r="H123" i="7" a="1"/>
  <c r="H123" i="7" s="1"/>
  <c r="H124" i="7" a="1"/>
  <c r="H124" i="7" s="1"/>
  <c r="H125" i="7" a="1"/>
  <c r="H125" i="7" s="1"/>
  <c r="H126" i="7" a="1"/>
  <c r="H126" i="7" s="1"/>
  <c r="H127" i="7" a="1"/>
  <c r="H127" i="7" s="1"/>
  <c r="H128" i="7" a="1"/>
  <c r="H128" i="7" s="1"/>
  <c r="H129" i="7" a="1"/>
  <c r="H129" i="7" s="1"/>
  <c r="H130" i="7" a="1"/>
  <c r="H130" i="7" s="1"/>
  <c r="H131" i="7" a="1"/>
  <c r="H131" i="7" s="1"/>
  <c r="H132" i="7" a="1"/>
  <c r="H132" i="7" s="1"/>
  <c r="H133" i="7" a="1"/>
  <c r="H133" i="7" s="1"/>
  <c r="H134" i="7" a="1"/>
  <c r="H134" i="7" s="1"/>
  <c r="H135" i="7" a="1"/>
  <c r="H135" i="7" s="1"/>
  <c r="H136" i="7" a="1"/>
  <c r="H136" i="7" s="1"/>
  <c r="H137" i="7" a="1"/>
  <c r="H137" i="7" s="1"/>
  <c r="H138" i="7" a="1"/>
  <c r="H138" i="7" s="1"/>
  <c r="H139" i="7" a="1"/>
  <c r="H139" i="7" s="1"/>
  <c r="H140" i="7" a="1"/>
  <c r="H140" i="7" s="1"/>
  <c r="H141" i="7" a="1"/>
  <c r="H141" i="7" s="1"/>
  <c r="H142" i="7" a="1"/>
  <c r="H142" i="7" s="1"/>
  <c r="H143" i="7" a="1"/>
  <c r="H143" i="7" s="1"/>
  <c r="H144" i="7" a="1"/>
  <c r="H144" i="7" s="1"/>
  <c r="H145" i="7" a="1"/>
  <c r="H145" i="7" s="1"/>
  <c r="H146" i="7" a="1"/>
  <c r="H146" i="7" s="1"/>
  <c r="H147" i="7" a="1"/>
  <c r="H147" i="7" s="1"/>
  <c r="H148" i="7" a="1"/>
  <c r="H148" i="7" s="1"/>
  <c r="H149" i="7" a="1"/>
  <c r="H149" i="7" s="1"/>
  <c r="H150" i="7" a="1"/>
  <c r="H150" i="7" s="1"/>
  <c r="H151" i="7" a="1"/>
  <c r="H151" i="7" s="1"/>
  <c r="H152" i="7" a="1"/>
  <c r="H152" i="7" s="1"/>
  <c r="H153" i="7" a="1"/>
  <c r="H153" i="7" s="1"/>
  <c r="H154" i="7" a="1"/>
  <c r="H154" i="7" s="1"/>
  <c r="H155" i="7" a="1"/>
  <c r="H155" i="7" s="1"/>
  <c r="H156" i="7" a="1"/>
  <c r="H156" i="7" s="1"/>
  <c r="H157" i="7" a="1"/>
  <c r="H157" i="7" s="1"/>
  <c r="H158" i="7" a="1"/>
  <c r="H158" i="7" s="1"/>
  <c r="H159" i="7" a="1"/>
  <c r="H159" i="7" s="1"/>
  <c r="H160" i="7" a="1"/>
  <c r="H160" i="7" s="1"/>
  <c r="H161" i="7" a="1"/>
  <c r="H161" i="7" s="1"/>
  <c r="H162" i="7" a="1"/>
  <c r="H162" i="7" s="1"/>
  <c r="H163" i="7" a="1"/>
  <c r="H163" i="7" s="1"/>
  <c r="H164" i="7" a="1"/>
  <c r="H164" i="7" s="1"/>
  <c r="H165" i="7" a="1"/>
  <c r="H165" i="7" s="1"/>
  <c r="H166" i="7" a="1"/>
  <c r="H166" i="7" s="1"/>
  <c r="H167" i="7" a="1"/>
  <c r="H167" i="7" s="1"/>
  <c r="H168" i="7" a="1"/>
  <c r="H168" i="7" s="1"/>
  <c r="H169" i="7" a="1"/>
  <c r="H169" i="7" s="1"/>
  <c r="H170" i="7" a="1"/>
  <c r="H170" i="7" s="1"/>
  <c r="H171" i="7" a="1"/>
  <c r="H171" i="7" s="1"/>
  <c r="H172" i="7" a="1"/>
  <c r="H172" i="7" s="1"/>
  <c r="H173" i="7" a="1"/>
  <c r="H173" i="7" s="1"/>
  <c r="H174" i="7" a="1"/>
  <c r="H174" i="7" s="1"/>
  <c r="H175" i="7" a="1"/>
  <c r="H175" i="7" s="1"/>
  <c r="H176" i="7" a="1"/>
  <c r="H176" i="7" s="1"/>
  <c r="H177" i="7" a="1"/>
  <c r="H177" i="7" s="1"/>
  <c r="H178" i="7" a="1"/>
  <c r="H178" i="7" s="1"/>
  <c r="H179" i="7" a="1"/>
  <c r="H179" i="7" s="1"/>
  <c r="H180" i="7" a="1"/>
  <c r="H180" i="7" s="1"/>
  <c r="H181" i="7" a="1"/>
  <c r="H181" i="7" s="1"/>
  <c r="H182" i="7" a="1"/>
  <c r="H182" i="7" s="1"/>
  <c r="H183" i="7" a="1"/>
  <c r="H183" i="7" s="1"/>
  <c r="H184" i="7" a="1"/>
  <c r="H184" i="7" s="1"/>
  <c r="H185" i="7" a="1"/>
  <c r="H185" i="7" s="1"/>
  <c r="H186" i="7" a="1"/>
  <c r="H186" i="7" s="1"/>
  <c r="H187" i="7" a="1"/>
  <c r="H187" i="7" s="1"/>
  <c r="H188" i="7" a="1"/>
  <c r="H188" i="7" s="1"/>
  <c r="H189" i="7" a="1"/>
  <c r="H189" i="7" s="1"/>
  <c r="H190" i="7" a="1"/>
  <c r="H190" i="7" s="1"/>
  <c r="H191" i="7" a="1"/>
  <c r="H191" i="7" s="1"/>
  <c r="H192" i="7" a="1"/>
  <c r="H192" i="7" s="1"/>
  <c r="H193" i="7" a="1"/>
  <c r="H193" i="7" s="1"/>
  <c r="H194" i="7" a="1"/>
  <c r="H194" i="7" s="1"/>
  <c r="H195" i="7" a="1"/>
  <c r="H195" i="7" s="1"/>
  <c r="H196" i="7" a="1"/>
  <c r="H196" i="7" s="1"/>
  <c r="H197" i="7" a="1"/>
  <c r="H197" i="7" s="1"/>
  <c r="H198" i="7" a="1"/>
  <c r="H198" i="7" s="1"/>
  <c r="H199" i="7" a="1"/>
  <c r="H199" i="7" s="1"/>
  <c r="H200" i="7" a="1"/>
  <c r="H200" i="7" s="1"/>
  <c r="H201" i="7" a="1"/>
  <c r="H201" i="7" s="1"/>
  <c r="H202" i="7" a="1"/>
  <c r="H202" i="7" s="1"/>
  <c r="H203" i="7" a="1"/>
  <c r="H203" i="7" s="1"/>
  <c r="H204" i="7" a="1"/>
  <c r="H204" i="7" s="1"/>
  <c r="H205" i="7" a="1"/>
  <c r="H205" i="7" s="1"/>
  <c r="H206" i="7" a="1"/>
  <c r="H206" i="7" s="1"/>
  <c r="H207" i="7" a="1"/>
  <c r="H207" i="7" s="1"/>
  <c r="H208" i="7" a="1"/>
  <c r="H208" i="7" s="1"/>
  <c r="H209" i="7" a="1"/>
  <c r="H209" i="7" s="1"/>
  <c r="H210" i="7" a="1"/>
  <c r="H210" i="7" s="1"/>
  <c r="H211" i="7" a="1"/>
  <c r="H211" i="7" s="1"/>
  <c r="H212" i="7" a="1"/>
  <c r="H212" i="7" s="1"/>
  <c r="H213" i="7" a="1"/>
  <c r="H213" i="7" s="1"/>
  <c r="H214" i="7" a="1"/>
  <c r="H214" i="7" s="1"/>
  <c r="H215" i="7" a="1"/>
  <c r="H215" i="7" s="1"/>
  <c r="H216" i="7" a="1"/>
  <c r="H216" i="7" s="1"/>
  <c r="H217" i="7" a="1"/>
  <c r="H217" i="7" s="1"/>
  <c r="H218" i="7" a="1"/>
  <c r="H218" i="7" s="1"/>
  <c r="H219" i="7" a="1"/>
  <c r="H219" i="7" s="1"/>
  <c r="H220" i="7" a="1"/>
  <c r="H220" i="7" s="1"/>
  <c r="H221" i="7" a="1"/>
  <c r="H221" i="7" s="1"/>
  <c r="H222" i="7" a="1"/>
  <c r="H222" i="7" s="1"/>
  <c r="H223" i="7" a="1"/>
  <c r="H223" i="7" s="1"/>
  <c r="H224" i="7" a="1"/>
  <c r="H224" i="7" s="1"/>
  <c r="H225" i="7" a="1"/>
  <c r="H225" i="7" s="1"/>
  <c r="H226" i="7" a="1"/>
  <c r="H226" i="7" s="1"/>
  <c r="H227" i="7" a="1"/>
  <c r="H227" i="7" s="1"/>
  <c r="H228" i="7" a="1"/>
  <c r="H228" i="7" s="1"/>
  <c r="H229" i="7" a="1"/>
  <c r="H229" i="7" s="1"/>
  <c r="H230" i="7" a="1"/>
  <c r="H230" i="7" s="1"/>
  <c r="H231" i="7" a="1"/>
  <c r="H231" i="7" s="1"/>
  <c r="H232" i="7" a="1"/>
  <c r="H232" i="7" s="1"/>
  <c r="H233" i="7" a="1"/>
  <c r="H233" i="7" s="1"/>
  <c r="H234" i="7" a="1"/>
  <c r="H234" i="7" s="1"/>
  <c r="H235" i="7" a="1"/>
  <c r="H235" i="7" s="1"/>
  <c r="H236" i="7" a="1"/>
  <c r="H236" i="7" s="1"/>
  <c r="H237" i="7" a="1"/>
  <c r="H237" i="7" s="1"/>
  <c r="H238" i="7" a="1"/>
  <c r="H238" i="7" s="1"/>
  <c r="H239" i="7" a="1"/>
  <c r="H239" i="7" s="1"/>
  <c r="H240" i="7" a="1"/>
  <c r="H240" i="7" s="1"/>
  <c r="H241" i="7" a="1"/>
  <c r="H241" i="7" s="1"/>
  <c r="H242" i="7" a="1"/>
  <c r="H242" i="7" s="1"/>
  <c r="H243" i="7" a="1"/>
  <c r="H243" i="7" s="1"/>
  <c r="H244" i="7" a="1"/>
  <c r="H244" i="7" s="1"/>
  <c r="H245" i="7" a="1"/>
  <c r="H245" i="7" s="1"/>
  <c r="H246" i="7" a="1"/>
  <c r="H246" i="7" s="1"/>
  <c r="H247" i="7" a="1"/>
  <c r="H247" i="7" s="1"/>
  <c r="H248" i="7" a="1"/>
  <c r="H248" i="7" s="1"/>
  <c r="H249" i="7" a="1"/>
  <c r="H249" i="7" s="1"/>
  <c r="H250" i="7" a="1"/>
  <c r="H250" i="7" s="1"/>
  <c r="H251" i="7" a="1"/>
  <c r="H251" i="7" s="1"/>
  <c r="H252" i="7" a="1"/>
  <c r="H252" i="7" s="1"/>
  <c r="H253" i="7" a="1"/>
  <c r="H253" i="7" s="1"/>
  <c r="H254" i="7" a="1"/>
  <c r="H254" i="7" s="1"/>
  <c r="H255" i="7" a="1"/>
  <c r="H255" i="7" s="1"/>
  <c r="H256" i="7" a="1"/>
  <c r="H256" i="7" s="1"/>
  <c r="H257" i="7" a="1"/>
  <c r="H257" i="7" s="1"/>
  <c r="H258" i="7" a="1"/>
  <c r="H258" i="7" s="1"/>
  <c r="H259" i="7" a="1"/>
  <c r="H259" i="7" s="1"/>
  <c r="H260" i="7" a="1"/>
  <c r="H260" i="7" s="1"/>
  <c r="H261" i="7" a="1"/>
  <c r="H261" i="7" s="1"/>
  <c r="H262" i="7" a="1"/>
  <c r="H262" i="7" s="1"/>
  <c r="H263" i="7" a="1"/>
  <c r="H263" i="7" s="1"/>
  <c r="H264" i="7" a="1"/>
  <c r="H264" i="7" s="1"/>
  <c r="H265" i="7" a="1"/>
  <c r="H265" i="7" s="1"/>
  <c r="H266" i="7" a="1"/>
  <c r="H266" i="7" s="1"/>
  <c r="H267" i="7" a="1"/>
  <c r="H267" i="7" s="1"/>
  <c r="H268" i="7" a="1"/>
  <c r="H268" i="7" s="1"/>
  <c r="H269" i="7" a="1"/>
  <c r="H269" i="7" s="1"/>
  <c r="H270" i="7" a="1"/>
  <c r="H270" i="7" s="1"/>
  <c r="H271" i="7" a="1"/>
  <c r="H271" i="7" s="1"/>
  <c r="H272" i="7" a="1"/>
  <c r="H272" i="7" s="1"/>
  <c r="H273" i="7" a="1"/>
  <c r="H273" i="7" s="1"/>
  <c r="H274" i="7" a="1"/>
  <c r="H274" i="7" s="1"/>
  <c r="H275" i="7" a="1"/>
  <c r="H275" i="7" s="1"/>
  <c r="H276" i="7" a="1"/>
  <c r="H276" i="7" s="1"/>
  <c r="H277" i="7" a="1"/>
  <c r="H277" i="7" s="1"/>
  <c r="H278" i="7" a="1"/>
  <c r="H278" i="7" s="1"/>
  <c r="H279" i="7" a="1"/>
  <c r="H279" i="7" s="1"/>
  <c r="H280" i="7" a="1"/>
  <c r="H280" i="7" s="1"/>
  <c r="H281" i="7" a="1"/>
  <c r="H281" i="7" s="1"/>
  <c r="H282" i="7" a="1"/>
  <c r="H282" i="7" s="1"/>
  <c r="H283" i="7" a="1"/>
  <c r="H283" i="7" s="1"/>
  <c r="H284" i="7" a="1"/>
  <c r="H284" i="7" s="1"/>
  <c r="H285" i="7" a="1"/>
  <c r="H285" i="7" s="1"/>
  <c r="H286" i="7" a="1"/>
  <c r="H286" i="7" s="1"/>
  <c r="H287" i="7" a="1"/>
  <c r="H287" i="7" s="1"/>
  <c r="H288" i="7" a="1"/>
  <c r="H288" i="7" s="1"/>
  <c r="H289" i="7" a="1"/>
  <c r="H289" i="7" s="1"/>
  <c r="H290" i="7" a="1"/>
  <c r="H290" i="7" s="1"/>
  <c r="H291" i="7" a="1"/>
  <c r="H291" i="7" s="1"/>
  <c r="H292" i="7" a="1"/>
  <c r="H292" i="7" s="1"/>
  <c r="H293" i="7" a="1"/>
  <c r="H293" i="7" s="1"/>
  <c r="H294" i="7" a="1"/>
  <c r="H294" i="7" s="1"/>
  <c r="H295" i="7" a="1"/>
  <c r="H295" i="7" s="1"/>
  <c r="H296" i="7" a="1"/>
  <c r="H296" i="7" s="1"/>
  <c r="H297" i="7" a="1"/>
  <c r="H297" i="7" s="1"/>
  <c r="H298" i="7" a="1"/>
  <c r="H298" i="7" s="1"/>
  <c r="H299" i="7" a="1"/>
  <c r="H299" i="7" s="1"/>
  <c r="H300" i="7" a="1"/>
  <c r="H300" i="7" s="1"/>
  <c r="H301" i="7" a="1"/>
  <c r="H301" i="7" s="1"/>
  <c r="H302" i="7" a="1"/>
  <c r="H302" i="7" s="1"/>
  <c r="H303" i="7" a="1"/>
  <c r="H303" i="7" s="1"/>
  <c r="H304" i="7" a="1"/>
  <c r="H304" i="7" s="1"/>
  <c r="H305" i="7" a="1"/>
  <c r="H305" i="7" s="1"/>
  <c r="H306" i="7" a="1"/>
  <c r="H306" i="7" s="1"/>
  <c r="H307" i="7" a="1"/>
  <c r="H307" i="7" s="1"/>
  <c r="H308" i="7" a="1"/>
  <c r="H308" i="7" s="1"/>
  <c r="H309" i="7" a="1"/>
  <c r="H309" i="7" s="1"/>
  <c r="H310" i="7" a="1"/>
  <c r="H310" i="7" s="1"/>
  <c r="H311" i="7" a="1"/>
  <c r="H311" i="7" s="1"/>
  <c r="H312" i="7" a="1"/>
  <c r="H312" i="7" s="1"/>
  <c r="H313" i="7" a="1"/>
  <c r="H313" i="7" s="1"/>
  <c r="H314" i="7" a="1"/>
  <c r="H314" i="7" s="1"/>
  <c r="H315" i="7" a="1"/>
  <c r="H315" i="7" s="1"/>
  <c r="H316" i="7" a="1"/>
  <c r="H316" i="7" s="1"/>
  <c r="H317" i="7" a="1"/>
  <c r="H317" i="7" s="1"/>
  <c r="H318" i="7" a="1"/>
  <c r="H318" i="7" s="1"/>
  <c r="H319" i="7" a="1"/>
  <c r="H319" i="7" s="1"/>
  <c r="H320" i="7" a="1"/>
  <c r="H320" i="7" s="1"/>
  <c r="H321" i="7" a="1"/>
  <c r="H321" i="7" s="1"/>
  <c r="H322" i="7" a="1"/>
  <c r="H322" i="7" s="1"/>
  <c r="H323" i="7" a="1"/>
  <c r="H323" i="7" s="1"/>
  <c r="H324" i="7" a="1"/>
  <c r="H324" i="7" s="1"/>
  <c r="H325" i="7" a="1"/>
  <c r="H325" i="7" s="1"/>
  <c r="H326" i="7" a="1"/>
  <c r="H326" i="7" s="1"/>
  <c r="H327" i="7" a="1"/>
  <c r="H327" i="7" s="1"/>
  <c r="H328" i="7" a="1"/>
  <c r="H328" i="7" s="1"/>
  <c r="H329" i="7" a="1"/>
  <c r="H329" i="7" s="1"/>
  <c r="H330" i="7" a="1"/>
  <c r="H330" i="7" s="1"/>
  <c r="H331" i="7" a="1"/>
  <c r="H331" i="7" s="1"/>
  <c r="H332" i="7" a="1"/>
  <c r="H332" i="7" s="1"/>
  <c r="H333" i="7" a="1"/>
  <c r="H333" i="7" s="1"/>
  <c r="H334" i="7" a="1"/>
  <c r="H334" i="7" s="1"/>
  <c r="H335" i="7" a="1"/>
  <c r="H335" i="7" s="1"/>
  <c r="H336" i="7" a="1"/>
  <c r="H336" i="7" s="1"/>
  <c r="H337" i="7" a="1"/>
  <c r="H337" i="7" s="1"/>
  <c r="H338" i="7" a="1"/>
  <c r="H338" i="7" s="1"/>
  <c r="H339" i="7" a="1"/>
  <c r="H339" i="7" s="1"/>
  <c r="H340" i="7" a="1"/>
  <c r="H340" i="7" s="1"/>
  <c r="H341" i="7" a="1"/>
  <c r="H341" i="7" s="1"/>
  <c r="H342" i="7" a="1"/>
  <c r="H342" i="7" s="1"/>
  <c r="H343" i="7" a="1"/>
  <c r="H343" i="7" s="1"/>
  <c r="H344" i="7" a="1"/>
  <c r="H344" i="7" s="1"/>
  <c r="H345" i="7" a="1"/>
  <c r="H345" i="7" s="1"/>
  <c r="H346" i="7" a="1"/>
  <c r="H346" i="7" s="1"/>
  <c r="H347" i="7" a="1"/>
  <c r="H347" i="7" s="1"/>
  <c r="H348" i="7" a="1"/>
  <c r="H348" i="7" s="1"/>
  <c r="H349" i="7" a="1"/>
  <c r="H349" i="7" s="1"/>
  <c r="H350" i="7" a="1"/>
  <c r="H350" i="7" s="1"/>
  <c r="H351" i="7" a="1"/>
  <c r="H351" i="7" s="1"/>
  <c r="H352" i="7" a="1"/>
  <c r="H352" i="7" s="1"/>
  <c r="H353" i="7" a="1"/>
  <c r="H353" i="7" s="1"/>
  <c r="H354" i="7" a="1"/>
  <c r="H354" i="7" s="1"/>
  <c r="H355" i="7" a="1"/>
  <c r="H355" i="7" s="1"/>
  <c r="H356" i="7" a="1"/>
  <c r="H356" i="7" s="1"/>
  <c r="H357" i="7" a="1"/>
  <c r="H357" i="7" s="1"/>
  <c r="H358" i="7" a="1"/>
  <c r="H358" i="7" s="1"/>
  <c r="H359" i="7" a="1"/>
  <c r="H359" i="7" s="1"/>
  <c r="H360" i="7" a="1"/>
  <c r="H360" i="7" s="1"/>
  <c r="H361" i="7" a="1"/>
  <c r="H361" i="7" s="1"/>
  <c r="H362" i="7" a="1"/>
  <c r="H362" i="7" s="1"/>
  <c r="H363" i="7" a="1"/>
  <c r="H363" i="7" s="1"/>
  <c r="H364" i="7" a="1"/>
  <c r="H364" i="7" s="1"/>
  <c r="H365" i="7" a="1"/>
  <c r="H365" i="7" s="1"/>
  <c r="H366" i="7" a="1"/>
  <c r="H366" i="7" s="1"/>
  <c r="H367" i="7" a="1"/>
  <c r="H367" i="7" s="1"/>
  <c r="H368" i="7" a="1"/>
  <c r="H368" i="7" s="1"/>
  <c r="H369" i="7" a="1"/>
  <c r="H369" i="7" s="1"/>
  <c r="H370" i="7" a="1"/>
  <c r="H370" i="7" s="1"/>
  <c r="H371" i="7" a="1"/>
  <c r="H371" i="7" s="1"/>
  <c r="H372" i="7" a="1"/>
  <c r="H372" i="7" s="1"/>
  <c r="H373" i="7" a="1"/>
  <c r="H373" i="7" s="1"/>
  <c r="H374" i="7" a="1"/>
  <c r="H374" i="7" s="1"/>
  <c r="H375" i="7" a="1"/>
  <c r="H375" i="7" s="1"/>
  <c r="H376" i="7" a="1"/>
  <c r="H376" i="7" s="1"/>
  <c r="H377" i="7" a="1"/>
  <c r="H377" i="7" s="1"/>
  <c r="H378" i="7" a="1"/>
  <c r="H378" i="7" s="1"/>
  <c r="H379" i="7" a="1"/>
  <c r="H379" i="7" s="1"/>
  <c r="H380" i="7" a="1"/>
  <c r="H380" i="7" s="1"/>
  <c r="H381" i="7" a="1"/>
  <c r="H381" i="7" s="1"/>
  <c r="H382" i="7" a="1"/>
  <c r="H382" i="7" s="1"/>
  <c r="H383" i="7" a="1"/>
  <c r="H383" i="7" s="1"/>
  <c r="H384" i="7" a="1"/>
  <c r="H384" i="7" s="1"/>
  <c r="H385" i="7" a="1"/>
  <c r="H385" i="7" s="1"/>
  <c r="H386" i="7" a="1"/>
  <c r="H386" i="7" s="1"/>
  <c r="H387" i="7" a="1"/>
  <c r="H387" i="7" s="1"/>
  <c r="H388" i="7" a="1"/>
  <c r="H388" i="7" s="1"/>
  <c r="H389" i="7" a="1"/>
  <c r="H389" i="7" s="1"/>
  <c r="H390" i="7" a="1"/>
  <c r="H390" i="7" s="1"/>
  <c r="H391" i="7" a="1"/>
  <c r="H391" i="7" s="1"/>
  <c r="H392" i="7" a="1"/>
  <c r="H392" i="7" s="1"/>
  <c r="H393" i="7" a="1"/>
  <c r="H393" i="7" s="1"/>
  <c r="H394" i="7" a="1"/>
  <c r="H394" i="7" s="1"/>
  <c r="H395" i="7" a="1"/>
  <c r="H395" i="7" s="1"/>
  <c r="H396" i="7" a="1"/>
  <c r="H396" i="7" s="1"/>
  <c r="H397" i="7" a="1"/>
  <c r="H397" i="7" s="1"/>
  <c r="H398" i="7" a="1"/>
  <c r="H398" i="7" s="1"/>
  <c r="H399" i="7" a="1"/>
  <c r="H399" i="7" s="1"/>
  <c r="H400" i="7" a="1"/>
  <c r="H400" i="7" s="1"/>
  <c r="H401" i="7" a="1"/>
  <c r="H401" i="7" s="1"/>
  <c r="H402" i="7" a="1"/>
  <c r="H402" i="7" s="1"/>
  <c r="H403" i="7" a="1"/>
  <c r="H403" i="7" s="1"/>
  <c r="H404" i="7" a="1"/>
  <c r="H404" i="7" s="1"/>
  <c r="H405" i="7" a="1"/>
  <c r="H405" i="7" s="1"/>
  <c r="H406" i="7" a="1"/>
  <c r="H406" i="7" s="1"/>
  <c r="H407" i="7" a="1"/>
  <c r="H407" i="7" s="1"/>
  <c r="H408" i="7" a="1"/>
  <c r="H408" i="7" s="1"/>
  <c r="H409" i="7" a="1"/>
  <c r="H409" i="7" s="1"/>
  <c r="H410" i="7" a="1"/>
  <c r="H410" i="7" s="1"/>
  <c r="H411" i="7" a="1"/>
  <c r="H411" i="7" s="1"/>
  <c r="H412" i="7" a="1"/>
  <c r="H412" i="7" s="1"/>
  <c r="H413" i="7" a="1"/>
  <c r="H413" i="7" s="1"/>
  <c r="H414" i="7" a="1"/>
  <c r="H414" i="7" s="1"/>
  <c r="H415" i="7" a="1"/>
  <c r="H415" i="7" s="1"/>
  <c r="H416" i="7" a="1"/>
  <c r="H416" i="7" s="1"/>
  <c r="H417" i="7" a="1"/>
  <c r="H417" i="7" s="1"/>
  <c r="H418" i="7" a="1"/>
  <c r="H418" i="7" s="1"/>
  <c r="H419" i="7" a="1"/>
  <c r="H419" i="7" s="1"/>
  <c r="H420" i="7" a="1"/>
  <c r="H420" i="7" s="1"/>
  <c r="H421" i="7" a="1"/>
  <c r="H421" i="7" s="1"/>
  <c r="H422" i="7" a="1"/>
  <c r="H422" i="7" s="1"/>
  <c r="H423" i="7" a="1"/>
  <c r="H423" i="7" s="1"/>
  <c r="H424" i="7" a="1"/>
  <c r="H424" i="7" s="1"/>
  <c r="H425" i="7" a="1"/>
  <c r="H425" i="7" s="1"/>
  <c r="H426" i="7" a="1"/>
  <c r="H426" i="7" s="1"/>
  <c r="H427" i="7" a="1"/>
  <c r="H427" i="7" s="1"/>
  <c r="H428" i="7" a="1"/>
  <c r="H428" i="7" s="1"/>
  <c r="H429" i="7" a="1"/>
  <c r="H429" i="7" s="1"/>
  <c r="H430" i="7" a="1"/>
  <c r="H430" i="7" s="1"/>
  <c r="H431" i="7" a="1"/>
  <c r="H431" i="7" s="1"/>
  <c r="H432" i="7" a="1"/>
  <c r="H432" i="7" s="1"/>
  <c r="H433" i="7" a="1"/>
  <c r="H433" i="7" s="1"/>
  <c r="H434" i="7" a="1"/>
  <c r="H434" i="7" s="1"/>
  <c r="H435" i="7" a="1"/>
  <c r="H435" i="7" s="1"/>
  <c r="H436" i="7" a="1"/>
  <c r="H436" i="7" s="1"/>
  <c r="H437" i="7" a="1"/>
  <c r="H437" i="7" s="1"/>
  <c r="H438" i="7" a="1"/>
  <c r="H438" i="7" s="1"/>
  <c r="H439" i="7" a="1"/>
  <c r="H439" i="7" s="1"/>
  <c r="H440" i="7" a="1"/>
  <c r="H440" i="7" s="1"/>
  <c r="H441" i="7" a="1"/>
  <c r="H441" i="7" s="1"/>
  <c r="H442" i="7" a="1"/>
  <c r="H442" i="7" s="1"/>
  <c r="H443" i="7" a="1"/>
  <c r="H443" i="7" s="1"/>
  <c r="H444" i="7" a="1"/>
  <c r="H444" i="7" s="1"/>
  <c r="H445" i="7" a="1"/>
  <c r="H445" i="7" s="1"/>
  <c r="H446" i="7" a="1"/>
  <c r="H446" i="7" s="1"/>
  <c r="H447" i="7" a="1"/>
  <c r="H447" i="7" s="1"/>
  <c r="H448" i="7" a="1"/>
  <c r="H448" i="7" s="1"/>
  <c r="H449" i="7" a="1"/>
  <c r="H449" i="7" s="1"/>
  <c r="H450" i="7" a="1"/>
  <c r="H450" i="7" s="1"/>
  <c r="H451" i="7" a="1"/>
  <c r="H451" i="7" s="1"/>
  <c r="H452" i="7" a="1"/>
  <c r="H452" i="7" s="1"/>
  <c r="H453" i="7" a="1"/>
  <c r="H453" i="7" s="1"/>
  <c r="H454" i="7" a="1"/>
  <c r="H454" i="7" s="1"/>
  <c r="H455" i="7" a="1"/>
  <c r="H455" i="7" s="1"/>
  <c r="H456" i="7" a="1"/>
  <c r="H456" i="7" s="1"/>
  <c r="H457" i="7" a="1"/>
  <c r="H457" i="7" s="1"/>
  <c r="H458" i="7" a="1"/>
  <c r="H458" i="7" s="1"/>
  <c r="H459" i="7" a="1"/>
  <c r="H459" i="7" s="1"/>
  <c r="H460" i="7" a="1"/>
  <c r="H460" i="7" s="1"/>
  <c r="H461" i="7" a="1"/>
  <c r="H461" i="7" s="1"/>
  <c r="H462" i="7" a="1"/>
  <c r="H462" i="7" s="1"/>
  <c r="H463" i="7" a="1"/>
  <c r="H463" i="7" s="1"/>
  <c r="H464" i="7" a="1"/>
  <c r="H464" i="7" s="1"/>
  <c r="H465" i="7" a="1"/>
  <c r="H465" i="7" s="1"/>
  <c r="H466" i="7" a="1"/>
  <c r="H466" i="7" s="1"/>
  <c r="H467" i="7" a="1"/>
  <c r="H467" i="7" s="1"/>
  <c r="H468" i="7" a="1"/>
  <c r="H468" i="7" s="1"/>
  <c r="H469" i="7" a="1"/>
  <c r="H469" i="7" s="1"/>
  <c r="H470" i="7" a="1"/>
  <c r="H470" i="7" s="1"/>
  <c r="H471" i="7" a="1"/>
  <c r="H471" i="7" s="1"/>
  <c r="H472" i="7" a="1"/>
  <c r="H472" i="7" s="1"/>
  <c r="H473" i="7" a="1"/>
  <c r="H473" i="7" s="1"/>
  <c r="H474" i="7" a="1"/>
  <c r="H474" i="7" s="1"/>
  <c r="H475" i="7" a="1"/>
  <c r="H475" i="7" s="1"/>
  <c r="H476" i="7" a="1"/>
  <c r="H476" i="7" s="1"/>
  <c r="H477" i="7" a="1"/>
  <c r="H477" i="7" s="1"/>
  <c r="H478" i="7" a="1"/>
  <c r="H478" i="7" s="1"/>
  <c r="H479" i="7" a="1"/>
  <c r="H479" i="7" s="1"/>
  <c r="H480" i="7" a="1"/>
  <c r="H480" i="7" s="1"/>
  <c r="H481" i="7" a="1"/>
  <c r="H481" i="7" s="1"/>
  <c r="H482" i="7" a="1"/>
  <c r="H482" i="7" s="1"/>
  <c r="H483" i="7" a="1"/>
  <c r="H483" i="7" s="1"/>
  <c r="H484" i="7" a="1"/>
  <c r="H484" i="7" s="1"/>
  <c r="H485" i="7" a="1"/>
  <c r="H485" i="7" s="1"/>
  <c r="H486" i="7" a="1"/>
  <c r="H486" i="7" s="1"/>
  <c r="H487" i="7" a="1"/>
  <c r="H487" i="7" s="1"/>
  <c r="H488" i="7" a="1"/>
  <c r="H488" i="7" s="1"/>
  <c r="H489" i="7" a="1"/>
  <c r="H489" i="7" s="1"/>
  <c r="H490" i="7" a="1"/>
  <c r="H490" i="7" s="1"/>
  <c r="H491" i="7" a="1"/>
  <c r="H491" i="7" s="1"/>
  <c r="H492" i="7" a="1"/>
  <c r="H492" i="7" s="1"/>
  <c r="H493" i="7" a="1"/>
  <c r="H493" i="7" s="1"/>
  <c r="H494" i="7" a="1"/>
  <c r="H494" i="7" s="1"/>
  <c r="H495" i="7" a="1"/>
  <c r="H495" i="7" s="1"/>
  <c r="H496" i="7" a="1"/>
  <c r="H496" i="7" s="1"/>
  <c r="H497" i="7" a="1"/>
  <c r="H497" i="7" s="1"/>
  <c r="H498" i="7" a="1"/>
  <c r="H498" i="7" s="1"/>
  <c r="H499" i="7" a="1"/>
  <c r="H499" i="7" s="1"/>
  <c r="H500" i="7" a="1"/>
  <c r="H500" i="7" s="1"/>
  <c r="H501" i="7" a="1"/>
  <c r="H501" i="7" s="1"/>
  <c r="H502" i="7" a="1"/>
  <c r="H502" i="7" s="1"/>
  <c r="H503" i="7" a="1"/>
  <c r="H503" i="7" s="1"/>
  <c r="H504" i="7" a="1"/>
  <c r="H504" i="7" s="1"/>
  <c r="H505" i="7" a="1"/>
  <c r="H505" i="7" s="1"/>
  <c r="H506" i="7" a="1"/>
  <c r="H506" i="7" s="1"/>
  <c r="H507" i="7" a="1"/>
  <c r="H507" i="7" s="1"/>
  <c r="H508" i="7" a="1"/>
  <c r="H508" i="7" s="1"/>
  <c r="H509" i="7" a="1"/>
  <c r="H509" i="7" s="1"/>
  <c r="H510" i="7" a="1"/>
  <c r="H510" i="7" s="1"/>
  <c r="H511" i="7" a="1"/>
  <c r="H511" i="7" s="1"/>
  <c r="H512" i="7" a="1"/>
  <c r="H512" i="7" s="1"/>
  <c r="H513" i="7" a="1"/>
  <c r="H513" i="7" s="1"/>
  <c r="H514" i="7" a="1"/>
  <c r="H514" i="7" s="1"/>
  <c r="H515" i="7" a="1"/>
  <c r="H515" i="7" s="1"/>
  <c r="H516" i="7" a="1"/>
  <c r="H516" i="7" s="1"/>
  <c r="H517" i="7" a="1"/>
  <c r="H517" i="7" s="1"/>
  <c r="H518" i="7" a="1"/>
  <c r="H518" i="7" s="1"/>
  <c r="H519" i="7" a="1"/>
  <c r="H519" i="7" s="1"/>
  <c r="H520" i="7" a="1"/>
  <c r="H520" i="7" s="1"/>
  <c r="H521" i="7" a="1"/>
  <c r="H521" i="7" s="1"/>
  <c r="H522" i="7" a="1"/>
  <c r="H522" i="7" s="1"/>
  <c r="H523" i="7" a="1"/>
  <c r="H523" i="7" s="1"/>
  <c r="H524" i="7" a="1"/>
  <c r="H524" i="7" s="1"/>
  <c r="H525" i="7" a="1"/>
  <c r="H525" i="7" s="1"/>
  <c r="H526" i="7" a="1"/>
  <c r="H526" i="7" s="1"/>
  <c r="H527" i="7" a="1"/>
  <c r="H527" i="7" s="1"/>
  <c r="H528" i="7" a="1"/>
  <c r="H528" i="7" s="1"/>
  <c r="H529" i="7" a="1"/>
  <c r="H529" i="7" s="1"/>
  <c r="H530" i="7" a="1"/>
  <c r="H530" i="7" s="1"/>
  <c r="H531" i="7" a="1"/>
  <c r="H531" i="7" s="1"/>
  <c r="H532" i="7" a="1"/>
  <c r="H532" i="7" s="1"/>
  <c r="H533" i="7" a="1"/>
  <c r="H533" i="7" s="1"/>
  <c r="H534" i="7" a="1"/>
  <c r="H534" i="7" s="1"/>
  <c r="H535" i="7" a="1"/>
  <c r="H535" i="7" s="1"/>
  <c r="H536" i="7" a="1"/>
  <c r="H536" i="7" s="1"/>
  <c r="H537" i="7" a="1"/>
  <c r="H537" i="7" s="1"/>
  <c r="H538" i="7" a="1"/>
  <c r="H538" i="7" s="1"/>
  <c r="H539" i="7" a="1"/>
  <c r="H539" i="7" s="1"/>
  <c r="H540" i="7" a="1"/>
  <c r="H540" i="7" s="1"/>
  <c r="H541" i="7" a="1"/>
  <c r="H541" i="7" s="1"/>
  <c r="H542" i="7" a="1"/>
  <c r="H542" i="7" s="1"/>
  <c r="H543" i="7" a="1"/>
  <c r="H543" i="7" s="1"/>
  <c r="H544" i="7" a="1"/>
  <c r="H544" i="7" s="1"/>
  <c r="H545" i="7" a="1"/>
  <c r="H545" i="7" s="1"/>
  <c r="H546" i="7" a="1"/>
  <c r="H546" i="7" s="1"/>
  <c r="H547" i="7" a="1"/>
  <c r="H547" i="7" s="1"/>
  <c r="H548" i="7" a="1"/>
  <c r="H548" i="7" s="1"/>
  <c r="H549" i="7" a="1"/>
  <c r="H549" i="7" s="1"/>
  <c r="H550" i="7" a="1"/>
  <c r="H550" i="7" s="1"/>
  <c r="H551" i="7" a="1"/>
  <c r="H551" i="7" s="1"/>
  <c r="H552" i="7" a="1"/>
  <c r="H552" i="7" s="1"/>
  <c r="H553" i="7" a="1"/>
  <c r="H553" i="7" s="1"/>
  <c r="H554" i="7" a="1"/>
  <c r="H554" i="7" s="1"/>
  <c r="H555" i="7" a="1"/>
  <c r="H555" i="7" s="1"/>
  <c r="H556" i="7" a="1"/>
  <c r="H556" i="7" s="1"/>
  <c r="H557" i="7" a="1"/>
  <c r="H557" i="7" s="1"/>
  <c r="H558" i="7" a="1"/>
  <c r="H558" i="7" s="1"/>
  <c r="H559" i="7" a="1"/>
  <c r="H559" i="7" s="1"/>
  <c r="H560" i="7" a="1"/>
  <c r="H560" i="7" s="1"/>
  <c r="H561" i="7" a="1"/>
  <c r="H561" i="7" s="1"/>
  <c r="H562" i="7" a="1"/>
  <c r="H562" i="7" s="1"/>
  <c r="H563" i="7" a="1"/>
  <c r="H563" i="7" s="1"/>
  <c r="H564" i="7" a="1"/>
  <c r="H564" i="7" s="1"/>
  <c r="H565" i="7" a="1"/>
  <c r="H565" i="7" s="1"/>
  <c r="H566" i="7" a="1"/>
  <c r="H566" i="7" s="1"/>
  <c r="H567" i="7" a="1"/>
  <c r="H567" i="7" s="1"/>
  <c r="H568" i="7" a="1"/>
  <c r="H568" i="7" s="1"/>
  <c r="H569" i="7" a="1"/>
  <c r="H569" i="7" s="1"/>
  <c r="H570" i="7" a="1"/>
  <c r="H570" i="7" s="1"/>
  <c r="H571" i="7" a="1"/>
  <c r="H571" i="7" s="1"/>
  <c r="H572" i="7" a="1"/>
  <c r="H572" i="7" s="1"/>
  <c r="H573" i="7" a="1"/>
  <c r="H573" i="7" s="1"/>
  <c r="H574" i="7" a="1"/>
  <c r="H574" i="7" s="1"/>
  <c r="H575" i="7" a="1"/>
  <c r="H575" i="7" s="1"/>
  <c r="H576" i="7" a="1"/>
  <c r="H576" i="7" s="1"/>
  <c r="H577" i="7" a="1"/>
  <c r="H577" i="7" s="1"/>
  <c r="H578" i="7" a="1"/>
  <c r="H578" i="7" s="1"/>
  <c r="H579" i="7" a="1"/>
  <c r="H579" i="7" s="1"/>
  <c r="H580" i="7" a="1"/>
  <c r="H580" i="7" s="1"/>
  <c r="H581" i="7" a="1"/>
  <c r="H581" i="7" s="1"/>
  <c r="H582" i="7" a="1"/>
  <c r="H582" i="7" s="1"/>
  <c r="H583" i="7" a="1"/>
  <c r="H583" i="7" s="1"/>
  <c r="H584" i="7" a="1"/>
  <c r="H584" i="7" s="1"/>
  <c r="H585" i="7" a="1"/>
  <c r="H585" i="7" s="1"/>
  <c r="H586" i="7" a="1"/>
  <c r="H586" i="7" s="1"/>
  <c r="H587" i="7" a="1"/>
  <c r="H587" i="7" s="1"/>
  <c r="H588" i="7" a="1"/>
  <c r="H588" i="7" s="1"/>
  <c r="H589" i="7" a="1"/>
  <c r="H589" i="7" s="1"/>
  <c r="H590" i="7" a="1"/>
  <c r="H590" i="7" s="1"/>
  <c r="H591" i="7" a="1"/>
  <c r="H591" i="7" s="1"/>
  <c r="H592" i="7" a="1"/>
  <c r="H592" i="7" s="1"/>
  <c r="H593" i="7" a="1"/>
  <c r="H593" i="7" s="1"/>
  <c r="H594" i="7" a="1"/>
  <c r="H594" i="7" s="1"/>
  <c r="H595" i="7" a="1"/>
  <c r="H595" i="7" s="1"/>
  <c r="H596" i="7" a="1"/>
  <c r="H596" i="7" s="1"/>
  <c r="H597" i="7" a="1"/>
  <c r="H597" i="7" s="1"/>
  <c r="H598" i="7" a="1"/>
  <c r="H598" i="7" s="1"/>
  <c r="H599" i="7" a="1"/>
  <c r="H599" i="7" s="1"/>
  <c r="H600" i="7" a="1"/>
  <c r="H600" i="7" s="1"/>
  <c r="H601" i="7" a="1"/>
  <c r="H601" i="7" s="1"/>
  <c r="H602" i="7" a="1"/>
  <c r="H602" i="7" s="1"/>
  <c r="H603" i="7" a="1"/>
  <c r="H603" i="7" s="1"/>
  <c r="H604" i="7" a="1"/>
  <c r="H604" i="7" s="1"/>
  <c r="H605" i="7" a="1"/>
  <c r="H605" i="7" s="1"/>
  <c r="H606" i="7" a="1"/>
  <c r="H606" i="7" s="1"/>
  <c r="H607" i="7" a="1"/>
  <c r="H607" i="7" s="1"/>
  <c r="H608" i="7" a="1"/>
  <c r="H608" i="7" s="1"/>
  <c r="H609" i="7" a="1"/>
  <c r="H609" i="7" s="1"/>
  <c r="H610" i="7" a="1"/>
  <c r="H610" i="7" s="1"/>
  <c r="H611" i="7" a="1"/>
  <c r="H611" i="7" s="1"/>
  <c r="H612" i="7" a="1"/>
  <c r="H612" i="7" s="1"/>
  <c r="H613" i="7" a="1"/>
  <c r="H613" i="7" s="1"/>
  <c r="H614" i="7" a="1"/>
  <c r="H614" i="7" s="1"/>
  <c r="H615" i="7" a="1"/>
  <c r="H615" i="7" s="1"/>
  <c r="H616" i="7" a="1"/>
  <c r="H616" i="7" s="1"/>
  <c r="H617" i="7" a="1"/>
  <c r="H617" i="7" s="1"/>
  <c r="H618" i="7" a="1"/>
  <c r="H618" i="7" s="1"/>
  <c r="H619" i="7" a="1"/>
  <c r="H619" i="7" s="1"/>
  <c r="H620" i="7" a="1"/>
  <c r="H620" i="7" s="1"/>
  <c r="H621" i="7" a="1"/>
  <c r="H621" i="7" s="1"/>
  <c r="H622" i="7" a="1"/>
  <c r="H622" i="7" s="1"/>
  <c r="H623" i="7" a="1"/>
  <c r="H623" i="7" s="1"/>
  <c r="H624" i="7" a="1"/>
  <c r="H624" i="7" s="1"/>
  <c r="H625" i="7" a="1"/>
  <c r="H625" i="7" s="1"/>
  <c r="H626" i="7" a="1"/>
  <c r="H626" i="7" s="1"/>
  <c r="H627" i="7" a="1"/>
  <c r="H627" i="7" s="1"/>
  <c r="H628" i="7" a="1"/>
  <c r="H628" i="7" s="1"/>
  <c r="H629" i="7" a="1"/>
  <c r="H629" i="7" s="1"/>
  <c r="H630" i="7" a="1"/>
  <c r="H630" i="7" s="1"/>
  <c r="H631" i="7" a="1"/>
  <c r="H631" i="7" s="1"/>
  <c r="H632" i="7" a="1"/>
  <c r="H632" i="7" s="1"/>
  <c r="H633" i="7" a="1"/>
  <c r="H633" i="7" s="1"/>
  <c r="H634" i="7" a="1"/>
  <c r="H634" i="7" s="1"/>
  <c r="H635" i="7" a="1"/>
  <c r="H635" i="7" s="1"/>
  <c r="H636" i="7" a="1"/>
  <c r="H636" i="7" s="1"/>
  <c r="H637" i="7" a="1"/>
  <c r="H637" i="7" s="1"/>
  <c r="H638" i="7" a="1"/>
  <c r="H638" i="7" s="1"/>
  <c r="H639" i="7" a="1"/>
  <c r="H639" i="7" s="1"/>
  <c r="H640" i="7" a="1"/>
  <c r="H640" i="7" s="1"/>
  <c r="H641" i="7" a="1"/>
  <c r="H641" i="7" s="1"/>
  <c r="H642" i="7" a="1"/>
  <c r="H642" i="7" s="1"/>
  <c r="H643" i="7" a="1"/>
  <c r="H643" i="7" s="1"/>
  <c r="H644" i="7" a="1"/>
  <c r="H644" i="7" s="1"/>
  <c r="H645" i="7" a="1"/>
  <c r="H645" i="7" s="1"/>
  <c r="H646" i="7" a="1"/>
  <c r="H646" i="7" s="1"/>
  <c r="H647" i="7" a="1"/>
  <c r="H647" i="7" s="1"/>
  <c r="H648" i="7" a="1"/>
  <c r="H648" i="7" s="1"/>
  <c r="H649" i="7" a="1"/>
  <c r="H649" i="7" s="1"/>
  <c r="H650" i="7" a="1"/>
  <c r="H650" i="7" s="1"/>
  <c r="H651" i="7" a="1"/>
  <c r="H651" i="7" s="1"/>
  <c r="H652" i="7" a="1"/>
  <c r="H652" i="7" s="1"/>
  <c r="H653" i="7" a="1"/>
  <c r="H653" i="7" s="1"/>
  <c r="H654" i="7" a="1"/>
  <c r="H654" i="7" s="1"/>
  <c r="H655" i="7" a="1"/>
  <c r="H655" i="7" s="1"/>
  <c r="H656" i="7" a="1"/>
  <c r="H656" i="7" s="1"/>
  <c r="H657" i="7" a="1"/>
  <c r="H657" i="7" s="1"/>
  <c r="H658" i="7" a="1"/>
  <c r="H658" i="7" s="1"/>
  <c r="H659" i="7" a="1"/>
  <c r="H659" i="7" s="1"/>
  <c r="H660" i="7" a="1"/>
  <c r="H660" i="7" s="1"/>
  <c r="H661" i="7" a="1"/>
  <c r="H661" i="7" s="1"/>
  <c r="H662" i="7" a="1"/>
  <c r="H662" i="7" s="1"/>
  <c r="H663" i="7" a="1"/>
  <c r="H663" i="7" s="1"/>
  <c r="H664" i="7" a="1"/>
  <c r="H664" i="7" s="1"/>
  <c r="H665" i="7" a="1"/>
  <c r="H665" i="7" s="1"/>
  <c r="H666" i="7" a="1"/>
  <c r="H666" i="7" s="1"/>
  <c r="H667" i="7" a="1"/>
  <c r="H667" i="7" s="1"/>
  <c r="H668" i="7" a="1"/>
  <c r="H668" i="7" s="1"/>
  <c r="H669" i="7" a="1"/>
  <c r="H669" i="7" s="1"/>
  <c r="H670" i="7" a="1"/>
  <c r="H670" i="7" s="1"/>
  <c r="H671" i="7" a="1"/>
  <c r="H671" i="7" s="1"/>
  <c r="H672" i="7" a="1"/>
  <c r="H672" i="7" s="1"/>
  <c r="H673" i="7" a="1"/>
  <c r="H673" i="7" s="1"/>
  <c r="H674" i="7" a="1"/>
  <c r="H674" i="7" s="1"/>
  <c r="H675" i="7" a="1"/>
  <c r="H675" i="7" s="1"/>
  <c r="H676" i="7" a="1"/>
  <c r="H676" i="7" s="1"/>
  <c r="H677" i="7" a="1"/>
  <c r="H677" i="7" s="1"/>
  <c r="H678" i="7" a="1"/>
  <c r="H678" i="7" s="1"/>
  <c r="H679" i="7" a="1"/>
  <c r="H679" i="7" s="1"/>
  <c r="H680" i="7" a="1"/>
  <c r="H680" i="7" s="1"/>
  <c r="H681" i="7" a="1"/>
  <c r="H681" i="7" s="1"/>
  <c r="H682" i="7" a="1"/>
  <c r="H682" i="7" s="1"/>
  <c r="H683" i="7" a="1"/>
  <c r="H683" i="7" s="1"/>
  <c r="H684" i="7" a="1"/>
  <c r="H684" i="7" s="1"/>
  <c r="H685" i="7" a="1"/>
  <c r="H685" i="7" s="1"/>
  <c r="H686" i="7" a="1"/>
  <c r="H686" i="7" s="1"/>
  <c r="H687" i="7" a="1"/>
  <c r="H687" i="7" s="1"/>
  <c r="H688" i="7" a="1"/>
  <c r="H688" i="7" s="1"/>
  <c r="H689" i="7" a="1"/>
  <c r="H689" i="7" s="1"/>
  <c r="H690" i="7" a="1"/>
  <c r="H690" i="7" s="1"/>
  <c r="H691" i="7" a="1"/>
  <c r="H691" i="7" s="1"/>
  <c r="H692" i="7" a="1"/>
  <c r="H692" i="7" s="1"/>
  <c r="H693" i="7" a="1"/>
  <c r="H693" i="7" s="1"/>
  <c r="H694" i="7" a="1"/>
  <c r="H694" i="7" s="1"/>
  <c r="H695" i="7" a="1"/>
  <c r="H695" i="7" s="1"/>
  <c r="H696" i="7" a="1"/>
  <c r="H696" i="7" s="1"/>
  <c r="H697" i="7" a="1"/>
  <c r="H697" i="7" s="1"/>
  <c r="H698" i="7" a="1"/>
  <c r="H698" i="7" s="1"/>
  <c r="H699" i="7" a="1"/>
  <c r="H699" i="7" s="1"/>
  <c r="H700" i="7" a="1"/>
  <c r="H700" i="7" s="1"/>
  <c r="H701" i="7" a="1"/>
  <c r="H701" i="7" s="1"/>
  <c r="H702" i="7" a="1"/>
  <c r="H702" i="7" s="1"/>
  <c r="H703" i="7" a="1"/>
  <c r="H703" i="7" s="1"/>
  <c r="H704" i="7" a="1"/>
  <c r="H704" i="7" s="1"/>
  <c r="H705" i="7" a="1"/>
  <c r="H705" i="7" s="1"/>
  <c r="H706" i="7" a="1"/>
  <c r="H706" i="7" s="1"/>
  <c r="H707" i="7" a="1"/>
  <c r="H707" i="7" s="1"/>
  <c r="H708" i="7" a="1"/>
  <c r="H708" i="7" s="1"/>
  <c r="H709" i="7" a="1"/>
  <c r="H709" i="7" s="1"/>
  <c r="H710" i="7" a="1"/>
  <c r="H710" i="7" s="1"/>
  <c r="H711" i="7" a="1"/>
  <c r="H711" i="7" s="1"/>
  <c r="H712" i="7" a="1"/>
  <c r="H712" i="7" s="1"/>
  <c r="H713" i="7" a="1"/>
  <c r="H713" i="7" s="1"/>
  <c r="H714" i="7" a="1"/>
  <c r="H714" i="7" s="1"/>
  <c r="H715" i="7" a="1"/>
  <c r="H715" i="7" s="1"/>
  <c r="H716" i="7" a="1"/>
  <c r="H716" i="7" s="1"/>
  <c r="H717" i="7" a="1"/>
  <c r="H717" i="7" s="1"/>
  <c r="H718" i="7" a="1"/>
  <c r="H718" i="7" s="1"/>
  <c r="H719" i="7" a="1"/>
  <c r="H719" i="7" s="1"/>
  <c r="H720" i="7" a="1"/>
  <c r="H720" i="7" s="1"/>
  <c r="H721" i="7" a="1"/>
  <c r="H721" i="7" s="1"/>
  <c r="H722" i="7" a="1"/>
  <c r="H722" i="7" s="1"/>
  <c r="H723" i="7" a="1"/>
  <c r="H723" i="7" s="1"/>
  <c r="H724" i="7" a="1"/>
  <c r="H724" i="7" s="1"/>
  <c r="H725" i="7" a="1"/>
  <c r="H725" i="7" s="1"/>
  <c r="H726" i="7" a="1"/>
  <c r="H726" i="7" s="1"/>
  <c r="H727" i="7" a="1"/>
  <c r="H727" i="7" s="1"/>
  <c r="H728" i="7" a="1"/>
  <c r="H728" i="7" s="1"/>
  <c r="H729" i="7" a="1"/>
  <c r="H729" i="7" s="1"/>
  <c r="H730" i="7" a="1"/>
  <c r="H730" i="7" s="1"/>
  <c r="H731" i="7" a="1"/>
  <c r="H731" i="7" s="1"/>
  <c r="H732" i="7" a="1"/>
  <c r="H732" i="7" s="1"/>
  <c r="H733" i="7" a="1"/>
  <c r="H733" i="7" s="1"/>
  <c r="H734" i="7" a="1"/>
  <c r="H734" i="7" s="1"/>
  <c r="H735" i="7" a="1"/>
  <c r="H735" i="7" s="1"/>
  <c r="H736" i="7" a="1"/>
  <c r="H736" i="7" s="1"/>
  <c r="H737" i="7" a="1"/>
  <c r="H737" i="7" s="1"/>
  <c r="H738" i="7" a="1"/>
  <c r="H738" i="7" s="1"/>
  <c r="H739" i="7" a="1"/>
  <c r="H739" i="7" s="1"/>
  <c r="H740" i="7" a="1"/>
  <c r="H740" i="7" s="1"/>
  <c r="H741" i="7" a="1"/>
  <c r="H741" i="7" s="1"/>
  <c r="H742" i="7" a="1"/>
  <c r="H742" i="7" s="1"/>
  <c r="H743" i="7" a="1"/>
  <c r="H743" i="7" s="1"/>
  <c r="H744" i="7" a="1"/>
  <c r="H744" i="7" s="1"/>
  <c r="H745" i="7" a="1"/>
  <c r="H745" i="7" s="1"/>
  <c r="H746" i="7" a="1"/>
  <c r="H746" i="7" s="1"/>
  <c r="H747" i="7" a="1"/>
  <c r="H747" i="7" s="1"/>
  <c r="H748" i="7" a="1"/>
  <c r="H748" i="7" s="1"/>
  <c r="H749" i="7" a="1"/>
  <c r="H749" i="7" s="1"/>
  <c r="H750" i="7" a="1"/>
  <c r="H750" i="7" s="1"/>
  <c r="H751" i="7" a="1"/>
  <c r="H751" i="7" s="1"/>
  <c r="H752" i="7" a="1"/>
  <c r="H752" i="7" s="1"/>
  <c r="H753" i="7" a="1"/>
  <c r="H753" i="7" s="1"/>
  <c r="H754" i="7" a="1"/>
  <c r="H754" i="7" s="1"/>
  <c r="H755" i="7" a="1"/>
  <c r="H755" i="7" s="1"/>
  <c r="H756" i="7" a="1"/>
  <c r="H756" i="7" s="1"/>
  <c r="H757" i="7" a="1"/>
  <c r="H757" i="7" s="1"/>
  <c r="H758" i="7" a="1"/>
  <c r="H758" i="7" s="1"/>
  <c r="H759" i="7" a="1"/>
  <c r="H759" i="7" s="1"/>
  <c r="H760" i="7" a="1"/>
  <c r="H760" i="7" s="1"/>
  <c r="H761" i="7" a="1"/>
  <c r="H761" i="7" s="1"/>
  <c r="H762" i="7" a="1"/>
  <c r="H762" i="7" s="1"/>
  <c r="H763" i="7" a="1"/>
  <c r="H763" i="7" s="1"/>
  <c r="H764" i="7" a="1"/>
  <c r="H764" i="7" s="1"/>
  <c r="H765" i="7" a="1"/>
  <c r="H765" i="7" s="1"/>
  <c r="H766" i="7" a="1"/>
  <c r="H766" i="7" s="1"/>
  <c r="H767" i="7" a="1"/>
  <c r="H767" i="7" s="1"/>
  <c r="H768" i="7" a="1"/>
  <c r="H768" i="7" s="1"/>
  <c r="H769" i="7" a="1"/>
  <c r="H769" i="7" s="1"/>
  <c r="H770" i="7" a="1"/>
  <c r="H770" i="7" s="1"/>
  <c r="H771" i="7" a="1"/>
  <c r="H771" i="7" s="1"/>
  <c r="H772" i="7" a="1"/>
  <c r="H772" i="7" s="1"/>
  <c r="H773" i="7" a="1"/>
  <c r="H773" i="7" s="1"/>
  <c r="H774" i="7" a="1"/>
  <c r="H774" i="7" s="1"/>
  <c r="H775" i="7" a="1"/>
  <c r="H775" i="7" s="1"/>
  <c r="H776" i="7" a="1"/>
  <c r="H776" i="7" s="1"/>
  <c r="H777" i="7" a="1"/>
  <c r="H777" i="7" s="1"/>
  <c r="H778" i="7" a="1"/>
  <c r="H778" i="7" s="1"/>
  <c r="H779" i="7" a="1"/>
  <c r="H779" i="7" s="1"/>
  <c r="H780" i="7" a="1"/>
  <c r="H780" i="7" s="1"/>
  <c r="H781" i="7" a="1"/>
  <c r="H781" i="7" s="1"/>
  <c r="H782" i="7" a="1"/>
  <c r="H782" i="7" s="1"/>
  <c r="H783" i="7" a="1"/>
  <c r="H783" i="7" s="1"/>
  <c r="H784" i="7" a="1"/>
  <c r="H784" i="7" s="1"/>
  <c r="H785" i="7" a="1"/>
  <c r="H785" i="7" s="1"/>
  <c r="H786" i="7" a="1"/>
  <c r="H786" i="7" s="1"/>
  <c r="H787" i="7" a="1"/>
  <c r="H787" i="7" s="1"/>
  <c r="H788" i="7" a="1"/>
  <c r="H788" i="7" s="1"/>
  <c r="H789" i="7" a="1"/>
  <c r="H789" i="7" s="1"/>
  <c r="H790" i="7" a="1"/>
  <c r="H790" i="7" s="1"/>
  <c r="H791" i="7" a="1"/>
  <c r="H791" i="7" s="1"/>
  <c r="H792" i="7" a="1"/>
  <c r="H792" i="7" s="1"/>
  <c r="H793" i="7" a="1"/>
  <c r="H793" i="7" s="1"/>
  <c r="H794" i="7" a="1"/>
  <c r="H794" i="7" s="1"/>
  <c r="H795" i="7" a="1"/>
  <c r="H795" i="7" s="1"/>
  <c r="H796" i="7" a="1"/>
  <c r="H796" i="7" s="1"/>
  <c r="H797" i="7" a="1"/>
  <c r="H797" i="7" s="1"/>
  <c r="H798" i="7" a="1"/>
  <c r="H798" i="7" s="1"/>
  <c r="H799" i="7" a="1"/>
  <c r="H799" i="7" s="1"/>
  <c r="H800" i="7" a="1"/>
  <c r="H800" i="7" s="1"/>
  <c r="H801" i="7" a="1"/>
  <c r="H801" i="7" s="1"/>
  <c r="H802" i="7" a="1"/>
  <c r="H802" i="7" s="1"/>
  <c r="H803" i="7" a="1"/>
  <c r="H803" i="7" s="1"/>
  <c r="H804" i="7" a="1"/>
  <c r="H804" i="7" s="1"/>
  <c r="H805" i="7" a="1"/>
  <c r="H805" i="7" s="1"/>
  <c r="H806" i="7" a="1"/>
  <c r="H806" i="7" s="1"/>
  <c r="H807" i="7" a="1"/>
  <c r="H807" i="7" s="1"/>
  <c r="H808" i="7" a="1"/>
  <c r="H808" i="7" s="1"/>
  <c r="H809" i="7" a="1"/>
  <c r="H809" i="7" s="1"/>
  <c r="H810" i="7" a="1"/>
  <c r="H810" i="7" s="1"/>
  <c r="H811" i="7" a="1"/>
  <c r="H811" i="7" s="1"/>
  <c r="H812" i="7" a="1"/>
  <c r="H812" i="7" s="1"/>
  <c r="H813" i="7" a="1"/>
  <c r="H813" i="7" s="1"/>
  <c r="H814" i="7" a="1"/>
  <c r="H814" i="7" s="1"/>
  <c r="H815" i="7" a="1"/>
  <c r="H815" i="7" s="1"/>
  <c r="H816" i="7" a="1"/>
  <c r="H816" i="7" s="1"/>
  <c r="G2" i="7"/>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M7" i="7" a="1"/>
  <c r="M7" i="7" s="1"/>
  <c r="M8" i="7" a="1"/>
  <c r="M8" i="7" s="1"/>
  <c r="M9" i="7" a="1"/>
  <c r="M9" i="7" s="1"/>
  <c r="M10" i="7" a="1"/>
  <c r="M10" i="7" s="1"/>
  <c r="M11" i="7" a="1"/>
  <c r="M11" i="7" s="1"/>
  <c r="M12" i="7" a="1"/>
  <c r="M12" i="7" s="1"/>
  <c r="M13" i="7" a="1"/>
  <c r="M13" i="7" s="1"/>
  <c r="M14" i="7" a="1"/>
  <c r="M14" i="7" s="1"/>
  <c r="M15" i="7" a="1"/>
  <c r="M15" i="7" s="1"/>
  <c r="M16" i="7" a="1"/>
  <c r="M16" i="7" s="1"/>
  <c r="M17" i="7" a="1"/>
  <c r="M17" i="7" s="1"/>
  <c r="M18" i="7" a="1"/>
  <c r="M18" i="7" s="1"/>
  <c r="M19" i="7" a="1"/>
  <c r="M19" i="7" s="1"/>
  <c r="M20" i="7" a="1"/>
  <c r="M20" i="7" s="1"/>
  <c r="M21" i="7" a="1"/>
  <c r="M21" i="7" s="1"/>
  <c r="M22" i="7" a="1"/>
  <c r="M22" i="7" s="1"/>
  <c r="M23" i="7" a="1"/>
  <c r="M23" i="7" s="1"/>
  <c r="M24" i="7" a="1"/>
  <c r="M24" i="7" s="1"/>
  <c r="M25" i="7" a="1"/>
  <c r="M25" i="7" s="1"/>
  <c r="M26" i="7" a="1"/>
  <c r="M26" i="7" s="1"/>
  <c r="M27" i="7" a="1"/>
  <c r="M27" i="7" s="1"/>
  <c r="M28" i="7" a="1"/>
  <c r="M28" i="7" s="1"/>
  <c r="M29" i="7" a="1"/>
  <c r="M29" i="7" s="1"/>
  <c r="M30" i="7" a="1"/>
  <c r="M30" i="7" s="1"/>
  <c r="M31" i="7" a="1"/>
  <c r="M31" i="7" s="1"/>
  <c r="M32" i="7" a="1"/>
  <c r="M32" i="7" s="1"/>
  <c r="M33" i="7" a="1"/>
  <c r="M33" i="7" s="1"/>
  <c r="M34" i="7" a="1"/>
  <c r="M34" i="7" s="1"/>
  <c r="M35" i="7" a="1"/>
  <c r="M35" i="7" s="1"/>
  <c r="M36" i="7" a="1"/>
  <c r="M36" i="7" s="1"/>
  <c r="M37" i="7" a="1"/>
  <c r="M37" i="7" s="1"/>
  <c r="M38" i="7" a="1"/>
  <c r="M38" i="7" s="1"/>
  <c r="M39" i="7" a="1"/>
  <c r="M39" i="7" s="1"/>
  <c r="M40" i="7" a="1"/>
  <c r="M40" i="7" s="1"/>
  <c r="M41" i="7" a="1"/>
  <c r="M41" i="7" s="1"/>
  <c r="M42" i="7" a="1"/>
  <c r="M42" i="7" s="1"/>
  <c r="M43" i="7" a="1"/>
  <c r="M43" i="7" s="1"/>
  <c r="M44" i="7" a="1"/>
  <c r="M44" i="7" s="1"/>
  <c r="M45" i="7" a="1"/>
  <c r="M45" i="7" s="1"/>
  <c r="M46" i="7" a="1"/>
  <c r="M46" i="7" s="1"/>
  <c r="M47" i="7" a="1"/>
  <c r="M47" i="7" s="1"/>
  <c r="M48" i="7" a="1"/>
  <c r="M48" i="7" s="1"/>
  <c r="M49" i="7" a="1"/>
  <c r="M49" i="7" s="1"/>
  <c r="M50" i="7" a="1"/>
  <c r="M50" i="7" s="1"/>
  <c r="M51" i="7" a="1"/>
  <c r="M51" i="7" s="1"/>
  <c r="M52" i="7" a="1"/>
  <c r="M52" i="7" s="1"/>
  <c r="M53" i="7" a="1"/>
  <c r="M53" i="7" s="1"/>
  <c r="M54" i="7" a="1"/>
  <c r="M54" i="7" s="1"/>
  <c r="M55" i="7" a="1"/>
  <c r="M55" i="7" s="1"/>
  <c r="M56" i="7" a="1"/>
  <c r="M56" i="7" s="1"/>
  <c r="M57" i="7" a="1"/>
  <c r="M57" i="7" s="1"/>
  <c r="M58" i="7" a="1"/>
  <c r="M58" i="7" s="1"/>
  <c r="M59" i="7" a="1"/>
  <c r="M59" i="7" s="1"/>
  <c r="M60" i="7" a="1"/>
  <c r="M60" i="7" s="1"/>
  <c r="M61" i="7" a="1"/>
  <c r="M61" i="7" s="1"/>
  <c r="M62" i="7" a="1"/>
  <c r="M62" i="7" s="1"/>
  <c r="M63" i="7" a="1"/>
  <c r="M63" i="7" s="1"/>
  <c r="M64" i="7" a="1"/>
  <c r="M64" i="7" s="1"/>
  <c r="M65" i="7" a="1"/>
  <c r="M65" i="7" s="1"/>
  <c r="M66" i="7" a="1"/>
  <c r="M66" i="7" s="1"/>
  <c r="M67" i="7" a="1"/>
  <c r="M67" i="7" s="1"/>
  <c r="M68" i="7" a="1"/>
  <c r="M68" i="7" s="1"/>
  <c r="M69" i="7" a="1"/>
  <c r="M69" i="7" s="1"/>
  <c r="M70" i="7" a="1"/>
  <c r="M70" i="7" s="1"/>
  <c r="M71" i="7" a="1"/>
  <c r="M71" i="7" s="1"/>
  <c r="M72" i="7" a="1"/>
  <c r="M72" i="7" s="1"/>
  <c r="M73" i="7" a="1"/>
  <c r="M73" i="7" s="1"/>
  <c r="M74" i="7" a="1"/>
  <c r="M74" i="7" s="1"/>
  <c r="M75" i="7" a="1"/>
  <c r="M75" i="7" s="1"/>
  <c r="M76" i="7" a="1"/>
  <c r="M76" i="7" s="1"/>
  <c r="M77" i="7" a="1"/>
  <c r="M77" i="7" s="1"/>
  <c r="M78" i="7" a="1"/>
  <c r="M78" i="7" s="1"/>
  <c r="M79" i="7" a="1"/>
  <c r="M79" i="7" s="1"/>
  <c r="M80" i="7" a="1"/>
  <c r="M80" i="7" s="1"/>
  <c r="M81" i="7" a="1"/>
  <c r="M81" i="7" s="1"/>
  <c r="M82" i="7" a="1"/>
  <c r="M82" i="7" s="1"/>
  <c r="M83" i="7" a="1"/>
  <c r="M83" i="7" s="1"/>
  <c r="M84" i="7" a="1"/>
  <c r="M84" i="7" s="1"/>
  <c r="M85" i="7" a="1"/>
  <c r="M85" i="7" s="1"/>
  <c r="M86" i="7" a="1"/>
  <c r="M86" i="7" s="1"/>
  <c r="M87" i="7" a="1"/>
  <c r="M87" i="7" s="1"/>
  <c r="M88" i="7" a="1"/>
  <c r="M88" i="7" s="1"/>
  <c r="M89" i="7" a="1"/>
  <c r="M89" i="7" s="1"/>
  <c r="M90" i="7" a="1"/>
  <c r="M90" i="7" s="1"/>
  <c r="M91" i="7" a="1"/>
  <c r="M91" i="7" s="1"/>
  <c r="M92" i="7" a="1"/>
  <c r="M92" i="7" s="1"/>
  <c r="M93" i="7" a="1"/>
  <c r="M93" i="7" s="1"/>
  <c r="M94" i="7" a="1"/>
  <c r="M94" i="7" s="1"/>
  <c r="M95" i="7" a="1"/>
  <c r="M95" i="7" s="1"/>
  <c r="M96" i="7" a="1"/>
  <c r="M96" i="7" s="1"/>
  <c r="M97" i="7" a="1"/>
  <c r="M97" i="7" s="1"/>
  <c r="M98" i="7" a="1"/>
  <c r="M98" i="7" s="1"/>
  <c r="M99" i="7" a="1"/>
  <c r="M99" i="7" s="1"/>
  <c r="M100" i="7" a="1"/>
  <c r="M100" i="7" s="1"/>
  <c r="M101" i="7" a="1"/>
  <c r="M101" i="7" s="1"/>
  <c r="M102" i="7" a="1"/>
  <c r="M102" i="7" s="1"/>
  <c r="M103" i="7" a="1"/>
  <c r="M103" i="7" s="1"/>
  <c r="M104" i="7" a="1"/>
  <c r="M104" i="7" s="1"/>
  <c r="M105" i="7" a="1"/>
  <c r="M105" i="7" s="1"/>
  <c r="M106" i="7" a="1"/>
  <c r="M106" i="7" s="1"/>
  <c r="M107" i="7" a="1"/>
  <c r="M107" i="7" s="1"/>
  <c r="M108" i="7" a="1"/>
  <c r="M108" i="7" s="1"/>
  <c r="M109" i="7" a="1"/>
  <c r="M109" i="7" s="1"/>
  <c r="M110" i="7" a="1"/>
  <c r="M110" i="7" s="1"/>
  <c r="M111" i="7" a="1"/>
  <c r="M111" i="7" s="1"/>
  <c r="M112" i="7" a="1"/>
  <c r="M112" i="7" s="1"/>
  <c r="M113" i="7" a="1"/>
  <c r="M113" i="7" s="1"/>
  <c r="M114" i="7" a="1"/>
  <c r="M114" i="7" s="1"/>
  <c r="M115" i="7" a="1"/>
  <c r="M115" i="7" s="1"/>
  <c r="M116" i="7" a="1"/>
  <c r="M116" i="7" s="1"/>
  <c r="M117" i="7" a="1"/>
  <c r="M117" i="7" s="1"/>
  <c r="M118" i="7" a="1"/>
  <c r="M118" i="7" s="1"/>
  <c r="M119" i="7" a="1"/>
  <c r="M119" i="7" s="1"/>
  <c r="M120" i="7" a="1"/>
  <c r="M120" i="7" s="1"/>
  <c r="M121" i="7" a="1"/>
  <c r="M121" i="7" s="1"/>
  <c r="M122" i="7" a="1"/>
  <c r="M122" i="7" s="1"/>
  <c r="M123" i="7" a="1"/>
  <c r="M123" i="7" s="1"/>
  <c r="M124" i="7" a="1"/>
  <c r="M124" i="7" s="1"/>
  <c r="M125" i="7" a="1"/>
  <c r="M125" i="7" s="1"/>
  <c r="M126" i="7" a="1"/>
  <c r="M126" i="7" s="1"/>
  <c r="M127" i="7" a="1"/>
  <c r="M127" i="7" s="1"/>
  <c r="M128" i="7" a="1"/>
  <c r="M128" i="7" s="1"/>
  <c r="M129" i="7" a="1"/>
  <c r="M129" i="7" s="1"/>
  <c r="M130" i="7" a="1"/>
  <c r="M130" i="7" s="1"/>
  <c r="M131" i="7" a="1"/>
  <c r="M131" i="7" s="1"/>
  <c r="M132" i="7" a="1"/>
  <c r="M132" i="7" s="1"/>
  <c r="M133" i="7" a="1"/>
  <c r="M133" i="7" s="1"/>
  <c r="M134" i="7" a="1"/>
  <c r="M134" i="7" s="1"/>
  <c r="M135" i="7" a="1"/>
  <c r="M135" i="7" s="1"/>
  <c r="M136" i="7" a="1"/>
  <c r="M136" i="7" s="1"/>
  <c r="M137" i="7" a="1"/>
  <c r="M137" i="7" s="1"/>
  <c r="M138" i="7" a="1"/>
  <c r="M138" i="7" s="1"/>
  <c r="M139" i="7" a="1"/>
  <c r="M139" i="7" s="1"/>
  <c r="M140" i="7" a="1"/>
  <c r="M140" i="7" s="1"/>
  <c r="M141" i="7" a="1"/>
  <c r="M141" i="7" s="1"/>
  <c r="M142" i="7" a="1"/>
  <c r="M142" i="7" s="1"/>
  <c r="M143" i="7" a="1"/>
  <c r="M143" i="7" s="1"/>
  <c r="M144" i="7" a="1"/>
  <c r="M144" i="7" s="1"/>
  <c r="M145" i="7" a="1"/>
  <c r="M145" i="7" s="1"/>
  <c r="M146" i="7" a="1"/>
  <c r="M146" i="7" s="1"/>
  <c r="M147" i="7" a="1"/>
  <c r="M147" i="7" s="1"/>
  <c r="M148" i="7" a="1"/>
  <c r="M148" i="7" s="1"/>
  <c r="M149" i="7" a="1"/>
  <c r="M149" i="7" s="1"/>
  <c r="M150" i="7" a="1"/>
  <c r="M150" i="7" s="1"/>
  <c r="M151" i="7" a="1"/>
  <c r="M151" i="7" s="1"/>
  <c r="M152" i="7" a="1"/>
  <c r="M152" i="7" s="1"/>
  <c r="M153" i="7" a="1"/>
  <c r="M153" i="7" s="1"/>
  <c r="M154" i="7" a="1"/>
  <c r="M154" i="7" s="1"/>
  <c r="M155" i="7" a="1"/>
  <c r="M155" i="7" s="1"/>
  <c r="M156" i="7" a="1"/>
  <c r="M156" i="7" s="1"/>
  <c r="M157" i="7" a="1"/>
  <c r="M157" i="7" s="1"/>
  <c r="M158" i="7" a="1"/>
  <c r="M158" i="7" s="1"/>
  <c r="M159" i="7" a="1"/>
  <c r="M159" i="7" s="1"/>
  <c r="M160" i="7" a="1"/>
  <c r="M160" i="7" s="1"/>
  <c r="M161" i="7" a="1"/>
  <c r="M161" i="7" s="1"/>
  <c r="M162" i="7" a="1"/>
  <c r="M162" i="7" s="1"/>
  <c r="M163" i="7" a="1"/>
  <c r="M163" i="7" s="1"/>
  <c r="M164" i="7" a="1"/>
  <c r="M164" i="7" s="1"/>
  <c r="M165" i="7" a="1"/>
  <c r="M165" i="7" s="1"/>
  <c r="M166" i="7" a="1"/>
  <c r="M166" i="7" s="1"/>
  <c r="M167" i="7" a="1"/>
  <c r="M167" i="7" s="1"/>
  <c r="M168" i="7" a="1"/>
  <c r="M168" i="7" s="1"/>
  <c r="M169" i="7" a="1"/>
  <c r="M169" i="7" s="1"/>
  <c r="M170" i="7" a="1"/>
  <c r="M170" i="7" s="1"/>
  <c r="M171" i="7" a="1"/>
  <c r="M171" i="7" s="1"/>
  <c r="M172" i="7" a="1"/>
  <c r="M172" i="7" s="1"/>
  <c r="M173" i="7" a="1"/>
  <c r="M173" i="7" s="1"/>
  <c r="M174" i="7" a="1"/>
  <c r="M174" i="7" s="1"/>
  <c r="M175" i="7" a="1"/>
  <c r="M175" i="7" s="1"/>
  <c r="M176" i="7" a="1"/>
  <c r="M176" i="7" s="1"/>
  <c r="M177" i="7" a="1"/>
  <c r="M177" i="7" s="1"/>
  <c r="M178" i="7" a="1"/>
  <c r="M178" i="7" s="1"/>
  <c r="M179" i="7" a="1"/>
  <c r="M179" i="7" s="1"/>
  <c r="M180" i="7" a="1"/>
  <c r="M180" i="7" s="1"/>
  <c r="M181" i="7" a="1"/>
  <c r="M181" i="7" s="1"/>
  <c r="M182" i="7" a="1"/>
  <c r="M182" i="7" s="1"/>
  <c r="M183" i="7" a="1"/>
  <c r="M183" i="7" s="1"/>
  <c r="M184" i="7" a="1"/>
  <c r="M184" i="7" s="1"/>
  <c r="M185" i="7" a="1"/>
  <c r="M185" i="7" s="1"/>
  <c r="M186" i="7" a="1"/>
  <c r="M186" i="7" s="1"/>
  <c r="M187" i="7" a="1"/>
  <c r="M187" i="7" s="1"/>
  <c r="M188" i="7" a="1"/>
  <c r="M188" i="7" s="1"/>
  <c r="M189" i="7" a="1"/>
  <c r="M189" i="7" s="1"/>
  <c r="M190" i="7" a="1"/>
  <c r="M190" i="7" s="1"/>
  <c r="M191" i="7" a="1"/>
  <c r="M191" i="7" s="1"/>
  <c r="M192" i="7" a="1"/>
  <c r="M192" i="7" s="1"/>
  <c r="M193" i="7" a="1"/>
  <c r="M193" i="7" s="1"/>
  <c r="M194" i="7" a="1"/>
  <c r="M194" i="7" s="1"/>
  <c r="M195" i="7" a="1"/>
  <c r="M195" i="7" s="1"/>
  <c r="M196" i="7" a="1"/>
  <c r="M196" i="7" s="1"/>
  <c r="M197" i="7" a="1"/>
  <c r="M197" i="7" s="1"/>
  <c r="M198" i="7" a="1"/>
  <c r="M198" i="7" s="1"/>
  <c r="M199" i="7" a="1"/>
  <c r="M199" i="7" s="1"/>
  <c r="M200" i="7" a="1"/>
  <c r="M200" i="7" s="1"/>
  <c r="M201" i="7" a="1"/>
  <c r="M201" i="7" s="1"/>
  <c r="M202" i="7" a="1"/>
  <c r="M202" i="7" s="1"/>
  <c r="M203" i="7" a="1"/>
  <c r="M203" i="7" s="1"/>
  <c r="M204" i="7" a="1"/>
  <c r="M204" i="7" s="1"/>
  <c r="M205" i="7" a="1"/>
  <c r="M205" i="7" s="1"/>
  <c r="M206" i="7" a="1"/>
  <c r="M206" i="7" s="1"/>
  <c r="M207" i="7" a="1"/>
  <c r="M207" i="7" s="1"/>
  <c r="M208" i="7" a="1"/>
  <c r="M208" i="7" s="1"/>
  <c r="M209" i="7" a="1"/>
  <c r="M209" i="7" s="1"/>
  <c r="M210" i="7" a="1"/>
  <c r="M210" i="7" s="1"/>
  <c r="M211" i="7" a="1"/>
  <c r="M211" i="7" s="1"/>
  <c r="M212" i="7" a="1"/>
  <c r="M212" i="7" s="1"/>
  <c r="M213" i="7" a="1"/>
  <c r="M213" i="7" s="1"/>
  <c r="M214" i="7" a="1"/>
  <c r="M214" i="7" s="1"/>
  <c r="M215" i="7" a="1"/>
  <c r="M215" i="7" s="1"/>
  <c r="M216" i="7" a="1"/>
  <c r="M216" i="7" s="1"/>
  <c r="M217" i="7" a="1"/>
  <c r="M217" i="7" s="1"/>
  <c r="M218" i="7" a="1"/>
  <c r="M218" i="7" s="1"/>
  <c r="M219" i="7" a="1"/>
  <c r="M219" i="7" s="1"/>
  <c r="M220" i="7" a="1"/>
  <c r="M220" i="7" s="1"/>
  <c r="M221" i="7" a="1"/>
  <c r="M221" i="7" s="1"/>
  <c r="M222" i="7" a="1"/>
  <c r="M222" i="7" s="1"/>
  <c r="M223" i="7" a="1"/>
  <c r="M223" i="7" s="1"/>
  <c r="M224" i="7" a="1"/>
  <c r="M224" i="7" s="1"/>
  <c r="M225" i="7" a="1"/>
  <c r="M225" i="7" s="1"/>
  <c r="M226" i="7" a="1"/>
  <c r="M226" i="7" s="1"/>
  <c r="M227" i="7" a="1"/>
  <c r="M227" i="7" s="1"/>
  <c r="M228" i="7" a="1"/>
  <c r="M228" i="7" s="1"/>
  <c r="M229" i="7" a="1"/>
  <c r="M229" i="7" s="1"/>
  <c r="M230" i="7" a="1"/>
  <c r="M230" i="7" s="1"/>
  <c r="M231" i="7" a="1"/>
  <c r="M231" i="7" s="1"/>
  <c r="M232" i="7" a="1"/>
  <c r="M232" i="7" s="1"/>
  <c r="M233" i="7" a="1"/>
  <c r="M233" i="7" s="1"/>
  <c r="M234" i="7" a="1"/>
  <c r="M234" i="7" s="1"/>
  <c r="M235" i="7" a="1"/>
  <c r="M235" i="7" s="1"/>
  <c r="M236" i="7" a="1"/>
  <c r="M236" i="7" s="1"/>
  <c r="M237" i="7" a="1"/>
  <c r="M237" i="7" s="1"/>
  <c r="M238" i="7" a="1"/>
  <c r="M238" i="7" s="1"/>
  <c r="M239" i="7" a="1"/>
  <c r="M239" i="7" s="1"/>
  <c r="M240" i="7" a="1"/>
  <c r="M240" i="7" s="1"/>
  <c r="M241" i="7" a="1"/>
  <c r="M241" i="7" s="1"/>
  <c r="M242" i="7" a="1"/>
  <c r="M242" i="7" s="1"/>
  <c r="M243" i="7" a="1"/>
  <c r="M243" i="7" s="1"/>
  <c r="M244" i="7" a="1"/>
  <c r="M244" i="7" s="1"/>
  <c r="M245" i="7" a="1"/>
  <c r="M245" i="7" s="1"/>
  <c r="M246" i="7" a="1"/>
  <c r="M246" i="7" s="1"/>
  <c r="M247" i="7" a="1"/>
  <c r="M247" i="7" s="1"/>
  <c r="M248" i="7" a="1"/>
  <c r="M248" i="7" s="1"/>
  <c r="M249" i="7" a="1"/>
  <c r="M249" i="7" s="1"/>
  <c r="M250" i="7" a="1"/>
  <c r="M250" i="7" s="1"/>
  <c r="M251" i="7" a="1"/>
  <c r="M251" i="7" s="1"/>
  <c r="M252" i="7" a="1"/>
  <c r="M252" i="7" s="1"/>
  <c r="M253" i="7" a="1"/>
  <c r="M253" i="7" s="1"/>
  <c r="M254" i="7" a="1"/>
  <c r="M254" i="7" s="1"/>
  <c r="M255" i="7" a="1"/>
  <c r="M255" i="7" s="1"/>
  <c r="M256" i="7" a="1"/>
  <c r="M256" i="7" s="1"/>
  <c r="M257" i="7" a="1"/>
  <c r="M257" i="7" s="1"/>
  <c r="M258" i="7" a="1"/>
  <c r="M258" i="7" s="1"/>
  <c r="M259" i="7" a="1"/>
  <c r="M259" i="7" s="1"/>
  <c r="M260" i="7" a="1"/>
  <c r="M260" i="7" s="1"/>
  <c r="M261" i="7" a="1"/>
  <c r="M261" i="7" s="1"/>
  <c r="M262" i="7" a="1"/>
  <c r="M262" i="7" s="1"/>
  <c r="M263" i="7" a="1"/>
  <c r="M263" i="7" s="1"/>
  <c r="M264" i="7" a="1"/>
  <c r="M264" i="7" s="1"/>
  <c r="M265" i="7" a="1"/>
  <c r="M265" i="7" s="1"/>
  <c r="M266" i="7" a="1"/>
  <c r="M266" i="7" s="1"/>
  <c r="M267" i="7" a="1"/>
  <c r="M267" i="7" s="1"/>
  <c r="M268" i="7" a="1"/>
  <c r="M268" i="7" s="1"/>
  <c r="M269" i="7" a="1"/>
  <c r="M269" i="7" s="1"/>
  <c r="M270" i="7" a="1"/>
  <c r="M270" i="7" s="1"/>
  <c r="M271" i="7" a="1"/>
  <c r="M271" i="7" s="1"/>
  <c r="M272" i="7" a="1"/>
  <c r="M272" i="7" s="1"/>
  <c r="M273" i="7" a="1"/>
  <c r="M273" i="7" s="1"/>
  <c r="M274" i="7" a="1"/>
  <c r="M274" i="7" s="1"/>
  <c r="M275" i="7" a="1"/>
  <c r="M275" i="7" s="1"/>
  <c r="M276" i="7" a="1"/>
  <c r="M276" i="7" s="1"/>
  <c r="M277" i="7" a="1"/>
  <c r="M277" i="7" s="1"/>
  <c r="M278" i="7" a="1"/>
  <c r="M278" i="7" s="1"/>
  <c r="M279" i="7" a="1"/>
  <c r="M279" i="7" s="1"/>
  <c r="M280" i="7" a="1"/>
  <c r="M280" i="7" s="1"/>
  <c r="M281" i="7" a="1"/>
  <c r="M281" i="7" s="1"/>
  <c r="M282" i="7" a="1"/>
  <c r="M282" i="7" s="1"/>
  <c r="M283" i="7" a="1"/>
  <c r="M283" i="7" s="1"/>
  <c r="M284" i="7" a="1"/>
  <c r="M284" i="7" s="1"/>
  <c r="M285" i="7" a="1"/>
  <c r="M285" i="7" s="1"/>
  <c r="M286" i="7" a="1"/>
  <c r="M286" i="7" s="1"/>
  <c r="M287" i="7" a="1"/>
  <c r="M287" i="7" s="1"/>
  <c r="M288" i="7" a="1"/>
  <c r="M288" i="7" s="1"/>
  <c r="M289" i="7" a="1"/>
  <c r="M289" i="7" s="1"/>
  <c r="M290" i="7" a="1"/>
  <c r="M290" i="7" s="1"/>
  <c r="M291" i="7" a="1"/>
  <c r="M291" i="7" s="1"/>
  <c r="M292" i="7" a="1"/>
  <c r="M292" i="7" s="1"/>
  <c r="M293" i="7" a="1"/>
  <c r="M293" i="7" s="1"/>
  <c r="M294" i="7" a="1"/>
  <c r="M294" i="7" s="1"/>
  <c r="M295" i="7" a="1"/>
  <c r="M295" i="7" s="1"/>
  <c r="M296" i="7" a="1"/>
  <c r="M296" i="7" s="1"/>
  <c r="M297" i="7" a="1"/>
  <c r="M297" i="7" s="1"/>
  <c r="M298" i="7" a="1"/>
  <c r="M298" i="7" s="1"/>
  <c r="M299" i="7" a="1"/>
  <c r="M299" i="7" s="1"/>
  <c r="M300" i="7" a="1"/>
  <c r="M300" i="7" s="1"/>
  <c r="M301" i="7" a="1"/>
  <c r="M301" i="7" s="1"/>
  <c r="M302" i="7" a="1"/>
  <c r="M302" i="7" s="1"/>
  <c r="M303" i="7" a="1"/>
  <c r="M303" i="7" s="1"/>
  <c r="M304" i="7" a="1"/>
  <c r="M304" i="7" s="1"/>
  <c r="M305" i="7" a="1"/>
  <c r="M305" i="7" s="1"/>
  <c r="M306" i="7" a="1"/>
  <c r="M306" i="7" s="1"/>
  <c r="M307" i="7" a="1"/>
  <c r="M307" i="7" s="1"/>
  <c r="M308" i="7" a="1"/>
  <c r="M308" i="7" s="1"/>
  <c r="M309" i="7" a="1"/>
  <c r="M309" i="7" s="1"/>
  <c r="M310" i="7" a="1"/>
  <c r="M310" i="7" s="1"/>
  <c r="M311" i="7" a="1"/>
  <c r="M311" i="7" s="1"/>
  <c r="M312" i="7" a="1"/>
  <c r="M312" i="7" s="1"/>
  <c r="M313" i="7" a="1"/>
  <c r="M313" i="7" s="1"/>
  <c r="M314" i="7" a="1"/>
  <c r="M314" i="7" s="1"/>
  <c r="M315" i="7" a="1"/>
  <c r="M315" i="7" s="1"/>
  <c r="M316" i="7" a="1"/>
  <c r="M316" i="7" s="1"/>
  <c r="M317" i="7" a="1"/>
  <c r="M317" i="7" s="1"/>
  <c r="M318" i="7" a="1"/>
  <c r="M318" i="7" s="1"/>
  <c r="M319" i="7" a="1"/>
  <c r="M319" i="7" s="1"/>
  <c r="M320" i="7" a="1"/>
  <c r="M320" i="7" s="1"/>
  <c r="M321" i="7" a="1"/>
  <c r="M321" i="7" s="1"/>
  <c r="M322" i="7" a="1"/>
  <c r="M322" i="7" s="1"/>
  <c r="M323" i="7" a="1"/>
  <c r="M323" i="7" s="1"/>
  <c r="M324" i="7" a="1"/>
  <c r="M324" i="7" s="1"/>
  <c r="M325" i="7" a="1"/>
  <c r="M325" i="7" s="1"/>
  <c r="M326" i="7" a="1"/>
  <c r="M326" i="7" s="1"/>
  <c r="M327" i="7" a="1"/>
  <c r="M327" i="7" s="1"/>
  <c r="M328" i="7" a="1"/>
  <c r="M328" i="7" s="1"/>
  <c r="M329" i="7" a="1"/>
  <c r="M329" i="7" s="1"/>
  <c r="M330" i="7" a="1"/>
  <c r="M330" i="7" s="1"/>
  <c r="M331" i="7" a="1"/>
  <c r="M331" i="7" s="1"/>
  <c r="M332" i="7" a="1"/>
  <c r="M332" i="7" s="1"/>
  <c r="M333" i="7" a="1"/>
  <c r="M333" i="7" s="1"/>
  <c r="M334" i="7" a="1"/>
  <c r="M334" i="7" s="1"/>
  <c r="M335" i="7" a="1"/>
  <c r="M335" i="7" s="1"/>
  <c r="M336" i="7" a="1"/>
  <c r="M336" i="7" s="1"/>
  <c r="M337" i="7" a="1"/>
  <c r="M337" i="7" s="1"/>
  <c r="M338" i="7" a="1"/>
  <c r="M338" i="7" s="1"/>
  <c r="M339" i="7" a="1"/>
  <c r="M339" i="7" s="1"/>
  <c r="M340" i="7" a="1"/>
  <c r="M340" i="7" s="1"/>
  <c r="M341" i="7" a="1"/>
  <c r="M341" i="7" s="1"/>
  <c r="M342" i="7" a="1"/>
  <c r="M342" i="7" s="1"/>
  <c r="M343" i="7" a="1"/>
  <c r="M343" i="7" s="1"/>
  <c r="M344" i="7" a="1"/>
  <c r="M344" i="7" s="1"/>
  <c r="M345" i="7" a="1"/>
  <c r="M345" i="7" s="1"/>
  <c r="M346" i="7" a="1"/>
  <c r="M346" i="7" s="1"/>
  <c r="M347" i="7" a="1"/>
  <c r="M347" i="7" s="1"/>
  <c r="M348" i="7" a="1"/>
  <c r="M348" i="7" s="1"/>
  <c r="M349" i="7" a="1"/>
  <c r="M349" i="7" s="1"/>
  <c r="M350" i="7" a="1"/>
  <c r="M350" i="7" s="1"/>
  <c r="M351" i="7" a="1"/>
  <c r="M351" i="7" s="1"/>
  <c r="M352" i="7" a="1"/>
  <c r="M352" i="7" s="1"/>
  <c r="M353" i="7" a="1"/>
  <c r="M353" i="7" s="1"/>
  <c r="M354" i="7" a="1"/>
  <c r="M354" i="7" s="1"/>
  <c r="M355" i="7" a="1"/>
  <c r="M355" i="7" s="1"/>
  <c r="M356" i="7" a="1"/>
  <c r="M356" i="7" s="1"/>
  <c r="M357" i="7" a="1"/>
  <c r="M357" i="7" s="1"/>
  <c r="M358" i="7" a="1"/>
  <c r="M358" i="7" s="1"/>
  <c r="M359" i="7" a="1"/>
  <c r="M359" i="7" s="1"/>
  <c r="M360" i="7" a="1"/>
  <c r="M360" i="7" s="1"/>
  <c r="M361" i="7" a="1"/>
  <c r="M361" i="7" s="1"/>
  <c r="M362" i="7" a="1"/>
  <c r="M362" i="7" s="1"/>
  <c r="M363" i="7" a="1"/>
  <c r="M363" i="7" s="1"/>
  <c r="M364" i="7" a="1"/>
  <c r="M364" i="7" s="1"/>
  <c r="M365" i="7" a="1"/>
  <c r="M365" i="7" s="1"/>
  <c r="M366" i="7" a="1"/>
  <c r="M366" i="7" s="1"/>
  <c r="M367" i="7" a="1"/>
  <c r="M367" i="7" s="1"/>
  <c r="M368" i="7" a="1"/>
  <c r="M368" i="7" s="1"/>
  <c r="M369" i="7" a="1"/>
  <c r="M369" i="7" s="1"/>
  <c r="M370" i="7" a="1"/>
  <c r="M370" i="7" s="1"/>
  <c r="M371" i="7" a="1"/>
  <c r="M371" i="7" s="1"/>
  <c r="M372" i="7" a="1"/>
  <c r="M372" i="7" s="1"/>
  <c r="M373" i="7" a="1"/>
  <c r="M373" i="7" s="1"/>
  <c r="M374" i="7" a="1"/>
  <c r="M374" i="7" s="1"/>
  <c r="M375" i="7" a="1"/>
  <c r="M375" i="7" s="1"/>
  <c r="M376" i="7" a="1"/>
  <c r="M376" i="7" s="1"/>
  <c r="M377" i="7" a="1"/>
  <c r="M377" i="7" s="1"/>
  <c r="M378" i="7" a="1"/>
  <c r="M378" i="7" s="1"/>
  <c r="M379" i="7" a="1"/>
  <c r="M379" i="7" s="1"/>
  <c r="M380" i="7" a="1"/>
  <c r="M380" i="7" s="1"/>
  <c r="M381" i="7" a="1"/>
  <c r="M381" i="7" s="1"/>
  <c r="M382" i="7" a="1"/>
  <c r="M382" i="7" s="1"/>
  <c r="M383" i="7" a="1"/>
  <c r="M383" i="7" s="1"/>
  <c r="M384" i="7" a="1"/>
  <c r="M384" i="7" s="1"/>
  <c r="M385" i="7" a="1"/>
  <c r="M385" i="7" s="1"/>
  <c r="M386" i="7" a="1"/>
  <c r="M386" i="7" s="1"/>
  <c r="M387" i="7" a="1"/>
  <c r="M387" i="7" s="1"/>
  <c r="M388" i="7" a="1"/>
  <c r="M388" i="7" s="1"/>
  <c r="M389" i="7" a="1"/>
  <c r="M389" i="7" s="1"/>
  <c r="M390" i="7" a="1"/>
  <c r="M390" i="7" s="1"/>
  <c r="M391" i="7" a="1"/>
  <c r="M391" i="7" s="1"/>
  <c r="M392" i="7" a="1"/>
  <c r="M392" i="7" s="1"/>
  <c r="M393" i="7" a="1"/>
  <c r="M393" i="7" s="1"/>
  <c r="M394" i="7" a="1"/>
  <c r="M394" i="7" s="1"/>
  <c r="M395" i="7" a="1"/>
  <c r="M395" i="7" s="1"/>
  <c r="M396" i="7" a="1"/>
  <c r="M396" i="7" s="1"/>
  <c r="M397" i="7" a="1"/>
  <c r="M397" i="7" s="1"/>
  <c r="M398" i="7" a="1"/>
  <c r="M398" i="7" s="1"/>
  <c r="M399" i="7" a="1"/>
  <c r="M399" i="7" s="1"/>
  <c r="M400" i="7" a="1"/>
  <c r="M400" i="7" s="1"/>
  <c r="M401" i="7" a="1"/>
  <c r="M401" i="7" s="1"/>
  <c r="M402" i="7" a="1"/>
  <c r="M402" i="7" s="1"/>
  <c r="M403" i="7" a="1"/>
  <c r="M403" i="7" s="1"/>
  <c r="M404" i="7" a="1"/>
  <c r="M404" i="7" s="1"/>
  <c r="M405" i="7" a="1"/>
  <c r="M405" i="7" s="1"/>
  <c r="M406" i="7" a="1"/>
  <c r="M406" i="7" s="1"/>
  <c r="M407" i="7" a="1"/>
  <c r="M407" i="7" s="1"/>
  <c r="M408" i="7" a="1"/>
  <c r="M408" i="7" s="1"/>
  <c r="M409" i="7" a="1"/>
  <c r="M409" i="7" s="1"/>
  <c r="M410" i="7" a="1"/>
  <c r="M410" i="7" s="1"/>
  <c r="M411" i="7" a="1"/>
  <c r="M411" i="7" s="1"/>
  <c r="M412" i="7" a="1"/>
  <c r="M412" i="7" s="1"/>
  <c r="M413" i="7" a="1"/>
  <c r="M413" i="7" s="1"/>
  <c r="M414" i="7" a="1"/>
  <c r="M414" i="7" s="1"/>
  <c r="M415" i="7" a="1"/>
  <c r="M415" i="7" s="1"/>
  <c r="M416" i="7" a="1"/>
  <c r="M416" i="7" s="1"/>
  <c r="M417" i="7" a="1"/>
  <c r="M417" i="7" s="1"/>
  <c r="M418" i="7" a="1"/>
  <c r="M418" i="7" s="1"/>
  <c r="M419" i="7" a="1"/>
  <c r="M419" i="7" s="1"/>
  <c r="M420" i="7" a="1"/>
  <c r="M420" i="7" s="1"/>
  <c r="M421" i="7" a="1"/>
  <c r="M421" i="7" s="1"/>
  <c r="M422" i="7" a="1"/>
  <c r="M422" i="7" s="1"/>
  <c r="M423" i="7" a="1"/>
  <c r="M423" i="7" s="1"/>
  <c r="M424" i="7" a="1"/>
  <c r="M424" i="7" s="1"/>
  <c r="M425" i="7" a="1"/>
  <c r="M425" i="7" s="1"/>
  <c r="M426" i="7" a="1"/>
  <c r="M426" i="7" s="1"/>
  <c r="M427" i="7" a="1"/>
  <c r="M427" i="7" s="1"/>
  <c r="M428" i="7" a="1"/>
  <c r="M428" i="7" s="1"/>
  <c r="M429" i="7" a="1"/>
  <c r="M429" i="7" s="1"/>
  <c r="M430" i="7" a="1"/>
  <c r="M430" i="7" s="1"/>
  <c r="M431" i="7" a="1"/>
  <c r="M431" i="7" s="1"/>
  <c r="M432" i="7" a="1"/>
  <c r="M432" i="7" s="1"/>
  <c r="M433" i="7" a="1"/>
  <c r="M433" i="7" s="1"/>
  <c r="M434" i="7" a="1"/>
  <c r="M434" i="7" s="1"/>
  <c r="M435" i="7" a="1"/>
  <c r="M435" i="7" s="1"/>
  <c r="M436" i="7" a="1"/>
  <c r="M436" i="7" s="1"/>
  <c r="M437" i="7" a="1"/>
  <c r="M437" i="7" s="1"/>
  <c r="M438" i="7" a="1"/>
  <c r="M438" i="7" s="1"/>
  <c r="M439" i="7" a="1"/>
  <c r="M439" i="7" s="1"/>
  <c r="M440" i="7" a="1"/>
  <c r="M440" i="7" s="1"/>
  <c r="M441" i="7" a="1"/>
  <c r="M441" i="7" s="1"/>
  <c r="M442" i="7" a="1"/>
  <c r="M442" i="7" s="1"/>
  <c r="M443" i="7" a="1"/>
  <c r="M443" i="7" s="1"/>
  <c r="M444" i="7" a="1"/>
  <c r="M444" i="7" s="1"/>
  <c r="M445" i="7" a="1"/>
  <c r="M445" i="7" s="1"/>
  <c r="M446" i="7" a="1"/>
  <c r="M446" i="7" s="1"/>
  <c r="M447" i="7" a="1"/>
  <c r="M447" i="7" s="1"/>
  <c r="M448" i="7" a="1"/>
  <c r="M448" i="7" s="1"/>
  <c r="M449" i="7" a="1"/>
  <c r="M449" i="7" s="1"/>
  <c r="M450" i="7" a="1"/>
  <c r="M450" i="7" s="1"/>
  <c r="M451" i="7" a="1"/>
  <c r="M451" i="7" s="1"/>
  <c r="M452" i="7" a="1"/>
  <c r="M452" i="7" s="1"/>
  <c r="M453" i="7" a="1"/>
  <c r="M453" i="7" s="1"/>
  <c r="M454" i="7" a="1"/>
  <c r="M454" i="7" s="1"/>
  <c r="M455" i="7" a="1"/>
  <c r="M455" i="7" s="1"/>
  <c r="M456" i="7" a="1"/>
  <c r="M456" i="7" s="1"/>
  <c r="M457" i="7" a="1"/>
  <c r="M457" i="7" s="1"/>
  <c r="M458" i="7" a="1"/>
  <c r="M458" i="7" s="1"/>
  <c r="M459" i="7" a="1"/>
  <c r="M459" i="7" s="1"/>
  <c r="M460" i="7" a="1"/>
  <c r="M460" i="7" s="1"/>
  <c r="M461" i="7" a="1"/>
  <c r="M461" i="7" s="1"/>
  <c r="M462" i="7" a="1"/>
  <c r="M462" i="7" s="1"/>
  <c r="M463" i="7" a="1"/>
  <c r="M463" i="7" s="1"/>
  <c r="M464" i="7" a="1"/>
  <c r="M464" i="7" s="1"/>
  <c r="M465" i="7" a="1"/>
  <c r="M465" i="7" s="1"/>
  <c r="M466" i="7" a="1"/>
  <c r="M466" i="7" s="1"/>
  <c r="M467" i="7" a="1"/>
  <c r="M467" i="7" s="1"/>
  <c r="M468" i="7" a="1"/>
  <c r="M468" i="7" s="1"/>
  <c r="M469" i="7" a="1"/>
  <c r="M469" i="7" s="1"/>
  <c r="M470" i="7" a="1"/>
  <c r="M470" i="7" s="1"/>
  <c r="M471" i="7" a="1"/>
  <c r="M471" i="7" s="1"/>
  <c r="M472" i="7" a="1"/>
  <c r="M472" i="7" s="1"/>
  <c r="M473" i="7" a="1"/>
  <c r="M473" i="7" s="1"/>
  <c r="M474" i="7" a="1"/>
  <c r="M474" i="7" s="1"/>
  <c r="M475" i="7" a="1"/>
  <c r="M475" i="7" s="1"/>
  <c r="M476" i="7" a="1"/>
  <c r="M476" i="7" s="1"/>
  <c r="M477" i="7" a="1"/>
  <c r="M477" i="7" s="1"/>
  <c r="M478" i="7" a="1"/>
  <c r="M478" i="7" s="1"/>
  <c r="M479" i="7" a="1"/>
  <c r="M479" i="7" s="1"/>
  <c r="M480" i="7" a="1"/>
  <c r="M480" i="7" s="1"/>
  <c r="M481" i="7" a="1"/>
  <c r="M481" i="7" s="1"/>
  <c r="M482" i="7" a="1"/>
  <c r="M482" i="7" s="1"/>
  <c r="M483" i="7" a="1"/>
  <c r="M483" i="7" s="1"/>
  <c r="M484" i="7" a="1"/>
  <c r="M484" i="7" s="1"/>
  <c r="M485" i="7" a="1"/>
  <c r="M485" i="7" s="1"/>
  <c r="M486" i="7" a="1"/>
  <c r="M486" i="7" s="1"/>
  <c r="M487" i="7" a="1"/>
  <c r="M487" i="7" s="1"/>
  <c r="M488" i="7" a="1"/>
  <c r="M488" i="7" s="1"/>
  <c r="M489" i="7" a="1"/>
  <c r="M489" i="7" s="1"/>
  <c r="M490" i="7" a="1"/>
  <c r="M490" i="7" s="1"/>
  <c r="M491" i="7" a="1"/>
  <c r="M491" i="7" s="1"/>
  <c r="M492" i="7" a="1"/>
  <c r="M492" i="7" s="1"/>
  <c r="M493" i="7" a="1"/>
  <c r="M493" i="7" s="1"/>
  <c r="M494" i="7" a="1"/>
  <c r="M494" i="7" s="1"/>
  <c r="M495" i="7" a="1"/>
  <c r="M495" i="7" s="1"/>
  <c r="M496" i="7" a="1"/>
  <c r="M496" i="7" s="1"/>
  <c r="M497" i="7" a="1"/>
  <c r="M497" i="7" s="1"/>
  <c r="M498" i="7" a="1"/>
  <c r="M498" i="7" s="1"/>
  <c r="M499" i="7" a="1"/>
  <c r="M499" i="7" s="1"/>
  <c r="M500" i="7" a="1"/>
  <c r="M500" i="7" s="1"/>
  <c r="M501" i="7" a="1"/>
  <c r="M501" i="7" s="1"/>
  <c r="M502" i="7" a="1"/>
  <c r="M502" i="7" s="1"/>
  <c r="M503" i="7" a="1"/>
  <c r="M503" i="7" s="1"/>
  <c r="M504" i="7" a="1"/>
  <c r="M504" i="7" s="1"/>
  <c r="M505" i="7" a="1"/>
  <c r="M505" i="7" s="1"/>
  <c r="M506" i="7" a="1"/>
  <c r="M506" i="7" s="1"/>
  <c r="M507" i="7" a="1"/>
  <c r="M507" i="7" s="1"/>
  <c r="M508" i="7" a="1"/>
  <c r="M508" i="7" s="1"/>
  <c r="M509" i="7" a="1"/>
  <c r="M509" i="7" s="1"/>
  <c r="M510" i="7" a="1"/>
  <c r="M510" i="7" s="1"/>
  <c r="M511" i="7" a="1"/>
  <c r="M511" i="7" s="1"/>
  <c r="M512" i="7" a="1"/>
  <c r="M512" i="7" s="1"/>
  <c r="M513" i="7" a="1"/>
  <c r="M513" i="7" s="1"/>
  <c r="M514" i="7" a="1"/>
  <c r="M514" i="7" s="1"/>
  <c r="M515" i="7" a="1"/>
  <c r="M515" i="7" s="1"/>
  <c r="M516" i="7" a="1"/>
  <c r="M516" i="7" s="1"/>
  <c r="M517" i="7" a="1"/>
  <c r="M517" i="7" s="1"/>
  <c r="M518" i="7" a="1"/>
  <c r="M518" i="7" s="1"/>
  <c r="M519" i="7" a="1"/>
  <c r="M519" i="7" s="1"/>
  <c r="M520" i="7" a="1"/>
  <c r="M520" i="7" s="1"/>
  <c r="M521" i="7" a="1"/>
  <c r="M521" i="7" s="1"/>
  <c r="M522" i="7" a="1"/>
  <c r="M522" i="7" s="1"/>
  <c r="M523" i="7" a="1"/>
  <c r="M523" i="7" s="1"/>
  <c r="M524" i="7" a="1"/>
  <c r="M524" i="7" s="1"/>
  <c r="M525" i="7" a="1"/>
  <c r="M525" i="7" s="1"/>
  <c r="M526" i="7" a="1"/>
  <c r="M526" i="7" s="1"/>
  <c r="M527" i="7" a="1"/>
  <c r="M527" i="7" s="1"/>
  <c r="M528" i="7" a="1"/>
  <c r="M528" i="7" s="1"/>
  <c r="M529" i="7" a="1"/>
  <c r="M529" i="7" s="1"/>
  <c r="M530" i="7" a="1"/>
  <c r="M530" i="7" s="1"/>
  <c r="M531" i="7" a="1"/>
  <c r="M531" i="7" s="1"/>
  <c r="M532" i="7" a="1"/>
  <c r="M532" i="7" s="1"/>
  <c r="M533" i="7" a="1"/>
  <c r="M533" i="7" s="1"/>
  <c r="M534" i="7" a="1"/>
  <c r="M534" i="7" s="1"/>
  <c r="M535" i="7" a="1"/>
  <c r="M535" i="7" s="1"/>
  <c r="M536" i="7" a="1"/>
  <c r="M536" i="7" s="1"/>
  <c r="M537" i="7" a="1"/>
  <c r="M537" i="7" s="1"/>
  <c r="M538" i="7" a="1"/>
  <c r="M538" i="7" s="1"/>
  <c r="M539" i="7" a="1"/>
  <c r="M539" i="7" s="1"/>
  <c r="M540" i="7" a="1"/>
  <c r="M540" i="7" s="1"/>
  <c r="M541" i="7" a="1"/>
  <c r="M541" i="7" s="1"/>
  <c r="M542" i="7" a="1"/>
  <c r="M542" i="7" s="1"/>
  <c r="M543" i="7" a="1"/>
  <c r="M543" i="7" s="1"/>
  <c r="M544" i="7" a="1"/>
  <c r="M544" i="7" s="1"/>
  <c r="M545" i="7" a="1"/>
  <c r="M545" i="7" s="1"/>
  <c r="M546" i="7" a="1"/>
  <c r="M546" i="7" s="1"/>
  <c r="M547" i="7" a="1"/>
  <c r="M547" i="7" s="1"/>
  <c r="M548" i="7" a="1"/>
  <c r="M548" i="7" s="1"/>
  <c r="M549" i="7" a="1"/>
  <c r="M549" i="7" s="1"/>
  <c r="M550" i="7" a="1"/>
  <c r="M550" i="7" s="1"/>
  <c r="M551" i="7" a="1"/>
  <c r="M551" i="7" s="1"/>
  <c r="M552" i="7" a="1"/>
  <c r="M552" i="7" s="1"/>
  <c r="M553" i="7" a="1"/>
  <c r="M553" i="7" s="1"/>
  <c r="M554" i="7" a="1"/>
  <c r="M554" i="7" s="1"/>
  <c r="M555" i="7" a="1"/>
  <c r="M555" i="7" s="1"/>
  <c r="M556" i="7" a="1"/>
  <c r="M556" i="7" s="1"/>
  <c r="M557" i="7" a="1"/>
  <c r="M557" i="7" s="1"/>
  <c r="M558" i="7" a="1"/>
  <c r="M558" i="7" s="1"/>
  <c r="M559" i="7" a="1"/>
  <c r="M559" i="7" s="1"/>
  <c r="M560" i="7" a="1"/>
  <c r="M560" i="7" s="1"/>
  <c r="M561" i="7" a="1"/>
  <c r="M561" i="7" s="1"/>
  <c r="M562" i="7" a="1"/>
  <c r="M562" i="7" s="1"/>
  <c r="M563" i="7" a="1"/>
  <c r="M563" i="7" s="1"/>
  <c r="M564" i="7" a="1"/>
  <c r="M564" i="7" s="1"/>
  <c r="M565" i="7" a="1"/>
  <c r="M565" i="7" s="1"/>
  <c r="M566" i="7" a="1"/>
  <c r="M566" i="7" s="1"/>
  <c r="M567" i="7" a="1"/>
  <c r="M567" i="7" s="1"/>
  <c r="M568" i="7" a="1"/>
  <c r="M568" i="7" s="1"/>
  <c r="M569" i="7" a="1"/>
  <c r="M569" i="7" s="1"/>
  <c r="M570" i="7" a="1"/>
  <c r="M570" i="7" s="1"/>
  <c r="M571" i="7" a="1"/>
  <c r="M571" i="7" s="1"/>
  <c r="M572" i="7" a="1"/>
  <c r="M572" i="7" s="1"/>
  <c r="M573" i="7" a="1"/>
  <c r="M573" i="7" s="1"/>
  <c r="M574" i="7" a="1"/>
  <c r="M574" i="7" s="1"/>
  <c r="M575" i="7" a="1"/>
  <c r="M575" i="7" s="1"/>
  <c r="M576" i="7" a="1"/>
  <c r="M576" i="7" s="1"/>
  <c r="M577" i="7" a="1"/>
  <c r="M577" i="7" s="1"/>
  <c r="M578" i="7" a="1"/>
  <c r="M578" i="7" s="1"/>
  <c r="M579" i="7" a="1"/>
  <c r="M579" i="7" s="1"/>
  <c r="M580" i="7" a="1"/>
  <c r="M580" i="7" s="1"/>
  <c r="M581" i="7" a="1"/>
  <c r="M581" i="7" s="1"/>
  <c r="M582" i="7" a="1"/>
  <c r="M582" i="7" s="1"/>
  <c r="M583" i="7" a="1"/>
  <c r="M583" i="7" s="1"/>
  <c r="M584" i="7" a="1"/>
  <c r="M584" i="7" s="1"/>
  <c r="M585" i="7" a="1"/>
  <c r="M585" i="7" s="1"/>
  <c r="M586" i="7" a="1"/>
  <c r="M586" i="7" s="1"/>
  <c r="M587" i="7" a="1"/>
  <c r="M587" i="7" s="1"/>
  <c r="M588" i="7" a="1"/>
  <c r="M588" i="7" s="1"/>
  <c r="M589" i="7" a="1"/>
  <c r="M589" i="7" s="1"/>
  <c r="M590" i="7" a="1"/>
  <c r="M590" i="7" s="1"/>
  <c r="M591" i="7" a="1"/>
  <c r="M591" i="7" s="1"/>
  <c r="M592" i="7" a="1"/>
  <c r="M592" i="7" s="1"/>
  <c r="M593" i="7" a="1"/>
  <c r="M593" i="7" s="1"/>
  <c r="M594" i="7" a="1"/>
  <c r="M594" i="7" s="1"/>
  <c r="M595" i="7" a="1"/>
  <c r="M595" i="7" s="1"/>
  <c r="M596" i="7" a="1"/>
  <c r="M596" i="7" s="1"/>
  <c r="M597" i="7" a="1"/>
  <c r="M597" i="7" s="1"/>
  <c r="M598" i="7" a="1"/>
  <c r="M598" i="7" s="1"/>
  <c r="M599" i="7" a="1"/>
  <c r="M599" i="7" s="1"/>
  <c r="M600" i="7" a="1"/>
  <c r="M600" i="7" s="1"/>
  <c r="M601" i="7" a="1"/>
  <c r="M601" i="7" s="1"/>
  <c r="M602" i="7" a="1"/>
  <c r="M602" i="7" s="1"/>
  <c r="M603" i="7" a="1"/>
  <c r="M603" i="7" s="1"/>
  <c r="M604" i="7" a="1"/>
  <c r="M604" i="7" s="1"/>
  <c r="M605" i="7" a="1"/>
  <c r="M605" i="7" s="1"/>
  <c r="M606" i="7" a="1"/>
  <c r="M606" i="7" s="1"/>
  <c r="M607" i="7" a="1"/>
  <c r="M607" i="7" s="1"/>
  <c r="M608" i="7" a="1"/>
  <c r="M608" i="7" s="1"/>
  <c r="M609" i="7" a="1"/>
  <c r="M609" i="7" s="1"/>
  <c r="M610" i="7" a="1"/>
  <c r="M610" i="7" s="1"/>
  <c r="M611" i="7" a="1"/>
  <c r="M611" i="7" s="1"/>
  <c r="M612" i="7" a="1"/>
  <c r="M612" i="7" s="1"/>
  <c r="M613" i="7" a="1"/>
  <c r="M613" i="7" s="1"/>
  <c r="M614" i="7" a="1"/>
  <c r="M614" i="7" s="1"/>
  <c r="M615" i="7" a="1"/>
  <c r="M615" i="7" s="1"/>
  <c r="M616" i="7" a="1"/>
  <c r="M616" i="7" s="1"/>
  <c r="M617" i="7" a="1"/>
  <c r="M617" i="7" s="1"/>
  <c r="M618" i="7" a="1"/>
  <c r="M618" i="7" s="1"/>
  <c r="M619" i="7" a="1"/>
  <c r="M619" i="7" s="1"/>
  <c r="M620" i="7" a="1"/>
  <c r="M620" i="7" s="1"/>
  <c r="M621" i="7" a="1"/>
  <c r="M621" i="7" s="1"/>
  <c r="M622" i="7" a="1"/>
  <c r="M622" i="7" s="1"/>
  <c r="M623" i="7" a="1"/>
  <c r="M623" i="7" s="1"/>
  <c r="M624" i="7" a="1"/>
  <c r="M624" i="7" s="1"/>
  <c r="M625" i="7" a="1"/>
  <c r="M625" i="7" s="1"/>
  <c r="M626" i="7" a="1"/>
  <c r="M626" i="7" s="1"/>
  <c r="M627" i="7" a="1"/>
  <c r="M627" i="7" s="1"/>
  <c r="M628" i="7" a="1"/>
  <c r="M628" i="7" s="1"/>
  <c r="M629" i="7" a="1"/>
  <c r="M629" i="7" s="1"/>
  <c r="M630" i="7" a="1"/>
  <c r="M630" i="7" s="1"/>
  <c r="M631" i="7" a="1"/>
  <c r="M631" i="7" s="1"/>
  <c r="M632" i="7" a="1"/>
  <c r="M632" i="7" s="1"/>
  <c r="M633" i="7" a="1"/>
  <c r="M633" i="7" s="1"/>
  <c r="M634" i="7" a="1"/>
  <c r="M634" i="7" s="1"/>
  <c r="M635" i="7" a="1"/>
  <c r="M635" i="7" s="1"/>
  <c r="M636" i="7" a="1"/>
  <c r="M636" i="7" s="1"/>
  <c r="M637" i="7" a="1"/>
  <c r="M637" i="7" s="1"/>
  <c r="M638" i="7" a="1"/>
  <c r="M638" i="7" s="1"/>
  <c r="M639" i="7" a="1"/>
  <c r="M639" i="7" s="1"/>
  <c r="M640" i="7" a="1"/>
  <c r="M640" i="7" s="1"/>
  <c r="M641" i="7" a="1"/>
  <c r="M641" i="7" s="1"/>
  <c r="M642" i="7" a="1"/>
  <c r="M642" i="7" s="1"/>
  <c r="M643" i="7" a="1"/>
  <c r="M643" i="7" s="1"/>
  <c r="M644" i="7" a="1"/>
  <c r="M644" i="7" s="1"/>
  <c r="M645" i="7" a="1"/>
  <c r="M645" i="7" s="1"/>
  <c r="M646" i="7" a="1"/>
  <c r="M646" i="7" s="1"/>
  <c r="M647" i="7" a="1"/>
  <c r="M647" i="7" s="1"/>
  <c r="M648" i="7" a="1"/>
  <c r="M648" i="7" s="1"/>
  <c r="M649" i="7" a="1"/>
  <c r="M649" i="7" s="1"/>
  <c r="M650" i="7" a="1"/>
  <c r="M650" i="7" s="1"/>
  <c r="M651" i="7" a="1"/>
  <c r="M651" i="7" s="1"/>
  <c r="M652" i="7" a="1"/>
  <c r="M652" i="7" s="1"/>
  <c r="M653" i="7" a="1"/>
  <c r="M653" i="7" s="1"/>
  <c r="M654" i="7" a="1"/>
  <c r="M654" i="7" s="1"/>
  <c r="M655" i="7" a="1"/>
  <c r="M655" i="7" s="1"/>
  <c r="M656" i="7" a="1"/>
  <c r="M656" i="7" s="1"/>
  <c r="M657" i="7" a="1"/>
  <c r="M657" i="7" s="1"/>
  <c r="M658" i="7" a="1"/>
  <c r="M658" i="7" s="1"/>
  <c r="M659" i="7" a="1"/>
  <c r="M659" i="7" s="1"/>
  <c r="M660" i="7" a="1"/>
  <c r="M660" i="7" s="1"/>
  <c r="M661" i="7" a="1"/>
  <c r="M661" i="7" s="1"/>
  <c r="M662" i="7" a="1"/>
  <c r="M662" i="7" s="1"/>
  <c r="M663" i="7" a="1"/>
  <c r="M663" i="7" s="1"/>
  <c r="M664" i="7" a="1"/>
  <c r="M664" i="7" s="1"/>
  <c r="M665" i="7" a="1"/>
  <c r="M665" i="7" s="1"/>
  <c r="M666" i="7" a="1"/>
  <c r="M666" i="7" s="1"/>
  <c r="M667" i="7" a="1"/>
  <c r="M667" i="7" s="1"/>
  <c r="M668" i="7" a="1"/>
  <c r="M668" i="7" s="1"/>
  <c r="M669" i="7" a="1"/>
  <c r="M669" i="7" s="1"/>
  <c r="M670" i="7" a="1"/>
  <c r="M670" i="7" s="1"/>
  <c r="M671" i="7" a="1"/>
  <c r="M671" i="7" s="1"/>
  <c r="M672" i="7" a="1"/>
  <c r="M672" i="7" s="1"/>
  <c r="M673" i="7" a="1"/>
  <c r="M673" i="7" s="1"/>
  <c r="M674" i="7" a="1"/>
  <c r="M674" i="7" s="1"/>
  <c r="M675" i="7" a="1"/>
  <c r="M675" i="7" s="1"/>
  <c r="M676" i="7" a="1"/>
  <c r="M676" i="7" s="1"/>
  <c r="M677" i="7" a="1"/>
  <c r="M677" i="7" s="1"/>
  <c r="M678" i="7" a="1"/>
  <c r="M678" i="7" s="1"/>
  <c r="M679" i="7" a="1"/>
  <c r="M679" i="7" s="1"/>
  <c r="M680" i="7" a="1"/>
  <c r="M680" i="7" s="1"/>
  <c r="M681" i="7" a="1"/>
  <c r="M681" i="7" s="1"/>
  <c r="M682" i="7" a="1"/>
  <c r="M682" i="7" s="1"/>
  <c r="M683" i="7" a="1"/>
  <c r="M683" i="7" s="1"/>
  <c r="M684" i="7" a="1"/>
  <c r="M684" i="7" s="1"/>
  <c r="M685" i="7" a="1"/>
  <c r="M685" i="7" s="1"/>
  <c r="M686" i="7" a="1"/>
  <c r="M686" i="7" s="1"/>
  <c r="M687" i="7" a="1"/>
  <c r="M687" i="7" s="1"/>
  <c r="M688" i="7" a="1"/>
  <c r="M688" i="7" s="1"/>
  <c r="M689" i="7" a="1"/>
  <c r="M689" i="7" s="1"/>
  <c r="M690" i="7" a="1"/>
  <c r="M690" i="7" s="1"/>
  <c r="M691" i="7" a="1"/>
  <c r="M691" i="7" s="1"/>
  <c r="M692" i="7" a="1"/>
  <c r="M692" i="7" s="1"/>
  <c r="M693" i="7" a="1"/>
  <c r="M693" i="7" s="1"/>
  <c r="M694" i="7" a="1"/>
  <c r="M694" i="7" s="1"/>
  <c r="M695" i="7" a="1"/>
  <c r="M695" i="7" s="1"/>
  <c r="M696" i="7" a="1"/>
  <c r="M696" i="7" s="1"/>
  <c r="M697" i="7" a="1"/>
  <c r="M697" i="7" s="1"/>
  <c r="M698" i="7" a="1"/>
  <c r="M698" i="7" s="1"/>
  <c r="M699" i="7" a="1"/>
  <c r="M699" i="7" s="1"/>
  <c r="M700" i="7" a="1"/>
  <c r="M700" i="7" s="1"/>
  <c r="M701" i="7" a="1"/>
  <c r="M701" i="7" s="1"/>
  <c r="M702" i="7" a="1"/>
  <c r="M702" i="7" s="1"/>
  <c r="M703" i="7" a="1"/>
  <c r="M703" i="7" s="1"/>
  <c r="M704" i="7" a="1"/>
  <c r="M704" i="7" s="1"/>
  <c r="M705" i="7" a="1"/>
  <c r="M705" i="7" s="1"/>
  <c r="M706" i="7" a="1"/>
  <c r="M706" i="7" s="1"/>
  <c r="M707" i="7" a="1"/>
  <c r="M707" i="7" s="1"/>
  <c r="M708" i="7" a="1"/>
  <c r="M708" i="7" s="1"/>
  <c r="M709" i="7" a="1"/>
  <c r="M709" i="7" s="1"/>
  <c r="M710" i="7" a="1"/>
  <c r="M710" i="7" s="1"/>
  <c r="M711" i="7" a="1"/>
  <c r="M711" i="7" s="1"/>
  <c r="M712" i="7" a="1"/>
  <c r="M712" i="7" s="1"/>
  <c r="M713" i="7" a="1"/>
  <c r="M713" i="7" s="1"/>
  <c r="M714" i="7" a="1"/>
  <c r="M714" i="7" s="1"/>
  <c r="M715" i="7" a="1"/>
  <c r="M715" i="7" s="1"/>
  <c r="M716" i="7" a="1"/>
  <c r="M716" i="7" s="1"/>
  <c r="M717" i="7" a="1"/>
  <c r="M717" i="7" s="1"/>
  <c r="M718" i="7" a="1"/>
  <c r="M718" i="7" s="1"/>
  <c r="M719" i="7" a="1"/>
  <c r="M719" i="7" s="1"/>
  <c r="M720" i="7" a="1"/>
  <c r="M720" i="7" s="1"/>
  <c r="M721" i="7" a="1"/>
  <c r="M721" i="7" s="1"/>
  <c r="M722" i="7" a="1"/>
  <c r="M722" i="7" s="1"/>
  <c r="M723" i="7" a="1"/>
  <c r="M723" i="7" s="1"/>
  <c r="M724" i="7" a="1"/>
  <c r="M724" i="7" s="1"/>
  <c r="M725" i="7" a="1"/>
  <c r="M725" i="7" s="1"/>
  <c r="M726" i="7" a="1"/>
  <c r="M726" i="7" s="1"/>
  <c r="M727" i="7" a="1"/>
  <c r="M727" i="7" s="1"/>
  <c r="M728" i="7" a="1"/>
  <c r="M728" i="7" s="1"/>
  <c r="M729" i="7" a="1"/>
  <c r="M729" i="7" s="1"/>
  <c r="M730" i="7" a="1"/>
  <c r="M730" i="7" s="1"/>
  <c r="M731" i="7" a="1"/>
  <c r="M731" i="7" s="1"/>
  <c r="M732" i="7" a="1"/>
  <c r="M732" i="7" s="1"/>
  <c r="M733" i="7" a="1"/>
  <c r="M733" i="7" s="1"/>
  <c r="M734" i="7" a="1"/>
  <c r="M734" i="7" s="1"/>
  <c r="M735" i="7" a="1"/>
  <c r="M735" i="7" s="1"/>
  <c r="M736" i="7" a="1"/>
  <c r="M736" i="7" s="1"/>
  <c r="M737" i="7" a="1"/>
  <c r="M737" i="7" s="1"/>
  <c r="M738" i="7" a="1"/>
  <c r="M738" i="7" s="1"/>
  <c r="M739" i="7" a="1"/>
  <c r="M739" i="7" s="1"/>
  <c r="M740" i="7" a="1"/>
  <c r="M740" i="7" s="1"/>
  <c r="M741" i="7" a="1"/>
  <c r="M741" i="7" s="1"/>
  <c r="M742" i="7" a="1"/>
  <c r="M742" i="7" s="1"/>
  <c r="M743" i="7" a="1"/>
  <c r="M743" i="7" s="1"/>
  <c r="M744" i="7" a="1"/>
  <c r="M744" i="7" s="1"/>
  <c r="M745" i="7" a="1"/>
  <c r="M745" i="7" s="1"/>
  <c r="M746" i="7" a="1"/>
  <c r="M746" i="7" s="1"/>
  <c r="M747" i="7" a="1"/>
  <c r="M747" i="7" s="1"/>
  <c r="M748" i="7" a="1"/>
  <c r="M748" i="7" s="1"/>
  <c r="M749" i="7" a="1"/>
  <c r="M749" i="7" s="1"/>
  <c r="M750" i="7" a="1"/>
  <c r="M750" i="7" s="1"/>
  <c r="M751" i="7" a="1"/>
  <c r="M751" i="7" s="1"/>
  <c r="M752" i="7" a="1"/>
  <c r="M752" i="7" s="1"/>
  <c r="M753" i="7" a="1"/>
  <c r="M753" i="7" s="1"/>
  <c r="M754" i="7" a="1"/>
  <c r="M754" i="7" s="1"/>
  <c r="M755" i="7" a="1"/>
  <c r="M755" i="7" s="1"/>
  <c r="M756" i="7" a="1"/>
  <c r="M756" i="7" s="1"/>
  <c r="M757" i="7" a="1"/>
  <c r="M757" i="7" s="1"/>
  <c r="M758" i="7" a="1"/>
  <c r="M758" i="7" s="1"/>
  <c r="M759" i="7" a="1"/>
  <c r="M759" i="7" s="1"/>
  <c r="M760" i="7" a="1"/>
  <c r="M760" i="7" s="1"/>
  <c r="M761" i="7" a="1"/>
  <c r="M761" i="7" s="1"/>
  <c r="M762" i="7" a="1"/>
  <c r="M762" i="7" s="1"/>
  <c r="M763" i="7" a="1"/>
  <c r="M763" i="7" s="1"/>
  <c r="M764" i="7" a="1"/>
  <c r="M764" i="7" s="1"/>
  <c r="M765" i="7" a="1"/>
  <c r="M765" i="7" s="1"/>
  <c r="M766" i="7" a="1"/>
  <c r="M766" i="7" s="1"/>
  <c r="M767" i="7" a="1"/>
  <c r="M767" i="7" s="1"/>
  <c r="M768" i="7" a="1"/>
  <c r="M768" i="7" s="1"/>
  <c r="M769" i="7" a="1"/>
  <c r="M769" i="7" s="1"/>
  <c r="M770" i="7" a="1"/>
  <c r="M770" i="7" s="1"/>
  <c r="M771" i="7" a="1"/>
  <c r="M771" i="7" s="1"/>
  <c r="M772" i="7" a="1"/>
  <c r="M772" i="7" s="1"/>
  <c r="M773" i="7" a="1"/>
  <c r="M773" i="7" s="1"/>
  <c r="M774" i="7" a="1"/>
  <c r="M774" i="7" s="1"/>
  <c r="M775" i="7" a="1"/>
  <c r="M775" i="7" s="1"/>
  <c r="M776" i="7" a="1"/>
  <c r="M776" i="7" s="1"/>
  <c r="M777" i="7" a="1"/>
  <c r="M777" i="7" s="1"/>
  <c r="M778" i="7" a="1"/>
  <c r="M778" i="7" s="1"/>
  <c r="M779" i="7" a="1"/>
  <c r="M779" i="7" s="1"/>
  <c r="M780" i="7" a="1"/>
  <c r="M780" i="7" s="1"/>
  <c r="M781" i="7" a="1"/>
  <c r="M781" i="7" s="1"/>
  <c r="M782" i="7" a="1"/>
  <c r="M782" i="7" s="1"/>
  <c r="M783" i="7" a="1"/>
  <c r="M783" i="7" s="1"/>
  <c r="M784" i="7" a="1"/>
  <c r="M784" i="7" s="1"/>
  <c r="M785" i="7" a="1"/>
  <c r="M785" i="7" s="1"/>
  <c r="M786" i="7" a="1"/>
  <c r="M786" i="7" s="1"/>
  <c r="M787" i="7" a="1"/>
  <c r="M787" i="7" s="1"/>
  <c r="M788" i="7" a="1"/>
  <c r="M788" i="7" s="1"/>
  <c r="M789" i="7" a="1"/>
  <c r="M789" i="7" s="1"/>
  <c r="M790" i="7" a="1"/>
  <c r="M790" i="7" s="1"/>
  <c r="M791" i="7" a="1"/>
  <c r="M791" i="7" s="1"/>
  <c r="M792" i="7" a="1"/>
  <c r="M792" i="7" s="1"/>
  <c r="M793" i="7" a="1"/>
  <c r="M793" i="7" s="1"/>
  <c r="M794" i="7" a="1"/>
  <c r="M794" i="7" s="1"/>
  <c r="M795" i="7" a="1"/>
  <c r="M795" i="7" s="1"/>
  <c r="M796" i="7" a="1"/>
  <c r="M796" i="7" s="1"/>
  <c r="M797" i="7" a="1"/>
  <c r="M797" i="7" s="1"/>
  <c r="M798" i="7" a="1"/>
  <c r="M798" i="7" s="1"/>
  <c r="M799" i="7" a="1"/>
  <c r="M799" i="7" s="1"/>
  <c r="M800" i="7" a="1"/>
  <c r="M800" i="7" s="1"/>
  <c r="M801" i="7" a="1"/>
  <c r="M801" i="7" s="1"/>
  <c r="M802" i="7" a="1"/>
  <c r="M802" i="7" s="1"/>
  <c r="M803" i="7" a="1"/>
  <c r="M803" i="7" s="1"/>
  <c r="M804" i="7" a="1"/>
  <c r="M804" i="7" s="1"/>
  <c r="M805" i="7" a="1"/>
  <c r="M805" i="7" s="1"/>
  <c r="M806" i="7" a="1"/>
  <c r="M806" i="7" s="1"/>
  <c r="M807" i="7" a="1"/>
  <c r="M807" i="7" s="1"/>
  <c r="M808" i="7" a="1"/>
  <c r="M808" i="7" s="1"/>
  <c r="M809" i="7" a="1"/>
  <c r="M809" i="7" s="1"/>
  <c r="M810" i="7" a="1"/>
  <c r="M810" i="7" s="1"/>
  <c r="M811" i="7" a="1"/>
  <c r="M811" i="7" s="1"/>
  <c r="M812" i="7" a="1"/>
  <c r="M812" i="7" s="1"/>
  <c r="M813" i="7" a="1"/>
  <c r="M813" i="7" s="1"/>
  <c r="M814" i="7" a="1"/>
  <c r="M814" i="7" s="1"/>
  <c r="M815" i="7" a="1"/>
  <c r="M815" i="7" s="1"/>
  <c r="M816" i="7" a="1"/>
  <c r="M816" i="7" s="1"/>
  <c r="L2" i="7"/>
  <c r="L3" i="7"/>
  <c r="L4" i="7"/>
  <c r="M4" i="7" s="1" a="1"/>
  <c r="M4" i="7" s="1"/>
  <c r="L5" i="7"/>
  <c r="M5" i="7" s="1" a="1"/>
  <c r="M5" i="7" s="1"/>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C1" i="4"/>
  <c r="I22" i="2"/>
  <c r="J22" i="2"/>
  <c r="K22" i="2"/>
  <c r="L22" i="2"/>
  <c r="M22" i="2"/>
  <c r="N22" i="2"/>
  <c r="O22" i="2"/>
  <c r="F20" i="4" l="1"/>
  <c r="B21" i="4" a="1"/>
  <c r="B21" i="4" s="1"/>
  <c r="E21" i="4" s="1"/>
  <c r="B23" i="4" a="1"/>
  <c r="B23" i="4" s="1"/>
  <c r="E23" i="4" s="1"/>
  <c r="B25" i="4" a="1"/>
  <c r="B25" i="4" s="1"/>
  <c r="E25" i="4" s="1"/>
  <c r="B22" i="4" a="1"/>
  <c r="B22" i="4" s="1"/>
  <c r="E22" i="4" s="1"/>
  <c r="B24" i="4" a="1"/>
  <c r="B24" i="4" s="1"/>
  <c r="D24" i="4" s="1"/>
  <c r="E5" i="4"/>
  <c r="E7" i="4"/>
  <c r="E9" i="4"/>
  <c r="E11" i="4"/>
  <c r="E13" i="4"/>
  <c r="E15" i="4"/>
  <c r="E17" i="4"/>
  <c r="D6" i="4"/>
  <c r="D8" i="4"/>
  <c r="D10" i="4"/>
  <c r="D12" i="4"/>
  <c r="D14" i="4"/>
  <c r="D16" i="4"/>
  <c r="E6" i="4"/>
  <c r="E8" i="4"/>
  <c r="E10" i="4"/>
  <c r="E12" i="4"/>
  <c r="E14" i="4"/>
  <c r="E16" i="4"/>
  <c r="D5" i="4"/>
  <c r="D7" i="4"/>
  <c r="D9" i="4"/>
  <c r="D11" i="4"/>
  <c r="D13" i="4"/>
  <c r="D15" i="4"/>
  <c r="D17" i="4"/>
  <c r="C13" i="10"/>
  <c r="D3" i="4"/>
  <c r="C30" i="10"/>
  <c r="D19" i="4"/>
  <c r="C27" i="10"/>
  <c r="C26" i="10"/>
  <c r="C25" i="10"/>
  <c r="C24" i="10"/>
  <c r="C23" i="10"/>
  <c r="C22" i="10"/>
  <c r="C21" i="10"/>
  <c r="C20" i="10"/>
  <c r="C19" i="10"/>
  <c r="C18" i="10"/>
  <c r="C17" i="10"/>
  <c r="C16" i="10"/>
  <c r="C15" i="10"/>
  <c r="R11" i="10"/>
  <c r="D3" i="7"/>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C2" i="7"/>
  <c r="D2" i="7"/>
  <c r="B3" i="7"/>
  <c r="B4" i="7"/>
  <c r="B5" i="7"/>
  <c r="B6" i="7"/>
  <c r="E6" i="7" s="1"/>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B650" i="7"/>
  <c r="B651" i="7"/>
  <c r="B652" i="7"/>
  <c r="B653" i="7"/>
  <c r="B654" i="7"/>
  <c r="B655" i="7"/>
  <c r="B656" i="7"/>
  <c r="B657" i="7"/>
  <c r="B658" i="7"/>
  <c r="B659" i="7"/>
  <c r="B660" i="7"/>
  <c r="B661" i="7"/>
  <c r="B662" i="7"/>
  <c r="B663" i="7"/>
  <c r="B664" i="7"/>
  <c r="B665" i="7"/>
  <c r="B666" i="7"/>
  <c r="B667" i="7"/>
  <c r="B668" i="7"/>
  <c r="B669" i="7"/>
  <c r="B670" i="7"/>
  <c r="B671" i="7"/>
  <c r="B672" i="7"/>
  <c r="B673" i="7"/>
  <c r="B674" i="7"/>
  <c r="B675" i="7"/>
  <c r="B676" i="7"/>
  <c r="B677" i="7"/>
  <c r="B678" i="7"/>
  <c r="B679" i="7"/>
  <c r="B680" i="7"/>
  <c r="B681" i="7"/>
  <c r="B682" i="7"/>
  <c r="B683" i="7"/>
  <c r="B684" i="7"/>
  <c r="B685" i="7"/>
  <c r="B686" i="7"/>
  <c r="B687" i="7"/>
  <c r="B688" i="7"/>
  <c r="B689" i="7"/>
  <c r="B690" i="7"/>
  <c r="B691" i="7"/>
  <c r="B692" i="7"/>
  <c r="B693" i="7"/>
  <c r="B694" i="7"/>
  <c r="B695" i="7"/>
  <c r="B696" i="7"/>
  <c r="B697" i="7"/>
  <c r="B698" i="7"/>
  <c r="B699" i="7"/>
  <c r="B700" i="7"/>
  <c r="B701" i="7"/>
  <c r="B702" i="7"/>
  <c r="B703" i="7"/>
  <c r="B704" i="7"/>
  <c r="B705" i="7"/>
  <c r="B706" i="7"/>
  <c r="B707" i="7"/>
  <c r="B708" i="7"/>
  <c r="B709" i="7"/>
  <c r="B710" i="7"/>
  <c r="B711" i="7"/>
  <c r="B712" i="7"/>
  <c r="B713" i="7"/>
  <c r="B714" i="7"/>
  <c r="B715" i="7"/>
  <c r="B716" i="7"/>
  <c r="B717" i="7"/>
  <c r="B718" i="7"/>
  <c r="B719" i="7"/>
  <c r="B720" i="7"/>
  <c r="B721" i="7"/>
  <c r="B722" i="7"/>
  <c r="B723" i="7"/>
  <c r="B724" i="7"/>
  <c r="B725" i="7"/>
  <c r="B726" i="7"/>
  <c r="B727" i="7"/>
  <c r="B728" i="7"/>
  <c r="B729" i="7"/>
  <c r="B730" i="7"/>
  <c r="B731" i="7"/>
  <c r="B732" i="7"/>
  <c r="B733" i="7"/>
  <c r="B734" i="7"/>
  <c r="B735" i="7"/>
  <c r="B736" i="7"/>
  <c r="B737" i="7"/>
  <c r="B738" i="7"/>
  <c r="B739" i="7"/>
  <c r="B740" i="7"/>
  <c r="B741" i="7"/>
  <c r="B742" i="7"/>
  <c r="B743" i="7"/>
  <c r="B744" i="7"/>
  <c r="B745" i="7"/>
  <c r="B746" i="7"/>
  <c r="B747" i="7"/>
  <c r="B748" i="7"/>
  <c r="B749" i="7"/>
  <c r="B750" i="7"/>
  <c r="B751" i="7"/>
  <c r="B752" i="7"/>
  <c r="B753" i="7"/>
  <c r="B754" i="7"/>
  <c r="B755" i="7"/>
  <c r="B756" i="7"/>
  <c r="B757" i="7"/>
  <c r="B758" i="7"/>
  <c r="B759" i="7"/>
  <c r="B760" i="7"/>
  <c r="B761" i="7"/>
  <c r="B762" i="7"/>
  <c r="B763" i="7"/>
  <c r="B764" i="7"/>
  <c r="B765" i="7"/>
  <c r="B766" i="7"/>
  <c r="B767" i="7"/>
  <c r="B768" i="7"/>
  <c r="B769" i="7"/>
  <c r="B770" i="7"/>
  <c r="B771" i="7"/>
  <c r="B772" i="7"/>
  <c r="B773" i="7"/>
  <c r="B774" i="7"/>
  <c r="B775" i="7"/>
  <c r="B776" i="7"/>
  <c r="B777" i="7"/>
  <c r="B778" i="7"/>
  <c r="B779" i="7"/>
  <c r="B780" i="7"/>
  <c r="B781" i="7"/>
  <c r="B782" i="7"/>
  <c r="B783" i="7"/>
  <c r="B784" i="7"/>
  <c r="B785" i="7"/>
  <c r="B786" i="7"/>
  <c r="B787" i="7"/>
  <c r="B788" i="7"/>
  <c r="B789" i="7"/>
  <c r="B790" i="7"/>
  <c r="B791" i="7"/>
  <c r="B792" i="7"/>
  <c r="B793" i="7"/>
  <c r="B794" i="7"/>
  <c r="B795" i="7"/>
  <c r="B796" i="7"/>
  <c r="B797" i="7"/>
  <c r="B798" i="7"/>
  <c r="B799" i="7"/>
  <c r="B800" i="7"/>
  <c r="B801" i="7"/>
  <c r="B802" i="7"/>
  <c r="B803" i="7"/>
  <c r="B804" i="7"/>
  <c r="B805" i="7"/>
  <c r="B806" i="7"/>
  <c r="B807" i="7"/>
  <c r="B808" i="7"/>
  <c r="B809" i="7"/>
  <c r="B810" i="7"/>
  <c r="B811" i="7"/>
  <c r="B812" i="7"/>
  <c r="B813" i="7"/>
  <c r="B814" i="7"/>
  <c r="B815" i="7"/>
  <c r="B816" i="7"/>
  <c r="B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B799" i="8"/>
  <c r="B807" i="8"/>
  <c r="B813" i="8"/>
  <c r="A2" i="8"/>
  <c r="B2" i="8" s="1"/>
  <c r="A3" i="8"/>
  <c r="B3" i="8" s="1"/>
  <c r="A4" i="8"/>
  <c r="B4" i="8" s="1"/>
  <c r="A5" i="8"/>
  <c r="B5" i="8" s="1"/>
  <c r="A6" i="8"/>
  <c r="B6" i="8" s="1"/>
  <c r="A7" i="8"/>
  <c r="B7" i="8" s="1"/>
  <c r="A8" i="8"/>
  <c r="B8" i="8" s="1"/>
  <c r="A9" i="8"/>
  <c r="B9" i="8" s="1"/>
  <c r="A10" i="8"/>
  <c r="B10" i="8" s="1"/>
  <c r="A11" i="8"/>
  <c r="B11" i="8" s="1"/>
  <c r="A12" i="8"/>
  <c r="B12" i="8" s="1"/>
  <c r="A13" i="8"/>
  <c r="B13" i="8" s="1"/>
  <c r="A14" i="8"/>
  <c r="B14" i="8" s="1"/>
  <c r="A15" i="8"/>
  <c r="B15" i="8" s="1"/>
  <c r="A16" i="8"/>
  <c r="B16" i="8" s="1"/>
  <c r="A17" i="8"/>
  <c r="B17" i="8" s="1"/>
  <c r="A18" i="8"/>
  <c r="B18" i="8" s="1"/>
  <c r="A19" i="8"/>
  <c r="B19" i="8" s="1"/>
  <c r="A20" i="8"/>
  <c r="B20" i="8" s="1"/>
  <c r="A21" i="8"/>
  <c r="B21" i="8" s="1"/>
  <c r="A22" i="8"/>
  <c r="B22" i="8" s="1"/>
  <c r="A23" i="8"/>
  <c r="B23" i="8" s="1"/>
  <c r="A24" i="8"/>
  <c r="B24" i="8" s="1"/>
  <c r="A25" i="8"/>
  <c r="B25" i="8" s="1"/>
  <c r="A26" i="8"/>
  <c r="B26" i="8" s="1"/>
  <c r="A27" i="8"/>
  <c r="B27" i="8" s="1"/>
  <c r="A28" i="8"/>
  <c r="B28" i="8" s="1"/>
  <c r="A29" i="8"/>
  <c r="B29" i="8" s="1"/>
  <c r="A30" i="8"/>
  <c r="B30" i="8" s="1"/>
  <c r="A31" i="8"/>
  <c r="B31" i="8" s="1"/>
  <c r="A32" i="8"/>
  <c r="B32" i="8" s="1"/>
  <c r="A33" i="8"/>
  <c r="B33" i="8" s="1"/>
  <c r="A34" i="8"/>
  <c r="B34" i="8" s="1"/>
  <c r="A35" i="8"/>
  <c r="B35" i="8" s="1"/>
  <c r="A36" i="8"/>
  <c r="B36" i="8" s="1"/>
  <c r="A37" i="8"/>
  <c r="B37" i="8" s="1"/>
  <c r="A38" i="8"/>
  <c r="B38" i="8" s="1"/>
  <c r="A39" i="8"/>
  <c r="B39" i="8" s="1"/>
  <c r="A40" i="8"/>
  <c r="B40" i="8" s="1"/>
  <c r="A41" i="8"/>
  <c r="B41" i="8" s="1"/>
  <c r="A42" i="8"/>
  <c r="B42" i="8" s="1"/>
  <c r="A43" i="8"/>
  <c r="B43" i="8" s="1"/>
  <c r="A44" i="8"/>
  <c r="B44" i="8" s="1"/>
  <c r="A45" i="8"/>
  <c r="B45" i="8" s="1"/>
  <c r="A46" i="8"/>
  <c r="B46" i="8" s="1"/>
  <c r="A47" i="8"/>
  <c r="B47" i="8" s="1"/>
  <c r="A48" i="8"/>
  <c r="B48" i="8" s="1"/>
  <c r="A49" i="8"/>
  <c r="B49" i="8" s="1"/>
  <c r="A50" i="8"/>
  <c r="B50" i="8" s="1"/>
  <c r="A51" i="8"/>
  <c r="B51" i="8" s="1"/>
  <c r="A52" i="8"/>
  <c r="B52" i="8" s="1"/>
  <c r="A53" i="8"/>
  <c r="B53" i="8" s="1"/>
  <c r="A54" i="8"/>
  <c r="B54" i="8" s="1"/>
  <c r="A55" i="8"/>
  <c r="B55" i="8" s="1"/>
  <c r="A56" i="8"/>
  <c r="B56" i="8" s="1"/>
  <c r="A57" i="8"/>
  <c r="B57" i="8" s="1"/>
  <c r="A58" i="8"/>
  <c r="B58" i="8" s="1"/>
  <c r="A59" i="8"/>
  <c r="B59" i="8" s="1"/>
  <c r="A60" i="8"/>
  <c r="B60" i="8" s="1"/>
  <c r="A61" i="8"/>
  <c r="B61" i="8" s="1"/>
  <c r="A62" i="8"/>
  <c r="B62" i="8" s="1"/>
  <c r="A63" i="8"/>
  <c r="B63" i="8" s="1"/>
  <c r="A64" i="8"/>
  <c r="B64" i="8" s="1"/>
  <c r="A65" i="8"/>
  <c r="B65" i="8" s="1"/>
  <c r="A66" i="8"/>
  <c r="B66" i="8" s="1"/>
  <c r="A67" i="8"/>
  <c r="B67" i="8" s="1"/>
  <c r="A68" i="8"/>
  <c r="B68" i="8" s="1"/>
  <c r="A69" i="8"/>
  <c r="B69" i="8" s="1"/>
  <c r="A70" i="8"/>
  <c r="B70" i="8" s="1"/>
  <c r="A71" i="8"/>
  <c r="B71" i="8" s="1"/>
  <c r="A72" i="8"/>
  <c r="B72" i="8" s="1"/>
  <c r="A73" i="8"/>
  <c r="B73" i="8" s="1"/>
  <c r="A74" i="8"/>
  <c r="B74" i="8" s="1"/>
  <c r="A75" i="8"/>
  <c r="B75" i="8" s="1"/>
  <c r="A76" i="8"/>
  <c r="B76" i="8" s="1"/>
  <c r="A77" i="8"/>
  <c r="B77" i="8" s="1"/>
  <c r="A78" i="8"/>
  <c r="B78" i="8" s="1"/>
  <c r="A79" i="8"/>
  <c r="B79" i="8" s="1"/>
  <c r="A80" i="8"/>
  <c r="B80" i="8" s="1"/>
  <c r="A81" i="8"/>
  <c r="B81" i="8" s="1"/>
  <c r="A82" i="8"/>
  <c r="B82" i="8" s="1"/>
  <c r="A83" i="8"/>
  <c r="B83" i="8" s="1"/>
  <c r="A84" i="8"/>
  <c r="B84" i="8" s="1"/>
  <c r="A85" i="8"/>
  <c r="B85" i="8" s="1"/>
  <c r="A86" i="8"/>
  <c r="B86" i="8" s="1"/>
  <c r="A87" i="8"/>
  <c r="B87" i="8" s="1"/>
  <c r="A88" i="8"/>
  <c r="B88" i="8" s="1"/>
  <c r="A89" i="8"/>
  <c r="B89" i="8" s="1"/>
  <c r="A90" i="8"/>
  <c r="B90" i="8" s="1"/>
  <c r="A91" i="8"/>
  <c r="B91" i="8" s="1"/>
  <c r="A92" i="8"/>
  <c r="B92" i="8" s="1"/>
  <c r="A93" i="8"/>
  <c r="B93" i="8" s="1"/>
  <c r="A94" i="8"/>
  <c r="B94" i="8" s="1"/>
  <c r="A95" i="8"/>
  <c r="B95" i="8" s="1"/>
  <c r="A96" i="8"/>
  <c r="B96" i="8" s="1"/>
  <c r="A97" i="8"/>
  <c r="B97" i="8" s="1"/>
  <c r="A98" i="8"/>
  <c r="B98" i="8" s="1"/>
  <c r="A99" i="8"/>
  <c r="B99" i="8" s="1"/>
  <c r="A100" i="8"/>
  <c r="B100" i="8" s="1"/>
  <c r="A101" i="8"/>
  <c r="B101" i="8" s="1"/>
  <c r="A102" i="8"/>
  <c r="B102" i="8" s="1"/>
  <c r="A103" i="8"/>
  <c r="B103" i="8" s="1"/>
  <c r="A104" i="8"/>
  <c r="B104" i="8" s="1"/>
  <c r="A105" i="8"/>
  <c r="B105" i="8" s="1"/>
  <c r="A106" i="8"/>
  <c r="B106" i="8" s="1"/>
  <c r="A107" i="8"/>
  <c r="B107" i="8" s="1"/>
  <c r="A108" i="8"/>
  <c r="B108" i="8" s="1"/>
  <c r="A109" i="8"/>
  <c r="B109" i="8" s="1"/>
  <c r="A110" i="8"/>
  <c r="B110" i="8" s="1"/>
  <c r="A111" i="8"/>
  <c r="B111" i="8" s="1"/>
  <c r="A112" i="8"/>
  <c r="B112" i="8" s="1"/>
  <c r="A113" i="8"/>
  <c r="B113" i="8" s="1"/>
  <c r="A114" i="8"/>
  <c r="B114" i="8" s="1"/>
  <c r="A115" i="8"/>
  <c r="B115" i="8" s="1"/>
  <c r="A116" i="8"/>
  <c r="B116" i="8" s="1"/>
  <c r="A117" i="8"/>
  <c r="B117" i="8" s="1"/>
  <c r="A118" i="8"/>
  <c r="B118" i="8" s="1"/>
  <c r="A119" i="8"/>
  <c r="B119" i="8" s="1"/>
  <c r="A120" i="8"/>
  <c r="B120" i="8" s="1"/>
  <c r="A121" i="8"/>
  <c r="B121" i="8" s="1"/>
  <c r="A122" i="8"/>
  <c r="B122" i="8" s="1"/>
  <c r="A123" i="8"/>
  <c r="B123" i="8" s="1"/>
  <c r="A124" i="8"/>
  <c r="B124" i="8" s="1"/>
  <c r="A125" i="8"/>
  <c r="B125" i="8" s="1"/>
  <c r="A126" i="8"/>
  <c r="B126" i="8" s="1"/>
  <c r="A127" i="8"/>
  <c r="B127" i="8" s="1"/>
  <c r="A128" i="8"/>
  <c r="B128" i="8" s="1"/>
  <c r="A129" i="8"/>
  <c r="B129" i="8" s="1"/>
  <c r="A130" i="8"/>
  <c r="B130" i="8" s="1"/>
  <c r="A131" i="8"/>
  <c r="B131" i="8" s="1"/>
  <c r="A132" i="8"/>
  <c r="B132" i="8" s="1"/>
  <c r="A133" i="8"/>
  <c r="B133" i="8" s="1"/>
  <c r="A134" i="8"/>
  <c r="B134" i="8" s="1"/>
  <c r="A135" i="8"/>
  <c r="B135" i="8" s="1"/>
  <c r="A136" i="8"/>
  <c r="B136" i="8" s="1"/>
  <c r="A137" i="8"/>
  <c r="B137" i="8" s="1"/>
  <c r="A138" i="8"/>
  <c r="B138" i="8" s="1"/>
  <c r="A139" i="8"/>
  <c r="B139" i="8" s="1"/>
  <c r="A140" i="8"/>
  <c r="B140" i="8" s="1"/>
  <c r="A141" i="8"/>
  <c r="B141" i="8" s="1"/>
  <c r="A142" i="8"/>
  <c r="B142" i="8" s="1"/>
  <c r="A143" i="8"/>
  <c r="B143" i="8" s="1"/>
  <c r="A144" i="8"/>
  <c r="B144" i="8" s="1"/>
  <c r="A145" i="8"/>
  <c r="B145" i="8" s="1"/>
  <c r="A146" i="8"/>
  <c r="B146" i="8" s="1"/>
  <c r="A147" i="8"/>
  <c r="B147" i="8" s="1"/>
  <c r="A148" i="8"/>
  <c r="B148" i="8" s="1"/>
  <c r="A149" i="8"/>
  <c r="B149" i="8" s="1"/>
  <c r="A150" i="8"/>
  <c r="B150" i="8" s="1"/>
  <c r="A151" i="8"/>
  <c r="B151" i="8" s="1"/>
  <c r="A152" i="8"/>
  <c r="B152" i="8" s="1"/>
  <c r="A153" i="8"/>
  <c r="B153" i="8" s="1"/>
  <c r="A154" i="8"/>
  <c r="B154" i="8" s="1"/>
  <c r="A155" i="8"/>
  <c r="B155" i="8" s="1"/>
  <c r="A156" i="8"/>
  <c r="B156" i="8" s="1"/>
  <c r="A157" i="8"/>
  <c r="B157" i="8" s="1"/>
  <c r="A158" i="8"/>
  <c r="B158" i="8" s="1"/>
  <c r="A159" i="8"/>
  <c r="B159" i="8" s="1"/>
  <c r="A160" i="8"/>
  <c r="B160" i="8" s="1"/>
  <c r="A161" i="8"/>
  <c r="B161" i="8" s="1"/>
  <c r="A162" i="8"/>
  <c r="B162" i="8" s="1"/>
  <c r="A163" i="8"/>
  <c r="B163" i="8" s="1"/>
  <c r="A164" i="8"/>
  <c r="B164" i="8" s="1"/>
  <c r="A165" i="8"/>
  <c r="B165" i="8" s="1"/>
  <c r="A166" i="8"/>
  <c r="B166" i="8" s="1"/>
  <c r="A167" i="8"/>
  <c r="B167" i="8" s="1"/>
  <c r="A168" i="8"/>
  <c r="B168" i="8" s="1"/>
  <c r="A169" i="8"/>
  <c r="B169" i="8" s="1"/>
  <c r="A170" i="8"/>
  <c r="B170" i="8" s="1"/>
  <c r="A171" i="8"/>
  <c r="B171" i="8" s="1"/>
  <c r="A172" i="8"/>
  <c r="B172" i="8" s="1"/>
  <c r="A173" i="8"/>
  <c r="B173" i="8" s="1"/>
  <c r="A174" i="8"/>
  <c r="B174" i="8" s="1"/>
  <c r="A175" i="8"/>
  <c r="B175" i="8" s="1"/>
  <c r="A176" i="8"/>
  <c r="B176" i="8" s="1"/>
  <c r="A177" i="8"/>
  <c r="B177" i="8" s="1"/>
  <c r="A178" i="8"/>
  <c r="B178" i="8" s="1"/>
  <c r="A179" i="8"/>
  <c r="B179" i="8" s="1"/>
  <c r="A180" i="8"/>
  <c r="B180" i="8" s="1"/>
  <c r="A181" i="8"/>
  <c r="B181" i="8" s="1"/>
  <c r="A182" i="8"/>
  <c r="B182" i="8" s="1"/>
  <c r="A183" i="8"/>
  <c r="B183" i="8" s="1"/>
  <c r="A184" i="8"/>
  <c r="B184" i="8" s="1"/>
  <c r="A185" i="8"/>
  <c r="B185" i="8" s="1"/>
  <c r="A186" i="8"/>
  <c r="B186" i="8" s="1"/>
  <c r="A187" i="8"/>
  <c r="B187" i="8" s="1"/>
  <c r="A188" i="8"/>
  <c r="B188" i="8" s="1"/>
  <c r="A189" i="8"/>
  <c r="B189" i="8" s="1"/>
  <c r="A190" i="8"/>
  <c r="B190" i="8" s="1"/>
  <c r="A191" i="8"/>
  <c r="B191" i="8" s="1"/>
  <c r="A192" i="8"/>
  <c r="B192" i="8" s="1"/>
  <c r="A193" i="8"/>
  <c r="B193" i="8" s="1"/>
  <c r="A194" i="8"/>
  <c r="B194" i="8" s="1"/>
  <c r="A195" i="8"/>
  <c r="B195" i="8" s="1"/>
  <c r="A196" i="8"/>
  <c r="B196" i="8" s="1"/>
  <c r="A197" i="8"/>
  <c r="B197" i="8" s="1"/>
  <c r="A198" i="8"/>
  <c r="B198" i="8" s="1"/>
  <c r="A199" i="8"/>
  <c r="B199" i="8" s="1"/>
  <c r="A200" i="8"/>
  <c r="B200" i="8" s="1"/>
  <c r="A201" i="8"/>
  <c r="B201" i="8" s="1"/>
  <c r="A202" i="8"/>
  <c r="B202" i="8" s="1"/>
  <c r="A203" i="8"/>
  <c r="B203" i="8" s="1"/>
  <c r="A204" i="8"/>
  <c r="B204" i="8" s="1"/>
  <c r="A205" i="8"/>
  <c r="B205" i="8" s="1"/>
  <c r="A206" i="8"/>
  <c r="B206" i="8" s="1"/>
  <c r="A207" i="8"/>
  <c r="B207" i="8" s="1"/>
  <c r="A208" i="8"/>
  <c r="B208" i="8" s="1"/>
  <c r="A209" i="8"/>
  <c r="B209" i="8" s="1"/>
  <c r="A210" i="8"/>
  <c r="B210" i="8" s="1"/>
  <c r="A211" i="8"/>
  <c r="B211" i="8" s="1"/>
  <c r="A212" i="8"/>
  <c r="B212" i="8" s="1"/>
  <c r="A213" i="8"/>
  <c r="B213" i="8" s="1"/>
  <c r="A214" i="8"/>
  <c r="B214" i="8" s="1"/>
  <c r="A215" i="8"/>
  <c r="B215" i="8" s="1"/>
  <c r="A216" i="8"/>
  <c r="B216" i="8" s="1"/>
  <c r="A217" i="8"/>
  <c r="B217" i="8" s="1"/>
  <c r="A218" i="8"/>
  <c r="B218" i="8" s="1"/>
  <c r="A219" i="8"/>
  <c r="B219" i="8" s="1"/>
  <c r="A220" i="8"/>
  <c r="B220" i="8" s="1"/>
  <c r="A221" i="8"/>
  <c r="B221" i="8" s="1"/>
  <c r="A222" i="8"/>
  <c r="B222" i="8" s="1"/>
  <c r="A223" i="8"/>
  <c r="B223" i="8" s="1"/>
  <c r="A224" i="8"/>
  <c r="B224" i="8" s="1"/>
  <c r="A225" i="8"/>
  <c r="B225" i="8" s="1"/>
  <c r="A226" i="8"/>
  <c r="B226" i="8" s="1"/>
  <c r="A227" i="8"/>
  <c r="B227" i="8" s="1"/>
  <c r="A228" i="8"/>
  <c r="B228" i="8" s="1"/>
  <c r="A229" i="8"/>
  <c r="B229" i="8" s="1"/>
  <c r="A230" i="8"/>
  <c r="B230" i="8" s="1"/>
  <c r="A231" i="8"/>
  <c r="B231" i="8" s="1"/>
  <c r="A232" i="8"/>
  <c r="B232" i="8" s="1"/>
  <c r="A233" i="8"/>
  <c r="B233" i="8" s="1"/>
  <c r="A234" i="8"/>
  <c r="B234" i="8" s="1"/>
  <c r="A235" i="8"/>
  <c r="B235" i="8" s="1"/>
  <c r="A236" i="8"/>
  <c r="B236" i="8" s="1"/>
  <c r="A237" i="8"/>
  <c r="B237" i="8" s="1"/>
  <c r="A238" i="8"/>
  <c r="B238" i="8" s="1"/>
  <c r="A239" i="8"/>
  <c r="B239" i="8" s="1"/>
  <c r="A240" i="8"/>
  <c r="B240" i="8" s="1"/>
  <c r="A241" i="8"/>
  <c r="B241" i="8" s="1"/>
  <c r="A242" i="8"/>
  <c r="B242" i="8" s="1"/>
  <c r="A243" i="8"/>
  <c r="B243" i="8" s="1"/>
  <c r="A244" i="8"/>
  <c r="B244" i="8" s="1"/>
  <c r="A245" i="8"/>
  <c r="B245" i="8" s="1"/>
  <c r="A246" i="8"/>
  <c r="B246" i="8" s="1"/>
  <c r="A247" i="8"/>
  <c r="B247" i="8" s="1"/>
  <c r="A248" i="8"/>
  <c r="B248" i="8" s="1"/>
  <c r="A249" i="8"/>
  <c r="B249" i="8" s="1"/>
  <c r="A250" i="8"/>
  <c r="B250" i="8" s="1"/>
  <c r="A251" i="8"/>
  <c r="B251" i="8" s="1"/>
  <c r="A252" i="8"/>
  <c r="B252" i="8" s="1"/>
  <c r="A253" i="8"/>
  <c r="B253" i="8" s="1"/>
  <c r="A254" i="8"/>
  <c r="B254" i="8" s="1"/>
  <c r="A255" i="8"/>
  <c r="B255" i="8" s="1"/>
  <c r="A256" i="8"/>
  <c r="B256" i="8" s="1"/>
  <c r="A257" i="8"/>
  <c r="B257" i="8" s="1"/>
  <c r="A258" i="8"/>
  <c r="B258" i="8" s="1"/>
  <c r="A259" i="8"/>
  <c r="B259" i="8" s="1"/>
  <c r="A260" i="8"/>
  <c r="B260" i="8" s="1"/>
  <c r="A261" i="8"/>
  <c r="B261" i="8" s="1"/>
  <c r="A262" i="8"/>
  <c r="B262" i="8" s="1"/>
  <c r="A263" i="8"/>
  <c r="B263" i="8" s="1"/>
  <c r="A264" i="8"/>
  <c r="B264" i="8" s="1"/>
  <c r="A265" i="8"/>
  <c r="B265" i="8" s="1"/>
  <c r="A266" i="8"/>
  <c r="B266" i="8" s="1"/>
  <c r="A267" i="8"/>
  <c r="B267" i="8" s="1"/>
  <c r="A268" i="8"/>
  <c r="B268" i="8" s="1"/>
  <c r="A269" i="8"/>
  <c r="B269" i="8" s="1"/>
  <c r="A270" i="8"/>
  <c r="B270" i="8" s="1"/>
  <c r="A271" i="8"/>
  <c r="B271" i="8" s="1"/>
  <c r="A272" i="8"/>
  <c r="B272" i="8" s="1"/>
  <c r="A273" i="8"/>
  <c r="B273" i="8" s="1"/>
  <c r="A274" i="8"/>
  <c r="B274" i="8" s="1"/>
  <c r="A275" i="8"/>
  <c r="B275" i="8" s="1"/>
  <c r="A276" i="8"/>
  <c r="B276" i="8" s="1"/>
  <c r="A277" i="8"/>
  <c r="B277" i="8" s="1"/>
  <c r="A278" i="8"/>
  <c r="B278" i="8" s="1"/>
  <c r="A279" i="8"/>
  <c r="B279" i="8" s="1"/>
  <c r="A280" i="8"/>
  <c r="B280" i="8" s="1"/>
  <c r="A281" i="8"/>
  <c r="B281" i="8" s="1"/>
  <c r="A282" i="8"/>
  <c r="B282" i="8" s="1"/>
  <c r="A283" i="8"/>
  <c r="B283" i="8" s="1"/>
  <c r="A284" i="8"/>
  <c r="B284" i="8" s="1"/>
  <c r="A285" i="8"/>
  <c r="B285" i="8" s="1"/>
  <c r="A286" i="8"/>
  <c r="B286" i="8" s="1"/>
  <c r="A287" i="8"/>
  <c r="B287" i="8" s="1"/>
  <c r="A288" i="8"/>
  <c r="B288" i="8" s="1"/>
  <c r="A289" i="8"/>
  <c r="B289" i="8" s="1"/>
  <c r="A290" i="8"/>
  <c r="B290" i="8" s="1"/>
  <c r="A291" i="8"/>
  <c r="B291" i="8" s="1"/>
  <c r="A292" i="8"/>
  <c r="B292" i="8" s="1"/>
  <c r="A293" i="8"/>
  <c r="B293" i="8" s="1"/>
  <c r="A294" i="8"/>
  <c r="B294" i="8" s="1"/>
  <c r="A295" i="8"/>
  <c r="B295" i="8" s="1"/>
  <c r="A296" i="8"/>
  <c r="B296" i="8" s="1"/>
  <c r="A297" i="8"/>
  <c r="B297" i="8" s="1"/>
  <c r="A298" i="8"/>
  <c r="B298" i="8" s="1"/>
  <c r="A299" i="8"/>
  <c r="B299" i="8" s="1"/>
  <c r="A300" i="8"/>
  <c r="B300" i="8" s="1"/>
  <c r="A301" i="8"/>
  <c r="B301" i="8" s="1"/>
  <c r="A302" i="8"/>
  <c r="B302" i="8" s="1"/>
  <c r="A303" i="8"/>
  <c r="B303" i="8" s="1"/>
  <c r="A304" i="8"/>
  <c r="B304" i="8" s="1"/>
  <c r="A305" i="8"/>
  <c r="B305" i="8" s="1"/>
  <c r="A306" i="8"/>
  <c r="B306" i="8" s="1"/>
  <c r="A307" i="8"/>
  <c r="B307" i="8" s="1"/>
  <c r="A308" i="8"/>
  <c r="B308" i="8" s="1"/>
  <c r="A309" i="8"/>
  <c r="B309" i="8" s="1"/>
  <c r="A310" i="8"/>
  <c r="B310" i="8" s="1"/>
  <c r="A311" i="8"/>
  <c r="B311" i="8" s="1"/>
  <c r="A312" i="8"/>
  <c r="B312" i="8" s="1"/>
  <c r="A313" i="8"/>
  <c r="B313" i="8" s="1"/>
  <c r="A314" i="8"/>
  <c r="B314" i="8" s="1"/>
  <c r="A315" i="8"/>
  <c r="B315" i="8" s="1"/>
  <c r="A316" i="8"/>
  <c r="B316" i="8" s="1"/>
  <c r="A317" i="8"/>
  <c r="B317" i="8" s="1"/>
  <c r="A318" i="8"/>
  <c r="B318" i="8" s="1"/>
  <c r="A319" i="8"/>
  <c r="B319" i="8" s="1"/>
  <c r="A320" i="8"/>
  <c r="B320" i="8" s="1"/>
  <c r="A321" i="8"/>
  <c r="B321" i="8" s="1"/>
  <c r="A322" i="8"/>
  <c r="B322" i="8" s="1"/>
  <c r="A323" i="8"/>
  <c r="B323" i="8" s="1"/>
  <c r="A324" i="8"/>
  <c r="B324" i="8" s="1"/>
  <c r="A325" i="8"/>
  <c r="B325" i="8" s="1"/>
  <c r="A326" i="8"/>
  <c r="B326" i="8" s="1"/>
  <c r="A327" i="8"/>
  <c r="B327" i="8" s="1"/>
  <c r="A328" i="8"/>
  <c r="B328" i="8" s="1"/>
  <c r="A329" i="8"/>
  <c r="B329" i="8" s="1"/>
  <c r="A330" i="8"/>
  <c r="B330" i="8" s="1"/>
  <c r="A331" i="8"/>
  <c r="B331" i="8" s="1"/>
  <c r="A332" i="8"/>
  <c r="B332" i="8" s="1"/>
  <c r="A333" i="8"/>
  <c r="B333" i="8" s="1"/>
  <c r="A334" i="8"/>
  <c r="B334" i="8" s="1"/>
  <c r="A335" i="8"/>
  <c r="B335" i="8" s="1"/>
  <c r="A336" i="8"/>
  <c r="B336" i="8" s="1"/>
  <c r="A337" i="8"/>
  <c r="B337" i="8" s="1"/>
  <c r="A338" i="8"/>
  <c r="B338" i="8" s="1"/>
  <c r="A339" i="8"/>
  <c r="B339" i="8" s="1"/>
  <c r="A340" i="8"/>
  <c r="B340" i="8" s="1"/>
  <c r="A341" i="8"/>
  <c r="B341" i="8" s="1"/>
  <c r="A342" i="8"/>
  <c r="B342" i="8" s="1"/>
  <c r="A343" i="8"/>
  <c r="B343" i="8" s="1"/>
  <c r="A344" i="8"/>
  <c r="B344" i="8" s="1"/>
  <c r="A345" i="8"/>
  <c r="B345" i="8" s="1"/>
  <c r="A346" i="8"/>
  <c r="B346" i="8" s="1"/>
  <c r="A347" i="8"/>
  <c r="B347" i="8" s="1"/>
  <c r="A348" i="8"/>
  <c r="B348" i="8" s="1"/>
  <c r="A349" i="8"/>
  <c r="B349" i="8" s="1"/>
  <c r="A350" i="8"/>
  <c r="B350" i="8" s="1"/>
  <c r="A351" i="8"/>
  <c r="B351" i="8" s="1"/>
  <c r="A352" i="8"/>
  <c r="B352" i="8" s="1"/>
  <c r="A353" i="8"/>
  <c r="B353" i="8" s="1"/>
  <c r="A354" i="8"/>
  <c r="B354" i="8" s="1"/>
  <c r="A355" i="8"/>
  <c r="B355" i="8" s="1"/>
  <c r="A356" i="8"/>
  <c r="B356" i="8" s="1"/>
  <c r="A357" i="8"/>
  <c r="B357" i="8" s="1"/>
  <c r="A358" i="8"/>
  <c r="B358" i="8" s="1"/>
  <c r="A359" i="8"/>
  <c r="B359" i="8" s="1"/>
  <c r="A360" i="8"/>
  <c r="B360" i="8" s="1"/>
  <c r="A361" i="8"/>
  <c r="B361" i="8" s="1"/>
  <c r="A362" i="8"/>
  <c r="B362" i="8" s="1"/>
  <c r="A363" i="8"/>
  <c r="B363" i="8" s="1"/>
  <c r="A364" i="8"/>
  <c r="B364" i="8" s="1"/>
  <c r="A365" i="8"/>
  <c r="B365" i="8" s="1"/>
  <c r="A366" i="8"/>
  <c r="B366" i="8" s="1"/>
  <c r="A367" i="8"/>
  <c r="B367" i="8" s="1"/>
  <c r="A368" i="8"/>
  <c r="B368" i="8" s="1"/>
  <c r="A369" i="8"/>
  <c r="B369" i="8" s="1"/>
  <c r="A370" i="8"/>
  <c r="B370" i="8" s="1"/>
  <c r="A371" i="8"/>
  <c r="B371" i="8" s="1"/>
  <c r="A372" i="8"/>
  <c r="B372" i="8" s="1"/>
  <c r="A373" i="8"/>
  <c r="B373" i="8" s="1"/>
  <c r="A374" i="8"/>
  <c r="B374" i="8" s="1"/>
  <c r="A375" i="8"/>
  <c r="B375" i="8" s="1"/>
  <c r="A376" i="8"/>
  <c r="B376" i="8" s="1"/>
  <c r="A377" i="8"/>
  <c r="B377" i="8" s="1"/>
  <c r="A378" i="8"/>
  <c r="B378" i="8" s="1"/>
  <c r="A379" i="8"/>
  <c r="B379" i="8" s="1"/>
  <c r="A380" i="8"/>
  <c r="B380" i="8" s="1"/>
  <c r="A381" i="8"/>
  <c r="B381" i="8" s="1"/>
  <c r="A382" i="8"/>
  <c r="B382" i="8" s="1"/>
  <c r="A383" i="8"/>
  <c r="B383" i="8" s="1"/>
  <c r="A384" i="8"/>
  <c r="B384" i="8" s="1"/>
  <c r="A385" i="8"/>
  <c r="B385" i="8" s="1"/>
  <c r="A386" i="8"/>
  <c r="B386" i="8" s="1"/>
  <c r="A387" i="8"/>
  <c r="B387" i="8" s="1"/>
  <c r="A388" i="8"/>
  <c r="B388" i="8" s="1"/>
  <c r="A389" i="8"/>
  <c r="B389" i="8" s="1"/>
  <c r="A390" i="8"/>
  <c r="B390" i="8" s="1"/>
  <c r="A391" i="8"/>
  <c r="B391" i="8" s="1"/>
  <c r="A392" i="8"/>
  <c r="B392" i="8" s="1"/>
  <c r="A393" i="8"/>
  <c r="B393" i="8" s="1"/>
  <c r="A394" i="8"/>
  <c r="B394" i="8" s="1"/>
  <c r="A395" i="8"/>
  <c r="B395" i="8" s="1"/>
  <c r="A396" i="8"/>
  <c r="B396" i="8" s="1"/>
  <c r="A397" i="8"/>
  <c r="B397" i="8" s="1"/>
  <c r="A398" i="8"/>
  <c r="B398" i="8" s="1"/>
  <c r="A399" i="8"/>
  <c r="B399" i="8" s="1"/>
  <c r="A400" i="8"/>
  <c r="B400" i="8" s="1"/>
  <c r="A401" i="8"/>
  <c r="B401" i="8" s="1"/>
  <c r="A402" i="8"/>
  <c r="B402" i="8" s="1"/>
  <c r="A403" i="8"/>
  <c r="B403" i="8" s="1"/>
  <c r="A404" i="8"/>
  <c r="B404" i="8" s="1"/>
  <c r="A405" i="8"/>
  <c r="B405" i="8" s="1"/>
  <c r="A406" i="8"/>
  <c r="B406" i="8" s="1"/>
  <c r="A407" i="8"/>
  <c r="B407" i="8" s="1"/>
  <c r="A408" i="8"/>
  <c r="B408" i="8" s="1"/>
  <c r="A409" i="8"/>
  <c r="B409" i="8" s="1"/>
  <c r="A410" i="8"/>
  <c r="B410" i="8" s="1"/>
  <c r="A411" i="8"/>
  <c r="B411" i="8" s="1"/>
  <c r="A412" i="8"/>
  <c r="B412" i="8" s="1"/>
  <c r="A413" i="8"/>
  <c r="B413" i="8" s="1"/>
  <c r="A414" i="8"/>
  <c r="B414" i="8" s="1"/>
  <c r="A415" i="8"/>
  <c r="B415" i="8" s="1"/>
  <c r="A416" i="8"/>
  <c r="B416" i="8" s="1"/>
  <c r="A417" i="8"/>
  <c r="B417" i="8" s="1"/>
  <c r="A418" i="8"/>
  <c r="B418" i="8" s="1"/>
  <c r="A419" i="8"/>
  <c r="B419" i="8" s="1"/>
  <c r="A420" i="8"/>
  <c r="B420" i="8" s="1"/>
  <c r="A421" i="8"/>
  <c r="B421" i="8" s="1"/>
  <c r="A422" i="8"/>
  <c r="B422" i="8" s="1"/>
  <c r="A423" i="8"/>
  <c r="B423" i="8" s="1"/>
  <c r="A424" i="8"/>
  <c r="B424" i="8" s="1"/>
  <c r="A425" i="8"/>
  <c r="B425" i="8" s="1"/>
  <c r="A426" i="8"/>
  <c r="B426" i="8" s="1"/>
  <c r="A427" i="8"/>
  <c r="B427" i="8" s="1"/>
  <c r="A428" i="8"/>
  <c r="B428" i="8" s="1"/>
  <c r="A429" i="8"/>
  <c r="B429" i="8" s="1"/>
  <c r="A430" i="8"/>
  <c r="B430" i="8" s="1"/>
  <c r="A431" i="8"/>
  <c r="B431" i="8" s="1"/>
  <c r="A432" i="8"/>
  <c r="B432" i="8" s="1"/>
  <c r="A433" i="8"/>
  <c r="B433" i="8" s="1"/>
  <c r="A434" i="8"/>
  <c r="B434" i="8" s="1"/>
  <c r="A435" i="8"/>
  <c r="B435" i="8" s="1"/>
  <c r="A436" i="8"/>
  <c r="B436" i="8" s="1"/>
  <c r="A437" i="8"/>
  <c r="B437" i="8" s="1"/>
  <c r="A438" i="8"/>
  <c r="B438" i="8" s="1"/>
  <c r="A439" i="8"/>
  <c r="B439" i="8" s="1"/>
  <c r="A440" i="8"/>
  <c r="B440" i="8" s="1"/>
  <c r="A441" i="8"/>
  <c r="B441" i="8" s="1"/>
  <c r="A442" i="8"/>
  <c r="B442" i="8" s="1"/>
  <c r="A443" i="8"/>
  <c r="B443" i="8" s="1"/>
  <c r="A444" i="8"/>
  <c r="B444" i="8" s="1"/>
  <c r="A445" i="8"/>
  <c r="B445" i="8" s="1"/>
  <c r="A446" i="8"/>
  <c r="B446" i="8" s="1"/>
  <c r="A447" i="8"/>
  <c r="B447" i="8" s="1"/>
  <c r="A448" i="8"/>
  <c r="B448" i="8" s="1"/>
  <c r="A449" i="8"/>
  <c r="B449" i="8" s="1"/>
  <c r="A450" i="8"/>
  <c r="B450" i="8" s="1"/>
  <c r="A451" i="8"/>
  <c r="B451" i="8" s="1"/>
  <c r="A452" i="8"/>
  <c r="B452" i="8" s="1"/>
  <c r="A453" i="8"/>
  <c r="B453" i="8" s="1"/>
  <c r="A454" i="8"/>
  <c r="B454" i="8" s="1"/>
  <c r="A455" i="8"/>
  <c r="B455" i="8" s="1"/>
  <c r="A456" i="8"/>
  <c r="B456" i="8" s="1"/>
  <c r="A457" i="8"/>
  <c r="B457" i="8" s="1"/>
  <c r="A458" i="8"/>
  <c r="B458" i="8" s="1"/>
  <c r="A459" i="8"/>
  <c r="B459" i="8" s="1"/>
  <c r="A460" i="8"/>
  <c r="B460" i="8" s="1"/>
  <c r="A461" i="8"/>
  <c r="B461" i="8" s="1"/>
  <c r="A462" i="8"/>
  <c r="B462" i="8" s="1"/>
  <c r="A463" i="8"/>
  <c r="B463" i="8" s="1"/>
  <c r="A464" i="8"/>
  <c r="B464" i="8" s="1"/>
  <c r="A465" i="8"/>
  <c r="B465" i="8" s="1"/>
  <c r="A466" i="8"/>
  <c r="B466" i="8" s="1"/>
  <c r="A467" i="8"/>
  <c r="B467" i="8" s="1"/>
  <c r="A468" i="8"/>
  <c r="B468" i="8" s="1"/>
  <c r="A469" i="8"/>
  <c r="B469" i="8" s="1"/>
  <c r="A470" i="8"/>
  <c r="B470" i="8" s="1"/>
  <c r="A471" i="8"/>
  <c r="B471" i="8" s="1"/>
  <c r="A472" i="8"/>
  <c r="B472" i="8" s="1"/>
  <c r="A473" i="8"/>
  <c r="B473" i="8" s="1"/>
  <c r="A474" i="8"/>
  <c r="B474" i="8" s="1"/>
  <c r="A475" i="8"/>
  <c r="B475" i="8" s="1"/>
  <c r="A476" i="8"/>
  <c r="B476" i="8" s="1"/>
  <c r="A477" i="8"/>
  <c r="B477" i="8" s="1"/>
  <c r="A478" i="8"/>
  <c r="B478" i="8" s="1"/>
  <c r="A479" i="8"/>
  <c r="B479" i="8" s="1"/>
  <c r="A480" i="8"/>
  <c r="B480" i="8" s="1"/>
  <c r="A481" i="8"/>
  <c r="B481" i="8" s="1"/>
  <c r="A482" i="8"/>
  <c r="B482" i="8" s="1"/>
  <c r="A483" i="8"/>
  <c r="B483" i="8" s="1"/>
  <c r="A484" i="8"/>
  <c r="B484" i="8" s="1"/>
  <c r="A485" i="8"/>
  <c r="B485" i="8" s="1"/>
  <c r="A486" i="8"/>
  <c r="B486" i="8" s="1"/>
  <c r="A487" i="8"/>
  <c r="B487" i="8" s="1"/>
  <c r="A488" i="8"/>
  <c r="B488" i="8" s="1"/>
  <c r="A489" i="8"/>
  <c r="B489" i="8" s="1"/>
  <c r="A490" i="8"/>
  <c r="B490" i="8" s="1"/>
  <c r="A491" i="8"/>
  <c r="B491" i="8" s="1"/>
  <c r="A492" i="8"/>
  <c r="B492" i="8" s="1"/>
  <c r="A493" i="8"/>
  <c r="B493" i="8" s="1"/>
  <c r="A494" i="8"/>
  <c r="B494" i="8" s="1"/>
  <c r="A495" i="8"/>
  <c r="B495" i="8" s="1"/>
  <c r="A496" i="8"/>
  <c r="B496" i="8" s="1"/>
  <c r="A497" i="8"/>
  <c r="B497" i="8" s="1"/>
  <c r="A498" i="8"/>
  <c r="B498" i="8" s="1"/>
  <c r="A499" i="8"/>
  <c r="B499" i="8" s="1"/>
  <c r="A500" i="8"/>
  <c r="B500" i="8" s="1"/>
  <c r="A501" i="8"/>
  <c r="B501" i="8" s="1"/>
  <c r="A502" i="8"/>
  <c r="B502" i="8" s="1"/>
  <c r="A503" i="8"/>
  <c r="B503" i="8" s="1"/>
  <c r="A504" i="8"/>
  <c r="B504" i="8" s="1"/>
  <c r="A505" i="8"/>
  <c r="B505" i="8" s="1"/>
  <c r="A506" i="8"/>
  <c r="B506" i="8" s="1"/>
  <c r="A507" i="8"/>
  <c r="B507" i="8" s="1"/>
  <c r="A508" i="8"/>
  <c r="B508" i="8" s="1"/>
  <c r="A509" i="8"/>
  <c r="B509" i="8" s="1"/>
  <c r="A510" i="8"/>
  <c r="B510" i="8" s="1"/>
  <c r="A511" i="8"/>
  <c r="B511" i="8" s="1"/>
  <c r="A512" i="8"/>
  <c r="B512" i="8" s="1"/>
  <c r="A513" i="8"/>
  <c r="B513" i="8" s="1"/>
  <c r="A514" i="8"/>
  <c r="B514" i="8" s="1"/>
  <c r="A515" i="8"/>
  <c r="B515" i="8" s="1"/>
  <c r="A516" i="8"/>
  <c r="B516" i="8" s="1"/>
  <c r="A517" i="8"/>
  <c r="B517" i="8" s="1"/>
  <c r="A518" i="8"/>
  <c r="B518" i="8" s="1"/>
  <c r="A519" i="8"/>
  <c r="B519" i="8" s="1"/>
  <c r="A520" i="8"/>
  <c r="B520" i="8" s="1"/>
  <c r="A521" i="8"/>
  <c r="B521" i="8" s="1"/>
  <c r="A522" i="8"/>
  <c r="B522" i="8" s="1"/>
  <c r="A523" i="8"/>
  <c r="B523" i="8" s="1"/>
  <c r="A524" i="8"/>
  <c r="B524" i="8" s="1"/>
  <c r="A525" i="8"/>
  <c r="B525" i="8" s="1"/>
  <c r="A526" i="8"/>
  <c r="B526" i="8" s="1"/>
  <c r="A527" i="8"/>
  <c r="B527" i="8" s="1"/>
  <c r="A528" i="8"/>
  <c r="B528" i="8" s="1"/>
  <c r="A529" i="8"/>
  <c r="B529" i="8" s="1"/>
  <c r="A530" i="8"/>
  <c r="B530" i="8" s="1"/>
  <c r="A531" i="8"/>
  <c r="B531" i="8" s="1"/>
  <c r="A532" i="8"/>
  <c r="B532" i="8" s="1"/>
  <c r="A533" i="8"/>
  <c r="B533" i="8" s="1"/>
  <c r="A534" i="8"/>
  <c r="B534" i="8" s="1"/>
  <c r="A535" i="8"/>
  <c r="B535" i="8" s="1"/>
  <c r="A536" i="8"/>
  <c r="B536" i="8" s="1"/>
  <c r="A537" i="8"/>
  <c r="B537" i="8" s="1"/>
  <c r="A538" i="8"/>
  <c r="B538" i="8" s="1"/>
  <c r="A539" i="8"/>
  <c r="B539" i="8" s="1"/>
  <c r="A540" i="8"/>
  <c r="B540" i="8" s="1"/>
  <c r="A541" i="8"/>
  <c r="B541" i="8" s="1"/>
  <c r="A542" i="8"/>
  <c r="B542" i="8" s="1"/>
  <c r="A543" i="8"/>
  <c r="B543" i="8" s="1"/>
  <c r="A544" i="8"/>
  <c r="B544" i="8" s="1"/>
  <c r="A545" i="8"/>
  <c r="B545" i="8" s="1"/>
  <c r="A546" i="8"/>
  <c r="B546" i="8" s="1"/>
  <c r="A547" i="8"/>
  <c r="B547" i="8" s="1"/>
  <c r="A548" i="8"/>
  <c r="B548" i="8" s="1"/>
  <c r="A549" i="8"/>
  <c r="B549" i="8" s="1"/>
  <c r="A550" i="8"/>
  <c r="B550" i="8" s="1"/>
  <c r="A551" i="8"/>
  <c r="B551" i="8" s="1"/>
  <c r="A552" i="8"/>
  <c r="B552" i="8" s="1"/>
  <c r="A553" i="8"/>
  <c r="B553" i="8" s="1"/>
  <c r="A554" i="8"/>
  <c r="B554" i="8" s="1"/>
  <c r="A555" i="8"/>
  <c r="B555" i="8" s="1"/>
  <c r="A556" i="8"/>
  <c r="B556" i="8" s="1"/>
  <c r="A557" i="8"/>
  <c r="B557" i="8" s="1"/>
  <c r="A558" i="8"/>
  <c r="B558" i="8" s="1"/>
  <c r="A559" i="8"/>
  <c r="B559" i="8" s="1"/>
  <c r="A560" i="8"/>
  <c r="B560" i="8" s="1"/>
  <c r="A561" i="8"/>
  <c r="B561" i="8" s="1"/>
  <c r="A562" i="8"/>
  <c r="B562" i="8" s="1"/>
  <c r="A563" i="8"/>
  <c r="B563" i="8" s="1"/>
  <c r="A564" i="8"/>
  <c r="B564" i="8" s="1"/>
  <c r="A565" i="8"/>
  <c r="B565" i="8" s="1"/>
  <c r="A566" i="8"/>
  <c r="B566" i="8" s="1"/>
  <c r="A567" i="8"/>
  <c r="B567" i="8" s="1"/>
  <c r="A568" i="8"/>
  <c r="B568" i="8" s="1"/>
  <c r="A569" i="8"/>
  <c r="B569" i="8" s="1"/>
  <c r="A570" i="8"/>
  <c r="B570" i="8" s="1"/>
  <c r="A571" i="8"/>
  <c r="B571" i="8" s="1"/>
  <c r="A572" i="8"/>
  <c r="B572" i="8" s="1"/>
  <c r="A573" i="8"/>
  <c r="B573" i="8" s="1"/>
  <c r="A574" i="8"/>
  <c r="B574" i="8" s="1"/>
  <c r="A575" i="8"/>
  <c r="B575" i="8" s="1"/>
  <c r="A576" i="8"/>
  <c r="B576" i="8" s="1"/>
  <c r="A577" i="8"/>
  <c r="B577" i="8" s="1"/>
  <c r="A578" i="8"/>
  <c r="B578" i="8" s="1"/>
  <c r="A579" i="8"/>
  <c r="B579" i="8" s="1"/>
  <c r="A580" i="8"/>
  <c r="B580" i="8" s="1"/>
  <c r="A581" i="8"/>
  <c r="B581" i="8" s="1"/>
  <c r="A582" i="8"/>
  <c r="B582" i="8" s="1"/>
  <c r="A583" i="8"/>
  <c r="B583" i="8" s="1"/>
  <c r="A584" i="8"/>
  <c r="B584" i="8" s="1"/>
  <c r="A585" i="8"/>
  <c r="B585" i="8" s="1"/>
  <c r="A586" i="8"/>
  <c r="B586" i="8" s="1"/>
  <c r="A587" i="8"/>
  <c r="B587" i="8" s="1"/>
  <c r="A588" i="8"/>
  <c r="B588" i="8" s="1"/>
  <c r="A589" i="8"/>
  <c r="B589" i="8" s="1"/>
  <c r="A590" i="8"/>
  <c r="B590" i="8" s="1"/>
  <c r="A591" i="8"/>
  <c r="B591" i="8" s="1"/>
  <c r="A592" i="8"/>
  <c r="B592" i="8" s="1"/>
  <c r="A593" i="8"/>
  <c r="B593" i="8" s="1"/>
  <c r="A594" i="8"/>
  <c r="B594" i="8" s="1"/>
  <c r="A595" i="8"/>
  <c r="B595" i="8" s="1"/>
  <c r="A596" i="8"/>
  <c r="B596" i="8" s="1"/>
  <c r="A597" i="8"/>
  <c r="B597" i="8" s="1"/>
  <c r="A598" i="8"/>
  <c r="B598" i="8" s="1"/>
  <c r="A599" i="8"/>
  <c r="B599" i="8" s="1"/>
  <c r="A600" i="8"/>
  <c r="B600" i="8" s="1"/>
  <c r="A601" i="8"/>
  <c r="B601" i="8" s="1"/>
  <c r="A602" i="8"/>
  <c r="B602" i="8" s="1"/>
  <c r="A603" i="8"/>
  <c r="B603" i="8" s="1"/>
  <c r="A604" i="8"/>
  <c r="B604" i="8" s="1"/>
  <c r="A605" i="8"/>
  <c r="B605" i="8" s="1"/>
  <c r="A606" i="8"/>
  <c r="B606" i="8" s="1"/>
  <c r="A607" i="8"/>
  <c r="B607" i="8" s="1"/>
  <c r="A608" i="8"/>
  <c r="B608" i="8" s="1"/>
  <c r="A609" i="8"/>
  <c r="B609" i="8" s="1"/>
  <c r="A610" i="8"/>
  <c r="B610" i="8" s="1"/>
  <c r="A611" i="8"/>
  <c r="B611" i="8" s="1"/>
  <c r="A612" i="8"/>
  <c r="B612" i="8" s="1"/>
  <c r="A613" i="8"/>
  <c r="B613" i="8" s="1"/>
  <c r="A614" i="8"/>
  <c r="B614" i="8" s="1"/>
  <c r="A615" i="8"/>
  <c r="B615" i="8" s="1"/>
  <c r="A616" i="8"/>
  <c r="B616" i="8" s="1"/>
  <c r="A617" i="8"/>
  <c r="B617" i="8" s="1"/>
  <c r="A618" i="8"/>
  <c r="B618" i="8" s="1"/>
  <c r="A619" i="8"/>
  <c r="B619" i="8" s="1"/>
  <c r="A620" i="8"/>
  <c r="B620" i="8" s="1"/>
  <c r="A621" i="8"/>
  <c r="B621" i="8" s="1"/>
  <c r="A622" i="8"/>
  <c r="B622" i="8" s="1"/>
  <c r="A623" i="8"/>
  <c r="B623" i="8" s="1"/>
  <c r="A624" i="8"/>
  <c r="B624" i="8" s="1"/>
  <c r="A625" i="8"/>
  <c r="B625" i="8" s="1"/>
  <c r="A626" i="8"/>
  <c r="B626" i="8" s="1"/>
  <c r="A627" i="8"/>
  <c r="B627" i="8" s="1"/>
  <c r="A628" i="8"/>
  <c r="B628" i="8" s="1"/>
  <c r="A629" i="8"/>
  <c r="B629" i="8" s="1"/>
  <c r="A630" i="8"/>
  <c r="B630" i="8" s="1"/>
  <c r="A631" i="8"/>
  <c r="B631" i="8" s="1"/>
  <c r="A632" i="8"/>
  <c r="B632" i="8" s="1"/>
  <c r="A633" i="8"/>
  <c r="B633" i="8" s="1"/>
  <c r="A634" i="8"/>
  <c r="B634" i="8" s="1"/>
  <c r="A635" i="8"/>
  <c r="B635" i="8" s="1"/>
  <c r="A636" i="8"/>
  <c r="B636" i="8" s="1"/>
  <c r="A637" i="8"/>
  <c r="B637" i="8" s="1"/>
  <c r="A638" i="8"/>
  <c r="B638" i="8" s="1"/>
  <c r="A639" i="8"/>
  <c r="B639" i="8" s="1"/>
  <c r="A640" i="8"/>
  <c r="B640" i="8" s="1"/>
  <c r="A641" i="8"/>
  <c r="B641" i="8" s="1"/>
  <c r="A642" i="8"/>
  <c r="B642" i="8" s="1"/>
  <c r="A643" i="8"/>
  <c r="B643" i="8" s="1"/>
  <c r="A644" i="8"/>
  <c r="B644" i="8" s="1"/>
  <c r="A645" i="8"/>
  <c r="B645" i="8" s="1"/>
  <c r="A646" i="8"/>
  <c r="B646" i="8" s="1"/>
  <c r="A647" i="8"/>
  <c r="B647" i="8" s="1"/>
  <c r="A648" i="8"/>
  <c r="B648" i="8" s="1"/>
  <c r="A649" i="8"/>
  <c r="B649" i="8" s="1"/>
  <c r="A650" i="8"/>
  <c r="B650" i="8" s="1"/>
  <c r="A651" i="8"/>
  <c r="B651" i="8" s="1"/>
  <c r="A652" i="8"/>
  <c r="B652" i="8" s="1"/>
  <c r="A653" i="8"/>
  <c r="B653" i="8" s="1"/>
  <c r="A654" i="8"/>
  <c r="B654" i="8" s="1"/>
  <c r="A655" i="8"/>
  <c r="B655" i="8" s="1"/>
  <c r="A656" i="8"/>
  <c r="B656" i="8" s="1"/>
  <c r="A657" i="8"/>
  <c r="B657" i="8" s="1"/>
  <c r="A658" i="8"/>
  <c r="B658" i="8" s="1"/>
  <c r="A659" i="8"/>
  <c r="B659" i="8" s="1"/>
  <c r="A660" i="8"/>
  <c r="B660" i="8" s="1"/>
  <c r="A661" i="8"/>
  <c r="B661" i="8" s="1"/>
  <c r="A662" i="8"/>
  <c r="B662" i="8" s="1"/>
  <c r="A663" i="8"/>
  <c r="B663" i="8" s="1"/>
  <c r="A664" i="8"/>
  <c r="B664" i="8" s="1"/>
  <c r="A665" i="8"/>
  <c r="B665" i="8" s="1"/>
  <c r="A666" i="8"/>
  <c r="B666" i="8" s="1"/>
  <c r="A667" i="8"/>
  <c r="B667" i="8" s="1"/>
  <c r="A668" i="8"/>
  <c r="B668" i="8" s="1"/>
  <c r="A669" i="8"/>
  <c r="B669" i="8" s="1"/>
  <c r="A670" i="8"/>
  <c r="B670" i="8" s="1"/>
  <c r="A671" i="8"/>
  <c r="B671" i="8" s="1"/>
  <c r="A672" i="8"/>
  <c r="B672" i="8" s="1"/>
  <c r="A673" i="8"/>
  <c r="B673" i="8" s="1"/>
  <c r="A674" i="8"/>
  <c r="B674" i="8" s="1"/>
  <c r="A675" i="8"/>
  <c r="B675" i="8" s="1"/>
  <c r="A676" i="8"/>
  <c r="B676" i="8" s="1"/>
  <c r="A677" i="8"/>
  <c r="B677" i="8" s="1"/>
  <c r="A678" i="8"/>
  <c r="B678" i="8" s="1"/>
  <c r="A679" i="8"/>
  <c r="B679" i="8" s="1"/>
  <c r="A680" i="8"/>
  <c r="B680" i="8" s="1"/>
  <c r="A681" i="8"/>
  <c r="B681" i="8" s="1"/>
  <c r="A682" i="8"/>
  <c r="B682" i="8" s="1"/>
  <c r="A683" i="8"/>
  <c r="B683" i="8" s="1"/>
  <c r="A684" i="8"/>
  <c r="B684" i="8" s="1"/>
  <c r="A685" i="8"/>
  <c r="B685" i="8" s="1"/>
  <c r="A686" i="8"/>
  <c r="B686" i="8" s="1"/>
  <c r="A687" i="8"/>
  <c r="B687" i="8" s="1"/>
  <c r="A688" i="8"/>
  <c r="B688" i="8" s="1"/>
  <c r="A689" i="8"/>
  <c r="B689" i="8" s="1"/>
  <c r="A690" i="8"/>
  <c r="B690" i="8" s="1"/>
  <c r="A691" i="8"/>
  <c r="B691" i="8" s="1"/>
  <c r="A692" i="8"/>
  <c r="B692" i="8" s="1"/>
  <c r="A693" i="8"/>
  <c r="B693" i="8" s="1"/>
  <c r="A694" i="8"/>
  <c r="B694" i="8" s="1"/>
  <c r="A695" i="8"/>
  <c r="B695" i="8" s="1"/>
  <c r="A696" i="8"/>
  <c r="B696" i="8" s="1"/>
  <c r="A697" i="8"/>
  <c r="B697" i="8" s="1"/>
  <c r="A698" i="8"/>
  <c r="B698" i="8" s="1"/>
  <c r="A699" i="8"/>
  <c r="B699" i="8" s="1"/>
  <c r="A700" i="8"/>
  <c r="B700" i="8" s="1"/>
  <c r="A701" i="8"/>
  <c r="B701" i="8" s="1"/>
  <c r="A702" i="8"/>
  <c r="B702" i="8" s="1"/>
  <c r="A703" i="8"/>
  <c r="B703" i="8" s="1"/>
  <c r="A704" i="8"/>
  <c r="B704" i="8" s="1"/>
  <c r="A705" i="8"/>
  <c r="B705" i="8" s="1"/>
  <c r="A706" i="8"/>
  <c r="B706" i="8" s="1"/>
  <c r="A707" i="8"/>
  <c r="B707" i="8" s="1"/>
  <c r="A708" i="8"/>
  <c r="B708" i="8" s="1"/>
  <c r="A709" i="8"/>
  <c r="B709" i="8" s="1"/>
  <c r="A710" i="8"/>
  <c r="B710" i="8" s="1"/>
  <c r="A711" i="8"/>
  <c r="B711" i="8" s="1"/>
  <c r="A712" i="8"/>
  <c r="B712" i="8" s="1"/>
  <c r="A713" i="8"/>
  <c r="B713" i="8" s="1"/>
  <c r="A714" i="8"/>
  <c r="B714" i="8" s="1"/>
  <c r="A715" i="8"/>
  <c r="B715" i="8" s="1"/>
  <c r="A716" i="8"/>
  <c r="B716" i="8" s="1"/>
  <c r="A717" i="8"/>
  <c r="B717" i="8" s="1"/>
  <c r="A718" i="8"/>
  <c r="B718" i="8" s="1"/>
  <c r="A719" i="8"/>
  <c r="B719" i="8" s="1"/>
  <c r="A720" i="8"/>
  <c r="B720" i="8" s="1"/>
  <c r="A721" i="8"/>
  <c r="B721" i="8" s="1"/>
  <c r="A722" i="8"/>
  <c r="B722" i="8" s="1"/>
  <c r="A723" i="8"/>
  <c r="B723" i="8" s="1"/>
  <c r="A724" i="8"/>
  <c r="B724" i="8" s="1"/>
  <c r="A725" i="8"/>
  <c r="B725" i="8" s="1"/>
  <c r="A726" i="8"/>
  <c r="B726" i="8" s="1"/>
  <c r="A727" i="8"/>
  <c r="B727" i="8" s="1"/>
  <c r="A728" i="8"/>
  <c r="B728" i="8" s="1"/>
  <c r="A729" i="8"/>
  <c r="B729" i="8" s="1"/>
  <c r="A730" i="8"/>
  <c r="B730" i="8" s="1"/>
  <c r="A731" i="8"/>
  <c r="B731" i="8" s="1"/>
  <c r="A732" i="8"/>
  <c r="B732" i="8" s="1"/>
  <c r="A733" i="8"/>
  <c r="B733" i="8" s="1"/>
  <c r="A734" i="8"/>
  <c r="B734" i="8" s="1"/>
  <c r="A735" i="8"/>
  <c r="B735" i="8" s="1"/>
  <c r="A736" i="8"/>
  <c r="B736" i="8" s="1"/>
  <c r="A737" i="8"/>
  <c r="B737" i="8" s="1"/>
  <c r="A738" i="8"/>
  <c r="B738" i="8" s="1"/>
  <c r="A739" i="8"/>
  <c r="B739" i="8" s="1"/>
  <c r="A740" i="8"/>
  <c r="B740" i="8" s="1"/>
  <c r="A741" i="8"/>
  <c r="B741" i="8" s="1"/>
  <c r="A742" i="8"/>
  <c r="B742" i="8" s="1"/>
  <c r="A743" i="8"/>
  <c r="B743" i="8" s="1"/>
  <c r="A744" i="8"/>
  <c r="B744" i="8" s="1"/>
  <c r="A745" i="8"/>
  <c r="B745" i="8" s="1"/>
  <c r="A746" i="8"/>
  <c r="B746" i="8" s="1"/>
  <c r="A747" i="8"/>
  <c r="B747" i="8" s="1"/>
  <c r="A748" i="8"/>
  <c r="B748" i="8" s="1"/>
  <c r="A749" i="8"/>
  <c r="B749" i="8" s="1"/>
  <c r="A750" i="8"/>
  <c r="B750" i="8" s="1"/>
  <c r="A751" i="8"/>
  <c r="B751" i="8" s="1"/>
  <c r="A752" i="8"/>
  <c r="B752" i="8" s="1"/>
  <c r="A753" i="8"/>
  <c r="B753" i="8" s="1"/>
  <c r="A754" i="8"/>
  <c r="B754" i="8" s="1"/>
  <c r="A755" i="8"/>
  <c r="B755" i="8" s="1"/>
  <c r="A756" i="8"/>
  <c r="B756" i="8" s="1"/>
  <c r="A757" i="8"/>
  <c r="B757" i="8" s="1"/>
  <c r="A758" i="8"/>
  <c r="B758" i="8" s="1"/>
  <c r="A759" i="8"/>
  <c r="B759" i="8" s="1"/>
  <c r="A760" i="8"/>
  <c r="B760" i="8" s="1"/>
  <c r="A761" i="8"/>
  <c r="B761" i="8" s="1"/>
  <c r="A762" i="8"/>
  <c r="B762" i="8" s="1"/>
  <c r="A763" i="8"/>
  <c r="B763" i="8" s="1"/>
  <c r="A764" i="8"/>
  <c r="B764" i="8" s="1"/>
  <c r="A765" i="8"/>
  <c r="B765" i="8" s="1"/>
  <c r="A766" i="8"/>
  <c r="B766" i="8" s="1"/>
  <c r="A767" i="8"/>
  <c r="B767" i="8" s="1"/>
  <c r="A768" i="8"/>
  <c r="B768" i="8" s="1"/>
  <c r="A769" i="8"/>
  <c r="B769" i="8" s="1"/>
  <c r="A770" i="8"/>
  <c r="B770" i="8" s="1"/>
  <c r="A771" i="8"/>
  <c r="B771" i="8" s="1"/>
  <c r="A772" i="8"/>
  <c r="B772" i="8" s="1"/>
  <c r="A773" i="8"/>
  <c r="B773" i="8" s="1"/>
  <c r="A774" i="8"/>
  <c r="B774" i="8" s="1"/>
  <c r="A775" i="8"/>
  <c r="B775" i="8" s="1"/>
  <c r="A776" i="8"/>
  <c r="B776" i="8" s="1"/>
  <c r="A777" i="8"/>
  <c r="B777" i="8" s="1"/>
  <c r="A778" i="8"/>
  <c r="B778" i="8" s="1"/>
  <c r="A779" i="8"/>
  <c r="B779" i="8" s="1"/>
  <c r="A780" i="8"/>
  <c r="B780" i="8" s="1"/>
  <c r="A781" i="8"/>
  <c r="B781" i="8" s="1"/>
  <c r="A782" i="8"/>
  <c r="B782" i="8" s="1"/>
  <c r="A783" i="8"/>
  <c r="B783" i="8" s="1"/>
  <c r="A784" i="8"/>
  <c r="B784" i="8" s="1"/>
  <c r="A785" i="8"/>
  <c r="B785" i="8" s="1"/>
  <c r="A786" i="8"/>
  <c r="B786" i="8" s="1"/>
  <c r="A787" i="8"/>
  <c r="B787" i="8" s="1"/>
  <c r="A788" i="8"/>
  <c r="B788" i="8" s="1"/>
  <c r="A789" i="8"/>
  <c r="B789" i="8" s="1"/>
  <c r="A790" i="8"/>
  <c r="B790" i="8" s="1"/>
  <c r="A791" i="8"/>
  <c r="B791" i="8" s="1"/>
  <c r="A792" i="8"/>
  <c r="B792" i="8" s="1"/>
  <c r="A793" i="8"/>
  <c r="B793" i="8" s="1"/>
  <c r="A794" i="8"/>
  <c r="B794" i="8" s="1"/>
  <c r="A795" i="8"/>
  <c r="B795" i="8" s="1"/>
  <c r="A796" i="8"/>
  <c r="B796" i="8" s="1"/>
  <c r="A797" i="8"/>
  <c r="B797" i="8" s="1"/>
  <c r="A798" i="8"/>
  <c r="B798" i="8" s="1"/>
  <c r="A799" i="8"/>
  <c r="A800" i="8"/>
  <c r="B800" i="8" s="1"/>
  <c r="A801" i="8"/>
  <c r="B801" i="8" s="1"/>
  <c r="A802" i="8"/>
  <c r="B802" i="8" s="1"/>
  <c r="A803" i="8"/>
  <c r="B803" i="8" s="1"/>
  <c r="A804" i="8"/>
  <c r="B804" i="8" s="1"/>
  <c r="A805" i="8"/>
  <c r="B805" i="8" s="1"/>
  <c r="A806" i="8"/>
  <c r="B806" i="8" s="1"/>
  <c r="A807" i="8"/>
  <c r="A808" i="8"/>
  <c r="B808" i="8" s="1"/>
  <c r="A809" i="8"/>
  <c r="B809" i="8" s="1"/>
  <c r="A810" i="8"/>
  <c r="B810" i="8" s="1"/>
  <c r="A811" i="8"/>
  <c r="B811" i="8" s="1"/>
  <c r="A812" i="8"/>
  <c r="B812" i="8" s="1"/>
  <c r="A813" i="8"/>
  <c r="A814" i="8"/>
  <c r="B814" i="8" s="1"/>
  <c r="A815" i="8"/>
  <c r="B815" i="8" s="1"/>
  <c r="A816" i="8"/>
  <c r="B816" i="8" s="1"/>
  <c r="P207" i="7"/>
  <c r="P272" i="7"/>
  <c r="P274" i="7"/>
  <c r="P275" i="7"/>
  <c r="P276" i="7"/>
  <c r="P277" i="7"/>
  <c r="P278" i="7"/>
  <c r="P279" i="7"/>
  <c r="P280" i="7"/>
  <c r="P282" i="7"/>
  <c r="P283" i="7"/>
  <c r="P284" i="7"/>
  <c r="P285" i="7"/>
  <c r="P286" i="7"/>
  <c r="P287" i="7"/>
  <c r="P288" i="7"/>
  <c r="P290" i="7"/>
  <c r="P291" i="7"/>
  <c r="P292" i="7"/>
  <c r="P293" i="7"/>
  <c r="P294" i="7"/>
  <c r="P295" i="7"/>
  <c r="P296" i="7"/>
  <c r="P298" i="7"/>
  <c r="P299" i="7"/>
  <c r="P300" i="7"/>
  <c r="P301" i="7"/>
  <c r="P302" i="7"/>
  <c r="P303" i="7"/>
  <c r="P304" i="7"/>
  <c r="P306" i="7"/>
  <c r="P307" i="7"/>
  <c r="P308" i="7"/>
  <c r="P309" i="7"/>
  <c r="P310" i="7"/>
  <c r="P311" i="7"/>
  <c r="P312" i="7"/>
  <c r="P314" i="7"/>
  <c r="P315" i="7"/>
  <c r="P316" i="7"/>
  <c r="P317" i="7"/>
  <c r="P318" i="7"/>
  <c r="P319" i="7"/>
  <c r="P320" i="7"/>
  <c r="P322" i="7"/>
  <c r="P323" i="7"/>
  <c r="P324" i="7"/>
  <c r="P325" i="7"/>
  <c r="P326" i="7"/>
  <c r="P327" i="7"/>
  <c r="P328" i="7"/>
  <c r="P330" i="7"/>
  <c r="P331" i="7"/>
  <c r="P332" i="7"/>
  <c r="P333" i="7"/>
  <c r="P334" i="7"/>
  <c r="P335" i="7"/>
  <c r="P336" i="7"/>
  <c r="P338" i="7"/>
  <c r="P339" i="7"/>
  <c r="P340" i="7"/>
  <c r="P341" i="7"/>
  <c r="P342" i="7"/>
  <c r="P343" i="7"/>
  <c r="P344" i="7"/>
  <c r="P346" i="7"/>
  <c r="P347" i="7"/>
  <c r="P348" i="7"/>
  <c r="P349" i="7"/>
  <c r="P350" i="7"/>
  <c r="P351" i="7"/>
  <c r="P352" i="7"/>
  <c r="P354" i="7"/>
  <c r="P355" i="7"/>
  <c r="P356" i="7"/>
  <c r="P357" i="7"/>
  <c r="P358" i="7"/>
  <c r="P359" i="7"/>
  <c r="P360" i="7"/>
  <c r="P362" i="7"/>
  <c r="P363" i="7"/>
  <c r="P364" i="7"/>
  <c r="P365" i="7"/>
  <c r="P366" i="7"/>
  <c r="P367" i="7"/>
  <c r="P368" i="7"/>
  <c r="P370" i="7"/>
  <c r="P371" i="7"/>
  <c r="P372" i="7"/>
  <c r="P373" i="7"/>
  <c r="P374" i="7"/>
  <c r="P375" i="7"/>
  <c r="P376" i="7"/>
  <c r="P378" i="7"/>
  <c r="P379" i="7"/>
  <c r="P380" i="7"/>
  <c r="P381" i="7"/>
  <c r="P382" i="7"/>
  <c r="P383" i="7"/>
  <c r="P391" i="7"/>
  <c r="P392" i="7"/>
  <c r="P437" i="7"/>
  <c r="P452" i="7"/>
  <c r="P456" i="7"/>
  <c r="P461" i="7"/>
  <c r="P462" i="7"/>
  <c r="P463" i="7"/>
  <c r="P464" i="7"/>
  <c r="P465" i="7"/>
  <c r="P466" i="7"/>
  <c r="P468" i="7"/>
  <c r="P478" i="7"/>
  <c r="P479" i="7"/>
  <c r="P480" i="7"/>
  <c r="P481" i="7"/>
  <c r="P482" i="7"/>
  <c r="P483" i="7"/>
  <c r="P484" i="7"/>
  <c r="P485" i="7"/>
  <c r="P486" i="7"/>
  <c r="P487" i="7"/>
  <c r="P488" i="7"/>
  <c r="P490" i="7"/>
  <c r="P491" i="7"/>
  <c r="P492" i="7"/>
  <c r="P493" i="7"/>
  <c r="P494" i="7"/>
  <c r="P495" i="7"/>
  <c r="P496" i="7"/>
  <c r="P497" i="7"/>
  <c r="P498" i="7"/>
  <c r="P499" i="7"/>
  <c r="P500" i="7"/>
  <c r="P501" i="7"/>
  <c r="P502" i="7"/>
  <c r="P504" i="7"/>
  <c r="P505" i="7"/>
  <c r="P506" i="7"/>
  <c r="P507" i="7"/>
  <c r="P508" i="7"/>
  <c r="P510" i="7"/>
  <c r="P511" i="7"/>
  <c r="P512" i="7"/>
  <c r="P513" i="7"/>
  <c r="P514" i="7"/>
  <c r="P515" i="7"/>
  <c r="P516" i="7"/>
  <c r="P518" i="7"/>
  <c r="P519" i="7"/>
  <c r="P520" i="7"/>
  <c r="P521" i="7"/>
  <c r="P522" i="7"/>
  <c r="P523" i="7"/>
  <c r="P524" i="7"/>
  <c r="P525" i="7"/>
  <c r="P526" i="7"/>
  <c r="P527" i="7"/>
  <c r="P528" i="7"/>
  <c r="P530" i="7"/>
  <c r="P531" i="7"/>
  <c r="P532" i="7"/>
  <c r="P533" i="7"/>
  <c r="P534" i="7"/>
  <c r="P535" i="7"/>
  <c r="P536" i="7"/>
  <c r="P537" i="7"/>
  <c r="P538" i="7"/>
  <c r="P540" i="7"/>
  <c r="P541" i="7"/>
  <c r="P542" i="7"/>
  <c r="P543" i="7"/>
  <c r="P544" i="7"/>
  <c r="P545" i="7"/>
  <c r="P546" i="7"/>
  <c r="P548" i="7"/>
  <c r="P549" i="7"/>
  <c r="P550" i="7"/>
  <c r="P551" i="7"/>
  <c r="P552" i="7"/>
  <c r="P553" i="7"/>
  <c r="P554" i="7"/>
  <c r="P556" i="7"/>
  <c r="P557" i="7"/>
  <c r="P558" i="7"/>
  <c r="P559" i="7"/>
  <c r="P560" i="7"/>
  <c r="P561" i="7"/>
  <c r="P562" i="7"/>
  <c r="P563" i="7"/>
  <c r="P564" i="7"/>
  <c r="P565" i="7"/>
  <c r="P566" i="7"/>
  <c r="P567" i="7"/>
  <c r="P568" i="7"/>
  <c r="P569" i="7"/>
  <c r="P570" i="7"/>
  <c r="P572" i="7"/>
  <c r="P573" i="7"/>
  <c r="P574" i="7"/>
  <c r="P575" i="7"/>
  <c r="P576" i="7"/>
  <c r="P578" i="7"/>
  <c r="P580" i="7"/>
  <c r="P581" i="7"/>
  <c r="P582" i="7"/>
  <c r="P583" i="7"/>
  <c r="P584" i="7"/>
  <c r="P585" i="7"/>
  <c r="P586" i="7"/>
  <c r="P587" i="7"/>
  <c r="P588" i="7"/>
  <c r="P589" i="7"/>
  <c r="P590" i="7"/>
  <c r="P591" i="7"/>
  <c r="P592" i="7"/>
  <c r="P593" i="7"/>
  <c r="P594" i="7"/>
  <c r="P596" i="7"/>
  <c r="P597" i="7"/>
  <c r="P598" i="7"/>
  <c r="P599" i="7"/>
  <c r="P601" i="7"/>
  <c r="P602" i="7"/>
  <c r="P603" i="7"/>
  <c r="P604" i="7"/>
  <c r="P605" i="7"/>
  <c r="P607" i="7"/>
  <c r="P608" i="7"/>
  <c r="P609" i="7"/>
  <c r="P611" i="7"/>
  <c r="P612" i="7"/>
  <c r="P613" i="7"/>
  <c r="P615" i="7"/>
  <c r="P616" i="7"/>
  <c r="P617" i="7"/>
  <c r="P619" i="7"/>
  <c r="P620" i="7"/>
  <c r="P621" i="7"/>
  <c r="P630" i="7"/>
  <c r="P631" i="7"/>
  <c r="P632" i="7"/>
  <c r="P633" i="7"/>
  <c r="P634" i="7"/>
  <c r="P635" i="7"/>
  <c r="P636" i="7"/>
  <c r="P637" i="7"/>
  <c r="P638" i="7"/>
  <c r="P639" i="7"/>
  <c r="P640" i="7"/>
  <c r="P641" i="7"/>
  <c r="P642" i="7"/>
  <c r="P643" i="7"/>
  <c r="P644" i="7"/>
  <c r="P645" i="7"/>
  <c r="P646" i="7"/>
  <c r="P647" i="7"/>
  <c r="P648" i="7"/>
  <c r="P649" i="7"/>
  <c r="P650" i="7"/>
  <c r="P651" i="7"/>
  <c r="P652" i="7"/>
  <c r="P653" i="7"/>
  <c r="P654" i="7"/>
  <c r="P656" i="7"/>
  <c r="P657" i="7"/>
  <c r="P658" i="7"/>
  <c r="P659" i="7"/>
  <c r="P660" i="7"/>
  <c r="P661" i="7"/>
  <c r="P662" i="7"/>
  <c r="P663" i="7"/>
  <c r="P664" i="7"/>
  <c r="P665" i="7"/>
  <c r="P667" i="7"/>
  <c r="P668" i="7"/>
  <c r="P669" i="7"/>
  <c r="P671" i="7"/>
  <c r="P672" i="7"/>
  <c r="P673" i="7"/>
  <c r="P675" i="7"/>
  <c r="P676" i="7"/>
  <c r="P677" i="7"/>
  <c r="P679" i="7"/>
  <c r="P680" i="7"/>
  <c r="P681" i="7"/>
  <c r="P683" i="7"/>
  <c r="P684" i="7"/>
  <c r="P686" i="7"/>
  <c r="P687" i="7"/>
  <c r="P688" i="7"/>
  <c r="P689" i="7"/>
  <c r="P690" i="7"/>
  <c r="P691" i="7"/>
  <c r="P692" i="7"/>
  <c r="P693" i="7"/>
  <c r="P694" i="7"/>
  <c r="P699" i="7"/>
  <c r="P700" i="7"/>
  <c r="P701" i="7"/>
  <c r="P702" i="7"/>
  <c r="P703" i="7"/>
  <c r="P708" i="7"/>
  <c r="P713" i="7"/>
  <c r="P714" i="7"/>
  <c r="P715" i="7"/>
  <c r="P716" i="7"/>
  <c r="P717" i="7"/>
  <c r="P718" i="7"/>
  <c r="P719" i="7"/>
  <c r="P720" i="7"/>
  <c r="P721" i="7"/>
  <c r="P722" i="7"/>
  <c r="P723" i="7"/>
  <c r="P724" i="7"/>
  <c r="P725" i="7"/>
  <c r="P726" i="7"/>
  <c r="P727" i="7"/>
  <c r="P728" i="7"/>
  <c r="P729" i="7"/>
  <c r="P730" i="7"/>
  <c r="P731" i="7"/>
  <c r="P732" i="7"/>
  <c r="P733" i="7"/>
  <c r="P734" i="7"/>
  <c r="P743" i="7"/>
  <c r="P745" i="7"/>
  <c r="P746" i="7"/>
  <c r="P747" i="7"/>
  <c r="P749" i="7"/>
  <c r="P750" i="7"/>
  <c r="P751" i="7"/>
  <c r="P753" i="7"/>
  <c r="P754" i="7"/>
  <c r="P755" i="7"/>
  <c r="P757" i="7"/>
  <c r="P758" i="7"/>
  <c r="P759" i="7"/>
  <c r="P761" i="7"/>
  <c r="P762" i="7"/>
  <c r="P763" i="7"/>
  <c r="P765" i="7"/>
  <c r="P766" i="7"/>
  <c r="P767" i="7"/>
  <c r="P768" i="7"/>
  <c r="P769" i="7"/>
  <c r="P770" i="7"/>
  <c r="P771" i="7"/>
  <c r="P772" i="7"/>
  <c r="P773" i="7"/>
  <c r="P774" i="7"/>
  <c r="P775" i="7"/>
  <c r="P776" i="7"/>
  <c r="P778" i="7"/>
  <c r="P779" i="7"/>
  <c r="P780" i="7"/>
  <c r="P781" i="7"/>
  <c r="P782" i="7"/>
  <c r="P783" i="7"/>
  <c r="P784" i="7"/>
  <c r="P785" i="7"/>
  <c r="P786" i="7"/>
  <c r="P787" i="7"/>
  <c r="P788" i="7"/>
  <c r="P789" i="7"/>
  <c r="P791" i="7"/>
  <c r="P792" i="7"/>
  <c r="P793" i="7"/>
  <c r="P794" i="7"/>
  <c r="P795" i="7"/>
  <c r="P796" i="7"/>
  <c r="P797" i="7"/>
  <c r="P799" i="7"/>
  <c r="P800" i="7"/>
  <c r="P801" i="7"/>
  <c r="P802" i="7"/>
  <c r="P803" i="7"/>
  <c r="P804" i="7"/>
  <c r="P805" i="7"/>
  <c r="P806" i="7"/>
  <c r="P807" i="7"/>
  <c r="P808" i="7"/>
  <c r="P809" i="7"/>
  <c r="P810" i="7"/>
  <c r="P811" i="7"/>
  <c r="P812" i="7"/>
  <c r="P813" i="7"/>
  <c r="P814" i="7"/>
  <c r="P815" i="7"/>
  <c r="P816" i="7"/>
  <c r="E2" i="7"/>
  <c r="P192" i="7"/>
  <c r="P193" i="7"/>
  <c r="P194" i="7"/>
  <c r="P195" i="7"/>
  <c r="P196" i="7"/>
  <c r="P197" i="7"/>
  <c r="P198" i="7"/>
  <c r="P199" i="7"/>
  <c r="P200" i="7"/>
  <c r="P201" i="7"/>
  <c r="P202" i="7"/>
  <c r="P203" i="7"/>
  <c r="P204" i="7"/>
  <c r="P205" i="7"/>
  <c r="P206" i="7"/>
  <c r="P209" i="7"/>
  <c r="P210" i="7"/>
  <c r="P211" i="7"/>
  <c r="P212" i="7"/>
  <c r="P213" i="7"/>
  <c r="P214" i="7"/>
  <c r="P215" i="7"/>
  <c r="P216" i="7"/>
  <c r="P217" i="7"/>
  <c r="P218" i="7"/>
  <c r="P219" i="7"/>
  <c r="K231" i="7"/>
  <c r="K235" i="7"/>
  <c r="K237" i="7"/>
  <c r="P273" i="7"/>
  <c r="P281" i="7"/>
  <c r="P289" i="7"/>
  <c r="P297" i="7"/>
  <c r="P305" i="7"/>
  <c r="P313" i="7"/>
  <c r="P321" i="7"/>
  <c r="P329" i="7"/>
  <c r="P337" i="7"/>
  <c r="P345" i="7"/>
  <c r="P353" i="7"/>
  <c r="P361" i="7"/>
  <c r="P369" i="7"/>
  <c r="P377" i="7"/>
  <c r="K385" i="7"/>
  <c r="K389" i="7"/>
  <c r="K397" i="7"/>
  <c r="K399" i="7"/>
  <c r="K405" i="7"/>
  <c r="K417" i="7"/>
  <c r="K419" i="7"/>
  <c r="K425" i="7"/>
  <c r="K427" i="7"/>
  <c r="K431" i="7"/>
  <c r="K435" i="7"/>
  <c r="K441" i="7"/>
  <c r="K451" i="7"/>
  <c r="K455" i="7"/>
  <c r="K456" i="7"/>
  <c r="P458" i="7"/>
  <c r="P459" i="7"/>
  <c r="P460" i="7"/>
  <c r="K461" i="7"/>
  <c r="P467" i="7"/>
  <c r="K474" i="7"/>
  <c r="K476" i="7"/>
  <c r="K478" i="7"/>
  <c r="K479" i="7"/>
  <c r="K482" i="7"/>
  <c r="K483" i="7"/>
  <c r="K484" i="7"/>
  <c r="K487" i="7"/>
  <c r="K488" i="7"/>
  <c r="K489" i="7"/>
  <c r="P489" i="7"/>
  <c r="K490" i="7"/>
  <c r="K491" i="7"/>
  <c r="K492" i="7"/>
  <c r="K493" i="7"/>
  <c r="K494" i="7"/>
  <c r="K496" i="7"/>
  <c r="K498" i="7"/>
  <c r="P503" i="7"/>
  <c r="K506" i="7"/>
  <c r="P509" i="7"/>
  <c r="P517" i="7"/>
  <c r="K525" i="7"/>
  <c r="K527" i="7"/>
  <c r="K528" i="7"/>
  <c r="K529" i="7"/>
  <c r="P529" i="7"/>
  <c r="K530" i="7"/>
  <c r="K531" i="7"/>
  <c r="K533" i="7"/>
  <c r="K534" i="7"/>
  <c r="K536" i="7"/>
  <c r="K538" i="7"/>
  <c r="K539" i="7"/>
  <c r="P539" i="7"/>
  <c r="K540" i="7"/>
  <c r="K541" i="7"/>
  <c r="K542" i="7"/>
  <c r="K543" i="7"/>
  <c r="K544" i="7"/>
  <c r="K545" i="7"/>
  <c r="K546" i="7"/>
  <c r="K547" i="7"/>
  <c r="P547" i="7"/>
  <c r="K548" i="7"/>
  <c r="K549" i="7"/>
  <c r="K550" i="7"/>
  <c r="K551" i="7"/>
  <c r="K552" i="7"/>
  <c r="K553" i="7"/>
  <c r="K554" i="7"/>
  <c r="K555" i="7"/>
  <c r="P555" i="7"/>
  <c r="K558" i="7"/>
  <c r="K559" i="7"/>
  <c r="K560" i="7"/>
  <c r="K561" i="7"/>
  <c r="K562" i="7"/>
  <c r="K563" i="7"/>
  <c r="K564" i="7"/>
  <c r="K565" i="7"/>
  <c r="K566" i="7"/>
  <c r="K567" i="7"/>
  <c r="K568" i="7"/>
  <c r="K569" i="7"/>
  <c r="K570" i="7"/>
  <c r="K571" i="7"/>
  <c r="P571" i="7"/>
  <c r="K572" i="7"/>
  <c r="K573" i="7"/>
  <c r="K574" i="7"/>
  <c r="K576" i="7"/>
  <c r="K577" i="7"/>
  <c r="P577" i="7"/>
  <c r="K578" i="7"/>
  <c r="P579" i="7"/>
  <c r="P595" i="7"/>
  <c r="K598" i="7"/>
  <c r="K599" i="7"/>
  <c r="K600" i="7"/>
  <c r="K601" i="7"/>
  <c r="K602" i="7"/>
  <c r="K603" i="7"/>
  <c r="K604" i="7"/>
  <c r="K606" i="7"/>
  <c r="P606" i="7"/>
  <c r="K607" i="7"/>
  <c r="K608" i="7"/>
  <c r="K609" i="7"/>
  <c r="K610" i="7"/>
  <c r="P610" i="7"/>
  <c r="K611" i="7"/>
  <c r="K612" i="7"/>
  <c r="K613" i="7"/>
  <c r="K614" i="7"/>
  <c r="P614" i="7"/>
  <c r="K615" i="7"/>
  <c r="K616" i="7"/>
  <c r="K617" i="7"/>
  <c r="K618" i="7"/>
  <c r="P618" i="7"/>
  <c r="K619" i="7"/>
  <c r="K620" i="7"/>
  <c r="K621" i="7"/>
  <c r="K622" i="7"/>
  <c r="P622" i="7"/>
  <c r="K623" i="7"/>
  <c r="K625" i="7"/>
  <c r="K627" i="7"/>
  <c r="K629" i="7"/>
  <c r="K633" i="7"/>
  <c r="K634" i="7"/>
  <c r="K635" i="7"/>
  <c r="K636" i="7"/>
  <c r="P655" i="7"/>
  <c r="K665" i="7"/>
  <c r="P666" i="7"/>
  <c r="K667" i="7"/>
  <c r="K668" i="7"/>
  <c r="P670" i="7"/>
  <c r="P674" i="7"/>
  <c r="P678" i="7"/>
  <c r="P682" i="7"/>
  <c r="K683" i="7"/>
  <c r="P685" i="7"/>
  <c r="K698" i="7"/>
  <c r="K699" i="7"/>
  <c r="K700" i="7"/>
  <c r="K702" i="7"/>
  <c r="K704" i="7"/>
  <c r="K708" i="7"/>
  <c r="K710" i="7"/>
  <c r="K712" i="7"/>
  <c r="K714" i="7"/>
  <c r="K715" i="7"/>
  <c r="K716" i="7"/>
  <c r="K718" i="7"/>
  <c r="K719" i="7"/>
  <c r="K722" i="7"/>
  <c r="K723" i="7"/>
  <c r="K724" i="7"/>
  <c r="K726" i="7"/>
  <c r="K728" i="7"/>
  <c r="K730" i="7"/>
  <c r="K734" i="7"/>
  <c r="K736" i="7"/>
  <c r="K738" i="7"/>
  <c r="K740" i="7"/>
  <c r="P744" i="7"/>
  <c r="P748" i="7"/>
  <c r="P752" i="7"/>
  <c r="P756" i="7"/>
  <c r="P760" i="7"/>
  <c r="P764" i="7"/>
  <c r="K765" i="7"/>
  <c r="P777" i="7"/>
  <c r="K789" i="7"/>
  <c r="P790" i="7"/>
  <c r="K793" i="7"/>
  <c r="K797" i="7"/>
  <c r="P798" i="7"/>
  <c r="K802" i="7"/>
  <c r="K805" i="7"/>
  <c r="K806" i="7"/>
  <c r="K807" i="7"/>
  <c r="K810" i="7"/>
  <c r="K812" i="7"/>
  <c r="K816" i="7"/>
  <c r="AK3" i="2" a="1"/>
  <c r="AK3" i="2" s="1"/>
  <c r="AK2" i="2" a="1"/>
  <c r="AK2" i="2" s="1"/>
  <c r="D21" i="4" l="1"/>
  <c r="D25" i="4"/>
  <c r="D23" i="4"/>
  <c r="E24" i="4"/>
  <c r="A22" i="4" a="1"/>
  <c r="A22" i="4" s="1"/>
  <c r="C22" i="4"/>
  <c r="A23" i="4" a="1"/>
  <c r="A23" i="4" s="1"/>
  <c r="C23" i="4"/>
  <c r="A24" i="4" a="1"/>
  <c r="A24" i="4" s="1"/>
  <c r="C24" i="4"/>
  <c r="A25" i="4" a="1"/>
  <c r="A25" i="4" s="1"/>
  <c r="C25" i="4"/>
  <c r="D22" i="4"/>
  <c r="A21" i="4" a="1"/>
  <c r="A21" i="4" s="1"/>
  <c r="C21" i="4"/>
  <c r="C17" i="4"/>
  <c r="C15" i="4"/>
  <c r="C13" i="4"/>
  <c r="C11" i="4"/>
  <c r="C9" i="4"/>
  <c r="C7" i="4"/>
  <c r="C5" i="4"/>
  <c r="C16" i="4"/>
  <c r="C14" i="4"/>
  <c r="C12" i="4"/>
  <c r="C10" i="4"/>
  <c r="C8" i="4"/>
  <c r="C6" i="4"/>
  <c r="P600" i="7"/>
  <c r="K742" i="7"/>
  <c r="K732" i="7"/>
  <c r="K720" i="7"/>
  <c r="K597" i="7"/>
  <c r="K596" i="7"/>
  <c r="K595" i="7"/>
  <c r="K594" i="7"/>
  <c r="K593" i="7"/>
  <c r="K592" i="7"/>
  <c r="K591" i="7"/>
  <c r="K590" i="7"/>
  <c r="K589" i="7"/>
  <c r="K588" i="7"/>
  <c r="K706" i="7"/>
  <c r="K605" i="7"/>
  <c r="K586" i="7"/>
  <c r="K584" i="7"/>
  <c r="K583" i="7"/>
  <c r="K581" i="7"/>
  <c r="K580" i="7"/>
  <c r="K557" i="7"/>
  <c r="K556" i="7"/>
  <c r="K813" i="7"/>
  <c r="K804" i="7"/>
  <c r="K803" i="7"/>
  <c r="K792" i="7"/>
  <c r="K790" i="7"/>
  <c r="K788" i="7"/>
  <c r="K786" i="7"/>
  <c r="K784" i="7"/>
  <c r="K771" i="7"/>
  <c r="K763" i="7"/>
  <c r="K761" i="7"/>
  <c r="K760" i="7"/>
  <c r="K757" i="7"/>
  <c r="K756" i="7"/>
  <c r="K754" i="7"/>
  <c r="K745" i="7"/>
  <c r="K733" i="7"/>
  <c r="K731" i="7"/>
  <c r="K729" i="7"/>
  <c r="K727" i="7"/>
  <c r="K725" i="7"/>
  <c r="K721" i="7"/>
  <c r="K717" i="7"/>
  <c r="K682" i="7"/>
  <c r="K680" i="7"/>
  <c r="K666" i="7"/>
  <c r="K657" i="7"/>
  <c r="K641" i="7"/>
  <c r="K632" i="7"/>
  <c r="K471" i="7"/>
  <c r="K467" i="7"/>
  <c r="K452" i="7"/>
  <c r="K446" i="7"/>
  <c r="K410" i="7"/>
  <c r="K392" i="7"/>
  <c r="K377" i="7"/>
  <c r="K376" i="7"/>
  <c r="K371" i="7"/>
  <c r="K369" i="7"/>
  <c r="K358" i="7"/>
  <c r="K347" i="7"/>
  <c r="K346" i="7"/>
  <c r="P712" i="7"/>
  <c r="P446" i="7"/>
  <c r="P410" i="7"/>
  <c r="P408" i="7"/>
  <c r="K587" i="7"/>
  <c r="K585" i="7"/>
  <c r="K582" i="7"/>
  <c r="K579" i="7"/>
  <c r="K575" i="7"/>
  <c r="K537" i="7"/>
  <c r="K535" i="7"/>
  <c r="K532" i="7"/>
  <c r="K526" i="7"/>
  <c r="K524" i="7"/>
  <c r="K507" i="7"/>
  <c r="K505" i="7"/>
  <c r="K497" i="7"/>
  <c r="K495" i="7"/>
  <c r="K443" i="7"/>
  <c r="K437" i="7"/>
  <c r="K429" i="7"/>
  <c r="K423" i="7"/>
  <c r="K421" i="7"/>
  <c r="K233" i="7"/>
  <c r="K223" i="7"/>
  <c r="K221" i="7"/>
  <c r="K208" i="7"/>
  <c r="P443" i="7"/>
  <c r="P409" i="7"/>
  <c r="P407" i="7"/>
  <c r="K523" i="7"/>
  <c r="K522" i="7"/>
  <c r="K520" i="7"/>
  <c r="K518" i="7"/>
  <c r="K516" i="7"/>
  <c r="K514" i="7"/>
  <c r="K512" i="7"/>
  <c r="K510" i="7"/>
  <c r="K508" i="7"/>
  <c r="K504" i="7"/>
  <c r="K502" i="7"/>
  <c r="K500" i="7"/>
  <c r="K472" i="7"/>
  <c r="K447" i="7"/>
  <c r="K439" i="7"/>
  <c r="K433" i="7"/>
  <c r="K415" i="7"/>
  <c r="K413" i="7"/>
  <c r="K409" i="7"/>
  <c r="K407" i="7"/>
  <c r="K403" i="7"/>
  <c r="K393" i="7"/>
  <c r="K387" i="7"/>
  <c r="K815" i="7"/>
  <c r="K814" i="7"/>
  <c r="K811" i="7"/>
  <c r="K809" i="7"/>
  <c r="K808" i="7"/>
  <c r="K801" i="7"/>
  <c r="K800" i="7"/>
  <c r="K799" i="7"/>
  <c r="K798" i="7"/>
  <c r="K796" i="7"/>
  <c r="K795" i="7"/>
  <c r="K794" i="7"/>
  <c r="K791" i="7"/>
  <c r="K787" i="7"/>
  <c r="K785" i="7"/>
  <c r="K783" i="7"/>
  <c r="K782" i="7"/>
  <c r="K781" i="7"/>
  <c r="K780" i="7"/>
  <c r="K779" i="7"/>
  <c r="K778" i="7"/>
  <c r="K777" i="7"/>
  <c r="K776" i="7"/>
  <c r="K775" i="7"/>
  <c r="K774" i="7"/>
  <c r="K773" i="7"/>
  <c r="K772" i="7"/>
  <c r="K770" i="7"/>
  <c r="K769" i="7"/>
  <c r="K768" i="7"/>
  <c r="K767" i="7"/>
  <c r="K766" i="7"/>
  <c r="K764" i="7"/>
  <c r="K762" i="7"/>
  <c r="K759" i="7"/>
  <c r="K758" i="7"/>
  <c r="K755" i="7"/>
  <c r="K753" i="7"/>
  <c r="K752" i="7"/>
  <c r="K751" i="7"/>
  <c r="K750" i="7"/>
  <c r="K749" i="7"/>
  <c r="K748" i="7"/>
  <c r="K747" i="7"/>
  <c r="K746" i="7"/>
  <c r="K744" i="7"/>
  <c r="K743" i="7"/>
  <c r="K741" i="7"/>
  <c r="K739" i="7"/>
  <c r="K737" i="7"/>
  <c r="K735" i="7"/>
  <c r="K713" i="7"/>
  <c r="K711" i="7"/>
  <c r="K709" i="7"/>
  <c r="K707" i="7"/>
  <c r="K705" i="7"/>
  <c r="K703" i="7"/>
  <c r="K701" i="7"/>
  <c r="K697" i="7"/>
  <c r="K695" i="7"/>
  <c r="K694" i="7"/>
  <c r="K693" i="7"/>
  <c r="K692" i="7"/>
  <c r="K691" i="7"/>
  <c r="K690" i="7"/>
  <c r="K689" i="7"/>
  <c r="K688" i="7"/>
  <c r="K687" i="7"/>
  <c r="K686" i="7"/>
  <c r="K685" i="7"/>
  <c r="K684" i="7"/>
  <c r="K681" i="7"/>
  <c r="K679" i="7"/>
  <c r="K678" i="7"/>
  <c r="K677" i="7"/>
  <c r="K676" i="7"/>
  <c r="K675" i="7"/>
  <c r="K674" i="7"/>
  <c r="K673" i="7"/>
  <c r="K672" i="7"/>
  <c r="K671" i="7"/>
  <c r="K670" i="7"/>
  <c r="K669" i="7"/>
  <c r="K664" i="7"/>
  <c r="K663" i="7"/>
  <c r="K662" i="7"/>
  <c r="K661" i="7"/>
  <c r="K660" i="7"/>
  <c r="K659" i="7"/>
  <c r="K658" i="7"/>
  <c r="K656" i="7"/>
  <c r="K655" i="7"/>
  <c r="K654" i="7"/>
  <c r="K653" i="7"/>
  <c r="K652" i="7"/>
  <c r="K651" i="7"/>
  <c r="K650" i="7"/>
  <c r="K649" i="7"/>
  <c r="K648" i="7"/>
  <c r="K647" i="7"/>
  <c r="K646" i="7"/>
  <c r="K645" i="7"/>
  <c r="K644" i="7"/>
  <c r="K643" i="7"/>
  <c r="K642" i="7"/>
  <c r="K640" i="7"/>
  <c r="K639" i="7"/>
  <c r="K638" i="7"/>
  <c r="K637" i="7"/>
  <c r="K631" i="7"/>
  <c r="K630" i="7"/>
  <c r="K628" i="7"/>
  <c r="K626" i="7"/>
  <c r="K624" i="7"/>
  <c r="K477" i="7"/>
  <c r="K475" i="7"/>
  <c r="K473" i="7"/>
  <c r="K469" i="7"/>
  <c r="K468" i="7"/>
  <c r="K466" i="7"/>
  <c r="K465" i="7"/>
  <c r="K464" i="7"/>
  <c r="K463" i="7"/>
  <c r="K462" i="7"/>
  <c r="K460" i="7"/>
  <c r="K459" i="7"/>
  <c r="K458" i="7"/>
  <c r="K454" i="7"/>
  <c r="K450" i="7"/>
  <c r="K448" i="7"/>
  <c r="K444" i="7"/>
  <c r="K442" i="7"/>
  <c r="K440" i="7"/>
  <c r="K438" i="7"/>
  <c r="K436" i="7"/>
  <c r="K434" i="7"/>
  <c r="K432" i="7"/>
  <c r="K430" i="7"/>
  <c r="K428" i="7"/>
  <c r="K426" i="7"/>
  <c r="K424" i="7"/>
  <c r="K422" i="7"/>
  <c r="K420" i="7"/>
  <c r="K418" i="7"/>
  <c r="K416" i="7"/>
  <c r="K414" i="7"/>
  <c r="K412" i="7"/>
  <c r="K408" i="7"/>
  <c r="K406" i="7"/>
  <c r="K404" i="7"/>
  <c r="K402" i="7"/>
  <c r="K400" i="7"/>
  <c r="K398" i="7"/>
  <c r="K396" i="7"/>
  <c r="K394" i="7"/>
  <c r="K696" i="7"/>
  <c r="K521" i="7"/>
  <c r="K519" i="7"/>
  <c r="K517" i="7"/>
  <c r="K515" i="7"/>
  <c r="K513" i="7"/>
  <c r="K511" i="7"/>
  <c r="K509" i="7"/>
  <c r="K503" i="7"/>
  <c r="K501" i="7"/>
  <c r="K499" i="7"/>
  <c r="K486" i="7"/>
  <c r="K485" i="7"/>
  <c r="K481" i="7"/>
  <c r="K480" i="7"/>
  <c r="K470" i="7"/>
  <c r="K457" i="7"/>
  <c r="K453" i="7"/>
  <c r="K449" i="7"/>
  <c r="K445" i="7"/>
  <c r="K411" i="7"/>
  <c r="K401" i="7"/>
  <c r="K395" i="7"/>
  <c r="K391" i="7"/>
  <c r="K271" i="7"/>
  <c r="K269" i="7"/>
  <c r="K267" i="7"/>
  <c r="K265" i="7"/>
  <c r="K263" i="7"/>
  <c r="K261" i="7"/>
  <c r="K259" i="7"/>
  <c r="K257" i="7"/>
  <c r="K255" i="7"/>
  <c r="K253" i="7"/>
  <c r="K251" i="7"/>
  <c r="K249" i="7"/>
  <c r="K247" i="7"/>
  <c r="K245" i="7"/>
  <c r="K243" i="7"/>
  <c r="K241" i="7"/>
  <c r="K239" i="7"/>
  <c r="K229" i="7"/>
  <c r="K227" i="7"/>
  <c r="K225" i="7"/>
  <c r="K390" i="7"/>
  <c r="K388" i="7"/>
  <c r="K386" i="7"/>
  <c r="K384" i="7"/>
  <c r="K383" i="7"/>
  <c r="K382" i="7"/>
  <c r="K381" i="7"/>
  <c r="K380" i="7"/>
  <c r="K379" i="7"/>
  <c r="K378" i="7"/>
  <c r="K375" i="7"/>
  <c r="K374" i="7"/>
  <c r="K373" i="7"/>
  <c r="K372" i="7"/>
  <c r="K370" i="7"/>
  <c r="K368" i="7"/>
  <c r="K367" i="7"/>
  <c r="K366" i="7"/>
  <c r="K365" i="7"/>
  <c r="K364" i="7"/>
  <c r="K363" i="7"/>
  <c r="K362" i="7"/>
  <c r="K361" i="7"/>
  <c r="K360" i="7"/>
  <c r="K359" i="7"/>
  <c r="K357" i="7"/>
  <c r="K356" i="7"/>
  <c r="K355" i="7"/>
  <c r="K354" i="7"/>
  <c r="K353" i="7"/>
  <c r="K352" i="7"/>
  <c r="K351" i="7"/>
  <c r="K350" i="7"/>
  <c r="K349" i="7"/>
  <c r="K348" i="7"/>
  <c r="K345" i="7"/>
  <c r="K344" i="7"/>
  <c r="K343" i="7"/>
  <c r="K342" i="7"/>
  <c r="K341" i="7"/>
  <c r="K340" i="7"/>
  <c r="K339" i="7"/>
  <c r="K338" i="7"/>
  <c r="K337" i="7"/>
  <c r="K336" i="7"/>
  <c r="K335" i="7"/>
  <c r="K334" i="7"/>
  <c r="K333" i="7"/>
  <c r="K332" i="7"/>
  <c r="K331" i="7"/>
  <c r="K330" i="7"/>
  <c r="K329" i="7"/>
  <c r="K328" i="7"/>
  <c r="K327" i="7"/>
  <c r="K326" i="7"/>
  <c r="K325" i="7"/>
  <c r="K324" i="7"/>
  <c r="K323" i="7"/>
  <c r="K322" i="7"/>
  <c r="K321" i="7"/>
  <c r="K320" i="7"/>
  <c r="K319" i="7"/>
  <c r="K318" i="7"/>
  <c r="K317" i="7"/>
  <c r="K316" i="7"/>
  <c r="K315" i="7"/>
  <c r="K314" i="7"/>
  <c r="K313" i="7"/>
  <c r="K312" i="7"/>
  <c r="K311" i="7"/>
  <c r="K310" i="7"/>
  <c r="K309" i="7"/>
  <c r="K308" i="7"/>
  <c r="K307" i="7"/>
  <c r="K306" i="7"/>
  <c r="K305" i="7"/>
  <c r="K304" i="7"/>
  <c r="K303" i="7"/>
  <c r="K302" i="7"/>
  <c r="K301" i="7"/>
  <c r="K300" i="7"/>
  <c r="K299" i="7"/>
  <c r="K298" i="7"/>
  <c r="K297" i="7"/>
  <c r="K296" i="7"/>
  <c r="K295" i="7"/>
  <c r="K294" i="7"/>
  <c r="K293" i="7"/>
  <c r="K292" i="7"/>
  <c r="K291" i="7"/>
  <c r="K290" i="7"/>
  <c r="K289" i="7"/>
  <c r="K288" i="7"/>
  <c r="K287" i="7"/>
  <c r="K286" i="7"/>
  <c r="K285" i="7"/>
  <c r="K284" i="7"/>
  <c r="K283" i="7"/>
  <c r="K282" i="7"/>
  <c r="K281" i="7"/>
  <c r="K280" i="7"/>
  <c r="K279" i="7"/>
  <c r="K278" i="7"/>
  <c r="K277" i="7"/>
  <c r="K276" i="7"/>
  <c r="K275" i="7"/>
  <c r="K274" i="7"/>
  <c r="K273" i="7"/>
  <c r="K272" i="7"/>
  <c r="K270" i="7"/>
  <c r="K268" i="7"/>
  <c r="K266" i="7"/>
  <c r="K264" i="7"/>
  <c r="K262" i="7"/>
  <c r="K260" i="7"/>
  <c r="K258" i="7"/>
  <c r="K256" i="7"/>
  <c r="K254" i="7"/>
  <c r="K252" i="7"/>
  <c r="K250" i="7"/>
  <c r="K248" i="7"/>
  <c r="K246" i="7"/>
  <c r="K244" i="7"/>
  <c r="K242" i="7"/>
  <c r="K240" i="7"/>
  <c r="K238" i="7"/>
  <c r="K236" i="7"/>
  <c r="K234" i="7"/>
  <c r="K232" i="7"/>
  <c r="K230" i="7"/>
  <c r="K228" i="7"/>
  <c r="K226" i="7"/>
  <c r="K224" i="7"/>
  <c r="K222" i="7"/>
  <c r="K220" i="7"/>
  <c r="K219" i="7"/>
  <c r="K218" i="7"/>
  <c r="K217" i="7"/>
  <c r="K216" i="7"/>
  <c r="K215" i="7"/>
  <c r="K214" i="7"/>
  <c r="K213" i="7"/>
  <c r="K212" i="7"/>
  <c r="K211" i="7"/>
  <c r="K210" i="7"/>
  <c r="K209" i="7"/>
  <c r="K207" i="7"/>
  <c r="K206" i="7"/>
  <c r="K205" i="7"/>
  <c r="K204" i="7"/>
  <c r="K203" i="7"/>
  <c r="K202" i="7"/>
  <c r="K201" i="7"/>
  <c r="K200" i="7"/>
  <c r="K199" i="7"/>
  <c r="K198" i="7"/>
  <c r="K197" i="7"/>
  <c r="K196" i="7"/>
  <c r="K195" i="7"/>
  <c r="K194" i="7"/>
  <c r="K193" i="7"/>
  <c r="K192" i="7"/>
  <c r="P741" i="7"/>
  <c r="P739" i="7"/>
  <c r="P737" i="7"/>
  <c r="P735" i="7"/>
  <c r="P711" i="7"/>
  <c r="P709" i="7"/>
  <c r="P707" i="7"/>
  <c r="P705" i="7"/>
  <c r="P697" i="7"/>
  <c r="P695" i="7"/>
  <c r="P457" i="7"/>
  <c r="P455" i="7"/>
  <c r="P453" i="7"/>
  <c r="P451" i="7"/>
  <c r="P449" i="7"/>
  <c r="P447" i="7"/>
  <c r="P445" i="7"/>
  <c r="P441" i="7"/>
  <c r="P439" i="7"/>
  <c r="P435" i="7"/>
  <c r="P433" i="7"/>
  <c r="P431" i="7"/>
  <c r="P429" i="7"/>
  <c r="P427" i="7"/>
  <c r="P425" i="7"/>
  <c r="P423" i="7"/>
  <c r="P421" i="7"/>
  <c r="P419" i="7"/>
  <c r="P417" i="7"/>
  <c r="P415" i="7"/>
  <c r="P413" i="7"/>
  <c r="P411" i="7"/>
  <c r="P405" i="7"/>
  <c r="P403" i="7"/>
  <c r="P401" i="7"/>
  <c r="P399" i="7"/>
  <c r="P397" i="7"/>
  <c r="P395" i="7"/>
  <c r="P393" i="7"/>
  <c r="P389" i="7"/>
  <c r="P387" i="7"/>
  <c r="P385" i="7"/>
  <c r="P208" i="7"/>
  <c r="P742" i="7"/>
  <c r="P740" i="7"/>
  <c r="P738" i="7"/>
  <c r="P736" i="7"/>
  <c r="P710" i="7"/>
  <c r="P706" i="7"/>
  <c r="P704" i="7"/>
  <c r="P698" i="7"/>
  <c r="P696" i="7"/>
  <c r="P454" i="7"/>
  <c r="P450" i="7"/>
  <c r="P448" i="7"/>
  <c r="P444" i="7"/>
  <c r="P442" i="7"/>
  <c r="P440" i="7"/>
  <c r="P438" i="7"/>
  <c r="P436" i="7"/>
  <c r="P434" i="7"/>
  <c r="P432" i="7"/>
  <c r="P430" i="7"/>
  <c r="P428" i="7"/>
  <c r="P426" i="7"/>
  <c r="P424" i="7"/>
  <c r="P422" i="7"/>
  <c r="P420" i="7"/>
  <c r="P418" i="7"/>
  <c r="P416" i="7"/>
  <c r="P414" i="7"/>
  <c r="P412" i="7"/>
  <c r="P406" i="7"/>
  <c r="P404" i="7"/>
  <c r="P402" i="7"/>
  <c r="P400" i="7"/>
  <c r="P398" i="7"/>
  <c r="P396" i="7"/>
  <c r="P394" i="7"/>
  <c r="P390" i="7"/>
  <c r="P388" i="7"/>
  <c r="P386" i="7"/>
  <c r="P384" i="7"/>
  <c r="E815" i="7"/>
  <c r="E811" i="7"/>
  <c r="E807" i="7"/>
  <c r="E803" i="7"/>
  <c r="E799" i="7"/>
  <c r="E795" i="7"/>
  <c r="E791" i="7"/>
  <c r="E787" i="7"/>
  <c r="E783" i="7"/>
  <c r="E779" i="7"/>
  <c r="E775" i="7"/>
  <c r="E771" i="7"/>
  <c r="E767" i="7"/>
  <c r="E763" i="7"/>
  <c r="E759" i="7"/>
  <c r="E755" i="7"/>
  <c r="E751" i="7"/>
  <c r="E747" i="7"/>
  <c r="E743" i="7"/>
  <c r="E739" i="7"/>
  <c r="E735" i="7"/>
  <c r="E731" i="7"/>
  <c r="E727" i="7"/>
  <c r="E723" i="7"/>
  <c r="E719" i="7"/>
  <c r="E715" i="7"/>
  <c r="E711" i="7"/>
  <c r="E707" i="7"/>
  <c r="E703" i="7"/>
  <c r="E699" i="7"/>
  <c r="E695" i="7"/>
  <c r="E691" i="7"/>
  <c r="E687" i="7"/>
  <c r="E683" i="7"/>
  <c r="E679" i="7"/>
  <c r="E675" i="7"/>
  <c r="E671" i="7"/>
  <c r="E667" i="7"/>
  <c r="E663" i="7"/>
  <c r="E659" i="7"/>
  <c r="E655" i="7"/>
  <c r="E651" i="7"/>
  <c r="E647" i="7"/>
  <c r="E643" i="7"/>
  <c r="E639" i="7"/>
  <c r="E635" i="7"/>
  <c r="E631" i="7"/>
  <c r="E627" i="7"/>
  <c r="E623" i="7"/>
  <c r="E619" i="7"/>
  <c r="E615" i="7"/>
  <c r="E611" i="7"/>
  <c r="E607" i="7"/>
  <c r="E603" i="7"/>
  <c r="E599" i="7"/>
  <c r="E595" i="7"/>
  <c r="E591" i="7"/>
  <c r="E587" i="7"/>
  <c r="E583" i="7"/>
  <c r="E579" i="7"/>
  <c r="E575" i="7"/>
  <c r="E571" i="7"/>
  <c r="E567" i="7"/>
  <c r="E563" i="7"/>
  <c r="E559" i="7"/>
  <c r="E555" i="7"/>
  <c r="E551" i="7"/>
  <c r="E547" i="7"/>
  <c r="E543" i="7"/>
  <c r="E539" i="7"/>
  <c r="E535" i="7"/>
  <c r="E531" i="7"/>
  <c r="E527" i="7"/>
  <c r="E523" i="7"/>
  <c r="E519" i="7"/>
  <c r="E515" i="7"/>
  <c r="E511" i="7"/>
  <c r="E507" i="7"/>
  <c r="E503" i="7"/>
  <c r="E499" i="7"/>
  <c r="E495" i="7"/>
  <c r="E491" i="7"/>
  <c r="E487" i="7"/>
  <c r="E483" i="7"/>
  <c r="E479" i="7"/>
  <c r="E475" i="7"/>
  <c r="E471" i="7"/>
  <c r="E467" i="7"/>
  <c r="E463" i="7"/>
  <c r="E459" i="7"/>
  <c r="E455" i="7"/>
  <c r="E451" i="7"/>
  <c r="E447" i="7"/>
  <c r="E443" i="7"/>
  <c r="E439" i="7"/>
  <c r="E435" i="7"/>
  <c r="E431" i="7"/>
  <c r="E427" i="7"/>
  <c r="E423" i="7"/>
  <c r="E419" i="7"/>
  <c r="E415" i="7"/>
  <c r="E411" i="7"/>
  <c r="E407" i="7"/>
  <c r="E403" i="7"/>
  <c r="E399" i="7"/>
  <c r="E395" i="7"/>
  <c r="E391" i="7"/>
  <c r="E387" i="7"/>
  <c r="E383" i="7"/>
  <c r="E379" i="7"/>
  <c r="E375" i="7"/>
  <c r="E371" i="7"/>
  <c r="E367" i="7"/>
  <c r="E363" i="7"/>
  <c r="E359" i="7"/>
  <c r="E355" i="7"/>
  <c r="E351" i="7"/>
  <c r="E347" i="7"/>
  <c r="E343" i="7"/>
  <c r="E339" i="7"/>
  <c r="E335" i="7"/>
  <c r="E331" i="7"/>
  <c r="E327" i="7"/>
  <c r="E323" i="7"/>
  <c r="E319" i="7"/>
  <c r="E315" i="7"/>
  <c r="E311" i="7"/>
  <c r="E309" i="7"/>
  <c r="E307" i="7"/>
  <c r="E303" i="7"/>
  <c r="E299" i="7"/>
  <c r="E295" i="7"/>
  <c r="E291" i="7"/>
  <c r="E287" i="7"/>
  <c r="E283" i="7"/>
  <c r="E279" i="7"/>
  <c r="E277" i="7"/>
  <c r="E275" i="7"/>
  <c r="E271" i="7"/>
  <c r="E267" i="7"/>
  <c r="E263" i="7"/>
  <c r="E259" i="7"/>
  <c r="E255" i="7"/>
  <c r="E251" i="7"/>
  <c r="E247" i="7"/>
  <c r="E245" i="7"/>
  <c r="E243" i="7"/>
  <c r="E239" i="7"/>
  <c r="E235" i="7"/>
  <c r="E231" i="7"/>
  <c r="E227" i="7"/>
  <c r="E223" i="7"/>
  <c r="E219" i="7"/>
  <c r="E215" i="7"/>
  <c r="E213" i="7"/>
  <c r="E211" i="7"/>
  <c r="E207" i="7"/>
  <c r="E203" i="7"/>
  <c r="E199" i="7"/>
  <c r="E195" i="7"/>
  <c r="E191" i="7"/>
  <c r="E187" i="7"/>
  <c r="E183" i="7"/>
  <c r="E181" i="7"/>
  <c r="E179" i="7"/>
  <c r="E175" i="7"/>
  <c r="E171" i="7"/>
  <c r="E167" i="7"/>
  <c r="E163" i="7"/>
  <c r="E159" i="7"/>
  <c r="E155" i="7"/>
  <c r="E151" i="7"/>
  <c r="E147" i="7"/>
  <c r="E143" i="7"/>
  <c r="E139" i="7"/>
  <c r="E135" i="7"/>
  <c r="E131" i="7"/>
  <c r="E127" i="7"/>
  <c r="E816" i="7"/>
  <c r="E814" i="7"/>
  <c r="E812" i="7"/>
  <c r="E810" i="7"/>
  <c r="E808" i="7"/>
  <c r="E806" i="7"/>
  <c r="E804" i="7"/>
  <c r="E802" i="7"/>
  <c r="E800" i="7"/>
  <c r="E798" i="7"/>
  <c r="E796" i="7"/>
  <c r="E794" i="7"/>
  <c r="E792" i="7"/>
  <c r="E790" i="7"/>
  <c r="E788" i="7"/>
  <c r="E786" i="7"/>
  <c r="E784" i="7"/>
  <c r="E782" i="7"/>
  <c r="E780" i="7"/>
  <c r="E778" i="7"/>
  <c r="E776" i="7"/>
  <c r="E774" i="7"/>
  <c r="E772" i="7"/>
  <c r="E770" i="7"/>
  <c r="E768" i="7"/>
  <c r="E766" i="7"/>
  <c r="E764" i="7"/>
  <c r="E762" i="7"/>
  <c r="E760" i="7"/>
  <c r="E758" i="7"/>
  <c r="E756" i="7"/>
  <c r="E754" i="7"/>
  <c r="E752" i="7"/>
  <c r="E750" i="7"/>
  <c r="E748" i="7"/>
  <c r="E746" i="7"/>
  <c r="E744" i="7"/>
  <c r="E742" i="7"/>
  <c r="E740" i="7"/>
  <c r="E738" i="7"/>
  <c r="E736" i="7"/>
  <c r="E734" i="7"/>
  <c r="E732" i="7"/>
  <c r="E730" i="7"/>
  <c r="E728" i="7"/>
  <c r="E726" i="7"/>
  <c r="E724" i="7"/>
  <c r="E722" i="7"/>
  <c r="E720" i="7"/>
  <c r="E718" i="7"/>
  <c r="E716" i="7"/>
  <c r="E714" i="7"/>
  <c r="E712" i="7"/>
  <c r="E710" i="7"/>
  <c r="E708" i="7"/>
  <c r="E706" i="7"/>
  <c r="E704" i="7"/>
  <c r="E702" i="7"/>
  <c r="E700" i="7"/>
  <c r="E698" i="7"/>
  <c r="E696" i="7"/>
  <c r="E694" i="7"/>
  <c r="E692" i="7"/>
  <c r="E690" i="7"/>
  <c r="E688" i="7"/>
  <c r="E686" i="7"/>
  <c r="E684" i="7"/>
  <c r="E682" i="7"/>
  <c r="E680" i="7"/>
  <c r="E678" i="7"/>
  <c r="E676" i="7"/>
  <c r="E674" i="7"/>
  <c r="E672" i="7"/>
  <c r="E670" i="7"/>
  <c r="E668" i="7"/>
  <c r="E666" i="7"/>
  <c r="E664" i="7"/>
  <c r="E662" i="7"/>
  <c r="E660" i="7"/>
  <c r="E658" i="7"/>
  <c r="E656" i="7"/>
  <c r="E654" i="7"/>
  <c r="E652" i="7"/>
  <c r="E650" i="7"/>
  <c r="E648" i="7"/>
  <c r="E646" i="7"/>
  <c r="E644" i="7"/>
  <c r="E642" i="7"/>
  <c r="E640" i="7"/>
  <c r="E638" i="7"/>
  <c r="E636" i="7"/>
  <c r="E634" i="7"/>
  <c r="E632" i="7"/>
  <c r="E630" i="7"/>
  <c r="E628" i="7"/>
  <c r="E626" i="7"/>
  <c r="E624" i="7"/>
  <c r="E622" i="7"/>
  <c r="E620" i="7"/>
  <c r="E618" i="7"/>
  <c r="E616" i="7"/>
  <c r="E614" i="7"/>
  <c r="E612" i="7"/>
  <c r="E610" i="7"/>
  <c r="E608" i="7"/>
  <c r="E606" i="7"/>
  <c r="E604" i="7"/>
  <c r="E602" i="7"/>
  <c r="E600" i="7"/>
  <c r="E598" i="7"/>
  <c r="E596" i="7"/>
  <c r="E594" i="7"/>
  <c r="E592" i="7"/>
  <c r="E590" i="7"/>
  <c r="E588" i="7"/>
  <c r="E586" i="7"/>
  <c r="E584" i="7"/>
  <c r="E582" i="7"/>
  <c r="E580" i="7"/>
  <c r="E578" i="7"/>
  <c r="E576" i="7"/>
  <c r="E574" i="7"/>
  <c r="E572" i="7"/>
  <c r="E570" i="7"/>
  <c r="E568" i="7"/>
  <c r="E566" i="7"/>
  <c r="E564" i="7"/>
  <c r="E562" i="7"/>
  <c r="E560" i="7"/>
  <c r="E558" i="7"/>
  <c r="E556" i="7"/>
  <c r="E554" i="7"/>
  <c r="E552" i="7"/>
  <c r="E550" i="7"/>
  <c r="E548" i="7"/>
  <c r="E546" i="7"/>
  <c r="E544" i="7"/>
  <c r="E542" i="7"/>
  <c r="E540" i="7"/>
  <c r="E538" i="7"/>
  <c r="E536" i="7"/>
  <c r="E534" i="7"/>
  <c r="E532" i="7"/>
  <c r="E530" i="7"/>
  <c r="E528" i="7"/>
  <c r="E526" i="7"/>
  <c r="E524" i="7"/>
  <c r="E522" i="7"/>
  <c r="E520" i="7"/>
  <c r="E518" i="7"/>
  <c r="E516" i="7"/>
  <c r="E514" i="7"/>
  <c r="E512" i="7"/>
  <c r="E510" i="7"/>
  <c r="E508" i="7"/>
  <c r="E506" i="7"/>
  <c r="E504" i="7"/>
  <c r="E502" i="7"/>
  <c r="E500" i="7"/>
  <c r="E498" i="7"/>
  <c r="E496" i="7"/>
  <c r="E494" i="7"/>
  <c r="E492" i="7"/>
  <c r="E490" i="7"/>
  <c r="E488" i="7"/>
  <c r="E486" i="7"/>
  <c r="E484" i="7"/>
  <c r="E482" i="7"/>
  <c r="E480" i="7"/>
  <c r="E478" i="7"/>
  <c r="E476" i="7"/>
  <c r="E474" i="7"/>
  <c r="E472" i="7"/>
  <c r="E470" i="7"/>
  <c r="E468" i="7"/>
  <c r="E466" i="7"/>
  <c r="E464" i="7"/>
  <c r="E462" i="7"/>
  <c r="E460" i="7"/>
  <c r="E458" i="7"/>
  <c r="E456" i="7"/>
  <c r="E454" i="7"/>
  <c r="E452" i="7"/>
  <c r="E450" i="7"/>
  <c r="E448" i="7"/>
  <c r="E446" i="7"/>
  <c r="E444" i="7"/>
  <c r="E442" i="7"/>
  <c r="E440" i="7"/>
  <c r="E438" i="7"/>
  <c r="E436" i="7"/>
  <c r="E434" i="7"/>
  <c r="E432" i="7"/>
  <c r="E430" i="7"/>
  <c r="E428" i="7"/>
  <c r="E426" i="7"/>
  <c r="E424" i="7"/>
  <c r="E422" i="7"/>
  <c r="E420" i="7"/>
  <c r="E418" i="7"/>
  <c r="E416" i="7"/>
  <c r="E414" i="7"/>
  <c r="E412" i="7"/>
  <c r="E410" i="7"/>
  <c r="E408" i="7"/>
  <c r="E406" i="7"/>
  <c r="E404" i="7"/>
  <c r="E402" i="7"/>
  <c r="E400" i="7"/>
  <c r="E398" i="7"/>
  <c r="E396" i="7"/>
  <c r="E394" i="7"/>
  <c r="E392" i="7"/>
  <c r="E390" i="7"/>
  <c r="E388" i="7"/>
  <c r="E386" i="7"/>
  <c r="E384" i="7"/>
  <c r="E382" i="7"/>
  <c r="E380" i="7"/>
  <c r="E378" i="7"/>
  <c r="E376" i="7"/>
  <c r="E374" i="7"/>
  <c r="E372" i="7"/>
  <c r="E370" i="7"/>
  <c r="E368" i="7"/>
  <c r="E366" i="7"/>
  <c r="E364" i="7"/>
  <c r="E362" i="7"/>
  <c r="E360" i="7"/>
  <c r="E358" i="7"/>
  <c r="E356" i="7"/>
  <c r="E354" i="7"/>
  <c r="E352" i="7"/>
  <c r="E350" i="7"/>
  <c r="E348" i="7"/>
  <c r="E346" i="7"/>
  <c r="E344" i="7"/>
  <c r="E342" i="7"/>
  <c r="E340" i="7"/>
  <c r="E338" i="7"/>
  <c r="E336" i="7"/>
  <c r="E334" i="7"/>
  <c r="E332" i="7"/>
  <c r="E330" i="7"/>
  <c r="E328" i="7"/>
  <c r="E326" i="7"/>
  <c r="E324" i="7"/>
  <c r="E322" i="7"/>
  <c r="E320" i="7"/>
  <c r="E318" i="7"/>
  <c r="E316" i="7"/>
  <c r="E314" i="7"/>
  <c r="E312" i="7"/>
  <c r="E310" i="7"/>
  <c r="E308" i="7"/>
  <c r="E306" i="7"/>
  <c r="E304" i="7"/>
  <c r="E302" i="7"/>
  <c r="E300" i="7"/>
  <c r="E298" i="7"/>
  <c r="E296" i="7"/>
  <c r="E294" i="7"/>
  <c r="E292" i="7"/>
  <c r="E290" i="7"/>
  <c r="E288" i="7"/>
  <c r="E286" i="7"/>
  <c r="E284" i="7"/>
  <c r="E282" i="7"/>
  <c r="E280" i="7"/>
  <c r="E278" i="7"/>
  <c r="E276" i="7"/>
  <c r="E274" i="7"/>
  <c r="E272" i="7"/>
  <c r="E270" i="7"/>
  <c r="E268" i="7"/>
  <c r="E266" i="7"/>
  <c r="E264" i="7"/>
  <c r="E262" i="7"/>
  <c r="E260" i="7"/>
  <c r="E258" i="7"/>
  <c r="E256" i="7"/>
  <c r="E254" i="7"/>
  <c r="E252" i="7"/>
  <c r="E250" i="7"/>
  <c r="E248" i="7"/>
  <c r="E246" i="7"/>
  <c r="E244" i="7"/>
  <c r="E242" i="7"/>
  <c r="E240" i="7"/>
  <c r="E238" i="7"/>
  <c r="E236" i="7"/>
  <c r="E234" i="7"/>
  <c r="E232" i="7"/>
  <c r="E230" i="7"/>
  <c r="E228" i="7"/>
  <c r="E226" i="7"/>
  <c r="E224" i="7"/>
  <c r="E222" i="7"/>
  <c r="E220" i="7"/>
  <c r="E218" i="7"/>
  <c r="E216" i="7"/>
  <c r="E214" i="7"/>
  <c r="E212" i="7"/>
  <c r="E210" i="7"/>
  <c r="E208" i="7"/>
  <c r="E206" i="7"/>
  <c r="E204" i="7"/>
  <c r="E202" i="7"/>
  <c r="E200" i="7"/>
  <c r="E198" i="7"/>
  <c r="E196" i="7"/>
  <c r="E194" i="7"/>
  <c r="E192" i="7"/>
  <c r="E190" i="7"/>
  <c r="E188" i="7"/>
  <c r="E186" i="7"/>
  <c r="E184" i="7"/>
  <c r="E182" i="7"/>
  <c r="E180" i="7"/>
  <c r="E178" i="7"/>
  <c r="E176" i="7"/>
  <c r="E174" i="7"/>
  <c r="E172" i="7"/>
  <c r="E170" i="7"/>
  <c r="E168" i="7"/>
  <c r="E166" i="7"/>
  <c r="E164" i="7"/>
  <c r="E162" i="7"/>
  <c r="E160" i="7"/>
  <c r="E158" i="7"/>
  <c r="E156" i="7"/>
  <c r="E154" i="7"/>
  <c r="E152" i="7"/>
  <c r="E150" i="7"/>
  <c r="E148" i="7"/>
  <c r="E146" i="7"/>
  <c r="E144" i="7"/>
  <c r="E142" i="7"/>
  <c r="E140" i="7"/>
  <c r="E138" i="7"/>
  <c r="E136" i="7"/>
  <c r="E134" i="7"/>
  <c r="E132" i="7"/>
  <c r="E130" i="7"/>
  <c r="E128" i="7"/>
  <c r="E126" i="7"/>
  <c r="E124" i="7"/>
  <c r="E122" i="7"/>
  <c r="E120" i="7"/>
  <c r="E118" i="7"/>
  <c r="E116" i="7"/>
  <c r="E114" i="7"/>
  <c r="E112" i="7"/>
  <c r="E110" i="7"/>
  <c r="E108" i="7"/>
  <c r="E106" i="7"/>
  <c r="E104" i="7"/>
  <c r="E102" i="7"/>
  <c r="E100" i="7"/>
  <c r="E98" i="7"/>
  <c r="E96" i="7"/>
  <c r="E94" i="7"/>
  <c r="E92" i="7"/>
  <c r="E90" i="7"/>
  <c r="E88" i="7"/>
  <c r="E86" i="7"/>
  <c r="E84" i="7"/>
  <c r="E82" i="7"/>
  <c r="E80" i="7"/>
  <c r="E78" i="7"/>
  <c r="E76" i="7"/>
  <c r="E74" i="7"/>
  <c r="E72" i="7"/>
  <c r="E70" i="7"/>
  <c r="E68" i="7"/>
  <c r="E66" i="7"/>
  <c r="E64" i="7"/>
  <c r="E62" i="7"/>
  <c r="E60" i="7"/>
  <c r="E58" i="7"/>
  <c r="E56" i="7"/>
  <c r="E52" i="7"/>
  <c r="E48" i="7"/>
  <c r="E44" i="7"/>
  <c r="E40" i="7"/>
  <c r="E36" i="7"/>
  <c r="E32" i="7"/>
  <c r="E28" i="7"/>
  <c r="E24" i="7"/>
  <c r="E20" i="7"/>
  <c r="E16" i="7"/>
  <c r="E12" i="7"/>
  <c r="E8" i="7"/>
  <c r="E4" i="7"/>
  <c r="E50" i="7"/>
  <c r="E42" i="7"/>
  <c r="E34" i="7"/>
  <c r="E26" i="7"/>
  <c r="E18" i="7"/>
  <c r="E10" i="7"/>
  <c r="E123" i="7"/>
  <c r="E121" i="7"/>
  <c r="E119" i="7"/>
  <c r="E117" i="7"/>
  <c r="E115" i="7"/>
  <c r="E113" i="7"/>
  <c r="E111" i="7"/>
  <c r="E109" i="7"/>
  <c r="E107" i="7"/>
  <c r="E105" i="7"/>
  <c r="E103" i="7"/>
  <c r="E101" i="7"/>
  <c r="E99" i="7"/>
  <c r="E97" i="7"/>
  <c r="E95" i="7"/>
  <c r="E93" i="7"/>
  <c r="E91" i="7"/>
  <c r="E89" i="7"/>
  <c r="E87" i="7"/>
  <c r="E85" i="7"/>
  <c r="E83" i="7"/>
  <c r="E81" i="7"/>
  <c r="E79" i="7"/>
  <c r="E77" i="7"/>
  <c r="E75" i="7"/>
  <c r="E73" i="7"/>
  <c r="E71" i="7"/>
  <c r="E69" i="7"/>
  <c r="E67" i="7"/>
  <c r="E65" i="7"/>
  <c r="E63" i="7"/>
  <c r="E61" i="7"/>
  <c r="E59" i="7"/>
  <c r="E57" i="7"/>
  <c r="E55" i="7"/>
  <c r="E53" i="7"/>
  <c r="E51" i="7"/>
  <c r="E49" i="7"/>
  <c r="E47" i="7"/>
  <c r="E45" i="7"/>
  <c r="E43" i="7"/>
  <c r="E41" i="7"/>
  <c r="E39" i="7"/>
  <c r="E37" i="7"/>
  <c r="E35" i="7"/>
  <c r="E33" i="7"/>
  <c r="E31" i="7"/>
  <c r="E29" i="7"/>
  <c r="E27" i="7"/>
  <c r="E25" i="7"/>
  <c r="E23" i="7"/>
  <c r="E21" i="7"/>
  <c r="E19" i="7"/>
  <c r="E17" i="7"/>
  <c r="E15" i="7"/>
  <c r="E13" i="7"/>
  <c r="E11" i="7"/>
  <c r="E9" i="7"/>
  <c r="E7" i="7"/>
  <c r="E5" i="7"/>
  <c r="E3" i="7"/>
  <c r="E813" i="7"/>
  <c r="E809" i="7"/>
  <c r="E805" i="7"/>
  <c r="E801" i="7"/>
  <c r="E797" i="7"/>
  <c r="E793" i="7"/>
  <c r="E789" i="7"/>
  <c r="E785" i="7"/>
  <c r="E781" i="7"/>
  <c r="E777" i="7"/>
  <c r="E773" i="7"/>
  <c r="E769" i="7"/>
  <c r="E765" i="7"/>
  <c r="E761" i="7"/>
  <c r="E757" i="7"/>
  <c r="E753" i="7"/>
  <c r="E749" i="7"/>
  <c r="E745" i="7"/>
  <c r="E741" i="7"/>
  <c r="E737" i="7"/>
  <c r="E733" i="7"/>
  <c r="E729" i="7"/>
  <c r="E725" i="7"/>
  <c r="E721" i="7"/>
  <c r="E717" i="7"/>
  <c r="E713" i="7"/>
  <c r="E709" i="7"/>
  <c r="E705" i="7"/>
  <c r="E701" i="7"/>
  <c r="E697" i="7"/>
  <c r="E693" i="7"/>
  <c r="E689" i="7"/>
  <c r="E685" i="7"/>
  <c r="E681" i="7"/>
  <c r="E677" i="7"/>
  <c r="E673" i="7"/>
  <c r="E669" i="7"/>
  <c r="E665" i="7"/>
  <c r="E661" i="7"/>
  <c r="E657" i="7"/>
  <c r="E653" i="7"/>
  <c r="E649" i="7"/>
  <c r="E645" i="7"/>
  <c r="E641" i="7"/>
  <c r="E637" i="7"/>
  <c r="E633" i="7"/>
  <c r="E629" i="7"/>
  <c r="E625" i="7"/>
  <c r="E621" i="7"/>
  <c r="E617" i="7"/>
  <c r="E613" i="7"/>
  <c r="E609" i="7"/>
  <c r="E605" i="7"/>
  <c r="E601" i="7"/>
  <c r="E597" i="7"/>
  <c r="E593" i="7"/>
  <c r="E589" i="7"/>
  <c r="E585" i="7"/>
  <c r="E581" i="7"/>
  <c r="E577" i="7"/>
  <c r="E573" i="7"/>
  <c r="E569" i="7"/>
  <c r="E565" i="7"/>
  <c r="E561" i="7"/>
  <c r="E557" i="7"/>
  <c r="E553" i="7"/>
  <c r="E549" i="7"/>
  <c r="E545" i="7"/>
  <c r="E541" i="7"/>
  <c r="E537" i="7"/>
  <c r="E533" i="7"/>
  <c r="E529" i="7"/>
  <c r="E525" i="7"/>
  <c r="E521" i="7"/>
  <c r="E517" i="7"/>
  <c r="E513" i="7"/>
  <c r="E509" i="7"/>
  <c r="E505" i="7"/>
  <c r="E501" i="7"/>
  <c r="E497" i="7"/>
  <c r="E493" i="7"/>
  <c r="E489" i="7"/>
  <c r="E485" i="7"/>
  <c r="E481" i="7"/>
  <c r="E477" i="7"/>
  <c r="E473" i="7"/>
  <c r="E469" i="7"/>
  <c r="E465" i="7"/>
  <c r="E461" i="7"/>
  <c r="E457" i="7"/>
  <c r="E453" i="7"/>
  <c r="E449" i="7"/>
  <c r="E445" i="7"/>
  <c r="E441" i="7"/>
  <c r="E437" i="7"/>
  <c r="E433" i="7"/>
  <c r="E429" i="7"/>
  <c r="E425" i="7"/>
  <c r="E421" i="7"/>
  <c r="E417" i="7"/>
  <c r="E413" i="7"/>
  <c r="E409" i="7"/>
  <c r="E405" i="7"/>
  <c r="E401" i="7"/>
  <c r="E397" i="7"/>
  <c r="E393" i="7"/>
  <c r="E389" i="7"/>
  <c r="E385" i="7"/>
  <c r="E381" i="7"/>
  <c r="E377" i="7"/>
  <c r="E373" i="7"/>
  <c r="E369" i="7"/>
  <c r="E365" i="7"/>
  <c r="E361" i="7"/>
  <c r="E357" i="7"/>
  <c r="E353" i="7"/>
  <c r="E349" i="7"/>
  <c r="E345" i="7"/>
  <c r="E341" i="7"/>
  <c r="E337" i="7"/>
  <c r="E333" i="7"/>
  <c r="E329" i="7"/>
  <c r="E325" i="7"/>
  <c r="E321" i="7"/>
  <c r="E317" i="7"/>
  <c r="E313" i="7"/>
  <c r="E305" i="7"/>
  <c r="E301" i="7"/>
  <c r="E297" i="7"/>
  <c r="E293" i="7"/>
  <c r="E289" i="7"/>
  <c r="E285" i="7"/>
  <c r="E281" i="7"/>
  <c r="E273" i="7"/>
  <c r="E269" i="7"/>
  <c r="E265" i="7"/>
  <c r="E261" i="7"/>
  <c r="E257" i="7"/>
  <c r="E253" i="7"/>
  <c r="E249" i="7"/>
  <c r="E241" i="7"/>
  <c r="E237" i="7"/>
  <c r="E233" i="7"/>
  <c r="E229" i="7"/>
  <c r="E225" i="7"/>
  <c r="E221" i="7"/>
  <c r="E217" i="7"/>
  <c r="E209" i="7"/>
  <c r="E205" i="7"/>
  <c r="E201" i="7"/>
  <c r="E197" i="7"/>
  <c r="E193" i="7"/>
  <c r="E189" i="7"/>
  <c r="E185" i="7"/>
  <c r="E177" i="7"/>
  <c r="E173" i="7"/>
  <c r="E169" i="7"/>
  <c r="E165" i="7"/>
  <c r="E161" i="7"/>
  <c r="E157" i="7"/>
  <c r="E153" i="7"/>
  <c r="E149" i="7"/>
  <c r="E145" i="7"/>
  <c r="E141" i="7"/>
  <c r="E137" i="7"/>
  <c r="E133" i="7"/>
  <c r="E129" i="7"/>
  <c r="E125" i="7"/>
  <c r="E54" i="7"/>
  <c r="E46" i="7"/>
  <c r="E38" i="7"/>
  <c r="E30" i="7"/>
  <c r="E22" i="7"/>
  <c r="E14" i="7"/>
  <c r="P629" i="7"/>
  <c r="P628" i="7"/>
  <c r="P627" i="7"/>
  <c r="P626" i="7"/>
  <c r="P625" i="7"/>
  <c r="P624" i="7"/>
  <c r="P623" i="7"/>
  <c r="P477" i="7"/>
  <c r="P476" i="7"/>
  <c r="P475" i="7"/>
  <c r="P474" i="7"/>
  <c r="P473" i="7"/>
  <c r="P472" i="7"/>
  <c r="P471" i="7"/>
  <c r="P470" i="7"/>
  <c r="P469" i="7"/>
  <c r="P271" i="7"/>
  <c r="P270" i="7"/>
  <c r="P269" i="7"/>
  <c r="P268" i="7"/>
  <c r="P267" i="7"/>
  <c r="P266" i="7"/>
  <c r="P265" i="7"/>
  <c r="P264" i="7"/>
  <c r="P263" i="7"/>
  <c r="P262" i="7"/>
  <c r="P261" i="7"/>
  <c r="P260" i="7"/>
  <c r="P259" i="7"/>
  <c r="P258" i="7"/>
  <c r="P257" i="7"/>
  <c r="P256" i="7"/>
  <c r="P255" i="7"/>
  <c r="P254" i="7"/>
  <c r="P253" i="7"/>
  <c r="P252" i="7"/>
  <c r="P251" i="7"/>
  <c r="P250" i="7"/>
  <c r="P249" i="7"/>
  <c r="P248" i="7"/>
  <c r="P247" i="7"/>
  <c r="P246" i="7"/>
  <c r="P245" i="7"/>
  <c r="P244" i="7"/>
  <c r="P243" i="7"/>
  <c r="P242" i="7"/>
  <c r="P241" i="7"/>
  <c r="P240" i="7"/>
  <c r="P239" i="7"/>
  <c r="P238" i="7"/>
  <c r="P237" i="7"/>
  <c r="P236" i="7"/>
  <c r="P235" i="7"/>
  <c r="P234" i="7"/>
  <c r="P233" i="7"/>
  <c r="P232" i="7"/>
  <c r="P231" i="7"/>
  <c r="P230" i="7"/>
  <c r="P229" i="7"/>
  <c r="P228" i="7"/>
  <c r="P227" i="7"/>
  <c r="P226" i="7"/>
  <c r="P225" i="7"/>
  <c r="P224" i="7"/>
  <c r="P223" i="7"/>
  <c r="P222" i="7"/>
  <c r="P221" i="7"/>
  <c r="P220"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P150" i="7"/>
  <c r="P151" i="7"/>
  <c r="P152" i="7"/>
  <c r="P154" i="7"/>
  <c r="P158" i="7"/>
  <c r="P160" i="7"/>
  <c r="P162" i="7"/>
  <c r="P164" i="7"/>
  <c r="P166" i="7"/>
  <c r="P168" i="7"/>
  <c r="P170" i="7"/>
  <c r="P172" i="7"/>
  <c r="P174" i="7"/>
  <c r="P176" i="7"/>
  <c r="P178" i="7"/>
  <c r="P180" i="7"/>
  <c r="P182" i="7"/>
  <c r="P184" i="7"/>
  <c r="P186" i="7"/>
  <c r="P188" i="7"/>
  <c r="P190" i="7"/>
  <c r="P15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7" i="7"/>
  <c r="P38" i="7"/>
  <c r="P39" i="7"/>
  <c r="P40" i="7"/>
  <c r="P41" i="7"/>
  <c r="P42" i="7"/>
  <c r="P43" i="7"/>
  <c r="P44" i="7"/>
  <c r="P45" i="7"/>
  <c r="P46" i="7"/>
  <c r="P47" i="7"/>
  <c r="P48" i="7"/>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P83" i="7"/>
  <c r="P84" i="7"/>
  <c r="P85" i="7"/>
  <c r="P86" i="7"/>
  <c r="P87" i="7"/>
  <c r="P88" i="7"/>
  <c r="P89" i="7"/>
  <c r="P90" i="7"/>
  <c r="P91" i="7"/>
  <c r="P92" i="7"/>
  <c r="P93" i="7"/>
  <c r="P94" i="7"/>
  <c r="P95" i="7"/>
  <c r="P96" i="7"/>
  <c r="P97" i="7"/>
  <c r="P98" i="7"/>
  <c r="P99" i="7"/>
  <c r="P100" i="7"/>
  <c r="P101" i="7"/>
  <c r="P102" i="7"/>
  <c r="P103" i="7"/>
  <c r="P104" i="7"/>
  <c r="P105" i="7"/>
  <c r="P106" i="7"/>
  <c r="P107" i="7"/>
  <c r="P108" i="7"/>
  <c r="P109" i="7"/>
  <c r="P110" i="7"/>
  <c r="P111" i="7"/>
  <c r="P112" i="7"/>
  <c r="P113" i="7"/>
  <c r="P114" i="7"/>
  <c r="P115" i="7"/>
  <c r="P116" i="7"/>
  <c r="P117" i="7"/>
  <c r="P118" i="7"/>
  <c r="P119" i="7"/>
  <c r="P120" i="7"/>
  <c r="P121" i="7"/>
  <c r="P122" i="7"/>
  <c r="P123" i="7"/>
  <c r="P124" i="7"/>
  <c r="P125" i="7"/>
  <c r="P126" i="7"/>
  <c r="P127" i="7"/>
  <c r="P128" i="7"/>
  <c r="P129" i="7"/>
  <c r="P130" i="7"/>
  <c r="P131" i="7"/>
  <c r="P132" i="7"/>
  <c r="P133" i="7"/>
  <c r="P134" i="7"/>
  <c r="P135" i="7"/>
  <c r="P136" i="7"/>
  <c r="P137" i="7"/>
  <c r="P138" i="7"/>
  <c r="P139" i="7"/>
  <c r="P140" i="7"/>
  <c r="P141" i="7"/>
  <c r="P142" i="7"/>
  <c r="P143" i="7"/>
  <c r="P144" i="7"/>
  <c r="P145" i="7"/>
  <c r="P146" i="7"/>
  <c r="P147" i="7"/>
  <c r="P148" i="7"/>
  <c r="P149"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F21" i="4" l="1" a="1"/>
  <c r="F21" i="4" s="1"/>
  <c r="C29" i="4"/>
  <c r="J540" i="7"/>
  <c r="O365" i="7"/>
  <c r="O413" i="7"/>
  <c r="O445" i="7"/>
  <c r="O469" i="7"/>
  <c r="O517" i="7"/>
  <c r="O565" i="7"/>
  <c r="O581" i="7"/>
  <c r="O629" i="7"/>
  <c r="O677" i="7"/>
  <c r="O725" i="7"/>
  <c r="O813" i="7"/>
  <c r="J560" i="7"/>
  <c r="O564" i="7"/>
  <c r="J564" i="7"/>
  <c r="J568" i="7"/>
  <c r="O572" i="7"/>
  <c r="J572" i="7"/>
  <c r="O580" i="7"/>
  <c r="O584" i="7"/>
  <c r="O588" i="7"/>
  <c r="O592" i="7"/>
  <c r="J596" i="7"/>
  <c r="O604" i="7"/>
  <c r="O612" i="7"/>
  <c r="O620" i="7"/>
  <c r="O628" i="7"/>
  <c r="O636" i="7"/>
  <c r="O700" i="7"/>
  <c r="O708" i="7"/>
  <c r="O712" i="7"/>
  <c r="O716" i="7"/>
  <c r="O724" i="7"/>
  <c r="O728" i="7"/>
  <c r="O732" i="7"/>
  <c r="O740" i="7"/>
  <c r="O744" i="7"/>
  <c r="O748" i="7"/>
  <c r="O756" i="7"/>
  <c r="O760" i="7"/>
  <c r="O764" i="7"/>
  <c r="O772" i="7"/>
  <c r="O776" i="7"/>
  <c r="O780" i="7"/>
  <c r="O788" i="7"/>
  <c r="O792" i="7"/>
  <c r="O796" i="7"/>
  <c r="O804" i="7"/>
  <c r="J804" i="7"/>
  <c r="O808" i="7"/>
  <c r="J808" i="7"/>
  <c r="O812" i="7"/>
  <c r="J812" i="7"/>
  <c r="O155" i="7"/>
  <c r="O171" i="7"/>
  <c r="O179" i="7"/>
  <c r="O199" i="7"/>
  <c r="J199" i="7"/>
  <c r="O207" i="7"/>
  <c r="J207" i="7"/>
  <c r="O213" i="7"/>
  <c r="J213" i="7"/>
  <c r="O219" i="7"/>
  <c r="J219" i="7"/>
  <c r="O227" i="7"/>
  <c r="J227" i="7"/>
  <c r="O235" i="7"/>
  <c r="J235" i="7"/>
  <c r="O243" i="7"/>
  <c r="J243" i="7"/>
  <c r="O247" i="7"/>
  <c r="J247" i="7"/>
  <c r="O255" i="7"/>
  <c r="J255" i="7"/>
  <c r="O263" i="7"/>
  <c r="J263" i="7"/>
  <c r="J271" i="7"/>
  <c r="O277" i="7"/>
  <c r="J277" i="7"/>
  <c r="O283" i="7"/>
  <c r="O291" i="7"/>
  <c r="J291" i="7"/>
  <c r="O299" i="7"/>
  <c r="J299" i="7"/>
  <c r="O307" i="7"/>
  <c r="J307" i="7"/>
  <c r="J311" i="7"/>
  <c r="O319" i="7"/>
  <c r="J319" i="7"/>
  <c r="O327" i="7"/>
  <c r="J327" i="7"/>
  <c r="O335" i="7"/>
  <c r="O343" i="7"/>
  <c r="O359" i="7"/>
  <c r="O367" i="7"/>
  <c r="O375" i="7"/>
  <c r="J375" i="7"/>
  <c r="O383" i="7"/>
  <c r="J383" i="7"/>
  <c r="O391" i="7"/>
  <c r="J391" i="7"/>
  <c r="O399" i="7"/>
  <c r="J399" i="7"/>
  <c r="O407" i="7"/>
  <c r="J407" i="7"/>
  <c r="O415" i="7"/>
  <c r="J415" i="7"/>
  <c r="O423" i="7"/>
  <c r="J423" i="7"/>
  <c r="O431" i="7"/>
  <c r="J431" i="7"/>
  <c r="O439" i="7"/>
  <c r="J439" i="7"/>
  <c r="O447" i="7"/>
  <c r="O455" i="7"/>
  <c r="O463" i="7"/>
  <c r="O479" i="7"/>
  <c r="O495" i="7"/>
  <c r="O511" i="7"/>
  <c r="J511" i="7"/>
  <c r="O519" i="7"/>
  <c r="J519" i="7"/>
  <c r="O527" i="7"/>
  <c r="J527" i="7"/>
  <c r="O535" i="7"/>
  <c r="J535" i="7"/>
  <c r="O543" i="7"/>
  <c r="J543" i="7"/>
  <c r="O551" i="7"/>
  <c r="J551" i="7"/>
  <c r="J559" i="7"/>
  <c r="O567" i="7"/>
  <c r="J567" i="7"/>
  <c r="O575" i="7"/>
  <c r="J575" i="7"/>
  <c r="O583" i="7"/>
  <c r="J583" i="7"/>
  <c r="O591" i="7"/>
  <c r="J591" i="7"/>
  <c r="O599" i="7"/>
  <c r="J599" i="7"/>
  <c r="O607" i="7"/>
  <c r="J607" i="7"/>
  <c r="O615" i="7"/>
  <c r="J615" i="7"/>
  <c r="O623" i="7"/>
  <c r="J623" i="7"/>
  <c r="O631" i="7"/>
  <c r="J631" i="7"/>
  <c r="O639" i="7"/>
  <c r="J639" i="7"/>
  <c r="O647" i="7"/>
  <c r="J647" i="7"/>
  <c r="O655" i="7"/>
  <c r="J655" i="7"/>
  <c r="O663" i="7"/>
  <c r="J663" i="7"/>
  <c r="O671" i="7"/>
  <c r="J671" i="7"/>
  <c r="J679" i="7"/>
  <c r="O687" i="7"/>
  <c r="J687" i="7"/>
  <c r="O169" i="7"/>
  <c r="O189" i="7"/>
  <c r="J205" i="7"/>
  <c r="O205" i="7"/>
  <c r="O225" i="7"/>
  <c r="O241" i="7"/>
  <c r="J241" i="7"/>
  <c r="O261" i="7"/>
  <c r="O281" i="7"/>
  <c r="J281" i="7"/>
  <c r="O297" i="7"/>
  <c r="O317" i="7"/>
  <c r="O333" i="7"/>
  <c r="J349" i="7"/>
  <c r="O357" i="7"/>
  <c r="J389" i="7"/>
  <c r="O405" i="7"/>
  <c r="J405" i="7"/>
  <c r="O421" i="7"/>
  <c r="O437" i="7"/>
  <c r="J437" i="7"/>
  <c r="O461" i="7"/>
  <c r="J461" i="7"/>
  <c r="O477" i="7"/>
  <c r="J477" i="7"/>
  <c r="O493" i="7"/>
  <c r="J493" i="7"/>
  <c r="O509" i="7"/>
  <c r="J509" i="7"/>
  <c r="O525" i="7"/>
  <c r="J525" i="7"/>
  <c r="O541" i="7"/>
  <c r="J541" i="7"/>
  <c r="O557" i="7"/>
  <c r="J557" i="7"/>
  <c r="O573" i="7"/>
  <c r="J573" i="7"/>
  <c r="O589" i="7"/>
  <c r="J589" i="7"/>
  <c r="O605" i="7"/>
  <c r="J605" i="7"/>
  <c r="O621" i="7"/>
  <c r="J621" i="7"/>
  <c r="O637" i="7"/>
  <c r="J637" i="7"/>
  <c r="O653" i="7"/>
  <c r="J653" i="7"/>
  <c r="O669" i="7"/>
  <c r="J669" i="7"/>
  <c r="O685" i="7"/>
  <c r="O701" i="7"/>
  <c r="J701" i="7"/>
  <c r="O717" i="7"/>
  <c r="J717" i="7"/>
  <c r="O733" i="7"/>
  <c r="J733" i="7"/>
  <c r="O749" i="7"/>
  <c r="J749" i="7"/>
  <c r="O765" i="7"/>
  <c r="J765" i="7"/>
  <c r="O781" i="7"/>
  <c r="J781" i="7"/>
  <c r="O797" i="7"/>
  <c r="J797" i="7"/>
  <c r="O695" i="7"/>
  <c r="J695" i="7"/>
  <c r="O703" i="7"/>
  <c r="J703" i="7"/>
  <c r="O711" i="7"/>
  <c r="J711" i="7"/>
  <c r="O719" i="7"/>
  <c r="J719" i="7"/>
  <c r="O727" i="7"/>
  <c r="J727" i="7"/>
  <c r="O735" i="7"/>
  <c r="J735" i="7"/>
  <c r="O743" i="7"/>
  <c r="J743" i="7"/>
  <c r="O751" i="7"/>
  <c r="J751" i="7"/>
  <c r="O759" i="7"/>
  <c r="J759" i="7"/>
  <c r="O767" i="7"/>
  <c r="J767" i="7"/>
  <c r="O775" i="7"/>
  <c r="J775" i="7"/>
  <c r="O783" i="7"/>
  <c r="J783" i="7"/>
  <c r="O791" i="7"/>
  <c r="J791" i="7"/>
  <c r="O799" i="7"/>
  <c r="J799" i="7"/>
  <c r="O807" i="7"/>
  <c r="J807" i="7"/>
  <c r="O815" i="7"/>
  <c r="J815" i="7"/>
  <c r="O150" i="7"/>
  <c r="O154" i="7"/>
  <c r="O158" i="7"/>
  <c r="O162" i="7"/>
  <c r="O166" i="7"/>
  <c r="O170" i="7"/>
  <c r="O174" i="7"/>
  <c r="O178" i="7"/>
  <c r="O182" i="7"/>
  <c r="O186" i="7"/>
  <c r="O190" i="7"/>
  <c r="O194" i="7"/>
  <c r="J194" i="7"/>
  <c r="O198" i="7"/>
  <c r="J198" i="7"/>
  <c r="O202" i="7"/>
  <c r="J202" i="7"/>
  <c r="O206" i="7"/>
  <c r="J206" i="7"/>
  <c r="O210" i="7"/>
  <c r="J210" i="7"/>
  <c r="O214" i="7"/>
  <c r="J214" i="7"/>
  <c r="O218" i="7"/>
  <c r="J218" i="7"/>
  <c r="O222" i="7"/>
  <c r="O226" i="7"/>
  <c r="O230" i="7"/>
  <c r="O234" i="7"/>
  <c r="O238" i="7"/>
  <c r="J238" i="7"/>
  <c r="O242" i="7"/>
  <c r="J242" i="7"/>
  <c r="O246" i="7"/>
  <c r="J246" i="7"/>
  <c r="O250" i="7"/>
  <c r="J250" i="7"/>
  <c r="O254" i="7"/>
  <c r="J254" i="7"/>
  <c r="O258" i="7"/>
  <c r="J258" i="7"/>
  <c r="O262" i="7"/>
  <c r="J262" i="7"/>
  <c r="O266" i="7"/>
  <c r="J266" i="7"/>
  <c r="O270" i="7"/>
  <c r="J270" i="7"/>
  <c r="O274" i="7"/>
  <c r="J274" i="7"/>
  <c r="O278" i="7"/>
  <c r="J278" i="7"/>
  <c r="O282" i="7"/>
  <c r="J282" i="7"/>
  <c r="O286" i="7"/>
  <c r="J286" i="7"/>
  <c r="O290" i="7"/>
  <c r="J290" i="7"/>
  <c r="O294" i="7"/>
  <c r="J294" i="7"/>
  <c r="O302" i="7"/>
  <c r="O310" i="7"/>
  <c r="J310" i="7"/>
  <c r="O314" i="7"/>
  <c r="J314" i="7"/>
  <c r="O318" i="7"/>
  <c r="J318" i="7"/>
  <c r="O322" i="7"/>
  <c r="J322" i="7"/>
  <c r="O326" i="7"/>
  <c r="J326" i="7"/>
  <c r="O330" i="7"/>
  <c r="J330" i="7"/>
  <c r="O334" i="7"/>
  <c r="J334" i="7"/>
  <c r="O338" i="7"/>
  <c r="J338" i="7"/>
  <c r="O342" i="7"/>
  <c r="J342" i="7"/>
  <c r="O346" i="7"/>
  <c r="J346" i="7"/>
  <c r="O350" i="7"/>
  <c r="O354" i="7"/>
  <c r="J354" i="7"/>
  <c r="O358" i="7"/>
  <c r="O362" i="7"/>
  <c r="J362" i="7"/>
  <c r="O366" i="7"/>
  <c r="J366" i="7"/>
  <c r="O370" i="7"/>
  <c r="O374" i="7"/>
  <c r="J374" i="7"/>
  <c r="O378" i="7"/>
  <c r="J378" i="7"/>
  <c r="O382" i="7"/>
  <c r="O386" i="7"/>
  <c r="J386" i="7"/>
  <c r="O390" i="7"/>
  <c r="O394" i="7"/>
  <c r="J394" i="7"/>
  <c r="O398" i="7"/>
  <c r="O402" i="7"/>
  <c r="J402" i="7"/>
  <c r="O406" i="7"/>
  <c r="O410" i="7"/>
  <c r="J410" i="7"/>
  <c r="O414" i="7"/>
  <c r="J414" i="7"/>
  <c r="O418" i="7"/>
  <c r="J418" i="7"/>
  <c r="O422" i="7"/>
  <c r="O426" i="7"/>
  <c r="J426" i="7"/>
  <c r="O434" i="7"/>
  <c r="J434" i="7"/>
  <c r="O438" i="7"/>
  <c r="O442" i="7"/>
  <c r="J442" i="7"/>
  <c r="O446" i="7"/>
  <c r="O450" i="7"/>
  <c r="J450" i="7"/>
  <c r="O454" i="7"/>
  <c r="J454" i="7"/>
  <c r="O458" i="7"/>
  <c r="J458" i="7"/>
  <c r="O462" i="7"/>
  <c r="O466" i="7"/>
  <c r="J466" i="7"/>
  <c r="O470" i="7"/>
  <c r="J470" i="7"/>
  <c r="O474" i="7"/>
  <c r="J474" i="7"/>
  <c r="O478" i="7"/>
  <c r="J478" i="7"/>
  <c r="O482" i="7"/>
  <c r="J482" i="7"/>
  <c r="O486" i="7"/>
  <c r="J486" i="7"/>
  <c r="O490" i="7"/>
  <c r="J490" i="7"/>
  <c r="O498" i="7"/>
  <c r="J498" i="7"/>
  <c r="O502" i="7"/>
  <c r="J502" i="7"/>
  <c r="O506" i="7"/>
  <c r="J506" i="7"/>
  <c r="O510" i="7"/>
  <c r="J510" i="7"/>
  <c r="O514" i="7"/>
  <c r="J514" i="7"/>
  <c r="O518" i="7"/>
  <c r="J518" i="7"/>
  <c r="O522" i="7"/>
  <c r="J522" i="7"/>
  <c r="O526" i="7"/>
  <c r="J526" i="7"/>
  <c r="O530" i="7"/>
  <c r="J530" i="7"/>
  <c r="O538" i="7"/>
  <c r="J538" i="7"/>
  <c r="O542" i="7"/>
  <c r="J542" i="7"/>
  <c r="O546" i="7"/>
  <c r="J546" i="7"/>
  <c r="O550" i="7"/>
  <c r="J550" i="7"/>
  <c r="O554" i="7"/>
  <c r="J554" i="7"/>
  <c r="O558" i="7"/>
  <c r="J558" i="7"/>
  <c r="O562" i="7"/>
  <c r="J562" i="7"/>
  <c r="O566" i="7"/>
  <c r="J566" i="7"/>
  <c r="O570" i="7"/>
  <c r="J570" i="7"/>
  <c r="O574" i="7"/>
  <c r="J574" i="7"/>
  <c r="O578" i="7"/>
  <c r="J578" i="7"/>
  <c r="O582" i="7"/>
  <c r="J582" i="7"/>
  <c r="O586" i="7"/>
  <c r="J586" i="7"/>
  <c r="O590" i="7"/>
  <c r="J590" i="7"/>
  <c r="O594" i="7"/>
  <c r="J594" i="7"/>
  <c r="O598" i="7"/>
  <c r="J598" i="7"/>
  <c r="O606" i="7"/>
  <c r="J606" i="7"/>
  <c r="O610" i="7"/>
  <c r="J610" i="7"/>
  <c r="O626" i="7"/>
  <c r="J626" i="7"/>
  <c r="O630" i="7"/>
  <c r="J630" i="7"/>
  <c r="O634" i="7"/>
  <c r="J634" i="7"/>
  <c r="O638" i="7"/>
  <c r="J638" i="7"/>
  <c r="J650" i="7"/>
  <c r="O658" i="7"/>
  <c r="J658" i="7"/>
  <c r="O662" i="7"/>
  <c r="J662" i="7"/>
  <c r="O666" i="7"/>
  <c r="J666" i="7"/>
  <c r="O674" i="7"/>
  <c r="J674" i="7"/>
  <c r="O678" i="7"/>
  <c r="J678" i="7"/>
  <c r="O682" i="7"/>
  <c r="J682" i="7"/>
  <c r="O686" i="7"/>
  <c r="J686" i="7"/>
  <c r="O690" i="7"/>
  <c r="J690" i="7"/>
  <c r="O714" i="7"/>
  <c r="J714" i="7"/>
  <c r="J722" i="7"/>
  <c r="O730" i="7"/>
  <c r="J730" i="7"/>
  <c r="O734" i="7"/>
  <c r="J734" i="7"/>
  <c r="O738" i="7"/>
  <c r="J738" i="7"/>
  <c r="O750" i="7"/>
  <c r="J750" i="7"/>
  <c r="O754" i="7"/>
  <c r="J754" i="7"/>
  <c r="O758" i="7"/>
  <c r="J758" i="7"/>
  <c r="O762" i="7"/>
  <c r="J762" i="7"/>
  <c r="O766" i="7"/>
  <c r="J766" i="7"/>
  <c r="O770" i="7"/>
  <c r="J770" i="7"/>
  <c r="O778" i="7"/>
  <c r="J778" i="7"/>
  <c r="O782" i="7"/>
  <c r="J782" i="7"/>
  <c r="O786" i="7"/>
  <c r="J786" i="7"/>
  <c r="O794" i="7"/>
  <c r="J794" i="7"/>
  <c r="O802" i="7"/>
  <c r="J802" i="7"/>
  <c r="O810" i="7"/>
  <c r="J810" i="7"/>
  <c r="O151" i="7"/>
  <c r="O159" i="7"/>
  <c r="O167" i="7"/>
  <c r="O175" i="7"/>
  <c r="O181" i="7"/>
  <c r="O187" i="7"/>
  <c r="O195" i="7"/>
  <c r="J195" i="7"/>
  <c r="O211" i="7"/>
  <c r="J211" i="7"/>
  <c r="O223" i="7"/>
  <c r="J223" i="7"/>
  <c r="O231" i="7"/>
  <c r="J231" i="7"/>
  <c r="O239" i="7"/>
  <c r="J239" i="7"/>
  <c r="O245" i="7"/>
  <c r="J245" i="7"/>
  <c r="O251" i="7"/>
  <c r="J251" i="7"/>
  <c r="O259" i="7"/>
  <c r="J259" i="7"/>
  <c r="O267" i="7"/>
  <c r="J267" i="7"/>
  <c r="O275" i="7"/>
  <c r="J275" i="7"/>
  <c r="O279" i="7"/>
  <c r="J279" i="7"/>
  <c r="O287" i="7"/>
  <c r="J287" i="7"/>
  <c r="O295" i="7"/>
  <c r="J295" i="7"/>
  <c r="O303" i="7"/>
  <c r="J303" i="7"/>
  <c r="O309" i="7"/>
  <c r="J309" i="7"/>
  <c r="O323" i="7"/>
  <c r="J323" i="7"/>
  <c r="O331" i="7"/>
  <c r="J331" i="7"/>
  <c r="O339" i="7"/>
  <c r="J339" i="7"/>
  <c r="O347" i="7"/>
  <c r="J347" i="7"/>
  <c r="O363" i="7"/>
  <c r="J363" i="7"/>
  <c r="O371" i="7"/>
  <c r="J371" i="7"/>
  <c r="O379" i="7"/>
  <c r="J379" i="7"/>
  <c r="O387" i="7"/>
  <c r="J387" i="7"/>
  <c r="O403" i="7"/>
  <c r="J403" i="7"/>
  <c r="O411" i="7"/>
  <c r="J411" i="7"/>
  <c r="O419" i="7"/>
  <c r="J419" i="7"/>
  <c r="O427" i="7"/>
  <c r="J427" i="7"/>
  <c r="O435" i="7"/>
  <c r="J435" i="7"/>
  <c r="O443" i="7"/>
  <c r="J443" i="7"/>
  <c r="O451" i="7"/>
  <c r="J451" i="7"/>
  <c r="O459" i="7"/>
  <c r="J459" i="7"/>
  <c r="O467" i="7"/>
  <c r="J467" i="7"/>
  <c r="O475" i="7"/>
  <c r="J475" i="7"/>
  <c r="O483" i="7"/>
  <c r="J483" i="7"/>
  <c r="O491" i="7"/>
  <c r="J491" i="7"/>
  <c r="O499" i="7"/>
  <c r="J499" i="7"/>
  <c r="O507" i="7"/>
  <c r="J507" i="7"/>
  <c r="O515" i="7"/>
  <c r="J515" i="7"/>
  <c r="O523" i="7"/>
  <c r="J523" i="7"/>
  <c r="O531" i="7"/>
  <c r="J531" i="7"/>
  <c r="O539" i="7"/>
  <c r="J539" i="7"/>
  <c r="O547" i="7"/>
  <c r="J547" i="7"/>
  <c r="O555" i="7"/>
  <c r="J555" i="7"/>
  <c r="O563" i="7"/>
  <c r="J563" i="7"/>
  <c r="O571" i="7"/>
  <c r="J571" i="7"/>
  <c r="O579" i="7"/>
  <c r="J579" i="7"/>
  <c r="O587" i="7"/>
  <c r="J587" i="7"/>
  <c r="O595" i="7"/>
  <c r="J595" i="7"/>
  <c r="O603" i="7"/>
  <c r="J603" i="7"/>
  <c r="O611" i="7"/>
  <c r="J611" i="7"/>
  <c r="O619" i="7"/>
  <c r="J619" i="7"/>
  <c r="O627" i="7"/>
  <c r="J627" i="7"/>
  <c r="O635" i="7"/>
  <c r="J635" i="7"/>
  <c r="O643" i="7"/>
  <c r="J643" i="7"/>
  <c r="O651" i="7"/>
  <c r="J651" i="7"/>
  <c r="O659" i="7"/>
  <c r="J659" i="7"/>
  <c r="O667" i="7"/>
  <c r="J667" i="7"/>
  <c r="O675" i="7"/>
  <c r="J675" i="7"/>
  <c r="O683" i="7"/>
  <c r="J683" i="7"/>
  <c r="O691" i="7"/>
  <c r="J691" i="7"/>
  <c r="O699" i="7"/>
  <c r="J699" i="7"/>
  <c r="O707" i="7"/>
  <c r="J707" i="7"/>
  <c r="O715" i="7"/>
  <c r="J715" i="7"/>
  <c r="O723" i="7"/>
  <c r="J723" i="7"/>
  <c r="O731" i="7"/>
  <c r="J731" i="7"/>
  <c r="O739" i="7"/>
  <c r="J739" i="7"/>
  <c r="O747" i="7"/>
  <c r="J747" i="7"/>
  <c r="O755" i="7"/>
  <c r="J755" i="7"/>
  <c r="O763" i="7"/>
  <c r="J763" i="7"/>
  <c r="O771" i="7"/>
  <c r="J771" i="7"/>
  <c r="O779" i="7"/>
  <c r="J779" i="7"/>
  <c r="O787" i="7"/>
  <c r="J787" i="7"/>
  <c r="O795" i="7"/>
  <c r="J795" i="7"/>
  <c r="O803" i="7"/>
  <c r="J803" i="7"/>
  <c r="O811" i="7"/>
  <c r="J811" i="7"/>
  <c r="O397" i="7"/>
  <c r="O453" i="7"/>
  <c r="O501" i="7"/>
  <c r="O613" i="7"/>
  <c r="O645" i="7"/>
  <c r="O693" i="7"/>
  <c r="O741" i="7"/>
  <c r="O157" i="7"/>
  <c r="O193" i="7"/>
  <c r="O209" i="7"/>
  <c r="O221" i="7"/>
  <c r="O249" i="7"/>
  <c r="O257" i="7"/>
  <c r="O265" i="7"/>
  <c r="O273" i="7"/>
  <c r="O285" i="7"/>
  <c r="O293" i="7"/>
  <c r="O329" i="7"/>
  <c r="O337" i="7"/>
  <c r="O353" i="7"/>
  <c r="O361" i="7"/>
  <c r="O377" i="7"/>
  <c r="O385" i="7"/>
  <c r="O401" i="7"/>
  <c r="O417" i="7"/>
  <c r="O433" i="7"/>
  <c r="O441" i="7"/>
  <c r="O449" i="7"/>
  <c r="O497" i="7"/>
  <c r="O505" i="7"/>
  <c r="O513" i="7"/>
  <c r="O521" i="7"/>
  <c r="O561" i="7"/>
  <c r="O569" i="7"/>
  <c r="O577" i="7"/>
  <c r="O585" i="7"/>
  <c r="O601" i="7"/>
  <c r="O609" i="7"/>
  <c r="O617" i="7"/>
  <c r="O625" i="7"/>
  <c r="O633" i="7"/>
  <c r="O641" i="7"/>
  <c r="O649" i="7"/>
  <c r="O665" i="7"/>
  <c r="O673" i="7"/>
  <c r="O681" i="7"/>
  <c r="O689" i="7"/>
  <c r="O697" i="7"/>
  <c r="O705" i="7"/>
  <c r="O721" i="7"/>
  <c r="O729" i="7"/>
  <c r="O745" i="7"/>
  <c r="O761" i="7"/>
  <c r="O769" i="7"/>
  <c r="O785" i="7"/>
  <c r="O793" i="7"/>
  <c r="O809" i="7"/>
  <c r="O576" i="7"/>
  <c r="O600" i="7"/>
  <c r="O608" i="7"/>
  <c r="O616" i="7"/>
  <c r="O624" i="7"/>
  <c r="O632" i="7"/>
  <c r="O640" i="7"/>
  <c r="O704" i="7"/>
  <c r="O720" i="7"/>
  <c r="O736" i="7"/>
  <c r="O752" i="7"/>
  <c r="O768" i="7"/>
  <c r="O784" i="7"/>
  <c r="O800" i="7"/>
  <c r="O816" i="7"/>
  <c r="O163" i="7"/>
  <c r="O161" i="7"/>
  <c r="O177" i="7"/>
  <c r="O197" i="7"/>
  <c r="J197" i="7"/>
  <c r="O233" i="7"/>
  <c r="J233" i="7"/>
  <c r="O253" i="7"/>
  <c r="O269" i="7"/>
  <c r="J269" i="7"/>
  <c r="O289" i="7"/>
  <c r="O305" i="7"/>
  <c r="J305" i="7"/>
  <c r="O325" i="7"/>
  <c r="O341" i="7"/>
  <c r="O373" i="7"/>
  <c r="O429" i="7"/>
  <c r="J445" i="7"/>
  <c r="O757" i="7"/>
  <c r="J757" i="7"/>
  <c r="O789" i="7"/>
  <c r="J789" i="7"/>
  <c r="O805" i="7"/>
  <c r="O152" i="7"/>
  <c r="O156" i="7"/>
  <c r="O160" i="7"/>
  <c r="O164" i="7"/>
  <c r="O168" i="7"/>
  <c r="O172" i="7"/>
  <c r="O176" i="7"/>
  <c r="O180" i="7"/>
  <c r="O184" i="7"/>
  <c r="O188" i="7"/>
  <c r="O192" i="7"/>
  <c r="J192" i="7"/>
  <c r="O200" i="7"/>
  <c r="J200" i="7"/>
  <c r="O208" i="7"/>
  <c r="J208" i="7"/>
  <c r="O216" i="7"/>
  <c r="J216" i="7"/>
  <c r="O220" i="7"/>
  <c r="J220" i="7"/>
  <c r="O224" i="7"/>
  <c r="J224" i="7"/>
  <c r="O228" i="7"/>
  <c r="O232" i="7"/>
  <c r="J232" i="7"/>
  <c r="O236" i="7"/>
  <c r="J236" i="7"/>
  <c r="J240" i="7"/>
  <c r="O244" i="7"/>
  <c r="J244" i="7"/>
  <c r="O248" i="7"/>
  <c r="J248" i="7"/>
  <c r="O252" i="7"/>
  <c r="J252" i="7"/>
  <c r="O256" i="7"/>
  <c r="J256" i="7"/>
  <c r="O260" i="7"/>
  <c r="J260" i="7"/>
  <c r="O264" i="7"/>
  <c r="J264" i="7"/>
  <c r="O268" i="7"/>
  <c r="J268" i="7"/>
  <c r="O272" i="7"/>
  <c r="J272" i="7"/>
  <c r="O276" i="7"/>
  <c r="J276" i="7"/>
  <c r="O280" i="7"/>
  <c r="J280" i="7"/>
  <c r="O284" i="7"/>
  <c r="J284" i="7"/>
  <c r="O288" i="7"/>
  <c r="J288" i="7"/>
  <c r="O292" i="7"/>
  <c r="J292" i="7"/>
  <c r="O296" i="7"/>
  <c r="J296" i="7"/>
  <c r="J300" i="7"/>
  <c r="O304" i="7"/>
  <c r="J304" i="7"/>
  <c r="O308" i="7"/>
  <c r="J308" i="7"/>
  <c r="O312" i="7"/>
  <c r="J312" i="7"/>
  <c r="O316" i="7"/>
  <c r="J316" i="7"/>
  <c r="O320" i="7"/>
  <c r="J320" i="7"/>
  <c r="O324" i="7"/>
  <c r="J324" i="7"/>
  <c r="O328" i="7"/>
  <c r="J328" i="7"/>
  <c r="O332" i="7"/>
  <c r="J332" i="7"/>
  <c r="O336" i="7"/>
  <c r="J336" i="7"/>
  <c r="O340" i="7"/>
  <c r="J340" i="7"/>
  <c r="O348" i="7"/>
  <c r="J348" i="7"/>
  <c r="O352" i="7"/>
  <c r="J352" i="7"/>
  <c r="O356" i="7"/>
  <c r="J356" i="7"/>
  <c r="O360" i="7"/>
  <c r="J360" i="7"/>
  <c r="O372" i="7"/>
  <c r="J372" i="7"/>
  <c r="O384" i="7"/>
  <c r="J384" i="7"/>
  <c r="O388" i="7"/>
  <c r="O392" i="7"/>
  <c r="J392" i="7"/>
  <c r="O396" i="7"/>
  <c r="O400" i="7"/>
  <c r="O404" i="7"/>
  <c r="O408" i="7"/>
  <c r="O412" i="7"/>
  <c r="O416" i="7"/>
  <c r="J416" i="7"/>
  <c r="O420" i="7"/>
  <c r="J420" i="7"/>
  <c r="O424" i="7"/>
  <c r="J424" i="7"/>
  <c r="J428" i="7"/>
  <c r="O432" i="7"/>
  <c r="J432" i="7"/>
  <c r="O436" i="7"/>
  <c r="J436" i="7"/>
  <c r="O444" i="7"/>
  <c r="J444" i="7"/>
  <c r="O452" i="7"/>
  <c r="J452" i="7"/>
  <c r="O456" i="7"/>
  <c r="J456" i="7"/>
  <c r="O460" i="7"/>
  <c r="J460" i="7"/>
  <c r="O464" i="7"/>
  <c r="J464" i="7"/>
  <c r="O468" i="7"/>
  <c r="O480" i="7"/>
  <c r="J480" i="7"/>
  <c r="O484" i="7"/>
  <c r="J484" i="7"/>
  <c r="O488" i="7"/>
  <c r="J488" i="7"/>
  <c r="O492" i="7"/>
  <c r="J492" i="7"/>
  <c r="O496" i="7"/>
  <c r="J496" i="7"/>
  <c r="O500" i="7"/>
  <c r="J500" i="7"/>
  <c r="O504" i="7"/>
  <c r="J504" i="7"/>
  <c r="O508" i="7"/>
  <c r="J508" i="7"/>
  <c r="O512" i="7"/>
  <c r="J512" i="7"/>
  <c r="O516" i="7"/>
  <c r="J516" i="7"/>
  <c r="O520" i="7"/>
  <c r="J520" i="7"/>
  <c r="O524" i="7"/>
  <c r="J524" i="7"/>
  <c r="O528" i="7"/>
  <c r="J528" i="7"/>
  <c r="O532" i="7"/>
  <c r="J532" i="7"/>
  <c r="O536" i="7"/>
  <c r="J536" i="7"/>
  <c r="O540" i="7"/>
  <c r="O548" i="7"/>
  <c r="J548" i="7"/>
  <c r="O552" i="7"/>
  <c r="J552" i="7"/>
  <c r="O556" i="7"/>
  <c r="J556" i="7"/>
  <c r="O560" i="7"/>
  <c r="O568" i="7"/>
  <c r="O271" i="7"/>
  <c r="O311" i="7"/>
  <c r="J335" i="7"/>
  <c r="J343" i="7"/>
  <c r="J359" i="7"/>
  <c r="J367" i="7"/>
  <c r="J447" i="7"/>
  <c r="J455" i="7"/>
  <c r="J463" i="7"/>
  <c r="O471" i="7"/>
  <c r="J471" i="7"/>
  <c r="J479" i="7"/>
  <c r="J495" i="7"/>
  <c r="O503" i="7"/>
  <c r="J503" i="7"/>
  <c r="O559" i="7"/>
  <c r="J369" i="7"/>
  <c r="O393" i="7"/>
  <c r="O204" i="7"/>
  <c r="O321" i="7"/>
  <c r="J221" i="7"/>
  <c r="J225" i="7"/>
  <c r="J229" i="7"/>
  <c r="O229" i="7"/>
  <c r="J237" i="7"/>
  <c r="O237" i="7"/>
  <c r="J249" i="7"/>
  <c r="J253" i="7"/>
  <c r="J473" i="7"/>
  <c r="J481" i="7"/>
  <c r="O481" i="7"/>
  <c r="J485" i="7"/>
  <c r="O485" i="7"/>
  <c r="J489" i="7"/>
  <c r="O489" i="7"/>
  <c r="J497" i="7"/>
  <c r="J501" i="7"/>
  <c r="J505" i="7"/>
  <c r="J513" i="7"/>
  <c r="J517" i="7"/>
  <c r="J521" i="7"/>
  <c r="J529" i="7"/>
  <c r="O529" i="7"/>
  <c r="J533" i="7"/>
  <c r="O533" i="7"/>
  <c r="J537" i="7"/>
  <c r="O537" i="7"/>
  <c r="J545" i="7"/>
  <c r="O545" i="7"/>
  <c r="J549" i="7"/>
  <c r="O549" i="7"/>
  <c r="J553" i="7"/>
  <c r="O553" i="7"/>
  <c r="J561" i="7"/>
  <c r="J565" i="7"/>
  <c r="J569" i="7"/>
  <c r="J576" i="7"/>
  <c r="J577" i="7"/>
  <c r="J580" i="7"/>
  <c r="J581" i="7"/>
  <c r="J584" i="7"/>
  <c r="J585" i="7"/>
  <c r="J588" i="7"/>
  <c r="J592" i="7"/>
  <c r="J593" i="7"/>
  <c r="O593" i="7"/>
  <c r="O596" i="7"/>
  <c r="J597" i="7"/>
  <c r="O597" i="7"/>
  <c r="J600" i="7"/>
  <c r="J601" i="7"/>
  <c r="J604" i="7"/>
  <c r="J608" i="7"/>
  <c r="J609" i="7"/>
  <c r="J612" i="7"/>
  <c r="J613" i="7"/>
  <c r="J616" i="7"/>
  <c r="J617" i="7"/>
  <c r="J620" i="7"/>
  <c r="J624" i="7"/>
  <c r="J625" i="7"/>
  <c r="J628" i="7"/>
  <c r="J629" i="7"/>
  <c r="J633" i="7"/>
  <c r="J641" i="7"/>
  <c r="J645" i="7"/>
  <c r="J649" i="7"/>
  <c r="J657" i="7"/>
  <c r="O657" i="7"/>
  <c r="J661" i="7"/>
  <c r="O661" i="7"/>
  <c r="J665" i="7"/>
  <c r="J673" i="7"/>
  <c r="J677" i="7"/>
  <c r="J681" i="7"/>
  <c r="J685" i="7"/>
  <c r="J689" i="7"/>
  <c r="J693" i="7"/>
  <c r="J697" i="7"/>
  <c r="J700" i="7"/>
  <c r="J704" i="7"/>
  <c r="J705" i="7"/>
  <c r="J708" i="7"/>
  <c r="J709" i="7"/>
  <c r="O709" i="7"/>
  <c r="J712" i="7"/>
  <c r="J713" i="7"/>
  <c r="O713" i="7"/>
  <c r="J716" i="7"/>
  <c r="J720" i="7"/>
  <c r="J721" i="7"/>
  <c r="J724" i="7"/>
  <c r="J725" i="7"/>
  <c r="J728" i="7"/>
  <c r="J729" i="7"/>
  <c r="J732" i="7"/>
  <c r="J736" i="7"/>
  <c r="J737" i="7"/>
  <c r="O737" i="7"/>
  <c r="J740" i="7"/>
  <c r="J741" i="7"/>
  <c r="J744" i="7"/>
  <c r="J745" i="7"/>
  <c r="J748" i="7"/>
  <c r="J752" i="7"/>
  <c r="J753" i="7"/>
  <c r="O753" i="7"/>
  <c r="J756" i="7"/>
  <c r="J760" i="7"/>
  <c r="J761" i="7"/>
  <c r="J764" i="7"/>
  <c r="J768" i="7"/>
  <c r="J769" i="7"/>
  <c r="J772" i="7"/>
  <c r="J773" i="7"/>
  <c r="O773" i="7"/>
  <c r="J776" i="7"/>
  <c r="J777" i="7"/>
  <c r="O777" i="7"/>
  <c r="J780" i="7"/>
  <c r="J784" i="7"/>
  <c r="J785" i="7"/>
  <c r="J788" i="7"/>
  <c r="J792" i="7"/>
  <c r="J793" i="7"/>
  <c r="J796" i="7"/>
  <c r="J800" i="7"/>
  <c r="J801" i="7"/>
  <c r="O801" i="7"/>
  <c r="J805" i="7"/>
  <c r="J809" i="7"/>
  <c r="J813" i="7"/>
  <c r="J816" i="7"/>
  <c r="J193" i="7"/>
  <c r="J209" i="7"/>
  <c r="J273" i="7"/>
  <c r="J283" i="7"/>
  <c r="J285" i="7"/>
  <c r="J289" i="7"/>
  <c r="J293" i="7"/>
  <c r="J297" i="7"/>
  <c r="J409" i="7"/>
  <c r="O409" i="7"/>
  <c r="J413" i="7"/>
  <c r="J417" i="7"/>
  <c r="J421" i="7"/>
  <c r="J441" i="7"/>
  <c r="J449" i="7"/>
  <c r="J301" i="7"/>
  <c r="O301" i="7"/>
  <c r="J370" i="7"/>
  <c r="J257" i="7"/>
  <c r="J261" i="7"/>
  <c r="J265" i="7"/>
  <c r="J632" i="7"/>
  <c r="J636" i="7"/>
  <c r="J640" i="7"/>
  <c r="J644" i="7"/>
  <c r="O644" i="7"/>
  <c r="J648" i="7"/>
  <c r="O648" i="7"/>
  <c r="J652" i="7"/>
  <c r="O652" i="7"/>
  <c r="J656" i="7"/>
  <c r="O656" i="7"/>
  <c r="J660" i="7"/>
  <c r="O660" i="7"/>
  <c r="J664" i="7"/>
  <c r="O664" i="7"/>
  <c r="J668" i="7"/>
  <c r="O668" i="7"/>
  <c r="J672" i="7"/>
  <c r="O672" i="7"/>
  <c r="J676" i="7"/>
  <c r="O676" i="7"/>
  <c r="J680" i="7"/>
  <c r="O680" i="7"/>
  <c r="J684" i="7"/>
  <c r="O684" i="7"/>
  <c r="J688" i="7"/>
  <c r="O688" i="7"/>
  <c r="J692" i="7"/>
  <c r="O692" i="7"/>
  <c r="J696" i="7"/>
  <c r="O696" i="7"/>
  <c r="J201" i="7"/>
  <c r="O201" i="7"/>
  <c r="J217" i="7"/>
  <c r="O217" i="7"/>
  <c r="J457" i="7"/>
  <c r="O457" i="7"/>
  <c r="J465" i="7"/>
  <c r="O465" i="7"/>
  <c r="J425" i="7"/>
  <c r="O425" i="7"/>
  <c r="J429" i="7"/>
  <c r="J433" i="7"/>
  <c r="J453" i="7"/>
  <c r="O185" i="7"/>
  <c r="O173" i="7"/>
  <c r="O165" i="7"/>
  <c r="O153" i="7"/>
  <c r="P191" i="7"/>
  <c r="P189" i="7"/>
  <c r="P187" i="7"/>
  <c r="P185" i="7"/>
  <c r="P183" i="7"/>
  <c r="P181" i="7"/>
  <c r="P179" i="7"/>
  <c r="P177" i="7"/>
  <c r="P175" i="7"/>
  <c r="P173" i="7"/>
  <c r="P171" i="7"/>
  <c r="P169" i="7"/>
  <c r="P167" i="7"/>
  <c r="P165" i="7"/>
  <c r="P163" i="7"/>
  <c r="P161" i="7"/>
  <c r="P159" i="7"/>
  <c r="P157" i="7"/>
  <c r="P155" i="7"/>
  <c r="P153" i="7"/>
  <c r="J395" i="7" l="1"/>
  <c r="J355" i="7"/>
  <c r="J351" i="7"/>
  <c r="J315" i="7"/>
  <c r="J814" i="7"/>
  <c r="J790" i="7"/>
  <c r="J726" i="7"/>
  <c r="J702" i="7"/>
  <c r="J670" i="7"/>
  <c r="J646" i="7"/>
  <c r="J614" i="7"/>
  <c r="J602" i="7"/>
  <c r="J472" i="7"/>
  <c r="J446" i="7"/>
  <c r="J440" i="7"/>
  <c r="J422" i="7"/>
  <c r="J408" i="7"/>
  <c r="J398" i="7"/>
  <c r="J396" i="7"/>
  <c r="J388" i="7"/>
  <c r="J368" i="7"/>
  <c r="J344" i="7"/>
  <c r="J306" i="7"/>
  <c r="J302" i="7"/>
  <c r="J298" i="7"/>
  <c r="O313" i="7"/>
  <c r="J381" i="7"/>
  <c r="O395" i="7"/>
  <c r="O355" i="7"/>
  <c r="O351" i="7"/>
  <c r="O315" i="7"/>
  <c r="O191" i="7"/>
  <c r="O814" i="7"/>
  <c r="O790" i="7"/>
  <c r="O726" i="7"/>
  <c r="O702" i="7"/>
  <c r="O670" i="7"/>
  <c r="O650" i="7"/>
  <c r="O646" i="7"/>
  <c r="O614" i="7"/>
  <c r="O602" i="7"/>
  <c r="O472" i="7"/>
  <c r="O440" i="7"/>
  <c r="O428" i="7"/>
  <c r="O368" i="7"/>
  <c r="O344" i="7"/>
  <c r="O306" i="7"/>
  <c r="O300" i="7"/>
  <c r="O298" i="7"/>
  <c r="J341" i="7"/>
  <c r="J325" i="7"/>
  <c r="J385" i="7"/>
  <c r="J329" i="7"/>
  <c r="J313" i="7"/>
  <c r="J333" i="7"/>
  <c r="J469" i="7"/>
  <c r="O487" i="7"/>
  <c r="O203" i="7"/>
  <c r="O183" i="7"/>
  <c r="O806" i="7"/>
  <c r="O798" i="7"/>
  <c r="O774" i="7"/>
  <c r="O746" i="7"/>
  <c r="O742" i="7"/>
  <c r="O722" i="7"/>
  <c r="O718" i="7"/>
  <c r="O710" i="7"/>
  <c r="O706" i="7"/>
  <c r="O698" i="7"/>
  <c r="O694" i="7"/>
  <c r="O654" i="7"/>
  <c r="O642" i="7"/>
  <c r="O622" i="7"/>
  <c r="O618" i="7"/>
  <c r="O544" i="7"/>
  <c r="O534" i="7"/>
  <c r="O494" i="7"/>
  <c r="O476" i="7"/>
  <c r="O448" i="7"/>
  <c r="O430" i="7"/>
  <c r="O380" i="7"/>
  <c r="O376" i="7"/>
  <c r="O364" i="7"/>
  <c r="O212" i="7"/>
  <c r="O196" i="7"/>
  <c r="J373" i="7"/>
  <c r="J357" i="7"/>
  <c r="J215" i="7"/>
  <c r="J401" i="7"/>
  <c r="J393" i="7"/>
  <c r="J377" i="7"/>
  <c r="J361" i="7"/>
  <c r="J353" i="7"/>
  <c r="J345" i="7"/>
  <c r="J337" i="7"/>
  <c r="J321" i="7"/>
  <c r="J397" i="7"/>
  <c r="J365" i="7"/>
  <c r="J317" i="7"/>
  <c r="J487" i="7"/>
  <c r="J203" i="7"/>
  <c r="J806" i="7"/>
  <c r="J798" i="7"/>
  <c r="J774" i="7"/>
  <c r="J746" i="7"/>
  <c r="J742" i="7"/>
  <c r="J718" i="7"/>
  <c r="J710" i="7"/>
  <c r="J706" i="7"/>
  <c r="J698" i="7"/>
  <c r="J694" i="7"/>
  <c r="J654" i="7"/>
  <c r="J642" i="7"/>
  <c r="J622" i="7"/>
  <c r="J618" i="7"/>
  <c r="J544" i="7"/>
  <c r="J534" i="7"/>
  <c r="J494" i="7"/>
  <c r="J476" i="7"/>
  <c r="J468" i="7"/>
  <c r="J462" i="7"/>
  <c r="J448" i="7"/>
  <c r="J438" i="7"/>
  <c r="J430" i="7"/>
  <c r="J412" i="7"/>
  <c r="J406" i="7"/>
  <c r="J404" i="7"/>
  <c r="J400" i="7"/>
  <c r="J390" i="7"/>
  <c r="J382" i="7"/>
  <c r="J380" i="7"/>
  <c r="J376" i="7"/>
  <c r="J364" i="7"/>
  <c r="J358" i="7"/>
  <c r="J350" i="7"/>
  <c r="J234" i="7"/>
  <c r="J230" i="7"/>
  <c r="J228" i="7"/>
  <c r="J226" i="7"/>
  <c r="J222" i="7"/>
  <c r="J212" i="7"/>
  <c r="J204" i="7"/>
  <c r="J196" i="7"/>
  <c r="O389" i="7"/>
  <c r="O215" i="7"/>
  <c r="O369" i="7"/>
  <c r="O345" i="7"/>
  <c r="O381" i="7"/>
  <c r="O349" i="7"/>
  <c r="J150" i="7"/>
  <c r="J158" i="7"/>
  <c r="J166" i="7"/>
  <c r="J174" i="7"/>
  <c r="J178" i="7"/>
  <c r="J154" i="7"/>
  <c r="J162" i="7"/>
  <c r="J182" i="7"/>
  <c r="J186" i="7"/>
  <c r="J190" i="7"/>
  <c r="J151" i="7"/>
  <c r="J155" i="7"/>
  <c r="J159" i="7"/>
  <c r="J163" i="7"/>
  <c r="J167" i="7"/>
  <c r="J171" i="7"/>
  <c r="J175" i="7"/>
  <c r="J179" i="7"/>
  <c r="J183" i="7"/>
  <c r="J187" i="7"/>
  <c r="J189" i="7"/>
  <c r="J152" i="7"/>
  <c r="J156" i="7"/>
  <c r="J160" i="7"/>
  <c r="J164" i="7"/>
  <c r="J168" i="7"/>
  <c r="J172" i="7"/>
  <c r="J176" i="7"/>
  <c r="J180" i="7"/>
  <c r="J184" i="7"/>
  <c r="J188" i="7"/>
  <c r="J153" i="7"/>
  <c r="J157" i="7"/>
  <c r="J161" i="7"/>
  <c r="J165" i="7"/>
  <c r="J169" i="7"/>
  <c r="J173" i="7"/>
  <c r="J177" i="7"/>
  <c r="J181" i="7"/>
  <c r="J185" i="7"/>
  <c r="J191" i="7"/>
  <c r="J170" i="7"/>
  <c r="C15" i="2" l="1"/>
  <c r="C16" i="2"/>
  <c r="C17" i="2"/>
  <c r="C18" i="2"/>
  <c r="C19" i="2"/>
  <c r="C20" i="2"/>
  <c r="C21" i="2"/>
  <c r="D15" i="2" l="1"/>
  <c r="O679" i="7" s="1"/>
  <c r="E15" i="2"/>
  <c r="F15" i="2"/>
  <c r="G15" i="2"/>
  <c r="H15" i="2"/>
  <c r="I15" i="2"/>
  <c r="J15" i="2"/>
  <c r="K15" i="2"/>
  <c r="L15" i="2"/>
  <c r="M15" i="2"/>
  <c r="N15" i="2"/>
  <c r="O15" i="2"/>
  <c r="D16" i="2"/>
  <c r="E16" i="2"/>
  <c r="F16" i="2"/>
  <c r="G16" i="2"/>
  <c r="H16" i="2"/>
  <c r="I16" i="2"/>
  <c r="J16" i="2"/>
  <c r="K16" i="2"/>
  <c r="L16" i="2"/>
  <c r="M16" i="2"/>
  <c r="N16" i="2"/>
  <c r="O16" i="2"/>
  <c r="D17" i="2"/>
  <c r="E17" i="2"/>
  <c r="F17" i="2"/>
  <c r="G17" i="2"/>
  <c r="H17" i="2"/>
  <c r="I17" i="2"/>
  <c r="J17" i="2"/>
  <c r="K17" i="2"/>
  <c r="L17" i="2"/>
  <c r="M17" i="2"/>
  <c r="N17" i="2"/>
  <c r="O17" i="2"/>
  <c r="D18" i="2"/>
  <c r="E18" i="2"/>
  <c r="M3" i="7" s="1" a="1"/>
  <c r="M3" i="7" s="1"/>
  <c r="F18" i="2"/>
  <c r="G18" i="2"/>
  <c r="H18" i="2"/>
  <c r="I18" i="2"/>
  <c r="J18" i="2"/>
  <c r="K18" i="2"/>
  <c r="L18" i="2"/>
  <c r="M18" i="2"/>
  <c r="N18" i="2"/>
  <c r="O18" i="2"/>
  <c r="D19" i="2"/>
  <c r="M6" i="7" s="1" a="1"/>
  <c r="M6" i="7" s="1"/>
  <c r="E19" i="2"/>
  <c r="H6" i="7" s="1" a="1"/>
  <c r="H6" i="7" s="1"/>
  <c r="F19" i="2"/>
  <c r="G19" i="2"/>
  <c r="H19" i="2"/>
  <c r="I19" i="2"/>
  <c r="J19" i="2"/>
  <c r="K19" i="2"/>
  <c r="L19" i="2"/>
  <c r="M19" i="2"/>
  <c r="N19" i="2"/>
  <c r="O19" i="2"/>
  <c r="D20" i="2"/>
  <c r="E20" i="2"/>
  <c r="F20" i="2"/>
  <c r="G20" i="2"/>
  <c r="H20" i="2"/>
  <c r="I20" i="2"/>
  <c r="J20" i="2"/>
  <c r="K20" i="2"/>
  <c r="L20" i="2"/>
  <c r="M20" i="2"/>
  <c r="N20" i="2"/>
  <c r="O20" i="2"/>
  <c r="D21" i="2"/>
  <c r="E21" i="2"/>
  <c r="F21" i="2"/>
  <c r="G21" i="2"/>
  <c r="H21" i="2"/>
  <c r="I21" i="2"/>
  <c r="J21" i="2"/>
  <c r="K21" i="2"/>
  <c r="L21" i="2"/>
  <c r="M21" i="2"/>
  <c r="N21" i="2"/>
  <c r="O21" i="2"/>
  <c r="O240" i="7" l="1"/>
  <c r="O473" i="7"/>
  <c r="P2" i="7" l="1"/>
  <c r="P6" i="7"/>
  <c r="K6" i="7"/>
  <c r="P4" i="7"/>
  <c r="K4" i="7"/>
  <c r="P5" i="7"/>
  <c r="K5" i="7"/>
  <c r="P3" i="7"/>
  <c r="K3"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K2" i="7" l="1"/>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4" i="7" l="1"/>
  <c r="J5" i="7"/>
  <c r="J3" i="7"/>
  <c r="O4" i="7" l="1"/>
  <c r="O12" i="7"/>
  <c r="O20" i="7"/>
  <c r="O28" i="7"/>
  <c r="O36" i="7"/>
  <c r="O44" i="7"/>
  <c r="O52" i="7"/>
  <c r="O60" i="7"/>
  <c r="O68" i="7"/>
  <c r="O76" i="7"/>
  <c r="O84" i="7"/>
  <c r="O92" i="7"/>
  <c r="O100" i="7"/>
  <c r="O108" i="7"/>
  <c r="O116" i="7"/>
  <c r="O124" i="7"/>
  <c r="O132" i="7"/>
  <c r="O140" i="7"/>
  <c r="O148" i="7"/>
  <c r="O9" i="7"/>
  <c r="O17" i="7"/>
  <c r="O25" i="7"/>
  <c r="O33" i="7"/>
  <c r="O41" i="7"/>
  <c r="O49" i="7"/>
  <c r="O57" i="7"/>
  <c r="O65" i="7"/>
  <c r="O73" i="7"/>
  <c r="O81" i="7"/>
  <c r="O89" i="7"/>
  <c r="O97" i="7"/>
  <c r="O105" i="7"/>
  <c r="O113" i="7"/>
  <c r="O121" i="7"/>
  <c r="O129" i="7"/>
  <c r="O137" i="7"/>
  <c r="O145" i="7"/>
  <c r="O11" i="7"/>
  <c r="O31" i="7"/>
  <c r="O47" i="7"/>
  <c r="O63" i="7"/>
  <c r="O79" i="7"/>
  <c r="O95" i="7"/>
  <c r="O111" i="7"/>
  <c r="O127" i="7"/>
  <c r="O143" i="7"/>
  <c r="O6" i="7"/>
  <c r="O14" i="7"/>
  <c r="O22" i="7"/>
  <c r="O30" i="7"/>
  <c r="O38" i="7"/>
  <c r="O46" i="7"/>
  <c r="O54" i="7"/>
  <c r="O62" i="7"/>
  <c r="O70" i="7"/>
  <c r="O78" i="7"/>
  <c r="O86" i="7"/>
  <c r="O94" i="7"/>
  <c r="O102" i="7"/>
  <c r="O110" i="7"/>
  <c r="O118" i="7"/>
  <c r="O126" i="7"/>
  <c r="O134" i="7"/>
  <c r="O142" i="7"/>
  <c r="O3" i="7"/>
  <c r="O15" i="7"/>
  <c r="O27" i="7"/>
  <c r="O43" i="7"/>
  <c r="O59" i="7"/>
  <c r="O75" i="7"/>
  <c r="O91" i="7"/>
  <c r="O107" i="7"/>
  <c r="O123" i="7"/>
  <c r="O139" i="7"/>
  <c r="O8" i="7"/>
  <c r="O16" i="7"/>
  <c r="O24" i="7"/>
  <c r="O32" i="7"/>
  <c r="O40" i="7"/>
  <c r="O48" i="7"/>
  <c r="O56" i="7"/>
  <c r="O64" i="7"/>
  <c r="O72" i="7"/>
  <c r="O80" i="7"/>
  <c r="O88" i="7"/>
  <c r="O96" i="7"/>
  <c r="O104" i="7"/>
  <c r="O112" i="7"/>
  <c r="O120" i="7"/>
  <c r="O128" i="7"/>
  <c r="O136" i="7"/>
  <c r="O144" i="7"/>
  <c r="O5" i="7"/>
  <c r="O13" i="7"/>
  <c r="O21" i="7"/>
  <c r="O29" i="7"/>
  <c r="O37" i="7"/>
  <c r="O45" i="7"/>
  <c r="O53" i="7"/>
  <c r="O61" i="7"/>
  <c r="O69" i="7"/>
  <c r="O77" i="7"/>
  <c r="O85" i="7"/>
  <c r="O93" i="7"/>
  <c r="O101" i="7"/>
  <c r="O109" i="7"/>
  <c r="O117" i="7"/>
  <c r="O125" i="7"/>
  <c r="O133" i="7"/>
  <c r="O141" i="7"/>
  <c r="O149" i="7"/>
  <c r="O23" i="7"/>
  <c r="O39" i="7"/>
  <c r="O55" i="7"/>
  <c r="O71" i="7"/>
  <c r="O87" i="7"/>
  <c r="O103" i="7"/>
  <c r="O119" i="7"/>
  <c r="O135" i="7"/>
  <c r="O10" i="7"/>
  <c r="O18" i="7"/>
  <c r="O26" i="7"/>
  <c r="O34" i="7"/>
  <c r="O42" i="7"/>
  <c r="O50" i="7"/>
  <c r="O58" i="7"/>
  <c r="O66" i="7"/>
  <c r="O74" i="7"/>
  <c r="O82" i="7"/>
  <c r="O90" i="7"/>
  <c r="O98" i="7"/>
  <c r="O106" i="7"/>
  <c r="O114" i="7"/>
  <c r="O122" i="7"/>
  <c r="O130" i="7"/>
  <c r="O138" i="7"/>
  <c r="O146" i="7"/>
  <c r="O7" i="7"/>
  <c r="O19" i="7"/>
  <c r="O35" i="7"/>
  <c r="O51" i="7"/>
  <c r="O67" i="7"/>
  <c r="O83" i="7"/>
  <c r="O99" i="7"/>
  <c r="O115" i="7"/>
  <c r="O131" i="7"/>
  <c r="O147" i="7"/>
  <c r="J2" i="7" l="1"/>
  <c r="O2" i="7"/>
  <c r="D15" i="10"/>
  <c r="AM4" i="2" a="1"/>
  <c r="AM4" i="2" s="1"/>
  <c r="U15" i="10" l="1"/>
  <c r="R4" i="10"/>
  <c r="Q15" i="10"/>
  <c r="D22" i="10"/>
  <c r="D23" i="10"/>
  <c r="D26" i="10"/>
  <c r="D24" i="10"/>
  <c r="D25" i="10"/>
  <c r="D17" i="10"/>
  <c r="D18" i="10"/>
  <c r="D21" i="10"/>
  <c r="H5" i="4"/>
  <c r="D27" i="10"/>
  <c r="D19" i="10"/>
  <c r="D16" i="10"/>
  <c r="D20" i="10"/>
  <c r="R7" i="10"/>
  <c r="R5" i="10"/>
  <c r="R8" i="10"/>
  <c r="R6" i="10"/>
  <c r="H12" i="4"/>
  <c r="H10" i="4"/>
  <c r="H13" i="4"/>
  <c r="H16" i="4"/>
  <c r="H14" i="4"/>
  <c r="H15" i="4"/>
  <c r="H7" i="4"/>
  <c r="H8" i="4"/>
  <c r="H11" i="4"/>
  <c r="H17" i="4"/>
  <c r="H9" i="4"/>
  <c r="H6" i="4"/>
  <c r="R9" i="10" l="1"/>
  <c r="R10" i="10" l="1"/>
  <c r="F10" i="4"/>
  <c r="F12" i="4"/>
  <c r="G15" i="4"/>
  <c r="G8" i="4"/>
  <c r="F15" i="4"/>
  <c r="G14" i="4"/>
  <c r="G7" i="4"/>
  <c r="G26" i="10"/>
  <c r="G27" i="10"/>
  <c r="J27" i="10" s="1"/>
  <c r="E20" i="10"/>
  <c r="I20" i="10" s="1"/>
  <c r="F9" i="4"/>
  <c r="G9" i="4"/>
  <c r="G10" i="4"/>
  <c r="F7" i="4"/>
  <c r="G12" i="4"/>
  <c r="E15" i="10"/>
  <c r="F15" i="10" s="1"/>
  <c r="F11" i="4"/>
  <c r="F17" i="4"/>
  <c r="E18" i="10"/>
  <c r="F18" i="10" s="1"/>
  <c r="E34" i="10" l="1"/>
  <c r="E36" i="10"/>
  <c r="D35" i="10"/>
  <c r="E25" i="10"/>
  <c r="F25" i="10" s="1"/>
  <c r="E19" i="10"/>
  <c r="I19" i="10" s="1"/>
  <c r="G17" i="10"/>
  <c r="H17" i="10" s="1"/>
  <c r="G18" i="10"/>
  <c r="H18" i="10" s="1"/>
  <c r="E22" i="10"/>
  <c r="I22" i="10" s="1"/>
  <c r="G19" i="10"/>
  <c r="H19" i="10" s="1"/>
  <c r="E21" i="10"/>
  <c r="I21" i="10" s="1"/>
  <c r="E27" i="10"/>
  <c r="F27" i="10" s="1"/>
  <c r="C34" i="10"/>
  <c r="G34" i="10"/>
  <c r="D34" i="10"/>
  <c r="G22" i="10"/>
  <c r="J22" i="10" s="1"/>
  <c r="G32" i="10"/>
  <c r="C33" i="10"/>
  <c r="D33" i="10"/>
  <c r="F20" i="10"/>
  <c r="G24" i="10"/>
  <c r="H24" i="10" s="1"/>
  <c r="G35" i="10"/>
  <c r="G25" i="10"/>
  <c r="J25" i="10" s="1"/>
  <c r="C35" i="10"/>
  <c r="G33" i="10"/>
  <c r="I18" i="10"/>
  <c r="G20" i="10"/>
  <c r="H20" i="10" s="1"/>
  <c r="C36" i="10"/>
  <c r="E33" i="10"/>
  <c r="J18" i="10"/>
  <c r="E17" i="10"/>
  <c r="F17" i="10" s="1"/>
  <c r="C32" i="10"/>
  <c r="F8" i="4"/>
  <c r="G6" i="4"/>
  <c r="G16" i="10"/>
  <c r="G5" i="4"/>
  <c r="G15" i="10"/>
  <c r="G17" i="4"/>
  <c r="G11" i="4"/>
  <c r="G21" i="10"/>
  <c r="G16" i="4"/>
  <c r="F16" i="4"/>
  <c r="E26" i="10"/>
  <c r="F14" i="4"/>
  <c r="E24" i="10"/>
  <c r="F13" i="4"/>
  <c r="E23" i="10"/>
  <c r="F5" i="4"/>
  <c r="F6" i="4"/>
  <c r="E16" i="10"/>
  <c r="G13" i="4"/>
  <c r="G23" i="10"/>
  <c r="H27" i="10"/>
  <c r="J26" i="10"/>
  <c r="H26" i="10"/>
  <c r="I15" i="10"/>
  <c r="I5" i="4" l="1" a="1"/>
  <c r="I5" i="4" s="1"/>
  <c r="I25" i="10"/>
  <c r="H35" i="10"/>
  <c r="C30" i="4"/>
  <c r="J34" i="10"/>
  <c r="J33" i="10"/>
  <c r="J35" i="10"/>
  <c r="I34" i="10"/>
  <c r="I33" i="10"/>
  <c r="F19" i="10"/>
  <c r="J17" i="10"/>
  <c r="I17" i="10"/>
  <c r="J24" i="10"/>
  <c r="I27" i="10"/>
  <c r="F22" i="10"/>
  <c r="F21" i="10"/>
  <c r="J19" i="10"/>
  <c r="H22" i="10"/>
  <c r="H34" i="10"/>
  <c r="E35" i="10"/>
  <c r="I35" i="10" s="1"/>
  <c r="D36" i="10"/>
  <c r="H33" i="10"/>
  <c r="J20" i="10"/>
  <c r="F33" i="10"/>
  <c r="H25" i="10"/>
  <c r="G36" i="10"/>
  <c r="F34" i="10"/>
  <c r="E32" i="10"/>
  <c r="D32" i="10"/>
  <c r="J32" i="10" s="1"/>
  <c r="J23" i="10"/>
  <c r="H23" i="10"/>
  <c r="I16" i="10"/>
  <c r="F16" i="10"/>
  <c r="I23" i="10"/>
  <c r="F23" i="10"/>
  <c r="F24" i="10"/>
  <c r="I24" i="10"/>
  <c r="F26" i="10"/>
  <c r="I26" i="10"/>
  <c r="H21" i="10"/>
  <c r="J21" i="10"/>
  <c r="J15" i="10"/>
  <c r="H15" i="10"/>
  <c r="H16" i="10"/>
  <c r="J16" i="10"/>
  <c r="I28" i="10" l="1"/>
  <c r="J28" i="10"/>
  <c r="D29" i="4"/>
  <c r="E29" i="4" s="1"/>
  <c r="J36" i="10"/>
  <c r="J37" i="10" s="1"/>
  <c r="I36" i="10"/>
  <c r="I32" i="10"/>
  <c r="F35" i="10"/>
  <c r="F36" i="10"/>
  <c r="H28" i="10"/>
  <c r="F28" i="10"/>
  <c r="H36" i="10"/>
  <c r="H32" i="10"/>
  <c r="F32" i="10"/>
  <c r="I37" i="10" l="1"/>
  <c r="I75" i="10" s="1"/>
  <c r="D30" i="4"/>
  <c r="E30" i="4" s="1"/>
  <c r="J77" i="10"/>
  <c r="F37" i="10"/>
  <c r="H37" i="10"/>
  <c r="I77" i="10" l="1"/>
  <c r="I76" i="10"/>
  <c r="J75" i="10"/>
  <c r="J76"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BA66D4-A465-4263-B404-C28A7C67E8F0}" keepAlive="1" name="Query - Data_Assessment" description="Connection to the 'Data_Assessment' query in the workbook." type="5" refreshedVersion="7" background="1" saveData="1">
    <dbPr connection="Provider=Microsoft.Mashup.OleDb.1;Data Source=$Workbook$;Location=Data_Assessment;Extended Properties=&quot;&quot;" command="SELECT * FROM [Data_Assessment]"/>
  </connection>
  <connection id="2" xr16:uid="{E1F9BF68-36B4-4081-8402-43D714B5CC21}" name="Query - Data_Base" description="Connection to the 'Data_Base' query in the workbook." type="100" refreshedVersion="7" minRefreshableVersion="5">
    <extLst>
      <ext xmlns:x15="http://schemas.microsoft.com/office/spreadsheetml/2010/11/main" uri="{DE250136-89BD-433C-8126-D09CA5730AF9}">
        <x15:connection id="4796970d-d40b-4fba-9f5b-499e0e7a6d11">
          <x15:oledbPr connection="Provider=Microsoft.Mashup.OleDb.1;Data Source=$Workbook$;Location=Data_Base;Extended Properties=&quot;&quot;">
            <x15:dbTables>
              <x15:dbTable name="Data_Base"/>
            </x15:dbTables>
          </x15:oledbPr>
        </x15:connection>
      </ext>
    </extLst>
  </connection>
  <connection id="3" xr16:uid="{B4A69FAC-FE12-476D-A1DF-DF7A5D29901A}" keepAlive="1" name="Query - Data_Base_2" description="Connection to the 'Data_Base_2' query in the workbook." type="5" refreshedVersion="0" background="1">
    <dbPr connection="Provider=Microsoft.Mashup.OleDb.1;Data Source=$Workbook$;Location=Data_Base_2;Extended Properties=&quot;&quot;" command="SELECT * FROM [Data_Base_2]"/>
  </connection>
  <connection id="4" xr16:uid="{4F7A2A06-6379-4D8F-BAC8-2CBA89B7D563}" keepAlive="1" name="Query - HRIS_2" description="Connection to the 'HRIS_2' query in the workbook." type="5" refreshedVersion="0" background="1">
    <dbPr connection="Provider=Microsoft.Mashup.OleDb.1;Data Source=$Workbook$;Location=HRIS_2;Extended Properties=&quot;&quot;" command="SELECT * FROM [HRIS_2]"/>
  </connection>
  <connection id="5" xr16:uid="{B329F655-3E17-4ACC-A5D6-877F1456A49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<sst xmlns="http://schemas.openxmlformats.org/spreadsheetml/2006/main" count="4384" uniqueCount="1702">
  <si>
    <t>Name</t>
  </si>
  <si>
    <t>Tanggal Tes</t>
  </si>
  <si>
    <t>HIGH POINT</t>
  </si>
  <si>
    <t>LOW PINT</t>
  </si>
  <si>
    <t>%</t>
  </si>
  <si>
    <t>KETERANGAN</t>
  </si>
  <si>
    <t>Sudah memiliki seluruh kompetensi yang dipersyaratkan untuk level jabatan ini dan siap untuk dipromosikan</t>
  </si>
  <si>
    <t>Sudah memiliki  kompetensi yang dipersyaratkan untuk level jabatan ini dan masih memerlukan pengembangan 1-2 tahun</t>
  </si>
  <si>
    <t>Kurang memiliki  kompetensi yang dipersyaratkan untuk level jabatan ini dan masih memerlukan pengembangan 3-4 tahun</t>
  </si>
  <si>
    <t>Indeks Kompetensi</t>
  </si>
  <si>
    <t>Indeks Potensi</t>
  </si>
  <si>
    <t>IQ</t>
  </si>
  <si>
    <t>Ketelitian</t>
  </si>
  <si>
    <t>Sistematika Kerja</t>
  </si>
  <si>
    <t>Stabilitas Emosi</t>
  </si>
  <si>
    <t>Kerjasama</t>
  </si>
  <si>
    <t>Ketika pada situasi yang menekan, ia cenderung mudah untuk terpengaruhsecara emosi, ia menjadi kurang dapat berkonsentrasi sehingga dapat berpotensi menurunkan kualitas kerjanya.
Ia sangat peduli terhadap penilaian orang lainmengenai dirinya.ia bahkan cenderung menaruh curiga terhadap perilaku orang lain.disamping itu ia juga kurang mampu melihat kritik secara positip sehingga ia menjadi mudah terpancing oleh penilaian.
Taraf kemampuan berpikir sdr Irvan tergolong cukup memadai, namun belum dapat ia manfaatkan secara optimal untuk pekerjaan yang membutuhkan identifikasi terhadap pokok permasalahan maupun pembuatan solusi masalah yang lebih kompleks.</t>
  </si>
  <si>
    <t>Dalam mengemukakan pikirannya, ia dapat mengutarakan ide - ide dengan jelas.tuntutan dan harapan terhadap hasil kerja orang lain juga disampaikan dengan rinci sehingga meminimalisasi kesalah pahaman yang mungkin akan muncul.
Ketika berada dalam situasi yang ambigu, ia dapat menarik berbagai kesimpulan dan menyederhanakan data yang ada sehingga membuatnya menjadi faham akan situasi yang sedang dihadapi.
Kualitas hasil kerja merupakan hal yang dijadikan acuan sdr . Mursal dalam bekerja . ia dapat memahami instruksi yang diberikan berikut dengan detil tugasnya sehingga memberikan hasil akurat dan valid.
Dalam bekerja, ia memiliki arahan dan sasaran yang akan dicapai, berbagai perbaikan dilakukannya secara berkala sehingga dapat lebih mengembangkan dirinya.</t>
  </si>
  <si>
    <t>Ia Cenderung ragu - ragu dalam bertindak sehingga seringkali ia bertindak berdasarkan instruksi. Hal ini dapat disebabkan karena ia kurang percaya dengan kemampuannya. Oleh Karenanya, ia membutuhkan dukungan dari lingkungnnyaagar lebih  yakin dalam bertindak maupun memutuskan sesuatu.
Memiliki perhatian pada detil tugas sehingga berusaha untuk menjaga mutu hasil kerjanya. Hanya saja, hal ini masih belum ditampilkan secara konsisten.
Sdr. Mursal memiliki kemampuan berpikir analitis dan konseptual yang kurang memadai. sehingga ia belum mandiri dan percaya diri dalam membuat perencanaan dalam bekerja yang membuatnya kurang mampu menetapkan prioritas kerja dan menggunakan pengalaman sebelumnya dalam pemecahan masalah dan pengambilan keputusan.</t>
  </si>
  <si>
    <t>Sdr. Mujahid memiliki orientasi yang tinggi dalam mencapai target kerja yang diberikan kepadanya , secara umum ia siap menerima tantangan pekerjaan yang diberikan kepadanya.
Dalam bekerja ia cenderung bertindak berdasarkan target untuk menyelesaikan pekerjaan yang menjadi tanggung jawab dengan baik.
Potensi kemampuan berpikir yang dimilikinya membuatnya mampu mempelajari hal - hal baru dengan baik, terutama untuk tugas yang rutin dan sederhana yang tidak membutuhkan daya analisa maupun penguasaan konsep.
Ia mampu melakukan tindakan yang spesifik dengan tujuan mendorong orang lain berfungsi secara optimal.</t>
  </si>
  <si>
    <t xml:space="preserve">Ia masih memerlukan peningkatan kemampuan komunikasi dengan lebih optimal untuk orang - orang di sekitarnya sehingga relasi interpersonalnya menjadi lebih berkembang.
Dari segi pengerjaan tugas yang lain, ia masih kurang mampu mengidentifikasi pokok permasalahan ,menganalisa maupun mengidentifikasi permasalahan tersebut dengan cukup baik.
Ia mengedepankan hubungan yang harmonis sesama karyawan, sehingga jika menemui sesuatu yang tidak sesuai peraturan atau prosedur . ia akan merasa tidak nyaman jika membuat keputusan yang menyangkut orang lain didalamnya.
Dalam bekerja, kemampuannya untuk proaktif dalam penyelesaian masalah pun masih belum cukup berkembang dengan optimal serta juga masih mengacu pada pengalaman penyelesaian masalah sebelumnya.
</t>
  </si>
  <si>
    <t>Berbagai ide dapat ia kemukakan terkait dengan perbaikan di unit kerjanya. Ia berani untuk melakukan berbagai hal baru sehingga proses kerjanya menjadi lebih efektif dan efisien.
Komitmennya yang besar dalam bekerja membuat ia akan tekun menyelesaikan tugas - tugas yang memang sudah menjadi tanggung jawabnya, ia juga kan terbuka terhadap pendelegasian tugas yang baru dan relatif kompleks sehingga dapat memotivasinya dalam bekerja.
Alur pikirmya yang logis dan sistematis mengarahkan ia pada penemuan inti masalah dan solusinya.
Ia juga dapat memahami kebutuhan pelanggan dan berusaha untuk dapat memenuhinya,Hubungan yang nyaman juga dapat ia bangun sehingga memampukannya untuk menggali kebutuhan dasar mereka.</t>
  </si>
  <si>
    <t>Ia dapat menyelaraskan perilaku sesuai dengan kebijakan perusahaan. Hanya saja ia masih belum secara aktif mengajak rekan - rekannya untuk dapat mematuhi kebijakan yang berlaku.
Ambisinya dalam bekerja adalah sebatas memberikan hasil kerja  yang bermutu tinggi . ia masih belum dapat mendefinisikan sasaran kerja yang menanantang.
Ketika berada dalam situasi yang dipojokkan maka ia menjadi pribadi yang defensif. ia masih belum terbuka pada pendapat rekan - rekannya yang bertantangan dengan pendapatnya.
Toleransi terhadap stress yang dimilikinya pun masih perlu ditingkatkan karena ia mudah merasa kecewa pada hasil yang tidak mencapai target.</t>
  </si>
  <si>
    <t>No.</t>
  </si>
  <si>
    <t>Dimensi</t>
  </si>
  <si>
    <t>Fully Competence Behavior Performance (&gt;80%)</t>
  </si>
  <si>
    <t>Need Improvement Behavior Performance (66%-80%)</t>
  </si>
  <si>
    <t>Not Competence Behavior Performance(&lt;66%)</t>
  </si>
  <si>
    <t>Behaviour Competence</t>
  </si>
  <si>
    <t>Fully Competence Behavior Performance</t>
  </si>
  <si>
    <t>(&gt; 80%)</t>
  </si>
  <si>
    <t>Need Improvement Behavior Performance</t>
  </si>
  <si>
    <t>(66% - 80%)</t>
  </si>
  <si>
    <t>Not Competence Behavior Performance</t>
  </si>
  <si>
    <t>(&lt;66%)</t>
  </si>
  <si>
    <t>Readiness</t>
  </si>
  <si>
    <t>(I) Immediately</t>
  </si>
  <si>
    <t>(LT) More 2 - 3 year</t>
  </si>
  <si>
    <t>NAME</t>
  </si>
  <si>
    <t>Area</t>
  </si>
  <si>
    <t>Logika Berpikir</t>
  </si>
  <si>
    <t>Sistematika Berpikir</t>
  </si>
  <si>
    <t>Analisa Sintesa</t>
  </si>
  <si>
    <t>Hasrat Berprestasi</t>
  </si>
  <si>
    <t>Inisatif</t>
  </si>
  <si>
    <t>Kepercayaan Diri</t>
  </si>
  <si>
    <t>Kontak Sosial</t>
  </si>
  <si>
    <t>Kemandirian</t>
  </si>
  <si>
    <t>Kemampuan Adaptasi</t>
  </si>
  <si>
    <t>FA_EST</t>
  </si>
  <si>
    <t>HA_EST</t>
  </si>
  <si>
    <t>EM_EST</t>
  </si>
  <si>
    <t>FA_DEV</t>
  </si>
  <si>
    <t>HA_DEV</t>
  </si>
  <si>
    <t>EM_DEV</t>
  </si>
  <si>
    <t>Est</t>
  </si>
  <si>
    <t>Dev</t>
  </si>
  <si>
    <t>EST</t>
  </si>
  <si>
    <t>DEV</t>
  </si>
  <si>
    <t>Nilai</t>
  </si>
  <si>
    <t>AMA_EST</t>
  </si>
  <si>
    <t>AMA_DEV</t>
  </si>
  <si>
    <t>VPA_EST</t>
  </si>
  <si>
    <t>VPA_DEV</t>
  </si>
  <si>
    <t>SE_EST</t>
  </si>
  <si>
    <t>Mill Manager_EST</t>
  </si>
  <si>
    <t>AME_EST</t>
  </si>
  <si>
    <t>VPP_EST</t>
  </si>
  <si>
    <t>ME_EST</t>
  </si>
  <si>
    <t>SE_DEV</t>
  </si>
  <si>
    <t>ME_DEV</t>
  </si>
  <si>
    <t>Mill Manager_DEV</t>
  </si>
  <si>
    <t>AME_DEV</t>
  </si>
  <si>
    <t>VPP_DEV</t>
  </si>
  <si>
    <t>Adi Sumantri, Ir.</t>
  </si>
  <si>
    <t>Arrayani Nasution</t>
  </si>
  <si>
    <t>Dede Suriadi</t>
  </si>
  <si>
    <t>Endah Susanny, SE</t>
  </si>
  <si>
    <t>Elvidawaty</t>
  </si>
  <si>
    <t>Ainul Fahrin Siregar</t>
  </si>
  <si>
    <t>Hamimah</t>
  </si>
  <si>
    <t>Jetro Saragih</t>
  </si>
  <si>
    <t>Andiliani Rinaldo Pasaribu</t>
  </si>
  <si>
    <t>Dimas Putera Pangestu</t>
  </si>
  <si>
    <t>Yogi Pranata</t>
  </si>
  <si>
    <t>Joseph Osvaldo Ardiles Tambun</t>
  </si>
  <si>
    <t>Paulus Ronaldo B. Sihotang</t>
  </si>
  <si>
    <t>Frans Nico Pratama N</t>
  </si>
  <si>
    <t>Lukman Hakim</t>
  </si>
  <si>
    <t>Lewobsus Simamora</t>
  </si>
  <si>
    <t>Agung Jabar Nur</t>
  </si>
  <si>
    <t>Muhammad Faishal Sitorus</t>
  </si>
  <si>
    <t>Vivi Ayu Yuliana</t>
  </si>
  <si>
    <t>Nadya Arfani</t>
  </si>
  <si>
    <t>M. Wahyudi Amin</t>
  </si>
  <si>
    <t>Yudha Fareza</t>
  </si>
  <si>
    <t>Ria Puspa Sari</t>
  </si>
  <si>
    <t>Ade Arham Kurniawan</t>
  </si>
  <si>
    <t>Alpino Setyawan</t>
  </si>
  <si>
    <t>David Jimmi Panggabean</t>
  </si>
  <si>
    <t>Muhamad Irfan Hamid</t>
  </si>
  <si>
    <t>Randi Satria</t>
  </si>
  <si>
    <t>Muhammad Idam Khalid</t>
  </si>
  <si>
    <t>Muktamar Haris Astar Rambe</t>
  </si>
  <si>
    <t>Indra Sayto Halawa</t>
  </si>
  <si>
    <t>Abdul Hamid</t>
  </si>
  <si>
    <t>Jhosua Saragih</t>
  </si>
  <si>
    <t>Rikki Frima Jaya Manurung</t>
  </si>
  <si>
    <t>M. Hafiz Harahap</t>
  </si>
  <si>
    <t>Sura Eka Pratama Pagan</t>
  </si>
  <si>
    <t>Prans Sagita</t>
  </si>
  <si>
    <t>Julita Artalina Manik</t>
  </si>
  <si>
    <t>Denni Harianto</t>
  </si>
  <si>
    <t>Jonni Saragih</t>
  </si>
  <si>
    <t>Herawati Kusumawardani</t>
  </si>
  <si>
    <t>Rofina Budianto</t>
  </si>
  <si>
    <t>Ahmad Ganti</t>
  </si>
  <si>
    <t>Wulan Sarie Soekiman</t>
  </si>
  <si>
    <t>Alam Jaya</t>
  </si>
  <si>
    <t>Joko Mariamansya</t>
  </si>
  <si>
    <t>M. Alan Daulay</t>
  </si>
  <si>
    <t>Agus Prihadi</t>
  </si>
  <si>
    <t>Neni Sriwahyuni</t>
  </si>
  <si>
    <t>Wilson Lubis, SE</t>
  </si>
  <si>
    <t>T. Adrian Erwin</t>
  </si>
  <si>
    <t>Morinta Sinuraya</t>
  </si>
  <si>
    <t>A.Y. Jaya Silen</t>
  </si>
  <si>
    <t>Indra Jaya Sakti Ritonga</t>
  </si>
  <si>
    <t>M. Ismail Arifin</t>
  </si>
  <si>
    <t>Imansyah Sihombing</t>
  </si>
  <si>
    <t>Shofi Tahir</t>
  </si>
  <si>
    <t>Ganda Kristiawan</t>
  </si>
  <si>
    <t>Rizky Afriansyah</t>
  </si>
  <si>
    <t>Daniel Prayogi Dongoran</t>
  </si>
  <si>
    <t>Pau Cin</t>
  </si>
  <si>
    <t>Desi Komala Sari Siregar</t>
  </si>
  <si>
    <t>Bardan Yusri</t>
  </si>
  <si>
    <t>Andrew Timothy A.S.</t>
  </si>
  <si>
    <t>Awang Setiadi</t>
  </si>
  <si>
    <t>Hendra Manik</t>
  </si>
  <si>
    <t>Muslim</t>
  </si>
  <si>
    <t>Rahmadanil</t>
  </si>
  <si>
    <t>Deva Anggraini</t>
  </si>
  <si>
    <t>Ilyas Supriyanto</t>
  </si>
  <si>
    <t>Neni Julistiani</t>
  </si>
  <si>
    <t>Syahril, S.Sos</t>
  </si>
  <si>
    <t>Denri Purba</t>
  </si>
  <si>
    <t>Sopar Hutabarat</t>
  </si>
  <si>
    <t>Aden Sudomo Siregar</t>
  </si>
  <si>
    <t>J. Tarigan</t>
  </si>
  <si>
    <t>Himawan Fazhly Siregar</t>
  </si>
  <si>
    <t>Ian Rulo Sembiring</t>
  </si>
  <si>
    <t>Deni Eka Kesuma</t>
  </si>
  <si>
    <t>Surya Darma</t>
  </si>
  <si>
    <t>Mugiyanto</t>
  </si>
  <si>
    <t>Mhd. Rizky Azhari Nasution</t>
  </si>
  <si>
    <t>Arbie Wijaya</t>
  </si>
  <si>
    <t>Rizki Pratiwi Ningrum</t>
  </si>
  <si>
    <t>Andry Roy P.S., SE</t>
  </si>
  <si>
    <t>Sunaryo Sitopu</t>
  </si>
  <si>
    <t>M. Zaimi Arif SPY</t>
  </si>
  <si>
    <t>Hesron Tarigan</t>
  </si>
  <si>
    <t>Indra Feriadi</t>
  </si>
  <si>
    <t>Dedi Kristanto</t>
  </si>
  <si>
    <t>Zulkarnaen</t>
  </si>
  <si>
    <t>Widy Astuty, SE</t>
  </si>
  <si>
    <t>Supriyani</t>
  </si>
  <si>
    <t>Ikrama Anwar</t>
  </si>
  <si>
    <t>Zahri</t>
  </si>
  <si>
    <t>Sutris</t>
  </si>
  <si>
    <t>Hardeep Kaur, SE</t>
  </si>
  <si>
    <t>Wihawaty Wiharta</t>
  </si>
  <si>
    <t>Anjena Dewi</t>
  </si>
  <si>
    <t>Dewi Sumarliah</t>
  </si>
  <si>
    <t>Heriyanto, ST</t>
  </si>
  <si>
    <t>Muhammad Irsyad Jasin Gunawan</t>
  </si>
  <si>
    <t>Ahmad Jahri</t>
  </si>
  <si>
    <t>Diana Sari</t>
  </si>
  <si>
    <t>Layla Bayoe Koesoema Sari</t>
  </si>
  <si>
    <t>Edi Akmal</t>
  </si>
  <si>
    <t>Rawan</t>
  </si>
  <si>
    <t>Andri Rustaman</t>
  </si>
  <si>
    <t>M. Syahid, Amd</t>
  </si>
  <si>
    <t>Irma Ul Hidayah, SE</t>
  </si>
  <si>
    <t>Dedy Darwinsyah</t>
  </si>
  <si>
    <t>Sri Prihatini</t>
  </si>
  <si>
    <t>Ajiswarman</t>
  </si>
  <si>
    <t>Yul Khairil</t>
  </si>
  <si>
    <t>Yahya Suhendra</t>
  </si>
  <si>
    <t>Lusi Rantegau</t>
  </si>
  <si>
    <t>Endang Karni S</t>
  </si>
  <si>
    <t>Irwan Disanto</t>
  </si>
  <si>
    <t>Ivan Ibrahim Lubis, Ir.</t>
  </si>
  <si>
    <t>Abdul Haris, SH</t>
  </si>
  <si>
    <t>Sissy Apriany</t>
  </si>
  <si>
    <t>Suhari Muryono</t>
  </si>
  <si>
    <t>Bermart Aron Parapat</t>
  </si>
  <si>
    <t>Herianto</t>
  </si>
  <si>
    <t>Andy Wijaya</t>
  </si>
  <si>
    <t>Handrofo</t>
  </si>
  <si>
    <t>Feny Ardiansyah</t>
  </si>
  <si>
    <t>Erizal. SE</t>
  </si>
  <si>
    <t>Lily Chairani</t>
  </si>
  <si>
    <t>Fahruli Manurung</t>
  </si>
  <si>
    <t>Ayu Herlyanti</t>
  </si>
  <si>
    <t>M. Damiri Malisie, Ir.</t>
  </si>
  <si>
    <t>Akhmad Farizal</t>
  </si>
  <si>
    <t>Agus Wahyudi</t>
  </si>
  <si>
    <t>Novin Antioniza</t>
  </si>
  <si>
    <t>Chanra Hendrianto</t>
  </si>
  <si>
    <t>Helena Eva Sinuraya</t>
  </si>
  <si>
    <t>Eva Meutia</t>
  </si>
  <si>
    <t>Nasri Harris, Ir.</t>
  </si>
  <si>
    <t>Padli Okmas Jaya</t>
  </si>
  <si>
    <t>Astricx Yoyok</t>
  </si>
  <si>
    <t>Urip Hari Utomo</t>
  </si>
  <si>
    <t>Erwin Yusrianta Bangun, Ir.</t>
  </si>
  <si>
    <t>Sohirin</t>
  </si>
  <si>
    <t>Apriono</t>
  </si>
  <si>
    <t>Caturina Maryati, SP</t>
  </si>
  <si>
    <t>Evamiko Sofiah</t>
  </si>
  <si>
    <t>Sitti Fadhilah</t>
  </si>
  <si>
    <t>Endang Mulyono</t>
  </si>
  <si>
    <t>Andri Guntur</t>
  </si>
  <si>
    <t>Ariyanto</t>
  </si>
  <si>
    <t>Muhammad Caturiansyah Putra</t>
  </si>
  <si>
    <t>Abdul Manan</t>
  </si>
  <si>
    <t>I Made Sudania (Konsultan)</t>
  </si>
  <si>
    <t>Heri Susanto</t>
  </si>
  <si>
    <t>Mahmuddin</t>
  </si>
  <si>
    <t>Baginda Siregar</t>
  </si>
  <si>
    <t>Samsidin</t>
  </si>
  <si>
    <t>Rizki Dian Ringga</t>
  </si>
  <si>
    <t>Dirja Rahmat</t>
  </si>
  <si>
    <t>Arlon Hot Pangoloi</t>
  </si>
  <si>
    <t>Hendri Suprawono</t>
  </si>
  <si>
    <t>Pandu Winata</t>
  </si>
  <si>
    <t>Fiyang Arfiyanto</t>
  </si>
  <si>
    <t>Ahmad Nur</t>
  </si>
  <si>
    <t>Elvian Satya P., SH</t>
  </si>
  <si>
    <t>Suhaina Tasrima, ST</t>
  </si>
  <si>
    <t>Firdaus Azis</t>
  </si>
  <si>
    <t>Masniari Sianturi</t>
  </si>
  <si>
    <t>Ahmad Khairi Lubis, Ir</t>
  </si>
  <si>
    <t>Endang Saptorini</t>
  </si>
  <si>
    <t>Pujianto</t>
  </si>
  <si>
    <t>Edi Muntazar</t>
  </si>
  <si>
    <t>Saeri</t>
  </si>
  <si>
    <t>Sumartini</t>
  </si>
  <si>
    <t>M. Sufinur</t>
  </si>
  <si>
    <t>Sabar Widodo</t>
  </si>
  <si>
    <t>Sujoko</t>
  </si>
  <si>
    <t>M. Taufik Lahabu</t>
  </si>
  <si>
    <t>Anang Susanto</t>
  </si>
  <si>
    <t>Mercy Nuh</t>
  </si>
  <si>
    <t>Pang Stephani Tejo</t>
  </si>
  <si>
    <t>Anggoro Santoso</t>
  </si>
  <si>
    <t>Heru Hermawan</t>
  </si>
  <si>
    <t>Arief Syarifudin</t>
  </si>
  <si>
    <t>Irpan Irawan</t>
  </si>
  <si>
    <t>Rengga Prabualam</t>
  </si>
  <si>
    <t>Ade Susilo</t>
  </si>
  <si>
    <t>Muhammad Abbas</t>
  </si>
  <si>
    <t>Fitrah Putranda Ramadan</t>
  </si>
  <si>
    <t>M. Syarif Hidayat</t>
  </si>
  <si>
    <t>Wilson</t>
  </si>
  <si>
    <t>Eko Budi Prasetyo</t>
  </si>
  <si>
    <t>Sungging Agni Bhargo</t>
  </si>
  <si>
    <t>Astry Lestari</t>
  </si>
  <si>
    <t>Dudi Hermawan, SE</t>
  </si>
  <si>
    <t>Muhammad Syarifuddin</t>
  </si>
  <si>
    <t>Agus Wahyu Widodo</t>
  </si>
  <si>
    <t>Gabriel Zulfiker</t>
  </si>
  <si>
    <t>Fransis Fabiana Dj.</t>
  </si>
  <si>
    <t>Zarmeini Diana Marga</t>
  </si>
  <si>
    <t>Agung Tri Setiawan</t>
  </si>
  <si>
    <t>Mariana</t>
  </si>
  <si>
    <t>Sangkot</t>
  </si>
  <si>
    <t>Muhammad Dimas Hertanto</t>
  </si>
  <si>
    <t>Muhammad Rizqi Dwi Prasetyo</t>
  </si>
  <si>
    <t>Lise Lisdiyana, Dra.</t>
  </si>
  <si>
    <t>Yugo Leonardo</t>
  </si>
  <si>
    <t>Isna Arianti</t>
  </si>
  <si>
    <t>Ika Yunita Kartikasari</t>
  </si>
  <si>
    <t>Meilany Sari Ulina</t>
  </si>
  <si>
    <t>Himawan Fansuri</t>
  </si>
  <si>
    <t>Yenmy Felina</t>
  </si>
  <si>
    <t>Vertiny Wulansari</t>
  </si>
  <si>
    <t>Rika Tania</t>
  </si>
  <si>
    <t>Kevin Filemon</t>
  </si>
  <si>
    <t>Friska Lesmana</t>
  </si>
  <si>
    <t>Rathih Komala Dewi</t>
  </si>
  <si>
    <t>Agus Suhardi</t>
  </si>
  <si>
    <t>M. Irpan Tarigan</t>
  </si>
  <si>
    <t>Hasan Akmal Alatas</t>
  </si>
  <si>
    <t>Herdyana Achmadi</t>
  </si>
  <si>
    <t>Rika Ade Septiana</t>
  </si>
  <si>
    <t>Octavianus Krisanggoro Pangestu A.</t>
  </si>
  <si>
    <t>Donni Febianto</t>
  </si>
  <si>
    <t>Havier Januar</t>
  </si>
  <si>
    <t>Agustinus K. Wiratama</t>
  </si>
  <si>
    <t>Susanty Loka</t>
  </si>
  <si>
    <t>Septiyani</t>
  </si>
  <si>
    <t>Rajohan Saragih</t>
  </si>
  <si>
    <t>Felicita Maureen Cassela</t>
  </si>
  <si>
    <t>Roy E. Wicaksono</t>
  </si>
  <si>
    <t>Dian Fidelia</t>
  </si>
  <si>
    <t>Tony Thamrin</t>
  </si>
  <si>
    <t>Daniel Ortega Purba</t>
  </si>
  <si>
    <t>Wahyu Nofiyanto</t>
  </si>
  <si>
    <t>Henry Wijaya Purwa</t>
  </si>
  <si>
    <t>A.S.Sundiono</t>
  </si>
  <si>
    <t>Agustian Syahputra</t>
  </si>
  <si>
    <t>Yudhi Libriadianny</t>
  </si>
  <si>
    <t>Devin</t>
  </si>
  <si>
    <t>Eko Matra Tantowie</t>
  </si>
  <si>
    <t>Yudi Setiawan</t>
  </si>
  <si>
    <t>Indah Rosnindah</t>
  </si>
  <si>
    <t>Tonton M. Piskariyanto</t>
  </si>
  <si>
    <t>Manur Hutahaean</t>
  </si>
  <si>
    <t>Benyamin Suwito Rahardjo</t>
  </si>
  <si>
    <t>Nanang Budi Istiyanto</t>
  </si>
  <si>
    <t>Tani Cipto Nugroho</t>
  </si>
  <si>
    <t>Anton Heryudhanto</t>
  </si>
  <si>
    <t>Benny Chandra</t>
  </si>
  <si>
    <t>Danilast</t>
  </si>
  <si>
    <t>Soni Saputra, Spi</t>
  </si>
  <si>
    <t>Yuliana</t>
  </si>
  <si>
    <t>Albert Oktapianus Silaban</t>
  </si>
  <si>
    <t>Amriliadi Bintang Sopandi</t>
  </si>
  <si>
    <t>Daniel Karel G. Warouw</t>
  </si>
  <si>
    <t>Choirul May Affandi Siregar</t>
  </si>
  <si>
    <t>Maya Endah Wulandari</t>
  </si>
  <si>
    <t>Helmi Winda Sinamo</t>
  </si>
  <si>
    <t>Christian Dinata</t>
  </si>
  <si>
    <t>Endah Resmiati Madnawidjaja</t>
  </si>
  <si>
    <t>Adiyat Anugrah</t>
  </si>
  <si>
    <t>Halima Tusadiah</t>
  </si>
  <si>
    <t>Raabiah</t>
  </si>
  <si>
    <t>Muhammad Waras</t>
  </si>
  <si>
    <t>Werdini</t>
  </si>
  <si>
    <t>Doddy Trisna Damanik</t>
  </si>
  <si>
    <t>Irfan Febrianto</t>
  </si>
  <si>
    <t>Yeni Setianingsih</t>
  </si>
  <si>
    <t>Sjahwarsja Imral, Ir.</t>
  </si>
  <si>
    <t>Himas Puspito Putra</t>
  </si>
  <si>
    <t>Nengsih Samady</t>
  </si>
  <si>
    <t>Kamal Sidik, ST</t>
  </si>
  <si>
    <t>Joko Priyatmoko, SE</t>
  </si>
  <si>
    <t>Kris Hendarjo Setiawan</t>
  </si>
  <si>
    <t>M. Febrianto</t>
  </si>
  <si>
    <t>Fadli Munawar</t>
  </si>
  <si>
    <t>Ricky Martinus</t>
  </si>
  <si>
    <t>Mayenni Saudur Simamora</t>
  </si>
  <si>
    <t>Fahruli Susanto</t>
  </si>
  <si>
    <t>Rudi Rizal</t>
  </si>
  <si>
    <t>Pramujo Sri Hatmoko</t>
  </si>
  <si>
    <t>Rico Haryanto P Hutabalian</t>
  </si>
  <si>
    <t>Lusi Marlinda</t>
  </si>
  <si>
    <t>Eri Epriyanto</t>
  </si>
  <si>
    <t>Jefri Hidayat</t>
  </si>
  <si>
    <t>Muhammad Saifun Nizam</t>
  </si>
  <si>
    <t>Donni Iandes A. Siagian</t>
  </si>
  <si>
    <t>Bayu Setiawan</t>
  </si>
  <si>
    <t>Nandra Nettra</t>
  </si>
  <si>
    <t>Ari Bahtiar</t>
  </si>
  <si>
    <t>Tri Retno Setyowati</t>
  </si>
  <si>
    <t>Setyo Arie Wahyudi</t>
  </si>
  <si>
    <t>Eco Hariyadi</t>
  </si>
  <si>
    <t>Dwi Zunianti</t>
  </si>
  <si>
    <t>Aswin Indra Utama</t>
  </si>
  <si>
    <t>T. Affian Bachri, Ir.</t>
  </si>
  <si>
    <t>Edy Suprayitno</t>
  </si>
  <si>
    <t>Fauzie Syam Prasetyo Yibri</t>
  </si>
  <si>
    <t>M. Agustian Lesmana</t>
  </si>
  <si>
    <t>Budi Yansari N. Ir.</t>
  </si>
  <si>
    <t>Faisal Ahmad, Ir.</t>
  </si>
  <si>
    <t>Ardiansyah</t>
  </si>
  <si>
    <t>Dimas Hastito Siregar</t>
  </si>
  <si>
    <t>Angelus Pacis Nababan</t>
  </si>
  <si>
    <t>Yoki Hermanto</t>
  </si>
  <si>
    <t>Saddam Husein Rambe</t>
  </si>
  <si>
    <t>Firman, Amd</t>
  </si>
  <si>
    <t>Ari Susilo Sijabat</t>
  </si>
  <si>
    <t>Nurhasanah Hasibuan</t>
  </si>
  <si>
    <t>M. Irwansyah, Ir.</t>
  </si>
  <si>
    <t>Hendrik Hayata</t>
  </si>
  <si>
    <t>Karin Anggita Sari</t>
  </si>
  <si>
    <t>Nazari, Ir.</t>
  </si>
  <si>
    <t>Muhammad Alwan Ryandi Siregar</t>
  </si>
  <si>
    <t>Muhammad Prayogi</t>
  </si>
  <si>
    <t>Fachrizal Nurdin Pane, Ir.</t>
  </si>
  <si>
    <t>Miko Rayendra, Ir.</t>
  </si>
  <si>
    <t>Jenni Wardi Purba</t>
  </si>
  <si>
    <t>Hasan Zaini Putra</t>
  </si>
  <si>
    <t>Zulkifly Rensius Situngkir</t>
  </si>
  <si>
    <t>Feri Atmaja</t>
  </si>
  <si>
    <t>Ibnu Rhomadhon Sitompul</t>
  </si>
  <si>
    <t>Lashot P. Sidabutar, Ir.</t>
  </si>
  <si>
    <t>Tri Teguh Wibowo</t>
  </si>
  <si>
    <t>Sopan Tarigan</t>
  </si>
  <si>
    <t>Mirza Dhika Ginta Surbakti</t>
  </si>
  <si>
    <t>Sujoko Hardianto</t>
  </si>
  <si>
    <t>Muhammad Akram Mudasyah</t>
  </si>
  <si>
    <t>Prengki Siregar</t>
  </si>
  <si>
    <t>Robbi Aditya Candra Batubara</t>
  </si>
  <si>
    <t>Dedi Yanto Syahputra</t>
  </si>
  <si>
    <t>Surya Affandi</t>
  </si>
  <si>
    <t>Fahriza Khairi Siregar</t>
  </si>
  <si>
    <t>M. Nur Arfan, Ir.</t>
  </si>
  <si>
    <t>Suarina Tarigan, Ir.</t>
  </si>
  <si>
    <t>Bustami Saragih, Ir.</t>
  </si>
  <si>
    <t>Januariska, SP</t>
  </si>
  <si>
    <t>Taty Dwie Setya Nasution</t>
  </si>
  <si>
    <t>Muliono</t>
  </si>
  <si>
    <t>Irham Syaukani</t>
  </si>
  <si>
    <t>Herry Michael Saragih</t>
  </si>
  <si>
    <t>Harianto Tarigan</t>
  </si>
  <si>
    <t>Mhd Idrus Nasution</t>
  </si>
  <si>
    <t>Siti Hawa, Ir.</t>
  </si>
  <si>
    <t>Feri Susanto</t>
  </si>
  <si>
    <t>Rahmat Husaini, Ir</t>
  </si>
  <si>
    <t>Khairuddin</t>
  </si>
  <si>
    <t>Ari Sukhaira</t>
  </si>
  <si>
    <t>Sri Hardono, Ir.</t>
  </si>
  <si>
    <t>Idham</t>
  </si>
  <si>
    <t>Harry Prasetyo</t>
  </si>
  <si>
    <t>Jon Waldinson Pereddy Damanik</t>
  </si>
  <si>
    <t>Syahrudi Sagala</t>
  </si>
  <si>
    <t>M. Rahman Al Rasyid</t>
  </si>
  <si>
    <t>Bonar Parlindungan S.</t>
  </si>
  <si>
    <t>Muhammad Arif</t>
  </si>
  <si>
    <t>Ahmad Fadly, Ir.</t>
  </si>
  <si>
    <t>T. Chairul Azhar, Ir.</t>
  </si>
  <si>
    <t>Jefri Rahmadani</t>
  </si>
  <si>
    <t>Jenny Hotnida Simanjuntak</t>
  </si>
  <si>
    <t>Adi Syahputra</t>
  </si>
  <si>
    <t>Lambok Martinovel Sianturi</t>
  </si>
  <si>
    <t>Iqbal Koyoto</t>
  </si>
  <si>
    <t>Abadi Pramana Pelawi</t>
  </si>
  <si>
    <t>Ramses Fernando</t>
  </si>
  <si>
    <t>Suriyanto</t>
  </si>
  <si>
    <t>Imran Taufik, Ir.</t>
  </si>
  <si>
    <t>M. Surya Ardiyanto, Ir.</t>
  </si>
  <si>
    <t>Diah Retno</t>
  </si>
  <si>
    <t>Chairil Anwar Ridwan, SP</t>
  </si>
  <si>
    <t>Pebri Romodon</t>
  </si>
  <si>
    <t>Aditia Rizki Doantha Purba</t>
  </si>
  <si>
    <t>Muhammad Rio Purnomo</t>
  </si>
  <si>
    <t>M. Ali Osmar, Ir.</t>
  </si>
  <si>
    <t>Hadi Siswanto, Ir.</t>
  </si>
  <si>
    <t>Nurhadi Masnur, SP</t>
  </si>
  <si>
    <t>Akhmad Khairi Nasution, Ir.</t>
  </si>
  <si>
    <t>Aswin Adami, Ir.</t>
  </si>
  <si>
    <t>Ferry Anggriawan, SC</t>
  </si>
  <si>
    <t>Indra Hardian Matondang</t>
  </si>
  <si>
    <t>Ahmad Buhori, Ir.</t>
  </si>
  <si>
    <t>Ahmad Husin</t>
  </si>
  <si>
    <t>Fernando Sirait</t>
  </si>
  <si>
    <t>Wahyu Nurhadi</t>
  </si>
  <si>
    <t>Basuki Eka Jaya, Ir.</t>
  </si>
  <si>
    <t>Mahmudi Nasution, Ir.</t>
  </si>
  <si>
    <t>Ardiyanto, Ir.</t>
  </si>
  <si>
    <t>Muchlisin</t>
  </si>
  <si>
    <t>Irhammuddin, Ir.</t>
  </si>
  <si>
    <t>Iswandra</t>
  </si>
  <si>
    <t>Hasby Ariandi</t>
  </si>
  <si>
    <t>Sofiyan Yuliansyah Rangkuti</t>
  </si>
  <si>
    <t>Primanta Sembiring</t>
  </si>
  <si>
    <t>Agus Syahputra</t>
  </si>
  <si>
    <t>Sanggam Parulian Purba</t>
  </si>
  <si>
    <t>Rahmat Sulaiman Hasayangan</t>
  </si>
  <si>
    <t>Dewi Widyastuti, SP</t>
  </si>
  <si>
    <t>Muhammad Endra Sukma Sadly</t>
  </si>
  <si>
    <t>Dicky Budiman</t>
  </si>
  <si>
    <t>Melkias Bernandes Manik</t>
  </si>
  <si>
    <t>Nadir Hakim</t>
  </si>
  <si>
    <t>Andi La Tenri Ruwa</t>
  </si>
  <si>
    <t>Ros Subagyo</t>
  </si>
  <si>
    <t>Syafri, SP</t>
  </si>
  <si>
    <t>Nanang Masyudi</t>
  </si>
  <si>
    <t>Surya Agus Irawan</t>
  </si>
  <si>
    <t>M Yudha Pratama</t>
  </si>
  <si>
    <t>Muhammad Syafruddin</t>
  </si>
  <si>
    <t>Akhmed Azharul Fikar Alinur</t>
  </si>
  <si>
    <t>Hazrianda Muda Siregar</t>
  </si>
  <si>
    <t>Mumad Hadiman</t>
  </si>
  <si>
    <t>Fitri Wahyuni Simbolon</t>
  </si>
  <si>
    <t>Hot Maruli Tua Damanik</t>
  </si>
  <si>
    <t>Nanang Setiawan</t>
  </si>
  <si>
    <t>Muhammad Bin Haes</t>
  </si>
  <si>
    <t>M Wahyu Septiadi Putra</t>
  </si>
  <si>
    <t>Raj Suhendra, Ir.</t>
  </si>
  <si>
    <t>Osten Panjaitan, Ir.</t>
  </si>
  <si>
    <t>M. Zulfikri</t>
  </si>
  <si>
    <t>Hadi Sutarno</t>
  </si>
  <si>
    <t>Rusli, SH</t>
  </si>
  <si>
    <t>Repen Tance Sitepu</t>
  </si>
  <si>
    <t>Andi Wira Primawan</t>
  </si>
  <si>
    <t>Yusuf Syuaib Lubis</t>
  </si>
  <si>
    <t>Ismail A. Kaharu</t>
  </si>
  <si>
    <t>Tarmizi Sihotang</t>
  </si>
  <si>
    <t>Sigit Nurcahyo</t>
  </si>
  <si>
    <t>Jeskia Eduard Tuwoliu</t>
  </si>
  <si>
    <t>Binsar Mangatas Tua Barasa</t>
  </si>
  <si>
    <t>Esron Sitanggang, Ir.</t>
  </si>
  <si>
    <t>Ronda Ginting</t>
  </si>
  <si>
    <t>Jeffry Pabianto</t>
  </si>
  <si>
    <t>Rodi</t>
  </si>
  <si>
    <t>Syamsuddin U.</t>
  </si>
  <si>
    <t>Septian Pardamean Hutagaol</t>
  </si>
  <si>
    <t>M. Ramadhan Tarigan</t>
  </si>
  <si>
    <t>Boyke Candi Parningotan Sianipar</t>
  </si>
  <si>
    <t>Yanuar Effendi</t>
  </si>
  <si>
    <t>Susman Haryono</t>
  </si>
  <si>
    <t>Sulaiman</t>
  </si>
  <si>
    <t>Mansur</t>
  </si>
  <si>
    <t>Parulian Siahaan</t>
  </si>
  <si>
    <t>Sabar Siahaan, Ir.</t>
  </si>
  <si>
    <t>Budi Ristanto</t>
  </si>
  <si>
    <t>Zulkifli Nizam, Ir.</t>
  </si>
  <si>
    <t>Sukardi</t>
  </si>
  <si>
    <t>Nazmiardi, Ir.</t>
  </si>
  <si>
    <t>M. Edwin Gultom, SE</t>
  </si>
  <si>
    <t>Pauji Dalimunthe</t>
  </si>
  <si>
    <t>Ridho Maulia Buana</t>
  </si>
  <si>
    <t>Dedi Sahputra Hutabarat</t>
  </si>
  <si>
    <t>Bahrum Damanik</t>
  </si>
  <si>
    <t>Ahmad Sofyan</t>
  </si>
  <si>
    <t>Firman Rizki Harahap</t>
  </si>
  <si>
    <t>Hermawan Syah</t>
  </si>
  <si>
    <t>Limsep Tarigan</t>
  </si>
  <si>
    <t>Ali Imron, Ir.</t>
  </si>
  <si>
    <t>Yohanes Karni</t>
  </si>
  <si>
    <t>Wasino</t>
  </si>
  <si>
    <t>Miftahul Anshari</t>
  </si>
  <si>
    <t>Erasio Akbar</t>
  </si>
  <si>
    <t>Abd. Goffar</t>
  </si>
  <si>
    <t>Azul Syahrul Sinaga</t>
  </si>
  <si>
    <t>Zainal Arifin Tarigan</t>
  </si>
  <si>
    <t>Bekti Peni Herianto, Ir.</t>
  </si>
  <si>
    <t>Hendra Kesuma, SP</t>
  </si>
  <si>
    <t>Yuliansyah</t>
  </si>
  <si>
    <t>Helmar Syarif, SH</t>
  </si>
  <si>
    <t>Edi Sucipto</t>
  </si>
  <si>
    <t>Azrul Rusaini</t>
  </si>
  <si>
    <t>Rudolf Van Hallen Harianja</t>
  </si>
  <si>
    <t>Zulham</t>
  </si>
  <si>
    <t>Rajamin Ginting</t>
  </si>
  <si>
    <t>Hendrik Hariyadi</t>
  </si>
  <si>
    <t>Roesdijono</t>
  </si>
  <si>
    <t>Doddy Kurniadi Pratama Karewur</t>
  </si>
  <si>
    <t>Joseph Bintang Siregar</t>
  </si>
  <si>
    <t>Mukhlis</t>
  </si>
  <si>
    <t>Lamarius Sitompul, Ir.</t>
  </si>
  <si>
    <t>Frantus Tamba, Ir.</t>
  </si>
  <si>
    <t>Eli Budi Santoso</t>
  </si>
  <si>
    <t>Joko Sunanto, Ir.</t>
  </si>
  <si>
    <t>Dodi Supriawan</t>
  </si>
  <si>
    <t>Indra Purnama, Ir.</t>
  </si>
  <si>
    <t>Nurdiana</t>
  </si>
  <si>
    <t>Abdul Manaf</t>
  </si>
  <si>
    <t>Budiman</t>
  </si>
  <si>
    <t>Abdullah Sandi, SH</t>
  </si>
  <si>
    <t>Suroto, Ir.</t>
  </si>
  <si>
    <t>Gocen Butar Butar</t>
  </si>
  <si>
    <t>Indra Wijaya</t>
  </si>
  <si>
    <t>Hermawan Agung Gumelar</t>
  </si>
  <si>
    <t>Lulu R. Dea Naura</t>
  </si>
  <si>
    <t>Rizky Ade Putra</t>
  </si>
  <si>
    <t>Edy Syahputra, Ir.</t>
  </si>
  <si>
    <t>Selamat Karya Budi Saragih</t>
  </si>
  <si>
    <t>Rizki Hamdani Nasution</t>
  </si>
  <si>
    <t>Mangantartua Eduanwar Pakpahan</t>
  </si>
  <si>
    <t>Dede Wahyudi</t>
  </si>
  <si>
    <t>Arif Haryanto</t>
  </si>
  <si>
    <t>Ahmad Yani S.</t>
  </si>
  <si>
    <t>Redo Laksana</t>
  </si>
  <si>
    <t>R. Suprayogi Syahputra</t>
  </si>
  <si>
    <t>Hendri Yanto</t>
  </si>
  <si>
    <t>Parlaungan Hasibuan, Ir.</t>
  </si>
  <si>
    <t>Sepdi Sinaga, SP</t>
  </si>
  <si>
    <t>Herman Amran</t>
  </si>
  <si>
    <t>Azwar Sammas Huri Harahap</t>
  </si>
  <si>
    <t>Fahriz Winandra Saragih</t>
  </si>
  <si>
    <t>Azam Al Faroki</t>
  </si>
  <si>
    <t>Khairil Anwar Ritonga</t>
  </si>
  <si>
    <t>Lamhot Roy Marpaung</t>
  </si>
  <si>
    <t>Haposan Siagian</t>
  </si>
  <si>
    <t>Maman Surachman, Ir.</t>
  </si>
  <si>
    <t>Syafei</t>
  </si>
  <si>
    <t>Zulkarnain Nasution</t>
  </si>
  <si>
    <t>Wantoro</t>
  </si>
  <si>
    <t>Abizar Dasopang, SP</t>
  </si>
  <si>
    <t>Do'a Suryanto Taupik</t>
  </si>
  <si>
    <t>Syaiful Bahri, Ir.</t>
  </si>
  <si>
    <t>Oktario Alfriandi S.</t>
  </si>
  <si>
    <t>Ilham Ibrahim</t>
  </si>
  <si>
    <t>Dwi Haryanto</t>
  </si>
  <si>
    <t>Jontara Hutabalian</t>
  </si>
  <si>
    <t>Nanda Satria</t>
  </si>
  <si>
    <t>Bambang Hermanto, Ir.</t>
  </si>
  <si>
    <t>Auzai Matondang, Ir.</t>
  </si>
  <si>
    <t>Suhunan Sinaga, S.Sos</t>
  </si>
  <si>
    <t>M. Ihsan An Auwali</t>
  </si>
  <si>
    <t>Adek Irwan</t>
  </si>
  <si>
    <t>Suharsih, Ir.</t>
  </si>
  <si>
    <t>Matjuri</t>
  </si>
  <si>
    <t>Muhammad Ikhsan Maulana Lubis</t>
  </si>
  <si>
    <t>Andre Daniel Nababan</t>
  </si>
  <si>
    <t>Reinhard Situmeang</t>
  </si>
  <si>
    <t>Dheandry Pratama Usman</t>
  </si>
  <si>
    <t>Bambang Widyantoro, Ir.</t>
  </si>
  <si>
    <t>Marwan Ritonga, Ir.</t>
  </si>
  <si>
    <t>Boy Rahman</t>
  </si>
  <si>
    <t>Eldo Petrik</t>
  </si>
  <si>
    <t>Rihul Azhar, Ir.</t>
  </si>
  <si>
    <t>Muhammad Irfan, Ir.</t>
  </si>
  <si>
    <t>Defryan Lambrocius Pane</t>
  </si>
  <si>
    <t>Rudian Sabili</t>
  </si>
  <si>
    <t>Amir Hasan Parinduri, Ir.</t>
  </si>
  <si>
    <t>Sahala Simorangkir</t>
  </si>
  <si>
    <t>Mulyono</t>
  </si>
  <si>
    <t>Novansyah</t>
  </si>
  <si>
    <t>Yus Deddy Andry</t>
  </si>
  <si>
    <t>Septian Fransiskus Simbolon</t>
  </si>
  <si>
    <t>Sarbatua Harahap</t>
  </si>
  <si>
    <t>Rhiky Handayani Sinaga</t>
  </si>
  <si>
    <t>Jaya Hartono</t>
  </si>
  <si>
    <t>Rinaldi, Ir.</t>
  </si>
  <si>
    <t>Agus Triyanto</t>
  </si>
  <si>
    <t>Iskandarsyah Lubis</t>
  </si>
  <si>
    <t>Jasarlim Sinaga, Ir.</t>
  </si>
  <si>
    <t>Eko Wiyono</t>
  </si>
  <si>
    <t>Canggih Sastrawan</t>
  </si>
  <si>
    <t>Albert Sembiring, Ir.</t>
  </si>
  <si>
    <t>Prihatiningsih</t>
  </si>
  <si>
    <t>T.M. Hidayat</t>
  </si>
  <si>
    <t>Benrus Hollom Saragih</t>
  </si>
  <si>
    <t>Sigit Aditya</t>
  </si>
  <si>
    <t>Aris Setiadi, Ir.</t>
  </si>
  <si>
    <t>Syahfan A Lubis</t>
  </si>
  <si>
    <t>Edi Alamsyah</t>
  </si>
  <si>
    <t>Gunawan Sakti</t>
  </si>
  <si>
    <t>Chairul Fikri, Ir.</t>
  </si>
  <si>
    <t>Artoni</t>
  </si>
  <si>
    <t>Syndu Dwiki Arisandi</t>
  </si>
  <si>
    <t>Muhammad Yusuf, ST</t>
  </si>
  <si>
    <t>M. Alvi, Ir.</t>
  </si>
  <si>
    <t>Coco Andi Putra</t>
  </si>
  <si>
    <t>Hanafi Ansari</t>
  </si>
  <si>
    <t>Wira Mustafa</t>
  </si>
  <si>
    <t>Roland Asmoro</t>
  </si>
  <si>
    <t>Andika Rahmad</t>
  </si>
  <si>
    <t>Dedi Heryadi, Ir.</t>
  </si>
  <si>
    <t>Prima Verazona Putra</t>
  </si>
  <si>
    <t>Johan Surya Laksamana Siregar</t>
  </si>
  <si>
    <t>Syahrul, Ir.</t>
  </si>
  <si>
    <t>Sacra Surya Avensina</t>
  </si>
  <si>
    <t>Punguan Sinaga</t>
  </si>
  <si>
    <t>Agus Wahyudi Sutrisno</t>
  </si>
  <si>
    <t>Muhammad Habib Nasution</t>
  </si>
  <si>
    <t>M. Anggoro Cipto</t>
  </si>
  <si>
    <t>Oktaviyanus, ST</t>
  </si>
  <si>
    <t>Dahrial, Ir.</t>
  </si>
  <si>
    <t>Sulkifli Darman, Ir.</t>
  </si>
  <si>
    <t>Syafaruddin, Ir.</t>
  </si>
  <si>
    <t>Rudi Gunarso, SP</t>
  </si>
  <si>
    <t>Wahyu Trijatmiko</t>
  </si>
  <si>
    <t>Wawan Kristiawan</t>
  </si>
  <si>
    <t>Uus Pramana</t>
  </si>
  <si>
    <t>Nopial Ishak</t>
  </si>
  <si>
    <t>Kaslan, Ir.</t>
  </si>
  <si>
    <t>Dharmawan</t>
  </si>
  <si>
    <t>Vicky Purba</t>
  </si>
  <si>
    <t>Ikbal Afriansyah</t>
  </si>
  <si>
    <t>Hendrik Sahrul Saputra</t>
  </si>
  <si>
    <t>Suprandi Restua S.</t>
  </si>
  <si>
    <t>Darwin Siregar, Ir.</t>
  </si>
  <si>
    <t>Azhar, Ir.</t>
  </si>
  <si>
    <t>M. Karyani</t>
  </si>
  <si>
    <t>Azrai Karim</t>
  </si>
  <si>
    <t>Hasan Basri Siregar</t>
  </si>
  <si>
    <t>Alan Rescue Sagala</t>
  </si>
  <si>
    <t>Waldrin Manalu</t>
  </si>
  <si>
    <t>Syahri Kurnia, Ir.</t>
  </si>
  <si>
    <t>Rizal Enka Pratama K.</t>
  </si>
  <si>
    <t>Anas Mahyidin, Drs.</t>
  </si>
  <si>
    <t>Joni Sapri, Ir.</t>
  </si>
  <si>
    <t>Bayu Syahputra</t>
  </si>
  <si>
    <t>Cindy Haluana Tambunan</t>
  </si>
  <si>
    <t>Reja Eka Putra, Ir.</t>
  </si>
  <si>
    <t>Efrijon Tanjung</t>
  </si>
  <si>
    <t>Sazly Rais Marpaung</t>
  </si>
  <si>
    <t>Ruslyzar</t>
  </si>
  <si>
    <t>Suyatno, Drs</t>
  </si>
  <si>
    <t>Yulian Firdaus</t>
  </si>
  <si>
    <t>Agus Dedi Rusmanto</t>
  </si>
  <si>
    <t>Sarjana Bangun, SE</t>
  </si>
  <si>
    <t>Arif Kurnia Nasution</t>
  </si>
  <si>
    <t>Sofyan Mukholip</t>
  </si>
  <si>
    <t>Firmansyah</t>
  </si>
  <si>
    <t>Widagdya Prasetya Utama</t>
  </si>
  <si>
    <t>Dharma Suciadi, Ir.</t>
  </si>
  <si>
    <t>Hamka Singadilaga</t>
  </si>
  <si>
    <t>Johan</t>
  </si>
  <si>
    <t>Agung Aulia Saputra</t>
  </si>
  <si>
    <t>M. Fauzi, SE</t>
  </si>
  <si>
    <t>Muhammad Naufal Heriza</t>
  </si>
  <si>
    <t>Rita Haryati, Ir.</t>
  </si>
  <si>
    <t>M. Yevri</t>
  </si>
  <si>
    <t>Sanusi Dongoran</t>
  </si>
  <si>
    <t>Henry Menahen Sinaga, Ir.</t>
  </si>
  <si>
    <t>Azwandi, Ir.</t>
  </si>
  <si>
    <t>Islamuddin S., Ir.</t>
  </si>
  <si>
    <t>Muhammad Yusuf Almy</t>
  </si>
  <si>
    <t>Beny Asman, ST</t>
  </si>
  <si>
    <t>Ronald Pandapotan Simarmata</t>
  </si>
  <si>
    <t>Rita Itriani Kaban</t>
  </si>
  <si>
    <t>Ivan Andri Harianja</t>
  </si>
  <si>
    <t>Mhd. Hyekal Sirait</t>
  </si>
  <si>
    <t>Dodi Riyanda</t>
  </si>
  <si>
    <t>Dedi Arfin</t>
  </si>
  <si>
    <t>Radius Ginting</t>
  </si>
  <si>
    <t>Farida Hanum Lubis</t>
  </si>
  <si>
    <t>Michael Alexander Perangin-angin</t>
  </si>
  <si>
    <t>Nikanor Purba</t>
  </si>
  <si>
    <t>Rudi Komi Simbolon</t>
  </si>
  <si>
    <t>Budi Purwanto</t>
  </si>
  <si>
    <t>Bambang Irwansyah</t>
  </si>
  <si>
    <t>Herdiansyah Barus</t>
  </si>
  <si>
    <t>Bramandita Silaen</t>
  </si>
  <si>
    <t>Zefania Mangiring Silaen</t>
  </si>
  <si>
    <t>Rangkuti Simanjuntak</t>
  </si>
  <si>
    <t>Hariyadi</t>
  </si>
  <si>
    <t>Irvan Tanjung S.T.</t>
  </si>
  <si>
    <t>Rori Rumenda</t>
  </si>
  <si>
    <t>Hendra Arjuna</t>
  </si>
  <si>
    <t>M. Rifai</t>
  </si>
  <si>
    <t>Frans Ferdinand Situmorang</t>
  </si>
  <si>
    <t>Sulviawan Ramadhan</t>
  </si>
  <si>
    <t>Efis Syafrijul Pulungan, Ir</t>
  </si>
  <si>
    <t>Elvian Adi Wandra Nasution</t>
  </si>
  <si>
    <t>M. Yamin, ST</t>
  </si>
  <si>
    <t>Mhd. Riza Bangun</t>
  </si>
  <si>
    <t>Herman</t>
  </si>
  <si>
    <t>Muhammad Kennedy</t>
  </si>
  <si>
    <t>Jupiter Manurung</t>
  </si>
  <si>
    <t>Obinton Mikhael Butar Butar</t>
  </si>
  <si>
    <t>Arfan</t>
  </si>
  <si>
    <t>Joko Malis</t>
  </si>
  <si>
    <t>Dian Syahputra</t>
  </si>
  <si>
    <t>Joko Purnomo</t>
  </si>
  <si>
    <t>Chandra Septian</t>
  </si>
  <si>
    <t>Rimsa Budi Arjuna</t>
  </si>
  <si>
    <t>Nofriferdiansyah Soriton</t>
  </si>
  <si>
    <t>Syahrial</t>
  </si>
  <si>
    <t>Bambang Heriawan, Ir</t>
  </si>
  <si>
    <t>Syahbirin Koto, Ir.</t>
  </si>
  <si>
    <t>Erwin R.W. Hasibuan</t>
  </si>
  <si>
    <t>Diana Ovianti</t>
  </si>
  <si>
    <t>Sahat Tunggul Sihotang</t>
  </si>
  <si>
    <t>Rina Suzana</t>
  </si>
  <si>
    <t>Misdianto</t>
  </si>
  <si>
    <t>Abdul Azis, Ir.</t>
  </si>
  <si>
    <t>Bahara Tua Tobing</t>
  </si>
  <si>
    <t>Khoirumansyah</t>
  </si>
  <si>
    <t>Catur Riyadi</t>
  </si>
  <si>
    <t>Ahmad Zazili</t>
  </si>
  <si>
    <t>Daud Harrys Pardamean Sirait</t>
  </si>
  <si>
    <t>Diki Prasetyo</t>
  </si>
  <si>
    <t>Junedo Gandani Dongoran</t>
  </si>
  <si>
    <t>Firman Sitompul</t>
  </si>
  <si>
    <t>Harun Antonius Surbakti</t>
  </si>
  <si>
    <t>Ahmad Riyadi</t>
  </si>
  <si>
    <t>Albert Halomoan Simarmata</t>
  </si>
  <si>
    <t>Parhan Asyura</t>
  </si>
  <si>
    <t>Sumantri</t>
  </si>
  <si>
    <t>Wesly Pasaribu</t>
  </si>
  <si>
    <t>Yudha Palastra</t>
  </si>
  <si>
    <t>Muhammad Reza Aprizar S. Sos</t>
  </si>
  <si>
    <t>Arnol Jefri Panjaitan</t>
  </si>
  <si>
    <t>Rahmat Hidayat</t>
  </si>
  <si>
    <t>T. Arliansyah</t>
  </si>
  <si>
    <t>Taufik Kurniawan</t>
  </si>
  <si>
    <t>Wawan Heru Kusmawan, ST</t>
  </si>
  <si>
    <t>Teddi Atmaja MS</t>
  </si>
  <si>
    <t>Mahdian Suwito</t>
  </si>
  <si>
    <t>Rosalina Musna</t>
  </si>
  <si>
    <t>Yanti Kusmiati</t>
  </si>
  <si>
    <t>Yoseph Jan Phieter Pakpahan</t>
  </si>
  <si>
    <t>Afrianto</t>
  </si>
  <si>
    <t>Sinar Mulia Munthe</t>
  </si>
  <si>
    <t>Sihar Manurung</t>
  </si>
  <si>
    <t>Abrar Nur Syahputra</t>
  </si>
  <si>
    <t>Hary Naldo Harahap</t>
  </si>
  <si>
    <t>Rusden Pandiangan</t>
  </si>
  <si>
    <t>Suprapto</t>
  </si>
  <si>
    <t>Abdul Wahid</t>
  </si>
  <si>
    <t>Andi Suranta Meliala</t>
  </si>
  <si>
    <t>Fadly Gunawan, Ir.</t>
  </si>
  <si>
    <t>Kurnia Aprialdy Milala</t>
  </si>
  <si>
    <t>Jajan Djuhjana, Ir.</t>
  </si>
  <si>
    <t>M. Mahadani Lubis</t>
  </si>
  <si>
    <t>Muhammad Abror</t>
  </si>
  <si>
    <t>Emma Suryani Siregar </t>
  </si>
  <si>
    <t>Amalia Tri Kurnia</t>
  </si>
  <si>
    <t>Hafni Rahmadani</t>
  </si>
  <si>
    <t>Probo Rahardianto S.ST</t>
  </si>
  <si>
    <t>Suhermanto</t>
  </si>
  <si>
    <t>Edi Kurnawan</t>
  </si>
  <si>
    <t>Hadian</t>
  </si>
  <si>
    <t>Jumansyah</t>
  </si>
  <si>
    <t>Wahyu Aulia Savendra</t>
  </si>
  <si>
    <t>Dwi Surya Asih</t>
  </si>
  <si>
    <t>Harry Ericson Iswandar, Ir.</t>
  </si>
  <si>
    <t>Kurnia Ramadani Purba</t>
  </si>
  <si>
    <t>Ayu Milani</t>
  </si>
  <si>
    <t>Olviyani Nasution</t>
  </si>
  <si>
    <t>Abdul Mutholib</t>
  </si>
  <si>
    <t>Intan Purnamasari</t>
  </si>
  <si>
    <t>Joko Handoko Hadi Prasetyo</t>
  </si>
  <si>
    <t>Haratua Ritonga</t>
  </si>
  <si>
    <t>Muna Murnianjari, S.Si</t>
  </si>
  <si>
    <t>Lia Handayani</t>
  </si>
  <si>
    <t>Ririn Fitriana Lubis</t>
  </si>
  <si>
    <t>Triningsih</t>
  </si>
  <si>
    <t>Hary Nugraha Sugiarto</t>
  </si>
  <si>
    <t>Hendra Surya</t>
  </si>
  <si>
    <t>Angga Premana</t>
  </si>
  <si>
    <t>Efni Eliza, Ir.</t>
  </si>
  <si>
    <t>Ahmad Faisal, SP</t>
  </si>
  <si>
    <t>Muhammad Husaini, Ir.</t>
  </si>
  <si>
    <t>Banda Ardiansyah Nasution</t>
  </si>
  <si>
    <t>Abu Hanifah Pohan, SP</t>
  </si>
  <si>
    <t>Bayu Irawan</t>
  </si>
  <si>
    <t>Nursianto</t>
  </si>
  <si>
    <t>Mahyudin</t>
  </si>
  <si>
    <t>Muhammad Fauzan Amiruddin</t>
  </si>
  <si>
    <t>Muhammad Annas Suanda</t>
  </si>
  <si>
    <t>Jimmy Bunawan</t>
  </si>
  <si>
    <t>F. Haryo Subyarto</t>
  </si>
  <si>
    <t>Ahmad Fauzi</t>
  </si>
  <si>
    <t>Herry Hantono</t>
  </si>
  <si>
    <t>Roger H. Wiryawan</t>
  </si>
  <si>
    <t>Male</t>
  </si>
  <si>
    <t>Female</t>
  </si>
  <si>
    <t>Total</t>
  </si>
  <si>
    <t>Employee Id</t>
  </si>
  <si>
    <t>DEFINITION (EST)</t>
  </si>
  <si>
    <t>DEFINITION (DEV)</t>
  </si>
  <si>
    <t>BEHAVIOUR COMPETANCE (EST)</t>
  </si>
  <si>
    <t>BEHAVIOUR COMPETANCE (DEV)</t>
  </si>
  <si>
    <r>
      <t xml:space="preserve">Ika Yunita Kartikasari, M.Si., M.Psi., Psikolog
</t>
    </r>
    <r>
      <rPr>
        <b/>
        <sz val="11"/>
        <rFont val="Cambria"/>
        <family val="1"/>
      </rPr>
      <t>SIPP: 01/IP:06-09/1991</t>
    </r>
  </si>
  <si>
    <t>AREA</t>
  </si>
  <si>
    <t xml:space="preserve">% Nilai Est </t>
  </si>
  <si>
    <t>% Nilai Dev</t>
  </si>
  <si>
    <t>% Std</t>
  </si>
  <si>
    <t>Chris Samuel Morgan Runtu</t>
  </si>
  <si>
    <t>Imam Taufik Siregar</t>
  </si>
  <si>
    <t>Roy Franc James Simanjuntak</t>
  </si>
  <si>
    <t>Muhammad Ihsyan Manulang</t>
  </si>
  <si>
    <t>Bambang Irawan., Sp</t>
  </si>
  <si>
    <t>Muhammad Jamil Sp</t>
  </si>
  <si>
    <t>Muhamamd Ikhsan Nasution</t>
  </si>
  <si>
    <t>Baharaja A.S., Ir.</t>
  </si>
  <si>
    <t>Bobi Chandra</t>
  </si>
  <si>
    <t>Repada A. Damanik</t>
  </si>
  <si>
    <t>A. Syaukaniy Riandi</t>
  </si>
  <si>
    <t>Ivan Adenawer Tampubolon</t>
  </si>
  <si>
    <t>Muhammad Junaedi</t>
  </si>
  <si>
    <t>Irfansyah, St</t>
  </si>
  <si>
    <t>Benny Sitepu</t>
  </si>
  <si>
    <t>Yakobus Dualolo, Ir.</t>
  </si>
  <si>
    <t>Arie Munirianto</t>
  </si>
  <si>
    <t>Wenry Reinmar Siahaan</t>
  </si>
  <si>
    <t>Rachmad Hidayat</t>
  </si>
  <si>
    <t>Muhammad Iqbal, Ir.</t>
  </si>
  <si>
    <t>Sarso Suparto. Amd</t>
  </si>
  <si>
    <t>Adi Cawarman Sitorus</t>
  </si>
  <si>
    <t>Junaidi, Sp</t>
  </si>
  <si>
    <t>Ir. Rudi Tambun</t>
  </si>
  <si>
    <t>Dani Sartika Saragih</t>
  </si>
  <si>
    <t>Dedi Armaidiansyah Lbs</t>
  </si>
  <si>
    <t>Badai Tropik, Ir.</t>
  </si>
  <si>
    <t>Anzary Nur Azis, Ir</t>
  </si>
  <si>
    <t>Yusnandar M. Syahani, Ir.</t>
  </si>
  <si>
    <t>Syukur Ariadin, Sp</t>
  </si>
  <si>
    <t>Rahmat Wibowo, Sp</t>
  </si>
  <si>
    <t>Edi Junaidi, Sp Ginting</t>
  </si>
  <si>
    <t>T. Muhammad Iqbal, Ir.</t>
  </si>
  <si>
    <t>Irfansyah, St Purnama</t>
  </si>
  <si>
    <t>Index</t>
  </si>
  <si>
    <t>Age (Years)</t>
  </si>
  <si>
    <t>Business Area</t>
  </si>
  <si>
    <t>Sumatera Utara</t>
  </si>
  <si>
    <t>LSIP - Turangie Estate</t>
  </si>
  <si>
    <t>Field Assistant Turangie</t>
  </si>
  <si>
    <t>Medan</t>
  </si>
  <si>
    <t>LSIP - RO Medan</t>
  </si>
  <si>
    <t>HR Unit NS Manager Medan BO</t>
  </si>
  <si>
    <t>Danil Fahreza Pohan</t>
  </si>
  <si>
    <t>LSIP - Bungara Estate</t>
  </si>
  <si>
    <t>Field Assistant Bungara</t>
  </si>
  <si>
    <t>Wages &amp; Administration Staff VPP</t>
  </si>
  <si>
    <t>Wages &amp; Administration (NS) Medan BO</t>
  </si>
  <si>
    <t>LSIP - Begerpang Estate</t>
  </si>
  <si>
    <t>Field Assistant Begerpang</t>
  </si>
  <si>
    <t>Industrial Relation &amp; Recruitment Unit NS Medan BO</t>
  </si>
  <si>
    <t>LSIP - Dolok Estate</t>
  </si>
  <si>
    <t>Field Assistant Dolok</t>
  </si>
  <si>
    <t>Recruitment Staff Medan BO</t>
  </si>
  <si>
    <t>LSIP - Gunung Malayu Estate</t>
  </si>
  <si>
    <t>Field Assistant Gunung Malayu</t>
  </si>
  <si>
    <t>Training &amp; TQM Staff Rambong Sialang Training Centre</t>
  </si>
  <si>
    <t>LSIP - Sei Rumbiya Estate</t>
  </si>
  <si>
    <t>Field Assistant Sei Rumbiya</t>
  </si>
  <si>
    <t>Training Staff Rambong Sialang Training Centre</t>
  </si>
  <si>
    <t>Traksi Assistant Trainee Jelau Makmur</t>
  </si>
  <si>
    <t>Sumatera Selatan</t>
  </si>
  <si>
    <t>LSIP - Belani Elok Palm Oil Mill</t>
  </si>
  <si>
    <t>Shift Engineer Belani Elok</t>
  </si>
  <si>
    <t>Mill Assistant Trainee Sei Lakitan</t>
  </si>
  <si>
    <t>LSIP - Sei Lakitan Palm Oil Mill</t>
  </si>
  <si>
    <t>Shift Engineer Sei Lakitan</t>
  </si>
  <si>
    <t>Mill Assistant Trainee Turangie</t>
  </si>
  <si>
    <t>Sulawesi Selatan</t>
  </si>
  <si>
    <t>LSIP - PalangIsang Estate</t>
  </si>
  <si>
    <t>Field Assistant Palang Isang</t>
  </si>
  <si>
    <t>LSIP - Pulo Rambong Estate</t>
  </si>
  <si>
    <t>Traksi Assistant Pulo Rambong</t>
  </si>
  <si>
    <t>Mill Assistant Trainee Begerpang</t>
  </si>
  <si>
    <t>LSIP - Bah Lias Estate</t>
  </si>
  <si>
    <t>Traksi Assistant Bah Lias</t>
  </si>
  <si>
    <t>Mill Assistant Trainee Treblasala</t>
  </si>
  <si>
    <t>Jawa Timur</t>
  </si>
  <si>
    <t>LSIP - Treblasala Estate</t>
  </si>
  <si>
    <t>Field Assistant Treblasala</t>
  </si>
  <si>
    <t>Field Assistant Trainee Tulung Gelam</t>
  </si>
  <si>
    <t>Traksi Assistant Treblasala</t>
  </si>
  <si>
    <t>Field Assistant Trainee Pahu Makmur</t>
  </si>
  <si>
    <t>Kalimantan Timur</t>
  </si>
  <si>
    <t>LSIP - Pahu Makmur Estate</t>
  </si>
  <si>
    <t>Field Assistant Pahu Makmur</t>
  </si>
  <si>
    <t>Field Assistant Trainee Tirta Agung</t>
  </si>
  <si>
    <t>LSIP - Jelau Makmur Estate</t>
  </si>
  <si>
    <t>Field Assistant Jelau Makmur</t>
  </si>
  <si>
    <t>LSIP - Kencana Sari Palm Oil Mill</t>
  </si>
  <si>
    <t>Shift Engineer Kencana Sari</t>
  </si>
  <si>
    <t>Field Assistant Trainee Sei Gemang</t>
  </si>
  <si>
    <t>LSIP - Suka Damai Estate</t>
  </si>
  <si>
    <t>Field Assistant Suka Damai</t>
  </si>
  <si>
    <t>Field Assistant Trainee Bangun Harjo</t>
  </si>
  <si>
    <t>Field Assistant Trainee Gunung Bais</t>
  </si>
  <si>
    <t>LSIP - Sei Rumbiya Rubber Factory</t>
  </si>
  <si>
    <t>Shift Engineer Sei Rumbiya</t>
  </si>
  <si>
    <t>Traksi Assistant Trainee Tanjung Makmur</t>
  </si>
  <si>
    <t>LSIP - Kencana Sari Estate</t>
  </si>
  <si>
    <t>Traksi Assistant Kencana Sari</t>
  </si>
  <si>
    <t>Traksi Assistant Trainee Tirta Agung</t>
  </si>
  <si>
    <t>Environment Staff Medan BO</t>
  </si>
  <si>
    <t>Field Assistant Trainee Sei Lakitan</t>
  </si>
  <si>
    <t>Field Assistant Trainee Arta Kencana</t>
  </si>
  <si>
    <t>Field Assistant Trainee Riam Indah</t>
  </si>
  <si>
    <t>Field Assistant Trainee Pulo Rambong</t>
  </si>
  <si>
    <t>Field Assistant Trainee Sei Rumbiya</t>
  </si>
  <si>
    <t>Field Assistant Trainee Tanjung Makmur</t>
  </si>
  <si>
    <t>Field Assistant Trainee Issuy Makmur</t>
  </si>
  <si>
    <t>Field Assistant Trainee Kencana Sari</t>
  </si>
  <si>
    <t>Field Assistant Trainee Budi Tirta</t>
  </si>
  <si>
    <t>Mill Assistant Trainee Turangie Training Centre</t>
  </si>
  <si>
    <t>Palembang</t>
  </si>
  <si>
    <t>LSIP - RO Palembang</t>
  </si>
  <si>
    <t>Civil Engineer SS Palembang BO</t>
  </si>
  <si>
    <t>Office Accounting Supervisor Medan BO</t>
  </si>
  <si>
    <t>Office Accounting Staff Medan BO</t>
  </si>
  <si>
    <t>Asset Management Staff Medan BO</t>
  </si>
  <si>
    <t>Financial &amp; Reporting Manager Medan BO</t>
  </si>
  <si>
    <t>Financial &amp; Reporting Supervisor Medan BO</t>
  </si>
  <si>
    <t>Financial &amp; Reporting Staff Medan BO</t>
  </si>
  <si>
    <t>Regional Accounting North Sumatra Medan BO</t>
  </si>
  <si>
    <t>Tax &amp; Planning Manager Medan BO</t>
  </si>
  <si>
    <t>Tax Planning &amp; Administration Staff VPP</t>
  </si>
  <si>
    <t>Cost Mgmt Reporting &amp; Analysis Manager Medan BO</t>
  </si>
  <si>
    <t>Cash Management &amp; Disbursement Manager Medan BO</t>
  </si>
  <si>
    <t>Cash Management &amp; Disbursement Staff Medan BO</t>
  </si>
  <si>
    <t>Jakarta</t>
  </si>
  <si>
    <t>LSIP - HO Jakarta</t>
  </si>
  <si>
    <t>Cost Management Staff Jakarta HO</t>
  </si>
  <si>
    <t>Halim Darma Kesuma</t>
  </si>
  <si>
    <t>Accounting Staff Jakarta HO</t>
  </si>
  <si>
    <t>Budget Planning Manager Plantation Medan BO</t>
  </si>
  <si>
    <t>Tax Planning &amp; Administration Staff Jakarta HO</t>
  </si>
  <si>
    <t>Budget Planning Staff Medan BO</t>
  </si>
  <si>
    <t>Estate &amp; General Material Staff Jakarta HO</t>
  </si>
  <si>
    <t>Civil Engineer NS Medan BO</t>
  </si>
  <si>
    <t>Conservation &amp; ISO Staff Jakarta HO</t>
  </si>
  <si>
    <t>Koordinator Wilayah Security Sumut Medan BO</t>
  </si>
  <si>
    <t>IT &amp; Compliance Administrator Medan BO</t>
  </si>
  <si>
    <t>Koordinator Lapangan Sei Rumbiya</t>
  </si>
  <si>
    <t>IT Asset Administration Medan BO</t>
  </si>
  <si>
    <t>External Relation Supervisor Palembang BO</t>
  </si>
  <si>
    <t>SAP Core Support Specialist Medan BO</t>
  </si>
  <si>
    <t>Koordinator Lapangan Security Batu Cemerlang</t>
  </si>
  <si>
    <t>Koordinator Lapangan Security Bebah Permata</t>
  </si>
  <si>
    <t>Koordinator Lapangan Security Sei Gemang</t>
  </si>
  <si>
    <t>Information Tools Developer Medan BO</t>
  </si>
  <si>
    <t>Koordinator Wilayah Security SS Palembang BO</t>
  </si>
  <si>
    <t>Koordinator Lapangan Security Mentari Kulim</t>
  </si>
  <si>
    <t>Jawa Barat</t>
  </si>
  <si>
    <t>Koordinator Lapangan Security Kertasarie</t>
  </si>
  <si>
    <t>Infra Site Officer Medan BO</t>
  </si>
  <si>
    <t>Koordinator Lapangan Security Sei Lakitan</t>
  </si>
  <si>
    <t>Sales Settlement Staff Medan BO</t>
  </si>
  <si>
    <t>Koordinator Lapangan Security Jade Project</t>
  </si>
  <si>
    <t>Koordinator Lapangan Security Bukit Hijau</t>
  </si>
  <si>
    <t>Fulfillment &amp; Logistic Staff Medan BO</t>
  </si>
  <si>
    <t>Koordinator Lapangan Security Ketapat Bening</t>
  </si>
  <si>
    <t>Koordinator Lapangan Security Budi Tirta</t>
  </si>
  <si>
    <t>Internal Audit Manager Medan BO</t>
  </si>
  <si>
    <t>Koordinator Lapangan Security Tirta Agung</t>
  </si>
  <si>
    <t>Internal Auditor Medan BO</t>
  </si>
  <si>
    <t>Koordinator Lapangan Security Kencana Sari</t>
  </si>
  <si>
    <t>Koordinator Lapangan Security Tulung Gelam</t>
  </si>
  <si>
    <t>Regional Civil Engineer NS Medan BO</t>
  </si>
  <si>
    <t>Marketing Services &amp; Event Coordinator Jakarta HO</t>
  </si>
  <si>
    <t>Heavy Equipment Engineer NS Medan BO</t>
  </si>
  <si>
    <t>Sales &amp; Marketing Manager Jakarta HO</t>
  </si>
  <si>
    <t>Environment Officer NS Area Medan BO</t>
  </si>
  <si>
    <t>Marketing Staff Jakarta HO</t>
  </si>
  <si>
    <t>Koordinator Lapangan Security SS Riam Indah</t>
  </si>
  <si>
    <t>Koordinator Lapangan Security SS Gunung Bais</t>
  </si>
  <si>
    <t>Community Development Officer NS Medan BO</t>
  </si>
  <si>
    <t>LSIP - RO Surabaya</t>
  </si>
  <si>
    <t>Area Sales &amp; Promotion Manager Surabaya BO</t>
  </si>
  <si>
    <t>Analyst &amp; Control Staff Medan BO</t>
  </si>
  <si>
    <t>Area Sales &amp; Promotion Supervisor Jawa Timur Surabaya BO</t>
  </si>
  <si>
    <t>Operation Administration Staff VPP</t>
  </si>
  <si>
    <t>Area Sales &amp; Promotion Supervisor Jatim 1 Surabaya BO</t>
  </si>
  <si>
    <t>People Development Officer Jakarta HO</t>
  </si>
  <si>
    <t>Legal Administration Staff AMA Lahat</t>
  </si>
  <si>
    <t>Company Doctor North Sumatera Area Medan BO</t>
  </si>
  <si>
    <t>Financial Reporting Staff Jakarta HO</t>
  </si>
  <si>
    <t>Administration Staff VPP</t>
  </si>
  <si>
    <t>Technology Productivity Manager Jakarta HO</t>
  </si>
  <si>
    <t>Safety Staff Medan BO</t>
  </si>
  <si>
    <t>Application Engineer Jakarta HO</t>
  </si>
  <si>
    <t>General Services Staff Medan BO</t>
  </si>
  <si>
    <t>System Engineer Jakarta HO</t>
  </si>
  <si>
    <t>Government Relation Staff Medan BO</t>
  </si>
  <si>
    <t>LSIP - Cengal Rubber Factory</t>
  </si>
  <si>
    <t>Shift Engineer Cengal</t>
  </si>
  <si>
    <t>LSIP - BLRS - NS</t>
  </si>
  <si>
    <t>Cytology Assistant BLRS-NS</t>
  </si>
  <si>
    <t>Breeder BLRS-NS</t>
  </si>
  <si>
    <t>Mechanical Material Staff Medan BO</t>
  </si>
  <si>
    <t>Corporate Legal Staff Jakarta HO</t>
  </si>
  <si>
    <t>Procurement Manager Medan BO</t>
  </si>
  <si>
    <t>Corporate Communication Staff Jakarta HO</t>
  </si>
  <si>
    <t>Buyer Staff Jakarta HO</t>
  </si>
  <si>
    <t>Estate &amp; General Material Staff Medan BO</t>
  </si>
  <si>
    <t>Enterprise Risk Management Staff Jakarta HO</t>
  </si>
  <si>
    <t>Vice President Processing</t>
  </si>
  <si>
    <t>Koordinator Lapangan Rambong Sialang</t>
  </si>
  <si>
    <t>LSIP - RO Samarinda</t>
  </si>
  <si>
    <t>Koordinator Wilayah Security AMA Kalimantan</t>
  </si>
  <si>
    <t>HR Unit SS Palembang BO</t>
  </si>
  <si>
    <t>Head of Procurement &amp; Head of Engineering Services Jakarta HO</t>
  </si>
  <si>
    <t>Wages &amp; Administration (SS) Palembang BO</t>
  </si>
  <si>
    <t>Head Of Human Resources Jakarta HO</t>
  </si>
  <si>
    <t>Checkroll &amp; Administration (SS) Palembang BO</t>
  </si>
  <si>
    <t>IR Coordinator Area SS Palembang BO</t>
  </si>
  <si>
    <t>Regional Accounting Jakarta HO</t>
  </si>
  <si>
    <t>Regional Accounting South Sumatra Palembang BO</t>
  </si>
  <si>
    <t>Head of Internal Audit Jakarta HO</t>
  </si>
  <si>
    <t>Office Accounting Staff Palembang BO</t>
  </si>
  <si>
    <t>Yenni Marlina                                </t>
  </si>
  <si>
    <t>Coordinator of Accounting &amp; Tax  Jakarta HO</t>
  </si>
  <si>
    <t>Febru Hartati, SH</t>
  </si>
  <si>
    <t>Tax Planning &amp; Administration Staff Palembang BO</t>
  </si>
  <si>
    <t>Cash Management &amp; Disbursement Supervisor Palembang BO</t>
  </si>
  <si>
    <t>Traksi Assistant Turangie</t>
  </si>
  <si>
    <t>Sulawesi Utara</t>
  </si>
  <si>
    <t>LSIP - Pungkol Estate</t>
  </si>
  <si>
    <t>Kasie Pungkol</t>
  </si>
  <si>
    <t>Cash Management &amp; Disbursement Staff Palembang BO</t>
  </si>
  <si>
    <t>LSIP - Riam Indah Estate</t>
  </si>
  <si>
    <t>Administration Staff AMA Muara Rupit</t>
  </si>
  <si>
    <t>Plasma Finance Administration Manager Palembang BO</t>
  </si>
  <si>
    <t>Traksi Assistant Riam Indah</t>
  </si>
  <si>
    <t>Plasma Finance Administration Supervisor Palembang BO</t>
  </si>
  <si>
    <t>Kasie Kencana Sari</t>
  </si>
  <si>
    <t>Plasma Finance Administration Staff Palembang BO</t>
  </si>
  <si>
    <t>Infra Site Officer Palembang BO</t>
  </si>
  <si>
    <t>Fulfillment &amp; Logistic Manager Palembang BO</t>
  </si>
  <si>
    <t>Fulfillment &amp; Logistic Staff Palembang BO</t>
  </si>
  <si>
    <t>Sales Settlement Staff Palembang BO</t>
  </si>
  <si>
    <t>Sei Lais Bulking Station Supervisor</t>
  </si>
  <si>
    <t>Legal Staff Palembang BO</t>
  </si>
  <si>
    <t>Bulking Station Staff</t>
  </si>
  <si>
    <t>Draftman Palembang BO</t>
  </si>
  <si>
    <t>Internal Auditor Office Palembang BO</t>
  </si>
  <si>
    <t>Administration Koordinator Security SS Palembang BO</t>
  </si>
  <si>
    <t>Koordinator Lapangan Security SS Arta Kencana</t>
  </si>
  <si>
    <t>Samarinda</t>
  </si>
  <si>
    <t>General Services Staff Samarinda BO</t>
  </si>
  <si>
    <t>Area Sales &amp; Promotion Supervisor Jakarta Jakarta HO</t>
  </si>
  <si>
    <t>Cash Management &amp; Disbursement Staff Samarinda BO</t>
  </si>
  <si>
    <t>Licensing &amp; Plasma Supervisor Palembang BO</t>
  </si>
  <si>
    <t>Surabaya</t>
  </si>
  <si>
    <t>Surabaya Branch Office Staff Surabaya BO</t>
  </si>
  <si>
    <t>Plasma Staff Palembang BO</t>
  </si>
  <si>
    <t>Legal Administration Staff Palembang BO</t>
  </si>
  <si>
    <t>Payroll &amp; Administration Jakarta HO</t>
  </si>
  <si>
    <t>Engineering Manager SS Palembang BO</t>
  </si>
  <si>
    <t>System Development &amp; Database Staff Jakarta HO</t>
  </si>
  <si>
    <t>Internal Transport &amp; Heavy Vehicle SS Palembang BO</t>
  </si>
  <si>
    <t>Office Accounting Staff Jakarta HO</t>
  </si>
  <si>
    <t>Operation Administration Staff Palembang BO</t>
  </si>
  <si>
    <t>Block Analyst Coordinator Palembang BO</t>
  </si>
  <si>
    <t>Environment Officer SS Area Palembang BO</t>
  </si>
  <si>
    <t>Community Development Officer SS Palembang BO</t>
  </si>
  <si>
    <t>Environment Staff Palembang BO</t>
  </si>
  <si>
    <t>Plasma Finance Administration Staff Jakarta HO</t>
  </si>
  <si>
    <t>Smallholder Officer Palembang BO</t>
  </si>
  <si>
    <t>General Services Staff Jakarta HO</t>
  </si>
  <si>
    <t>General Service Manager Palembang BO</t>
  </si>
  <si>
    <t>Operation Administration Staff Jakarta HO</t>
  </si>
  <si>
    <t>General Services Staff Palembang BO</t>
  </si>
  <si>
    <t>Analyst &amp; Control Staff Jakarta HO</t>
  </si>
  <si>
    <t>Company Doctor South Sumatera Area Palembang BO</t>
  </si>
  <si>
    <t>Safety Specialist Palembang BO</t>
  </si>
  <si>
    <t>Kasie IMF Bah Lias</t>
  </si>
  <si>
    <t>Procurement Coordinator Palembang BO</t>
  </si>
  <si>
    <t>Estate &amp; General Material Staff Palembang BO</t>
  </si>
  <si>
    <t>Mechanical Material Staff Palembang BO</t>
  </si>
  <si>
    <t>Office Accounting Staff Samarinda BO</t>
  </si>
  <si>
    <t>Samarinda Branch Office Supervisor Samarinda BO</t>
  </si>
  <si>
    <t>Community Development Staff AMA Muara Rupit</t>
  </si>
  <si>
    <t>Area Sales &amp; Promotion Supervisor Jakarta HO</t>
  </si>
  <si>
    <t>Kasie IMF Riam Indah</t>
  </si>
  <si>
    <t>Buyer Staff Samarinda BO</t>
  </si>
  <si>
    <t>Key Account Supervisor Jakarta HO</t>
  </si>
  <si>
    <t>Area Sales &amp; Promotion Supervisor Jatim 2 Surabaya BO</t>
  </si>
  <si>
    <t>Community Development Staff AMA Bingin Teluk</t>
  </si>
  <si>
    <t>Environment Staff Samarinda BO</t>
  </si>
  <si>
    <t>Organization Development Jakarta HO</t>
  </si>
  <si>
    <t>Fulfillment &amp; Logistic Staff Samarinda BO</t>
  </si>
  <si>
    <t>Assessor Jakarta HO</t>
  </si>
  <si>
    <t>Office Accounting Supervisor Jakarta Jakarta HO</t>
  </si>
  <si>
    <t>Treasury Staff Samarinda BO</t>
  </si>
  <si>
    <t>Head of Business Development Jakarta HO</t>
  </si>
  <si>
    <t>Kasie IMF Tirta Agung</t>
  </si>
  <si>
    <t>Marketing &amp; Sales Supervisor Jakarta HO</t>
  </si>
  <si>
    <t>Marketing &amp; Sales Data Analyst Jakarta HO</t>
  </si>
  <si>
    <t>Funding &amp; PFA Officer Jakarta HO</t>
  </si>
  <si>
    <t>Liquidity &amp; Forecasting Supervisor Jakarta HO</t>
  </si>
  <si>
    <t>Area Sales &amp; Promotion Manager Jawa Barat Jakarta HO</t>
  </si>
  <si>
    <t>Cash Management &amp; Disbursement Staff Jakarta HO</t>
  </si>
  <si>
    <t>Area Sales &amp; Promotion Supervisor Bekasi Jakarta HO</t>
  </si>
  <si>
    <t>Treasury Staff Jakarta HO</t>
  </si>
  <si>
    <t>Administration Audit Staff Jakarta HO</t>
  </si>
  <si>
    <t>Area Sales &amp; Promotion Supervisor Bandung Bandung</t>
  </si>
  <si>
    <t>GIS Assistant AMA Kalimantan</t>
  </si>
  <si>
    <t>Area Sales &amp; Promotion Supervisor Tangerang Jakarta HO</t>
  </si>
  <si>
    <t>Corporate Scr. &amp; Head of Legal Licensing Jakarta HO</t>
  </si>
  <si>
    <t>Licensing Staff Jakarta HO</t>
  </si>
  <si>
    <t>Logistic &amp; Adm Sales Staff Jakarta HO</t>
  </si>
  <si>
    <t>Document Center Coordinator Jakarta HO</t>
  </si>
  <si>
    <t>Admin Sales HO Staff Jakarta HO</t>
  </si>
  <si>
    <t>Procurement Project Civil Staff Jakarta HO</t>
  </si>
  <si>
    <t>Secretary Presdir &amp; General Admin Jakarta HO</t>
  </si>
  <si>
    <t>Operation Admin SS Assistant Manager Jakarta HO</t>
  </si>
  <si>
    <t>Environment Staff Jakarta HO</t>
  </si>
  <si>
    <t>Community Development Administration Staff AMA Kaltim</t>
  </si>
  <si>
    <t>Industrial Relation AMA Muara Rupit</t>
  </si>
  <si>
    <t>Legal Administration Staff AMA Bingin Teluk</t>
  </si>
  <si>
    <t>Compensation Benefit Manager Jakarta HO</t>
  </si>
  <si>
    <t>Agronomic &amp; Soil Survey BLRS-NS</t>
  </si>
  <si>
    <t>Remuneration Officer Jakarta HO</t>
  </si>
  <si>
    <t>Soil Survey BLRS-NS</t>
  </si>
  <si>
    <t>Payroll Officer Jakarta HO</t>
  </si>
  <si>
    <t>Analytical Lab BLRS-NS</t>
  </si>
  <si>
    <t>Pathologist Staff BLRS-NS</t>
  </si>
  <si>
    <t>HRIS Assistant Manager Jakarta HO</t>
  </si>
  <si>
    <t>Entomology Staff BLRS-NS</t>
  </si>
  <si>
    <t>GIS Assistant BLRS-NS</t>
  </si>
  <si>
    <t>LSIP - BLRS - SS</t>
  </si>
  <si>
    <t>GIS Assistant BLRS-SS</t>
  </si>
  <si>
    <t>HR Unit JSK Jakarta HO</t>
  </si>
  <si>
    <t>Biotechnology Coord &amp; Management Representative BLRS-NS</t>
  </si>
  <si>
    <t>HR Unit JSK Officer Jakarta HO</t>
  </si>
  <si>
    <t>Assistant Tissue Culture BLRS-NS</t>
  </si>
  <si>
    <t>Wages &amp; Administration (JSK) Jakarta HO</t>
  </si>
  <si>
    <t>Seed Physiologyst &amp; Cytology BLRS-NS</t>
  </si>
  <si>
    <t>Crossing &amp; Ganoderma BLRS-NS</t>
  </si>
  <si>
    <t>Breeding Pathology Assistant BLRS-NS</t>
  </si>
  <si>
    <t>Office Accounting Manager Jakarta HO</t>
  </si>
  <si>
    <t>Oil Palm Trial BLRS-NS</t>
  </si>
  <si>
    <t>Senior Breeder (OP) BLRS-NS</t>
  </si>
  <si>
    <t>Breeder (Cocoa) BLRS-NS</t>
  </si>
  <si>
    <t>Informatic Officer BLRS-NS</t>
  </si>
  <si>
    <t>Assistant Genomic BLRS-NS</t>
  </si>
  <si>
    <t>LSIP - Turangie Palm Oil Mill</t>
  </si>
  <si>
    <t>Shift Engineer Turangie</t>
  </si>
  <si>
    <t>LSIP - Begerpang Palm Oil Mill</t>
  </si>
  <si>
    <t>Shift Engineer Begerpang</t>
  </si>
  <si>
    <t>LSIP - Dolok Palm Oil Mill</t>
  </si>
  <si>
    <t>Shift Engineer Dolok</t>
  </si>
  <si>
    <t>Kasie Sei Lakitan</t>
  </si>
  <si>
    <t>LSIP - Sei Merah Estate</t>
  </si>
  <si>
    <t>Administration Staff AMA Serdang</t>
  </si>
  <si>
    <t>Liquidity &amp; Forecasting Manager Jakarta HO</t>
  </si>
  <si>
    <t>Field Assistant Pulo Rambong</t>
  </si>
  <si>
    <t>LSIP - Gunung Bais Palm Oil Mill</t>
  </si>
  <si>
    <t>Kasie Gunung Bais</t>
  </si>
  <si>
    <t>Kasie Bungara</t>
  </si>
  <si>
    <t>Field Assistant Non Teknis Palang Isang</t>
  </si>
  <si>
    <t>Insurance Staff Jakarta HO</t>
  </si>
  <si>
    <t>LSIP - Rambong Sialang Estate</t>
  </si>
  <si>
    <t>Field Assistant Rambong Sialang</t>
  </si>
  <si>
    <t>Budget Controlling Manager Plantation Jakarta HO</t>
  </si>
  <si>
    <t>LSIP - Kertasarie Estate</t>
  </si>
  <si>
    <t>Field Assistant Kertasarie</t>
  </si>
  <si>
    <t>Budget Controlling Staff Jakarta HO</t>
  </si>
  <si>
    <t>LSIP - QCTL</t>
  </si>
  <si>
    <t>Quality Control Analyst</t>
  </si>
  <si>
    <t>LSIP - Sibulan Estate</t>
  </si>
  <si>
    <t>Field Assistant Si Bulan</t>
  </si>
  <si>
    <t>LSIP - Bah Bulian Estate</t>
  </si>
  <si>
    <t>Field Assistant Bah Bulian</t>
  </si>
  <si>
    <t>Field Assistant Bah Lias</t>
  </si>
  <si>
    <t>IT Quality Assurance Service Delivery Jakarta HO</t>
  </si>
  <si>
    <t>Technology Deployment Staff Jakarta HO</t>
  </si>
  <si>
    <t>Internal Auditor Jakarta HO</t>
  </si>
  <si>
    <t>LSIP - Kertasarie Factory</t>
  </si>
  <si>
    <t>Shift Engineer Kertasarie</t>
  </si>
  <si>
    <t>Internal Audit Manager JKT HO - SIMP</t>
  </si>
  <si>
    <t>LSIP - Issuy Makmur Estate</t>
  </si>
  <si>
    <t>Field Assistant Issuy Makmur</t>
  </si>
  <si>
    <t>Interal Audit Manager JKT HO - SIMP</t>
  </si>
  <si>
    <t>LSIP - Kedang Makmur Estate</t>
  </si>
  <si>
    <t>Field Assistant Kedang Makmur</t>
  </si>
  <si>
    <t>Interal Audit Act Manager JKT HO - SIMP</t>
  </si>
  <si>
    <t>Kasie Riam Indah</t>
  </si>
  <si>
    <t>Internal Auditor JKT HO - SIMP</t>
  </si>
  <si>
    <t>LSIP - Tirta Agung Palm Oil Mill</t>
  </si>
  <si>
    <t>Shift Engineer Tirta Agung</t>
  </si>
  <si>
    <t>TAS - Pring Permai Estate</t>
  </si>
  <si>
    <t>Kasie Pring Permai</t>
  </si>
  <si>
    <t>LSIP - Ketapat Bening Estate</t>
  </si>
  <si>
    <t>Field Assistant Ketapat Bening</t>
  </si>
  <si>
    <t>LSIP - Kubu Pakaran Estate</t>
  </si>
  <si>
    <t>Field Assistant Kubu Pakaran</t>
  </si>
  <si>
    <t>Field Assistant Kencana Sari</t>
  </si>
  <si>
    <t>LSIP - Arta Kencana Estate</t>
  </si>
  <si>
    <t>Field Assistant Arta Kencana</t>
  </si>
  <si>
    <t>LSIP - Tirta Agung Estate</t>
  </si>
  <si>
    <t>Field Assistant Tirta Agung</t>
  </si>
  <si>
    <t>LSIP - Budi Tirta Estate</t>
  </si>
  <si>
    <t>Field Assistant Budi Tirta</t>
  </si>
  <si>
    <t>LSIP - Marga Sido Region</t>
  </si>
  <si>
    <t>Plasma Field Assistant Marga Sido Region</t>
  </si>
  <si>
    <t>LSIP - Gunung Malayu Palm Oil Mill</t>
  </si>
  <si>
    <t>Shift Engineer Gunung Malayu</t>
  </si>
  <si>
    <t>LSIP - Pelita Jaya Region</t>
  </si>
  <si>
    <t>Field Assistant Pelita Jaya Region</t>
  </si>
  <si>
    <t>Corporate Secretary Assistant Jakarta HO</t>
  </si>
  <si>
    <t>Kasie Pelita Jaya Region</t>
  </si>
  <si>
    <t>LSIP - Arta Kencana Region</t>
  </si>
  <si>
    <t>Plasma Unit Assistant Arta Kencana Region</t>
  </si>
  <si>
    <t>Head of General Services &amp; Health Jakarta HO</t>
  </si>
  <si>
    <t>Traksi Assistant Palang Isang</t>
  </si>
  <si>
    <t>Site Civil Engineer AMA LimaPuluh</t>
  </si>
  <si>
    <t>Field Assistant AMA Serdang</t>
  </si>
  <si>
    <t>Head Assistant Turangie</t>
  </si>
  <si>
    <t>Safety Manager Jakarta HO</t>
  </si>
  <si>
    <t>Estate Manager Sei Merah</t>
  </si>
  <si>
    <t>Field Assistant Sei Merah</t>
  </si>
  <si>
    <t>Procurement Manager Jakarta HO</t>
  </si>
  <si>
    <t>Estate Manager Pulo Rambong</t>
  </si>
  <si>
    <t>Procurement Project Manager Jakarta HO</t>
  </si>
  <si>
    <t>Head Assistant Pulo Rambong</t>
  </si>
  <si>
    <t>Document Center &amp; Report Filling Staff Jakarta HO</t>
  </si>
  <si>
    <t>Estate Manager Bungara</t>
  </si>
  <si>
    <t>Mechanical Material Staff Jakarta HO</t>
  </si>
  <si>
    <t>Estate Manager Begerpang</t>
  </si>
  <si>
    <t>Head Assistant Begerpang</t>
  </si>
  <si>
    <t>Maintenance &amp; Material Scheduler Jakarta HO</t>
  </si>
  <si>
    <t>Regional Civil Engineer JSK Jakarta HO</t>
  </si>
  <si>
    <t>Head of Operation Admin Department Jakarta HO</t>
  </si>
  <si>
    <t>Koordinator OA Staff Jakarta HO</t>
  </si>
  <si>
    <t>Estate Manager Rambong Sialang</t>
  </si>
  <si>
    <t>Head Assistant Rambong Sialang</t>
  </si>
  <si>
    <t>Processing Administration Staff Jakarta HO</t>
  </si>
  <si>
    <t>GIS Specialist &amp; Data Coordinator Jakarta HO</t>
  </si>
  <si>
    <t>Operation Administration Officer JKS Jakarta HO</t>
  </si>
  <si>
    <t>Fulfillment &amp; Logistic Staff Jakarta HO</t>
  </si>
  <si>
    <t>AMA Serdang</t>
  </si>
  <si>
    <t>Team Improvement AMA Serdang</t>
  </si>
  <si>
    <t>Industrial Relation AMA Serdang</t>
  </si>
  <si>
    <t>Estate Manager Turangie</t>
  </si>
  <si>
    <t>KTU Turangie</t>
  </si>
  <si>
    <t>AMA JawaSulawesi</t>
  </si>
  <si>
    <t>Kasie Sei Merah</t>
  </si>
  <si>
    <t>Region Manager Kalimantan</t>
  </si>
  <si>
    <t>Estate Manager Pahu Makmur</t>
  </si>
  <si>
    <t>Head Assistant Pahu Makmur</t>
  </si>
  <si>
    <t>Kasie Pulo Rambong</t>
  </si>
  <si>
    <t>Estate Manager Isuy Makmur</t>
  </si>
  <si>
    <t>Head Assistant Issuy Makmur</t>
  </si>
  <si>
    <t>Estate Manager Kedang Makmur</t>
  </si>
  <si>
    <t>Head Assistant Kedang Makmur</t>
  </si>
  <si>
    <t>Estate Manager Jelau Makmur</t>
  </si>
  <si>
    <t>LSIP - Tanjung Makmur Estate</t>
  </si>
  <si>
    <t>Estate Manager Tanjung Makmur</t>
  </si>
  <si>
    <t>Head Assistant Bungara</t>
  </si>
  <si>
    <t>Head Assistant Tanjung Makmur</t>
  </si>
  <si>
    <t>LSIP - Sei Lakitan Estate</t>
  </si>
  <si>
    <t>Estate Manager Sei Lakitan</t>
  </si>
  <si>
    <t>Head Assistant Sei Lakitan</t>
  </si>
  <si>
    <t>Estate Manager Riam Indah</t>
  </si>
  <si>
    <t>Traksi Assistant Bungara</t>
  </si>
  <si>
    <t>Head Assistant Riam Indah</t>
  </si>
  <si>
    <t>LSIP - Sei Gemang Estate</t>
  </si>
  <si>
    <t>Estate Manager Sei Gemang</t>
  </si>
  <si>
    <t>Head Assistant Sei Gemang</t>
  </si>
  <si>
    <t>LSIP - Gunung Bais Estate</t>
  </si>
  <si>
    <t>Estate Manager Gunung Bais</t>
  </si>
  <si>
    <t>Head Assistant Gunung Bais</t>
  </si>
  <si>
    <t>KTU Begerpang</t>
  </si>
  <si>
    <t>Head Assistant Pring Permai</t>
  </si>
  <si>
    <t>LSIP - Mentari Kulim Estate</t>
  </si>
  <si>
    <t>Estate Manager Mentari Kulim</t>
  </si>
  <si>
    <t>Traksi Assistant Begerpang</t>
  </si>
  <si>
    <t>Head Assistant Mentari Kulim</t>
  </si>
  <si>
    <t>Estate Manager Ketapat Bening</t>
  </si>
  <si>
    <t>LSIP - Sei Kepayang Estate</t>
  </si>
  <si>
    <t>Estate Manager Sei Kepayang</t>
  </si>
  <si>
    <t>Head Assistant Sei Kepayang</t>
  </si>
  <si>
    <t>Field Assistant Sei Kepayang</t>
  </si>
  <si>
    <t>LSIP - Bukit Hijau Estate</t>
  </si>
  <si>
    <t>Estate Manager Bukit Hijau</t>
  </si>
  <si>
    <t>Head Assistant Bukit Hijau</t>
  </si>
  <si>
    <t>LSIP - Batu Cemerlang Estate</t>
  </si>
  <si>
    <t>Estate Manager Batu Cemerlang</t>
  </si>
  <si>
    <t>Field Assistant Batu Cemerlang</t>
  </si>
  <si>
    <t>Kasie Rambong Sialang</t>
  </si>
  <si>
    <t>LSIP - Belani Elok Estate</t>
  </si>
  <si>
    <t>Head Assistant Belani Elok</t>
  </si>
  <si>
    <t>Field Assistant Belani Elok</t>
  </si>
  <si>
    <t>Gusmara Hakim</t>
  </si>
  <si>
    <t>LSIP - Tulung Gelam Estate</t>
  </si>
  <si>
    <t>AMA Cengal</t>
  </si>
  <si>
    <t>Estate Manager Tulung Gelam</t>
  </si>
  <si>
    <t>Traksi Assistant Rambong Sialang</t>
  </si>
  <si>
    <t>Field Assistant Tulung Gelam</t>
  </si>
  <si>
    <t>LSIP - Bebah Permata Estate</t>
  </si>
  <si>
    <t>Head Assistant Bebah Permata</t>
  </si>
  <si>
    <t>Quality Control Supervisor</t>
  </si>
  <si>
    <t>AMA LimaPuluh</t>
  </si>
  <si>
    <t>Estate Manager Kencana Sari</t>
  </si>
  <si>
    <t>Estate Manager Arta Kencana</t>
  </si>
  <si>
    <t>Administration Staff AMA LimaPuluh</t>
  </si>
  <si>
    <t>Industrial Relation AMA LimaPuluh</t>
  </si>
  <si>
    <t>LSIP - Suka Bangun Estate</t>
  </si>
  <si>
    <t>Project Manager Suka Bangun</t>
  </si>
  <si>
    <t>Estate Manager Si Bulan</t>
  </si>
  <si>
    <t>Field Assistant Suka Bangun</t>
  </si>
  <si>
    <t>Kasie Si Bulan</t>
  </si>
  <si>
    <t>LSIP - Bangun Harjo Estate</t>
  </si>
  <si>
    <t>Project Manager Bangun Harjo</t>
  </si>
  <si>
    <t>Staff Bangun Harjo</t>
  </si>
  <si>
    <t>Field Assistant Bangun Harjo</t>
  </si>
  <si>
    <t>Head Assistant Bah Bulian</t>
  </si>
  <si>
    <t>Estate Manager Tirta Agung</t>
  </si>
  <si>
    <t>Traksi Assistant Bah Bulian</t>
  </si>
  <si>
    <t>Head Assistant Tirta Agung</t>
  </si>
  <si>
    <t>Kasie Bah Bulian</t>
  </si>
  <si>
    <t>Estate Manager Suka Damai</t>
  </si>
  <si>
    <t>Estate Manager Bah Lias</t>
  </si>
  <si>
    <t>Estate Manager Budi Tirta</t>
  </si>
  <si>
    <t>KTU Bah Lias</t>
  </si>
  <si>
    <t>Head Assistant Budi Tirta</t>
  </si>
  <si>
    <t>Head Assistant Bah Lias</t>
  </si>
  <si>
    <t>LSIP - Ekasari Region</t>
  </si>
  <si>
    <t>Plasma Manager Eka Sari</t>
  </si>
  <si>
    <t>Project Plasma SAD Coordinator</t>
  </si>
  <si>
    <t>Field Assistant Project Plasma SAD</t>
  </si>
  <si>
    <t>LSIP - Dwi Makmur Region</t>
  </si>
  <si>
    <t>Plasma Manager Dwi Makmur</t>
  </si>
  <si>
    <t>Plasma Manager Pelita Jaya</t>
  </si>
  <si>
    <t>Area Manager Engineering A</t>
  </si>
  <si>
    <t>Mill Manager Begerpang</t>
  </si>
  <si>
    <t>Estate Manager Dolok</t>
  </si>
  <si>
    <t>Maintenance Engineer Begerpang</t>
  </si>
  <si>
    <t>Head Assistant Dolok</t>
  </si>
  <si>
    <t>Mill Manager Turangie</t>
  </si>
  <si>
    <t>Kasie Dolok</t>
  </si>
  <si>
    <t>Maintenance Engineer Turangie</t>
  </si>
  <si>
    <t>Mill Manager Dolok</t>
  </si>
  <si>
    <t>Traksi Assistant Dolok</t>
  </si>
  <si>
    <t>Maintenance Engineer Dolok</t>
  </si>
  <si>
    <t>Shift Coordinator Dolok</t>
  </si>
  <si>
    <t>Area Manager Engineering E</t>
  </si>
  <si>
    <t>Mill Manager Gunung Malayu</t>
  </si>
  <si>
    <t>Estate Manager Gunung Malayu</t>
  </si>
  <si>
    <t>Maintenance Engineer Gunung Malayu</t>
  </si>
  <si>
    <t>Head Assistant Gunung Malayu</t>
  </si>
  <si>
    <t>Factory Manager Sei Rumbiya</t>
  </si>
  <si>
    <t>Area Manager Engineering B</t>
  </si>
  <si>
    <t>Mill Manager Sei Lakitan</t>
  </si>
  <si>
    <t>Kasie Gunung Malayu</t>
  </si>
  <si>
    <t>Shift Coordinator Sei Lakitan</t>
  </si>
  <si>
    <t>Mill Manager Belani Elok</t>
  </si>
  <si>
    <t>Maintenance Engineer Belani Elok</t>
  </si>
  <si>
    <t>Shift Coordinator Belani Elok</t>
  </si>
  <si>
    <t>LSIP - Terawas Indah Palm Oil Mill</t>
  </si>
  <si>
    <t>Maintenance Engineer Terawas Indah</t>
  </si>
  <si>
    <t>Area Manager Engineering D</t>
  </si>
  <si>
    <t>Estate Manager Sei Rumbiya</t>
  </si>
  <si>
    <t>Mill Manager Tirta Agung</t>
  </si>
  <si>
    <t>Head Assistant Sei Rumbiya</t>
  </si>
  <si>
    <t>Maintenance Engineer Tirta Agung</t>
  </si>
  <si>
    <t>Factory Manager Cengal</t>
  </si>
  <si>
    <t>KTU Sei Rumbiya</t>
  </si>
  <si>
    <t>Mill Manager Kencana Sari</t>
  </si>
  <si>
    <t>Maintenance Engineer Kencana Sari</t>
  </si>
  <si>
    <t>Shift Coordinator Kencana Sari</t>
  </si>
  <si>
    <t>LSIP - Pahu Makmur Palm Oil Mill</t>
  </si>
  <si>
    <t>Area Manager Engineering C</t>
  </si>
  <si>
    <t>Traksi Assistant Sei Rumbiya</t>
  </si>
  <si>
    <t>Mill Manager Pahu Makmur</t>
  </si>
  <si>
    <t>Maintenance Engineer Pahu Makmur</t>
  </si>
  <si>
    <t>Shift Coordinator Pahu Makmur</t>
  </si>
  <si>
    <t>LSIP - Issuy Makmur Palm Oil Mill</t>
  </si>
  <si>
    <t>Shift Coordinator Isuy Makmur</t>
  </si>
  <si>
    <t>Maintenance Engineer Isuy Makmur</t>
  </si>
  <si>
    <t>Estate Manager Kertasarie</t>
  </si>
  <si>
    <t>LSIP - Palangisang Rubber Factory</t>
  </si>
  <si>
    <t>Factory Manager Palang Isang</t>
  </si>
  <si>
    <t>Maintenance Engineer Palangisang</t>
  </si>
  <si>
    <t>KTU Kertasarie</t>
  </si>
  <si>
    <t>Area Manager Engineering F</t>
  </si>
  <si>
    <t>LSIP - Treblasala Factory</t>
  </si>
  <si>
    <t>Factory Manager Treblasala</t>
  </si>
  <si>
    <t>LSIP - Balombessie Estate</t>
  </si>
  <si>
    <t>Estate Manager Balombessie</t>
  </si>
  <si>
    <t>Estate Manager Treblasala</t>
  </si>
  <si>
    <t>Estate Manager Palang Isang</t>
  </si>
  <si>
    <t>Head Assistant Treblasala</t>
  </si>
  <si>
    <t>Head Assistant Palang Isang</t>
  </si>
  <si>
    <t>Head Assistant Pungkol</t>
  </si>
  <si>
    <t>AMA Kaltim</t>
  </si>
  <si>
    <t>KTU Treblasala</t>
  </si>
  <si>
    <t>Field Assistant Non Teknis Pahu Makmur Estate</t>
  </si>
  <si>
    <t>Agronomis Cocoa Treblasala</t>
  </si>
  <si>
    <t>Plasma Staff AMA Kalimantan</t>
  </si>
  <si>
    <t>Team Improvement AMA Kalimantan</t>
  </si>
  <si>
    <t>Kasie Balombessie</t>
  </si>
  <si>
    <t>Field Assistant Balombessie</t>
  </si>
  <si>
    <t>KTU Palang Isang</t>
  </si>
  <si>
    <t>Field Assistant Pungkol</t>
  </si>
  <si>
    <t>Administration Staff AMA Kaltim</t>
  </si>
  <si>
    <t>Industrial Relation AMA Kalimantan</t>
  </si>
  <si>
    <t>Site Civil Engineer AMA Kalimantan</t>
  </si>
  <si>
    <t>Coordinator TMA AMA Kalimantan</t>
  </si>
  <si>
    <t>IMF Coordinator AMA Kalimantan</t>
  </si>
  <si>
    <t>Civi Engineer (Area KT) Issuy Makmur</t>
  </si>
  <si>
    <t>Engineering Area Kaltim Palembang BO</t>
  </si>
  <si>
    <t>Plasma Unit Assistant Pahu Makmur</t>
  </si>
  <si>
    <t>Kasie (Plasma) AMA Kalimantan</t>
  </si>
  <si>
    <t>KTU Pahu Makmur</t>
  </si>
  <si>
    <t>Traksi Assistant Pahu Makmur</t>
  </si>
  <si>
    <t>Kasie IMF Pahu Makmur</t>
  </si>
  <si>
    <t>Kasie Isuy Makmur</t>
  </si>
  <si>
    <t>Traksi Assistant Issuy Makmur</t>
  </si>
  <si>
    <t>Kasie Kedang Makmur</t>
  </si>
  <si>
    <t>Kasie Jelau Makmur</t>
  </si>
  <si>
    <t>Field Assistant Tanjung Makmur</t>
  </si>
  <si>
    <t>Kasie Tanjung Makmur</t>
  </si>
  <si>
    <t>VP - A SS Palembang BO</t>
  </si>
  <si>
    <t>AMA Muara Rupit</t>
  </si>
  <si>
    <t>Team Improvement AMA Muara Rupit</t>
  </si>
  <si>
    <t>Field Assistant Sei Lakitan</t>
  </si>
  <si>
    <t>KTU Sei Lakitan</t>
  </si>
  <si>
    <t>Traksi Assistant Sei Lakitan</t>
  </si>
  <si>
    <t>Field Assistant Riam Indah</t>
  </si>
  <si>
    <t>Kasie Sei Gemang</t>
  </si>
  <si>
    <t>Field Assistant Sei Gemang</t>
  </si>
  <si>
    <t>Traksi Assistant Sei Gemang</t>
  </si>
  <si>
    <t>KTU Gunung Bais</t>
  </si>
  <si>
    <t>Field Assistant Gunung Bais</t>
  </si>
  <si>
    <t>Field Assistant Pring Permai</t>
  </si>
  <si>
    <t>Staff Pring Permai</t>
  </si>
  <si>
    <t>Kasie Mentari Kulim</t>
  </si>
  <si>
    <t>Field Assistant Mentari Kulim</t>
  </si>
  <si>
    <t>SAS - Kelingi Lestari Estate</t>
  </si>
  <si>
    <t>Field Assistant SAS - Kelingi Lestari</t>
  </si>
  <si>
    <t>AMA Bingin Teluk</t>
  </si>
  <si>
    <t>Administration Staff AMA Bingin Teluk</t>
  </si>
  <si>
    <t>Site Civil Engineer AMA Bingin Teluk</t>
  </si>
  <si>
    <t>Kasie Ketapat Bening</t>
  </si>
  <si>
    <t>Traksi Assistant Ketapat Bening</t>
  </si>
  <si>
    <t>Kasie Sei Kepayang</t>
  </si>
  <si>
    <t>Traksi Assistant Sei Kepayang</t>
  </si>
  <si>
    <t>Kasie Bukit Hijau</t>
  </si>
  <si>
    <t>Traksi Assistant Bukit Hijau</t>
  </si>
  <si>
    <t>LSIP - Air Bening Region</t>
  </si>
  <si>
    <t>Traksi Assistant Belani Elok</t>
  </si>
  <si>
    <t>KTU Belani Elok</t>
  </si>
  <si>
    <t>Administration Staff AMA Cengal</t>
  </si>
  <si>
    <t>KTU Tulung Gelam</t>
  </si>
  <si>
    <t>AMA Lahat</t>
  </si>
  <si>
    <t>Administration Staff AMA Lahat</t>
  </si>
  <si>
    <t>Kasie Arta Kencana</t>
  </si>
  <si>
    <t>Traksi Assistant Arta Kencana</t>
  </si>
  <si>
    <t>Kasie (BNE/SPE/SBE) Suka Bangun</t>
  </si>
  <si>
    <t>Traksi Assistant Jade Project</t>
  </si>
  <si>
    <t>TMP - Sei Punjung Estate</t>
  </si>
  <si>
    <t>Field Assistant Sei Punjung</t>
  </si>
  <si>
    <t>AMA Muba</t>
  </si>
  <si>
    <t>Administration Staff AMA Muba</t>
  </si>
  <si>
    <t>KTU Tirta Agung</t>
  </si>
  <si>
    <t>Traksi Assistant Suka Damai</t>
  </si>
  <si>
    <t>Kasie Budi Tirta</t>
  </si>
  <si>
    <t>Traksi Assistant Budi Tirta</t>
  </si>
  <si>
    <t>Area Manager Plasma</t>
  </si>
  <si>
    <t>Administration Staff AMP</t>
  </si>
  <si>
    <t>Plasma Unit Assistant Ekasari Region</t>
  </si>
  <si>
    <t>Plasma Field Assistant Ekasari Region</t>
  </si>
  <si>
    <t>Field Assistant Dwi Makmur Region</t>
  </si>
  <si>
    <t>Kasie Air Bening Region</t>
  </si>
  <si>
    <t>Plasma Unit Assistant Air Bening Region</t>
  </si>
  <si>
    <t>Kasie Marga Sido Region</t>
  </si>
  <si>
    <t>Field Assistant Bukit Hijau</t>
  </si>
  <si>
    <t>LSIP - Muara Kelingi Region</t>
  </si>
  <si>
    <t>Kasie Muara Kelingi Region</t>
  </si>
  <si>
    <t>Field Assistant Muara Kelingi Region</t>
  </si>
  <si>
    <t>Kasie Arta Kencana Region</t>
  </si>
  <si>
    <t>Kasie Begerpang</t>
  </si>
  <si>
    <t>Kasie Turangie</t>
  </si>
  <si>
    <t>Agronomis SS (OP, Rubber, Tea) BLRS-SS</t>
  </si>
  <si>
    <t>Administration Staff AME E</t>
  </si>
  <si>
    <t>Administration Staff AME B</t>
  </si>
  <si>
    <t>Kasie Belani Elok</t>
  </si>
  <si>
    <t>Mill Manager Terawas Indah</t>
  </si>
  <si>
    <t>Shift Engineer Terawas Indah</t>
  </si>
  <si>
    <t>Kasie Terawas Indah</t>
  </si>
  <si>
    <t>Industrial Relation AMA Lahat</t>
  </si>
  <si>
    <t>Shift Engineer Gunung Bais</t>
  </si>
  <si>
    <t>Administration Staff AME D</t>
  </si>
  <si>
    <t>Kasie Tirta Agung</t>
  </si>
  <si>
    <t>Kasie Cengal</t>
  </si>
  <si>
    <t>Kota Bangun Bulking Supervisor</t>
  </si>
  <si>
    <t>Shift Engineer Isuy Makmur</t>
  </si>
  <si>
    <t>Shift Engineer Palangisang</t>
  </si>
  <si>
    <t>Kasie Kertasarie</t>
  </si>
  <si>
    <t>Kasie Treblasala</t>
  </si>
  <si>
    <t>PL - Pasir Luhur Estate</t>
  </si>
  <si>
    <t>Head Assistant Pasir Luhur</t>
  </si>
  <si>
    <t>Kasie Pasir Luhur</t>
  </si>
  <si>
    <t>Field Assistant Pasir Luhur</t>
  </si>
  <si>
    <t>Community Development Staff AMA Muba</t>
  </si>
  <si>
    <t>Kasie Suka Damai</t>
  </si>
  <si>
    <t>Administration Staff AME A</t>
  </si>
  <si>
    <t>Administration Staff AME C</t>
  </si>
  <si>
    <t>Kasie Pahu Makmur</t>
  </si>
  <si>
    <t>Kasie Palangisang</t>
  </si>
  <si>
    <t>IMF Coordinator Tirta Agung</t>
  </si>
  <si>
    <t>Plasma Manager Pelita Jaya Region</t>
  </si>
  <si>
    <t>Shift Coordinator Turangie</t>
  </si>
  <si>
    <t>Coordinator AME - D AME D</t>
  </si>
  <si>
    <t>BLRS Coordinator Manager BLRS-NS</t>
  </si>
  <si>
    <t>GIS Officer BLRS-SS</t>
  </si>
  <si>
    <t>Agronomis NS BLRS-NS</t>
  </si>
  <si>
    <t>Advisory Data Staff BLRS-NS</t>
  </si>
  <si>
    <t>KTU BLRS-NS</t>
  </si>
  <si>
    <t>Seed Production &amp; Sales Manager BLRS-NS</t>
  </si>
  <si>
    <t>Senior Entomologist BLRS-NS</t>
  </si>
  <si>
    <t>Seed Production Officer BLRS-NS</t>
  </si>
  <si>
    <t>LSIP - BLRS - SSGU</t>
  </si>
  <si>
    <t>Seed Production Officer BLRS-SSGU</t>
  </si>
  <si>
    <t>Riau</t>
  </si>
  <si>
    <t>Inspection Services Staff Pekanbaru</t>
  </si>
  <si>
    <t>Zulhafani MS</t>
  </si>
  <si>
    <t>Industrial Relation AMA Bingin Teluk</t>
  </si>
  <si>
    <t>Ikayana Putra, SE</t>
  </si>
  <si>
    <t>Indra, Ir.</t>
  </si>
  <si>
    <t>BUSINESS AREA</t>
  </si>
  <si>
    <t>Kemampuan menganalisa masalah masih perlu ditingkatkan. Ia kurang mampu menemukan inti permasalahan sehingga solusi yang dirancang tidak selalu menjawab permasalahan.
Sebenarnya dalam dirinya terdapat keinginan untuk mencapai potensi yang lebih besar, hanya saja ia  kurang menerapkan langkah - langkah yang terarahuntuk mencapainya.
Begitu juga dalam berkomunikasi , ia masih mengembangkan kemampuan komunikasi agar dapat menyampaikan pendapat dengan lebih efektif dan langsung pada inti masalah.
Dalam melihat suatu masalah, ia Cenderung hanya melihat masalah secara terpisah - pisah atau sebagian kecil saja. ia perlu berusaha melihat segala sesuatu secara global / keseluruhan baru kemudian secara detil melihat masalah dari setiap bagiannya.
Ketika menghadapi tugas - tugas yang dirasa kurang menantang atau kurang menarik baginya.  ia cenderung menjadi kurang memperhatikan kerapihan dan kualitas pekerjaan yang dihasikannya.</t>
  </si>
  <si>
    <t>Pengendalian diri dan stabilitas emosinya juga tergolong baik. Ia dapat menyesuaikan suasana hatinya dengan lingkungan di sekitarnya serta dapat bertahan pada situasi penuh tekanan.
Ia memiliki inisiatif yang memadai untuk jabatan saat ini. Ia juga memiliki kepercayaan diri yang cukup baik dan dapat menunjang pekerjaannya.
Kemampuan konseptualnya cukup memadai sehingga ia mampu untuk membuat perencanaan maupun memikirkan hal - hal yang lebih global.
Dalam hal komunikasi , ia cukup mampu untuk berkomunikasi secara efektif dan mampu meyakinkan orang lain.</t>
  </si>
  <si>
    <t>Orientasi bekerja yang dimiliki irvan dalam mencapai target pekerjaan membuatnya mampu mengerjakan tugas sesuai dengan standar yang diberikan oleh perusahaan.
Ia mampu menggunakan potensi yang dimilikinya untuk bekerja dalam situasi yang rutin dan membutuhkan tingkat keakuratan yang cukup tinggi.
Ia tidak mudah puas dengan hasil kerja, berusaha meningkatkan kualitas pekerjaan walau untuk kepuasan pribadi.
Dalam bekerja, Irvan mampu memberikan kontribusi yang lebih didalam tim. meskipun perannya masih terbatas,ia mampu menjalankan fungsinya sesuai dengan tanggung jawabnya. ia dapat bekerja dengan optimal berdasarkan arahan dan dukungan dari orang lain dalam unit kerjanya.</t>
  </si>
  <si>
    <t>Position (Est/Dev)</t>
  </si>
  <si>
    <t>POSITION (EST/DEV)</t>
  </si>
  <si>
    <t>PROMOTION RECOMMEND
(EST)</t>
  </si>
  <si>
    <t>PROMOTION RECOMMEND
(DEV)</t>
  </si>
  <si>
    <t>INDEX</t>
  </si>
  <si>
    <t>EMPLOYEE ID</t>
  </si>
  <si>
    <t>GENDER</t>
  </si>
  <si>
    <t>BIRTH DATE</t>
  </si>
  <si>
    <t>AGE (YEARS)</t>
  </si>
  <si>
    <t>CITY/PROVINCE</t>
  </si>
  <si>
    <t>POSITION</t>
  </si>
  <si>
    <t>IPP (3 YEARS AVERAGE)</t>
  </si>
  <si>
    <t>LOGIKA BERPIKIR</t>
  </si>
  <si>
    <t>SISTEMATIKA BERPIKIR</t>
  </si>
  <si>
    <t>ANALISA SINTESA</t>
  </si>
  <si>
    <t>HASRAT BERPRESTASI</t>
  </si>
  <si>
    <t>INISATIF</t>
  </si>
  <si>
    <t>SISTEMATIKA KERJA</t>
  </si>
  <si>
    <t>KETELITIAN</t>
  </si>
  <si>
    <t>STABILITAS EMOSI</t>
  </si>
  <si>
    <t>KEPERCAYAAN DIRI</t>
  </si>
  <si>
    <t>KONTAK SOSIAL</t>
  </si>
  <si>
    <t>KERJASAMA</t>
  </si>
  <si>
    <t>KEMANDIRIAN</t>
  </si>
  <si>
    <t>KEMAMPUAN ADAPTASI</t>
  </si>
  <si>
    <t>STRONG</t>
  </si>
  <si>
    <t>WEAKNESS</t>
  </si>
  <si>
    <t>CODE JABATAN</t>
  </si>
  <si>
    <t>NAMA JABATAN</t>
  </si>
  <si>
    <t>STD EST</t>
  </si>
  <si>
    <t>NILAI</t>
  </si>
  <si>
    <t>STD DEV</t>
  </si>
  <si>
    <t>GAP EST</t>
  </si>
  <si>
    <t>GAP DEV</t>
  </si>
  <si>
    <t>DIMENSI</t>
  </si>
  <si>
    <t>Targeted Position</t>
  </si>
  <si>
    <t>Job Target</t>
  </si>
  <si>
    <t>HR Staff</t>
  </si>
  <si>
    <t>Head of HR</t>
  </si>
  <si>
    <t>OB</t>
  </si>
  <si>
    <t>Satpam</t>
  </si>
  <si>
    <t>JOB TARGET</t>
  </si>
  <si>
    <t>JOB TARGET
(DEV)</t>
  </si>
  <si>
    <t>JOB TARGET
(EST)</t>
  </si>
  <si>
    <t>Used Standard</t>
  </si>
  <si>
    <t>% Nilai</t>
  </si>
  <si>
    <t>PT. PP LONDON SUMATRA INDONESIA Tbk.</t>
  </si>
  <si>
    <t>MOBILITY RECOMMENDATION</t>
  </si>
  <si>
    <t>SARAN PENGEMBANGAN</t>
  </si>
  <si>
    <t>REKOMENDASI AKHIR</t>
  </si>
  <si>
    <t>Berdasarkan hasil assessment, maka Saudara saat ini sudah memiliki kompetensi yang dipersyaratkan di level jabatan saat ini namun masih perlu pengembangan lebih lanjut bila ingin dipromosikan pada level jabatan di atasnya (N-4).</t>
  </si>
  <si>
    <t>KESIMPULAN DAN SARAN</t>
  </si>
  <si>
    <t>Current Performance</t>
  </si>
  <si>
    <t>(ST) Within 12 - 18 month</t>
  </si>
  <si>
    <t>Exceptional Performance</t>
  </si>
  <si>
    <t>Fully Competence Performance</t>
  </si>
  <si>
    <t>Contributor</t>
  </si>
  <si>
    <t>CURRENT PERFORMANCE (EST)</t>
  </si>
  <si>
    <t>CURRENT PERFORMANCE (DEV)</t>
  </si>
  <si>
    <t>(1) Move now</t>
  </si>
  <si>
    <t>(4) Seasoned Pro</t>
  </si>
  <si>
    <t>(7) Manage to Strengthen Performance</t>
  </si>
  <si>
    <t>(9) Mastery/Contributor</t>
  </si>
  <si>
    <t>(8) Manage to Strengthen Performance</t>
  </si>
  <si>
    <t>(6) Recently Promoted (&lt;6 Month in Position)</t>
  </si>
  <si>
    <t>(3) Develop Performance</t>
  </si>
  <si>
    <t>(5) Manage to Strengthen Performance</t>
  </si>
  <si>
    <t>(2) Develop Higher Skills</t>
  </si>
  <si>
    <t>2.0 - 3.9</t>
  </si>
  <si>
    <t>4.0 - 5.0</t>
  </si>
  <si>
    <t>&lt;=1.9</t>
  </si>
  <si>
    <t>KOMPETENSI BY MODUL TRAINNING</t>
  </si>
  <si>
    <t>PDCA</t>
  </si>
  <si>
    <t>KELOMPOK KOMPETENSI</t>
  </si>
  <si>
    <t>EFEKTIVITAS PRIBADI</t>
  </si>
  <si>
    <t>MENGELOLA TUGAS</t>
  </si>
  <si>
    <t>MENGELOLA ORANG LAIN</t>
  </si>
  <si>
    <t>INNOVATION</t>
  </si>
  <si>
    <t>ADAPTABILITY &amp; TEAM WORK</t>
  </si>
  <si>
    <t>LISTEN LEARN &amp; CONTRIBUTE</t>
  </si>
  <si>
    <t>INTEGRITY</t>
  </si>
  <si>
    <t>MOTIVATION &amp; COMMITMENT</t>
  </si>
  <si>
    <t>TEAM WORK</t>
  </si>
  <si>
    <t>BUILDING BUSSINESS PARTENERSHIP</t>
  </si>
  <si>
    <t>PLANNING &amp; ORGANIZATION</t>
  </si>
  <si>
    <t>INTERPERSONAL &amp; COLLABORATION</t>
  </si>
  <si>
    <t>LEADERSHIP/MENTORING</t>
  </si>
  <si>
    <t>COMMUNICATION</t>
  </si>
  <si>
    <t>STAFFING &amp; PEOPLE DEVELOPMENT</t>
  </si>
  <si>
    <t>VISIONNARY &amp; STRATEGIC LEADERSHIP</t>
  </si>
  <si>
    <t>STRATEGIC DECISION MAKING</t>
  </si>
  <si>
    <t>LEADING TROUGH VISION &amp; VALUE</t>
  </si>
  <si>
    <t>MENGELOLA MASA DEPAN</t>
  </si>
  <si>
    <t>DESKRIPSI</t>
  </si>
  <si>
    <t>Menghasilkan suatu tindakan untuk memperbaiki kondisi dan proses yang berlaku saat ini; menggunakan metode yang sesuai untuk mengidentifikasi peluang-peluang, menerapkan solusi-solusi dan mengukur dampaknya.</t>
  </si>
  <si>
    <t>Mempertahankan efektivitas diri ketika menghadapi perubahan besar dalam tugas atau lingkungan pekerjaan; menyesuaikan diri secara efektif dalam struktur, proses, syarat, atau budaya kerja yang baru.</t>
  </si>
  <si>
    <t>Mengasimilasi dan menerapkan informasi baru yang berhubungan dengan pekerjaan secara teratur dan “timing” yang sesuai.</t>
  </si>
  <si>
    <t>Menjaga etika,norma social dan organisasi;mematuhi tata krama dan prinsip-prinsip etika</t>
  </si>
  <si>
    <t>Menyelesaikan pekerjaan dengan memperhatikan seluruh aspek yang berkaitan, sekecil apapun; menunjukkan perhatian terhadap seluruh aspek pekerjaan; memeriksa prioses dan pekerjaan secara akurat;mengawasi pekerjaan sepanjang waktu</t>
  </si>
  <si>
    <t>Memberikan keyakinan terhadap orang lain dan siapa pun didalam organisasi, melalui interaksi dengan orang lain</t>
  </si>
  <si>
    <t>Menggunakan metode-metode yang tepat dan gaya interpersonal yang fleksibel untuk membantu terbangunnya tim yang kohesif; dengan cara memfasilitasi penyelesaian sasaran-sasaran yang dibuat oleh tim.</t>
  </si>
  <si>
    <t>Secara efektif mengelola waktu dan sumber daya lain untuk memastikan pekerjaan telah diselesaikan dengan efisien</t>
  </si>
  <si>
    <t>Membangun alur tindakan untuk dirinya dan orang lain untuk memastikan bahwa pekerjaan sudah diselesaikan dengan efisien.</t>
  </si>
  <si>
    <t>Menggunakan metode-metode dan gaya interpersonal yang dapat menginspirasi dan memandu seseorang menuju kinerja yang lebih tinggi; memodifikasi tingkah laku untuk mengakomodasi tugas-tugas, situasi, dan keterlibatan orang tersebut.</t>
  </si>
  <si>
    <t>Merencanakan dan mendukung perkembangan keterampilan dan kemampuan individu sehingga mereka dapat melaksanakan tugasnya saat ini dan di masa depan serta dapat memenuhi tanggung jawab perannya secara lebih efekif</t>
  </si>
  <si>
    <t>Mengekspresikan pemikiran2, perasaan2 dan ide2 secara jelas, singkat dan menarik pada situasi individual dan kelompok; menyesuaikan bahasa yang dipakai untuk menarik perhatian audiens</t>
  </si>
  <si>
    <t>Melakukan delegasi yang sesuai untuk menciptakan rasa memiliki terhadap isyu2 dari tingkat organisasi yang lebih tinggi dan memberi kesempatan individu2 untuk memperlebar kapasitas yang saat ini mereka miliki.</t>
  </si>
  <si>
    <t>Kemampuan untuk menetapkan visi Strategik dan Tujuan jangka panjang perusahaan, Menggambarkan tentang apa yang akan dicapai di msa depan serta membangun komitmen bersama untuk mencapai visi Strategik perusahaan</t>
  </si>
  <si>
    <t>Kemampuan Untuk Mengambil keputusan yang tepat, realistis dan dalam waktu yang tepat berdasarkan informasi yang 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</si>
</sst>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_);_(@_)"/>
    <numFmt numFmtId="165" formatCode="#,##0\ ;\(#,##0\)"/>
    <numFmt numFmtId="166" formatCode="@* &quot;:&quot;"/>
    <numFmt numFmtId="167" formatCode="#,##0.0"/>
    <numFmt numFmtId="168" formatCode="#,##0.0_ ;\-#,##0.0\ "/>
    <numFmt numFmtId="169" formatCode="0.0"/>
  </numFmts>
  <fonts count="81">
    <font>
      <sz val="11"/>
      <color indexed="8"/>
      <name val="Calibri"/>
      <family val="2"/>
      <charset val="1"/>
    </font>
    <font>
      <sz val="10"/>
      <name val="Arial"/>
      <family val="2"/>
    </font>
    <font>
      <sz val="10"/>
      <name val="Arial"/>
      <family val="2"/>
      <charset val="1"/>
    </font>
    <font>
      <sz val="11"/>
      <color indexed="8"/>
      <name val="Calibri"/>
      <family val="2"/>
      <charset val="1"/>
    </font>
    <font>
      <sz val="11"/>
      <color rgb="FF000000"/>
      <name val="Arial"/>
      <family val="2"/>
    </font>
    <font>
      <sz val="18"/>
      <name val="Arial"/>
      <family val="2"/>
    </font>
    <font>
      <sz val="11"/>
      <color indexed="8"/>
      <name val="Calibri"/>
      <family val="2"/>
      <scheme val="minor"/>
    </font>
    <font>
      <sz val="11"/>
      <color indexed="8"/>
      <name val="Calibri"/>
      <family val="2"/>
      <charset val="134"/>
    </font>
    <font>
      <sz val="11"/>
      <color indexed="9"/>
      <name val="Calibri"/>
      <family val="2"/>
      <charset val="134"/>
    </font>
    <font>
      <sz val="11"/>
      <color indexed="20"/>
      <name val="Calibri"/>
      <family val="2"/>
      <charset val="134"/>
    </font>
    <font>
      <b/>
      <sz val="11"/>
      <color indexed="52"/>
      <name val="Calibri"/>
      <family val="2"/>
      <charset val="134"/>
    </font>
    <font>
      <b/>
      <sz val="11"/>
      <color indexed="9"/>
      <name val="Calibri"/>
      <family val="2"/>
      <charset val="134"/>
    </font>
    <font>
      <b/>
      <sz val="10"/>
      <name val="Arial"/>
      <family val="2"/>
      <charset val="1"/>
    </font>
    <font>
      <i/>
      <sz val="11"/>
      <color indexed="23"/>
      <name val="Calibri"/>
      <family val="2"/>
      <charset val="134"/>
    </font>
    <font>
      <sz val="11"/>
      <color indexed="17"/>
      <name val="Calibri"/>
      <family val="2"/>
      <charset val="134"/>
    </font>
    <font>
      <b/>
      <sz val="15"/>
      <color indexed="62"/>
      <name val="Calibri"/>
      <family val="2"/>
      <charset val="134"/>
    </font>
    <font>
      <b/>
      <sz val="15"/>
      <color indexed="48"/>
      <name val="Calibri"/>
      <family val="2"/>
      <charset val="134"/>
    </font>
    <font>
      <b/>
      <sz val="15"/>
      <color indexed="56"/>
      <name val="Calibri"/>
      <family val="2"/>
      <charset val="134"/>
    </font>
    <font>
      <b/>
      <sz val="13"/>
      <color indexed="62"/>
      <name val="Calibri"/>
      <family val="2"/>
      <charset val="134"/>
    </font>
    <font>
      <b/>
      <sz val="13"/>
      <color indexed="48"/>
      <name val="Calibri"/>
      <family val="2"/>
      <charset val="134"/>
    </font>
    <font>
      <b/>
      <sz val="13"/>
      <color indexed="56"/>
      <name val="Calibri"/>
      <family val="2"/>
      <charset val="134"/>
    </font>
    <font>
      <b/>
      <sz val="11"/>
      <color indexed="62"/>
      <name val="Calibri"/>
      <family val="2"/>
      <charset val="134"/>
    </font>
    <font>
      <b/>
      <sz val="11"/>
      <color indexed="48"/>
      <name val="Calibri"/>
      <family val="2"/>
      <charset val="134"/>
    </font>
    <font>
      <b/>
      <sz val="11"/>
      <color indexed="56"/>
      <name val="Calibri"/>
      <family val="2"/>
      <charset val="134"/>
    </font>
    <font>
      <sz val="11"/>
      <color indexed="62"/>
      <name val="Calibri"/>
      <family val="2"/>
      <charset val="134"/>
    </font>
    <font>
      <sz val="11"/>
      <color indexed="48"/>
      <name val="Calibri"/>
      <family val="2"/>
      <charset val="134"/>
    </font>
    <font>
      <sz val="11"/>
      <color indexed="52"/>
      <name val="Calibri"/>
      <family val="2"/>
      <charset val="134"/>
    </font>
    <font>
      <sz val="11"/>
      <color indexed="60"/>
      <name val="Calibri"/>
      <family val="2"/>
      <charset val="134"/>
    </font>
    <font>
      <sz val="11"/>
      <color indexed="8"/>
      <name val="Calibri"/>
      <family val="2"/>
    </font>
    <font>
      <b/>
      <sz val="11"/>
      <color indexed="63"/>
      <name val="Calibri"/>
      <family val="2"/>
      <charset val="134"/>
    </font>
    <font>
      <b/>
      <sz val="18"/>
      <color indexed="62"/>
      <name val="Cambria"/>
      <family val="2"/>
      <charset val="134"/>
    </font>
    <font>
      <b/>
      <sz val="18"/>
      <color indexed="48"/>
      <name val="Cambria"/>
      <family val="2"/>
      <charset val="134"/>
    </font>
    <font>
      <b/>
      <sz val="18"/>
      <color indexed="56"/>
      <name val="Cambria"/>
      <family val="2"/>
      <charset val="134"/>
    </font>
    <font>
      <b/>
      <sz val="11"/>
      <color indexed="8"/>
      <name val="Calibri"/>
      <family val="2"/>
      <charset val="134"/>
    </font>
    <font>
      <sz val="11"/>
      <color indexed="10"/>
      <name val="Calibri"/>
      <family val="2"/>
      <charset val="134"/>
    </font>
    <font>
      <b/>
      <sz val="11"/>
      <color indexed="8"/>
      <name val="Cambria"/>
      <family val="1"/>
    </font>
    <font>
      <sz val="11"/>
      <color indexed="8"/>
      <name val="Cambria"/>
      <family val="1"/>
    </font>
    <font>
      <b/>
      <sz val="11"/>
      <color theme="1"/>
      <name val="Cambria"/>
      <family val="1"/>
    </font>
    <font>
      <sz val="11"/>
      <color theme="1"/>
      <name val="Cambria"/>
      <family val="1"/>
    </font>
    <font>
      <b/>
      <sz val="11"/>
      <color rgb="FF000000"/>
      <name val="Cambria"/>
      <family val="1"/>
    </font>
    <font>
      <b/>
      <sz val="11"/>
      <name val="Cambria"/>
      <family val="1"/>
    </font>
    <font>
      <sz val="11"/>
      <name val="Cambria"/>
      <family val="1"/>
    </font>
    <font>
      <b/>
      <sz val="11"/>
      <color theme="0"/>
      <name val="Cambria"/>
      <family val="1"/>
    </font>
    <font>
      <sz val="12"/>
      <name val="Cambria"/>
      <family val="1"/>
    </font>
    <font>
      <b/>
      <u/>
      <sz val="12"/>
      <color theme="0"/>
      <name val="Cambria"/>
      <family val="1"/>
    </font>
    <font>
      <sz val="11"/>
      <color theme="0"/>
      <name val="Arial"/>
      <family val="2"/>
      <charset val="1"/>
    </font>
    <font>
      <sz val="18"/>
      <color theme="0"/>
      <name val="Arial"/>
      <family val="2"/>
      <charset val="1"/>
    </font>
    <font>
      <sz val="8"/>
      <name val="Calibri"/>
      <family val="2"/>
      <charset val="1"/>
    </font>
    <font>
      <sz val="11"/>
      <color theme="0"/>
      <name val="Cambria"/>
      <family val="1"/>
    </font>
    <font>
      <i/>
      <sz val="11"/>
      <color theme="0"/>
      <name val="Cambria"/>
      <family val="1"/>
    </font>
    <font>
      <sz val="10"/>
      <color theme="0"/>
      <name val="Cambria"/>
      <family val="1"/>
    </font>
    <font>
      <sz val="11"/>
      <color rgb="FF000000"/>
      <name val="Cambria"/>
      <family val="1"/>
    </font>
    <font>
      <sz val="11"/>
      <color rgb="FF0070C0"/>
      <name val="Cambria"/>
      <family val="1"/>
    </font>
    <font>
      <sz val="11"/>
      <color rgb="FF00B050"/>
      <name val="Cambria"/>
      <family val="1"/>
    </font>
    <font>
      <sz val="11"/>
      <color theme="5" tint="-0.499984740745262"/>
      <name val="Cambria"/>
      <family val="1"/>
    </font>
    <font>
      <sz val="11"/>
      <color rgb="FFC00000"/>
      <name val="Cambria"/>
      <family val="1"/>
    </font>
    <font>
      <b/>
      <sz val="11"/>
      <color theme="3" tint="-0.499984740745262"/>
      <name val="Cambria"/>
      <family val="1"/>
    </font>
    <font>
      <sz val="11"/>
      <color theme="3" tint="-0.499984740745262"/>
      <name val="Cambria"/>
      <family val="1"/>
    </font>
    <font>
      <b/>
      <sz val="11"/>
      <color theme="3" tint="-0.499984740745262"/>
      <name val="Cambria"/>
      <family val="1"/>
      <charset val="1"/>
    </font>
    <font>
      <sz val="10"/>
      <color theme="3" tint="-0.499984740745262"/>
      <name val="Arial"/>
      <family val="2"/>
      <charset val="1"/>
    </font>
    <font>
      <sz val="11"/>
      <color theme="9" tint="-0.499984740745262"/>
      <name val="Cambria"/>
      <family val="1"/>
      <charset val="1"/>
    </font>
    <font>
      <sz val="11"/>
      <color theme="9" tint="-0.499984740745262"/>
      <name val="Calibri"/>
      <family val="2"/>
      <charset val="1"/>
    </font>
    <font>
      <u/>
      <sz val="11"/>
      <color indexed="8"/>
      <name val="Cambria"/>
      <family val="1"/>
    </font>
    <font>
      <u/>
      <sz val="11"/>
      <color theme="1"/>
      <name val="Cambria"/>
      <family val="1"/>
    </font>
    <font>
      <sz val="11"/>
      <color theme="1"/>
      <name val="Calibri"/>
      <family val="2"/>
      <scheme val="minor"/>
    </font>
    <font>
      <sz val="11"/>
      <color theme="2" tint="-0.499984740745262"/>
      <name val="Calibri"/>
      <family val="2"/>
      <scheme val="minor"/>
    </font>
    <font>
      <b/>
      <sz val="24"/>
      <color theme="2" tint="-0.499984740745262"/>
      <name val="Calibri"/>
      <family val="2"/>
      <scheme val="minor"/>
    </font>
    <font>
      <b/>
      <sz val="20"/>
      <color theme="2" tint="-0.499984740745262"/>
      <name val="Calibri"/>
      <family val="2"/>
      <scheme val="minor"/>
    </font>
    <font>
      <b/>
      <sz val="12"/>
      <color theme="0"/>
      <name val="Cambria"/>
      <family val="1"/>
    </font>
    <font>
      <b/>
      <sz val="14"/>
      <color theme="0"/>
      <name val="Cambria"/>
      <family val="1"/>
    </font>
    <font>
      <sz val="11"/>
      <color theme="9" tint="-0.499984740745262"/>
      <name val="Cambria"/>
      <family val="1"/>
    </font>
    <font>
      <b/>
      <sz val="11"/>
      <color theme="9" tint="-0.499984740745262"/>
      <name val="Cambria"/>
      <family val="1"/>
    </font>
    <font>
      <sz val="14"/>
      <color theme="9" tint="-0.499984740745262"/>
      <name val="Cambria"/>
      <family val="1"/>
    </font>
    <font>
      <b/>
      <sz val="12"/>
      <color theme="9" tint="-0.499984740745262"/>
      <name val="Cambria"/>
      <family val="1"/>
    </font>
    <font>
      <u/>
      <sz val="12"/>
      <color theme="9" tint="-0.499984740745262"/>
      <name val="Cambria"/>
      <family val="1"/>
    </font>
    <font>
      <u/>
      <sz val="11"/>
      <color theme="9" tint="-0.499984740745262"/>
      <name val="Cambria"/>
      <family val="1"/>
    </font>
    <font>
      <b/>
      <sz val="20"/>
      <color theme="9" tint="-0.499984740745262"/>
      <name val="Calibri"/>
      <family val="2"/>
      <scheme val="minor"/>
    </font>
    <font>
      <sz val="11"/>
      <color theme="9" tint="-0.499984740745262"/>
      <name val="Calibri"/>
      <family val="2"/>
      <scheme val="minor"/>
    </font>
    <font>
      <b/>
      <sz val="11"/>
      <color theme="3" tint="-0.499984740745262"/>
      <name val="Calibri"/>
      <family val="2"/>
      <scheme val="minor"/>
    </font>
    <font>
      <sz val="11"/>
      <color theme="3" tint="-0.499984740745262"/>
      <name val="Calibri"/>
      <family val="2"/>
      <scheme val="minor"/>
    </font>
    <font>
      <sz val="10"/>
      <color theme="3" tint="-0.499984740745262"/>
      <name val="Calibri"/>
      <family val="2"/>
      <scheme val="minor"/>
    </font>
  </fonts>
  <fills count="46">
    <fill>
      <patternFill patternType="none"/>
    </fill>
    <fill>
      <patternFill patternType="gray125"/>
    </fill>
    <fill>
      <patternFill patternType="solid">
        <fgColor indexed="9"/>
        <bgColor indexed="26"/>
      </patternFill>
    </fill>
    <fill>
      <patternFill patternType="solid">
        <fgColor indexed="27"/>
        <bgColor indexed="41"/>
      </patternFill>
    </fill>
    <fill>
      <patternFill patternType="solid">
        <fgColor indexed="44"/>
        <bgColor indexed="31"/>
      </patternFill>
    </fill>
    <fill>
      <patternFill patternType="solid">
        <fgColor indexed="31"/>
        <bgColor indexed="22"/>
      </patternFill>
    </fill>
    <fill>
      <patternFill patternType="solid">
        <fgColor indexed="43"/>
        <bgColor indexed="26"/>
      </patternFill>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
      <patternFill patternType="solid">
        <fgColor indexed="47"/>
        <bgColor indexed="22"/>
      </patternFill>
    </fill>
    <fill>
      <patternFill patternType="solid">
        <fgColor indexed="45"/>
        <bgColor indexed="29"/>
      </patternFill>
    </fill>
    <fill>
      <patternFill patternType="solid">
        <fgColor indexed="26"/>
        <bgColor indexed="9"/>
      </patternFill>
    </fill>
    <fill>
      <patternFill patternType="solid">
        <fgColor indexed="42"/>
        <bgColor indexed="27"/>
      </patternFill>
    </fill>
    <fill>
      <patternFill patternType="solid">
        <fgColor indexed="46"/>
        <bgColor indexed="24"/>
      </patternFill>
    </fill>
    <fill>
      <patternFill patternType="solid">
        <fgColor indexed="22"/>
        <bgColor indexed="31"/>
      </patternFill>
    </fill>
    <fill>
      <patternFill patternType="solid">
        <fgColor indexed="29"/>
        <bgColor indexed="45"/>
      </patternFill>
    </fill>
    <fill>
      <patternFill patternType="solid">
        <fgColor indexed="50"/>
        <bgColor indexed="34"/>
      </patternFill>
    </fill>
    <fill>
      <patternFill patternType="solid">
        <fgColor indexed="11"/>
        <bgColor indexed="49"/>
      </patternFill>
    </fill>
    <fill>
      <patternFill patternType="solid">
        <fgColor indexed="51"/>
        <bgColor indexed="13"/>
      </patternFill>
    </fill>
    <fill>
      <patternFill patternType="solid">
        <fgColor indexed="49"/>
        <bgColor indexed="40"/>
      </patternFill>
    </fill>
    <fill>
      <patternFill patternType="solid">
        <fgColor indexed="30"/>
        <bgColor indexed="21"/>
      </patternFill>
    </fill>
    <fill>
      <patternFill patternType="solid">
        <fgColor indexed="13"/>
        <bgColor indexed="51"/>
      </patternFill>
    </fill>
    <fill>
      <patternFill patternType="solid">
        <fgColor indexed="24"/>
        <bgColor indexed="46"/>
      </patternFill>
    </fill>
    <fill>
      <patternFill patternType="solid">
        <fgColor indexed="20"/>
        <bgColor indexed="36"/>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21"/>
        <bgColor indexed="38"/>
      </patternFill>
    </fill>
    <fill>
      <patternFill patternType="solid">
        <fgColor indexed="54"/>
        <bgColor indexed="23"/>
      </patternFill>
    </fill>
    <fill>
      <patternFill patternType="solid">
        <fgColor indexed="53"/>
        <bgColor indexed="52"/>
      </patternFill>
    </fill>
    <fill>
      <patternFill patternType="solid">
        <fgColor indexed="25"/>
        <bgColor indexed="61"/>
      </patternFill>
    </fill>
    <fill>
      <patternFill patternType="solid">
        <fgColor indexed="55"/>
        <bgColor indexed="19"/>
      </patternFill>
    </fill>
    <fill>
      <patternFill patternType="solid">
        <fgColor rgb="FFFFCCCC"/>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rgb="FF92D050"/>
        <bgColor indexed="64"/>
      </patternFill>
    </fill>
    <fill>
      <patternFill patternType="solid">
        <fgColor theme="9"/>
        <bgColor theme="9"/>
      </patternFill>
    </fill>
    <fill>
      <patternFill patternType="solid">
        <fgColor theme="8"/>
        <bgColor indexed="64"/>
      </patternFill>
    </fill>
    <fill>
      <patternFill patternType="solid">
        <fgColor theme="7"/>
        <bgColor indexed="64"/>
      </patternFill>
    </fill>
    <fill>
      <patternFill patternType="solid">
        <fgColor theme="8"/>
        <bgColor indexed="51"/>
      </patternFill>
    </fill>
    <fill>
      <patternFill patternType="solid">
        <fgColor theme="9"/>
        <bgColor indexed="64"/>
      </patternFill>
    </fill>
    <fill>
      <patternFill patternType="solid">
        <fgColor rgb="FFFFC000"/>
        <bgColor indexed="64"/>
      </patternFill>
    </fill>
    <fill>
      <patternFill patternType="solid">
        <fgColor rgb="FFFFC000"/>
        <bgColor indexed="34"/>
      </patternFill>
    </fill>
  </fills>
  <borders count="49">
    <border>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thick">
        <color indexed="24"/>
      </bottom>
      <diagonal/>
    </border>
    <border>
      <left/>
      <right/>
      <top/>
      <bottom style="medium">
        <color indexed="49"/>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24"/>
      </left>
      <right style="thin">
        <color indexed="24"/>
      </right>
      <top style="thin">
        <color indexed="24"/>
      </top>
      <bottom style="thin">
        <color indexed="24"/>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rgb="FF92D050"/>
      </top>
      <bottom/>
      <diagonal/>
    </border>
    <border>
      <left style="thin">
        <color rgb="FF92D050"/>
      </left>
      <right/>
      <top style="thin">
        <color rgb="FF92D050"/>
      </top>
      <bottom/>
      <diagonal/>
    </border>
    <border>
      <left/>
      <right style="thin">
        <color rgb="FF92D050"/>
      </right>
      <top style="thin">
        <color rgb="FF92D050"/>
      </top>
      <bottom/>
      <diagonal/>
    </border>
    <border>
      <left style="thin">
        <color rgb="FF92D050"/>
      </left>
      <right/>
      <top/>
      <bottom/>
      <diagonal/>
    </border>
    <border>
      <left/>
      <right style="thin">
        <color rgb="FF92D050"/>
      </right>
      <top/>
      <bottom/>
      <diagonal/>
    </border>
    <border>
      <left style="thin">
        <color rgb="FF92D050"/>
      </left>
      <right/>
      <top/>
      <bottom style="thin">
        <color rgb="FF92D050"/>
      </bottom>
      <diagonal/>
    </border>
    <border>
      <left/>
      <right/>
      <top/>
      <bottom style="thin">
        <color rgb="FF92D050"/>
      </bottom>
      <diagonal/>
    </border>
    <border>
      <left/>
      <right style="thin">
        <color rgb="FF92D050"/>
      </right>
      <top/>
      <bottom style="thin">
        <color rgb="FF92D050"/>
      </bottom>
      <diagonal/>
    </border>
    <border>
      <left style="thin">
        <color theme="6"/>
      </left>
      <right style="thin">
        <color theme="6"/>
      </right>
      <top/>
      <bottom/>
      <diagonal/>
    </border>
    <border>
      <left style="thin">
        <color indexed="64"/>
      </left>
      <right style="thin">
        <color indexed="64"/>
      </right>
      <top/>
      <bottom style="thin">
        <color indexed="64"/>
      </bottom>
      <diagonal/>
    </border>
    <border>
      <left/>
      <right/>
      <top style="thin">
        <color theme="9"/>
      </top>
      <bottom/>
      <diagonal/>
    </border>
    <border>
      <left/>
      <right/>
      <top style="thin">
        <color indexed="64"/>
      </top>
      <bottom/>
      <diagonal/>
    </border>
    <border>
      <left/>
      <right style="thin">
        <color indexed="64"/>
      </right>
      <top style="thin">
        <color indexed="64"/>
      </top>
      <bottom/>
      <diagonal/>
    </border>
    <border>
      <left style="thin">
        <color theme="6"/>
      </left>
      <right/>
      <top/>
      <bottom/>
      <diagonal/>
    </border>
    <border>
      <left/>
      <right style="thin">
        <color theme="6"/>
      </right>
      <top/>
      <bottom/>
      <diagonal/>
    </border>
    <border>
      <left style="thin">
        <color rgb="FF92D050"/>
      </left>
      <right style="thin">
        <color rgb="FF92D050"/>
      </right>
      <top style="thin">
        <color rgb="FF92D050"/>
      </top>
      <bottom style="thin">
        <color rgb="FF92D050"/>
      </bottom>
      <diagonal/>
    </border>
    <border>
      <left/>
      <right/>
      <top style="thin">
        <color rgb="FF92D050"/>
      </top>
      <bottom style="thin">
        <color rgb="FF92D050"/>
      </bottom>
      <diagonal/>
    </border>
    <border>
      <left style="thin">
        <color rgb="FF92D050"/>
      </left>
      <right/>
      <top style="thin">
        <color theme="9"/>
      </top>
      <bottom/>
      <diagonal/>
    </border>
    <border>
      <left/>
      <right style="thin">
        <color rgb="FF92D050"/>
      </right>
      <top style="thin">
        <color theme="9"/>
      </top>
      <bottom/>
      <diagonal/>
    </border>
    <border>
      <left style="thin">
        <color rgb="FF92D050"/>
      </left>
      <right/>
      <top style="thin">
        <color theme="9"/>
      </top>
      <bottom style="thin">
        <color rgb="FF92D050"/>
      </bottom>
      <diagonal/>
    </border>
    <border>
      <left/>
      <right/>
      <top style="thin">
        <color theme="9"/>
      </top>
      <bottom style="thin">
        <color rgb="FF92D050"/>
      </bottom>
      <diagonal/>
    </border>
    <border>
      <left/>
      <right style="thin">
        <color rgb="FF92D050"/>
      </right>
      <top style="thin">
        <color theme="9"/>
      </top>
      <bottom style="thin">
        <color rgb="FF92D050"/>
      </bottom>
      <diagonal/>
    </border>
    <border>
      <left style="thin">
        <color theme="6"/>
      </left>
      <right style="thin">
        <color theme="6"/>
      </right>
      <top style="thin">
        <color theme="6"/>
      </top>
      <bottom style="thin">
        <color theme="6"/>
      </bottom>
      <diagonal/>
    </border>
  </borders>
  <cellStyleXfs count="486">
    <xf numFmtId="0" fontId="0" fillId="0" borderId="0"/>
    <xf numFmtId="164" fontId="1" fillId="0" borderId="0" applyFill="0" applyBorder="0" applyAlignment="0" applyProtection="0"/>
    <xf numFmtId="164" fontId="3" fillId="0" borderId="0" applyFill="0" applyBorder="0" applyAlignment="0" applyProtection="0"/>
    <xf numFmtId="0" fontId="2" fillId="0" borderId="0"/>
    <xf numFmtId="0" fontId="3" fillId="0" borderId="0"/>
    <xf numFmtId="0" fontId="3" fillId="0" borderId="0"/>
    <xf numFmtId="0" fontId="3" fillId="0" borderId="0"/>
    <xf numFmtId="0" fontId="1" fillId="0" borderId="0"/>
    <xf numFmtId="9" fontId="3" fillId="0" borderId="0" applyFill="0" applyBorder="0" applyAlignment="0" applyProtection="0"/>
    <xf numFmtId="9" fontId="1" fillId="0" borderId="0" applyFill="0" applyBorder="0" applyAlignment="0" applyProtection="0"/>
    <xf numFmtId="0" fontId="7" fillId="2" borderId="0" applyNumberFormat="0" applyBorder="0" applyAlignment="0" applyProtection="0"/>
    <xf numFmtId="0" fontId="7" fillId="3"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2" borderId="0" applyNumberFormat="0" applyBorder="0" applyAlignment="0" applyProtection="0"/>
    <xf numFmtId="0" fontId="7" fillId="3"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5" borderId="0" applyNumberFormat="0" applyBorder="0" applyAlignment="0" applyProtection="0"/>
    <xf numFmtId="0" fontId="7" fillId="3"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6" borderId="0" applyNumberFormat="0" applyBorder="0" applyAlignment="0" applyProtection="0"/>
    <xf numFmtId="0" fontId="7" fillId="17"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5" borderId="0" applyNumberFormat="0" applyBorder="0" applyAlignment="0" applyProtection="0"/>
    <xf numFmtId="0" fontId="7" fillId="3"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16" borderId="0" applyNumberFormat="0" applyBorder="0" applyAlignment="0" applyProtection="0"/>
    <xf numFmtId="0" fontId="8" fillId="2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17"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5" borderId="0" applyNumberFormat="0" applyBorder="0" applyAlignment="0" applyProtection="0"/>
    <xf numFmtId="0" fontId="8" fillId="23"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24" borderId="0" applyNumberFormat="0" applyBorder="0" applyAlignment="0" applyProtection="0"/>
    <xf numFmtId="0" fontId="8" fillId="24"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6"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22" borderId="0" applyNumberFormat="0" applyBorder="0" applyAlignment="0" applyProtection="0"/>
    <xf numFmtId="0" fontId="8" fillId="27" borderId="0" applyNumberFormat="0" applyBorder="0" applyAlignment="0" applyProtection="0"/>
    <xf numFmtId="0" fontId="8" fillId="27" borderId="0" applyNumberFormat="0" applyBorder="0" applyAlignment="0" applyProtection="0"/>
    <xf numFmtId="0" fontId="8" fillId="27" borderId="0" applyNumberFormat="0" applyBorder="0" applyAlignment="0" applyProtection="0"/>
    <xf numFmtId="0" fontId="8" fillId="27" borderId="0" applyNumberFormat="0" applyBorder="0" applyAlignment="0" applyProtection="0"/>
    <xf numFmtId="0" fontId="8" fillId="27" borderId="0" applyNumberFormat="0" applyBorder="0" applyAlignment="0" applyProtection="0"/>
    <xf numFmtId="0" fontId="8" fillId="27" borderId="0" applyNumberFormat="0" applyBorder="0" applyAlignment="0" applyProtection="0"/>
    <xf numFmtId="0" fontId="8" fillId="27"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8" fillId="17"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8" borderId="0" applyNumberFormat="0" applyBorder="0" applyAlignment="0" applyProtection="0"/>
    <xf numFmtId="0" fontId="8" fillId="28"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24" borderId="0" applyNumberFormat="0" applyBorder="0" applyAlignment="0" applyProtection="0"/>
    <xf numFmtId="0" fontId="8" fillId="24"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9" fillId="11" borderId="0" applyNumberFormat="0" applyBorder="0" applyAlignment="0" applyProtection="0"/>
    <xf numFmtId="0" fontId="9" fillId="14"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10" fillId="2" borderId="7" applyNumberFormat="0" applyAlignment="0" applyProtection="0"/>
    <xf numFmtId="0" fontId="10" fillId="3" borderId="7" applyNumberFormat="0" applyAlignment="0" applyProtection="0"/>
    <xf numFmtId="0" fontId="10" fillId="2" borderId="7" applyNumberFormat="0" applyAlignment="0" applyProtection="0"/>
    <xf numFmtId="0" fontId="10" fillId="2" borderId="7" applyNumberFormat="0" applyAlignment="0" applyProtection="0"/>
    <xf numFmtId="0" fontId="10" fillId="2" borderId="7" applyNumberFormat="0" applyAlignment="0" applyProtection="0"/>
    <xf numFmtId="0" fontId="10" fillId="2" borderId="7" applyNumberFormat="0" applyAlignment="0" applyProtection="0"/>
    <xf numFmtId="0" fontId="10" fillId="2" borderId="7" applyNumberFormat="0" applyAlignment="0" applyProtection="0"/>
    <xf numFmtId="0" fontId="10" fillId="2" borderId="7" applyNumberFormat="0" applyAlignment="0" applyProtection="0"/>
    <xf numFmtId="0" fontId="10" fillId="15" borderId="7" applyNumberFormat="0" applyAlignment="0" applyProtection="0"/>
    <xf numFmtId="0" fontId="10" fillId="15" borderId="7" applyNumberFormat="0" applyAlignment="0" applyProtection="0"/>
    <xf numFmtId="0" fontId="11" fillId="33" borderId="8" applyNumberFormat="0" applyAlignment="0" applyProtection="0"/>
    <xf numFmtId="0" fontId="11" fillId="23" borderId="8" applyNumberFormat="0" applyAlignment="0" applyProtection="0"/>
    <xf numFmtId="0" fontId="11" fillId="33" borderId="8" applyNumberFormat="0" applyAlignment="0" applyProtection="0"/>
    <xf numFmtId="0" fontId="11" fillId="33" borderId="8" applyNumberFormat="0" applyAlignment="0" applyProtection="0"/>
    <xf numFmtId="0" fontId="11" fillId="33" borderId="8" applyNumberFormat="0" applyAlignment="0" applyProtection="0"/>
    <xf numFmtId="0" fontId="11" fillId="33" borderId="8" applyNumberFormat="0" applyAlignment="0" applyProtection="0"/>
    <xf numFmtId="0" fontId="11" fillId="33" borderId="8" applyNumberFormat="0" applyAlignment="0" applyProtection="0"/>
    <xf numFmtId="0" fontId="11" fillId="33" borderId="8" applyNumberFormat="0" applyAlignment="0" applyProtection="0"/>
    <xf numFmtId="0" fontId="11" fillId="33" borderId="8" applyNumberFormat="0" applyAlignment="0" applyProtection="0"/>
    <xf numFmtId="0" fontId="11" fillId="33" borderId="8" applyNumberFormat="0" applyAlignment="0" applyProtection="0"/>
    <xf numFmtId="165" fontId="2" fillId="0" borderId="0" applyFill="0" applyBorder="0" applyAlignment="0" applyProtection="0"/>
    <xf numFmtId="0" fontId="2" fillId="0" borderId="0" applyNumberFormat="0" applyFill="0" applyBorder="0" applyProtection="0">
      <alignment horizontal="left"/>
    </xf>
    <xf numFmtId="0" fontId="2" fillId="0" borderId="0" applyNumberFormat="0" applyFill="0" applyBorder="0" applyProtection="0">
      <alignment horizontal="left"/>
    </xf>
    <xf numFmtId="0" fontId="2" fillId="0" borderId="0" applyNumberFormat="0" applyFill="0" applyBorder="0" applyProtection="0">
      <alignment horizontal="left"/>
    </xf>
    <xf numFmtId="0" fontId="2" fillId="0" borderId="0" applyNumberFormat="0" applyFill="0" applyBorder="0" applyProtection="0">
      <alignment horizontal="left"/>
    </xf>
    <xf numFmtId="0" fontId="2" fillId="0" borderId="0" applyNumberFormat="0" applyFill="0" applyBorder="0" applyProtection="0">
      <alignment horizontal="left"/>
    </xf>
    <xf numFmtId="0" fontId="2" fillId="0" borderId="0" applyNumberFormat="0" applyFill="0" applyBorder="0" applyProtection="0">
      <alignment horizontal="left"/>
    </xf>
    <xf numFmtId="0" fontId="2" fillId="0" borderId="0" applyNumberFormat="0" applyFill="0" applyBorder="0" applyProtection="0">
      <alignment horizontal="left"/>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Protection="0">
      <alignment horizontal="left"/>
    </xf>
    <xf numFmtId="0" fontId="12" fillId="0" borderId="0" applyNumberFormat="0" applyFill="0" applyBorder="0" applyProtection="0">
      <alignment horizontal="left"/>
    </xf>
    <xf numFmtId="0" fontId="12" fillId="0" borderId="0" applyNumberFormat="0" applyFill="0" applyBorder="0" applyProtection="0">
      <alignment horizontal="left"/>
    </xf>
    <xf numFmtId="0" fontId="12" fillId="0" borderId="0" applyNumberFormat="0" applyFill="0" applyBorder="0" applyProtection="0">
      <alignment horizontal="left"/>
    </xf>
    <xf numFmtId="0" fontId="12" fillId="0" borderId="0" applyNumberFormat="0" applyFill="0" applyBorder="0" applyProtection="0">
      <alignment horizontal="left"/>
    </xf>
    <xf numFmtId="0" fontId="12" fillId="0" borderId="0" applyNumberFormat="0" applyFill="0" applyBorder="0" applyProtection="0">
      <alignment horizontal="left"/>
    </xf>
    <xf numFmtId="0" fontId="12" fillId="0" borderId="0" applyNumberFormat="0" applyFill="0" applyBorder="0" applyProtection="0">
      <alignment horizontal="left"/>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8" fillId="0" borderId="0"/>
    <xf numFmtId="0" fontId="3" fillId="0" borderId="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5" fillId="0" borderId="9" applyNumberFormat="0" applyFill="0" applyAlignment="0" applyProtection="0"/>
    <xf numFmtId="0" fontId="15"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7" fillId="0" borderId="10" applyNumberFormat="0" applyFill="0" applyAlignment="0" applyProtection="0"/>
    <xf numFmtId="0" fontId="17" fillId="0" borderId="10" applyNumberFormat="0" applyFill="0" applyAlignment="0" applyProtection="0"/>
    <xf numFmtId="0" fontId="18" fillId="0" borderId="11" applyNumberFormat="0" applyFill="0" applyAlignment="0" applyProtection="0"/>
    <xf numFmtId="0" fontId="18" fillId="0" borderId="12"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20" fillId="0" borderId="11" applyNumberFormat="0" applyFill="0" applyAlignment="0" applyProtection="0"/>
    <xf numFmtId="0" fontId="20" fillId="0" borderId="11" applyNumberFormat="0" applyFill="0" applyAlignment="0" applyProtection="0"/>
    <xf numFmtId="0" fontId="21" fillId="0" borderId="13" applyNumberFormat="0" applyFill="0" applyAlignment="0" applyProtection="0"/>
    <xf numFmtId="0" fontId="21" fillId="0" borderId="13" applyNumberFormat="0" applyFill="0" applyAlignment="0" applyProtection="0"/>
    <xf numFmtId="0" fontId="22" fillId="0" borderId="13" applyNumberFormat="0" applyFill="0" applyAlignment="0" applyProtection="0"/>
    <xf numFmtId="0" fontId="22" fillId="0" borderId="13" applyNumberFormat="0" applyFill="0" applyAlignment="0" applyProtection="0"/>
    <xf numFmtId="0" fontId="22" fillId="0" borderId="13" applyNumberFormat="0" applyFill="0" applyAlignment="0" applyProtection="0"/>
    <xf numFmtId="0" fontId="22" fillId="0" borderId="13" applyNumberFormat="0" applyFill="0" applyAlignment="0" applyProtection="0"/>
    <xf numFmtId="0" fontId="22" fillId="0" borderId="13" applyNumberFormat="0" applyFill="0" applyAlignment="0" applyProtection="0"/>
    <xf numFmtId="0" fontId="22" fillId="0" borderId="13" applyNumberFormat="0" applyFill="0" applyAlignment="0" applyProtection="0"/>
    <xf numFmtId="0" fontId="23" fillId="0" borderId="14" applyNumberFormat="0" applyFill="0" applyAlignment="0" applyProtection="0"/>
    <xf numFmtId="0" fontId="23" fillId="0" borderId="14"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10" borderId="7" applyNumberFormat="0" applyAlignment="0" applyProtection="0"/>
    <xf numFmtId="0" fontId="24" fillId="10" borderId="7" applyNumberFormat="0" applyAlignment="0" applyProtection="0"/>
    <xf numFmtId="0" fontId="25" fillId="10" borderId="7" applyNumberFormat="0" applyAlignment="0" applyProtection="0"/>
    <xf numFmtId="0" fontId="25" fillId="10" borderId="7" applyNumberFormat="0" applyAlignment="0" applyProtection="0"/>
    <xf numFmtId="0" fontId="25" fillId="10" borderId="7" applyNumberFormat="0" applyAlignment="0" applyProtection="0"/>
    <xf numFmtId="0" fontId="25" fillId="10" borderId="7" applyNumberFormat="0" applyAlignment="0" applyProtection="0"/>
    <xf numFmtId="0" fontId="25" fillId="10" borderId="7" applyNumberFormat="0" applyAlignment="0" applyProtection="0"/>
    <xf numFmtId="0" fontId="25" fillId="10" borderId="7" applyNumberFormat="0" applyAlignment="0" applyProtection="0"/>
    <xf numFmtId="0" fontId="24" fillId="10" borderId="7" applyNumberFormat="0" applyAlignment="0" applyProtection="0"/>
    <xf numFmtId="0" fontId="24" fillId="10" borderId="7" applyNumberFormat="0" applyAlignment="0" applyProtection="0"/>
    <xf numFmtId="0" fontId="26" fillId="0" borderId="15" applyNumberFormat="0" applyFill="0" applyAlignment="0" applyProtection="0"/>
    <xf numFmtId="0" fontId="26" fillId="0" borderId="15" applyNumberFormat="0" applyFill="0" applyAlignment="0" applyProtection="0"/>
    <xf numFmtId="0" fontId="26" fillId="0" borderId="15" applyNumberFormat="0" applyFill="0" applyAlignment="0" applyProtection="0"/>
    <xf numFmtId="0" fontId="26" fillId="0" borderId="15" applyNumberFormat="0" applyFill="0" applyAlignment="0" applyProtection="0"/>
    <xf numFmtId="0" fontId="26" fillId="0" borderId="15" applyNumberFormat="0" applyFill="0" applyAlignment="0" applyProtection="0"/>
    <xf numFmtId="0" fontId="26" fillId="0" borderId="15" applyNumberFormat="0" applyFill="0" applyAlignment="0" applyProtection="0"/>
    <xf numFmtId="0" fontId="26" fillId="0" borderId="15" applyNumberFormat="0" applyFill="0" applyAlignment="0" applyProtection="0"/>
    <xf numFmtId="0" fontId="26" fillId="0" borderId="15" applyNumberFormat="0" applyFill="0" applyAlignment="0" applyProtection="0"/>
    <xf numFmtId="0" fontId="26" fillId="0" borderId="15" applyNumberFormat="0" applyFill="0" applyAlignment="0" applyProtection="0"/>
    <xf numFmtId="0" fontId="26" fillId="0" borderId="15" applyNumberFormat="0" applyFill="0" applyAlignment="0" applyProtection="0"/>
    <xf numFmtId="0" fontId="27" fillId="6" borderId="0" applyNumberFormat="0" applyBorder="0" applyAlignment="0" applyProtection="0"/>
    <xf numFmtId="0" fontId="27" fillId="6" borderId="0" applyNumberFormat="0" applyBorder="0" applyAlignment="0" applyProtection="0"/>
    <xf numFmtId="0" fontId="27" fillId="6" borderId="0" applyNumberFormat="0" applyBorder="0" applyAlignment="0" applyProtection="0"/>
    <xf numFmtId="0" fontId="27" fillId="6" borderId="0" applyNumberFormat="0" applyBorder="0" applyAlignment="0" applyProtection="0"/>
    <xf numFmtId="0" fontId="27" fillId="6" borderId="0" applyNumberFormat="0" applyBorder="0" applyAlignment="0" applyProtection="0"/>
    <xf numFmtId="0" fontId="27" fillId="6" borderId="0" applyNumberFormat="0" applyBorder="0" applyAlignment="0" applyProtection="0"/>
    <xf numFmtId="0" fontId="27" fillId="6" borderId="0" applyNumberFormat="0" applyBorder="0" applyAlignment="0" applyProtection="0"/>
    <xf numFmtId="0" fontId="27" fillId="6" borderId="0" applyNumberFormat="0" applyBorder="0" applyAlignment="0" applyProtection="0"/>
    <xf numFmtId="0" fontId="27" fillId="6" borderId="0" applyNumberFormat="0" applyBorder="0" applyAlignment="0" applyProtection="0"/>
    <xf numFmtId="0" fontId="27" fillId="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 fillId="0" borderId="0"/>
    <xf numFmtId="0" fontId="28" fillId="0" borderId="0"/>
    <xf numFmtId="0" fontId="3" fillId="0" borderId="0"/>
    <xf numFmtId="0" fontId="2" fillId="12" borderId="16" applyNumberFormat="0" applyAlignment="0" applyProtection="0"/>
    <xf numFmtId="0" fontId="2" fillId="12" borderId="17" applyNumberFormat="0" applyAlignment="0" applyProtection="0"/>
    <xf numFmtId="0" fontId="2" fillId="12" borderId="16" applyNumberFormat="0" applyAlignment="0" applyProtection="0"/>
    <xf numFmtId="0" fontId="2" fillId="12" borderId="16" applyNumberFormat="0" applyAlignment="0" applyProtection="0"/>
    <xf numFmtId="0" fontId="2" fillId="12" borderId="16" applyNumberFormat="0" applyAlignment="0" applyProtection="0"/>
    <xf numFmtId="0" fontId="2" fillId="12" borderId="16" applyNumberFormat="0" applyAlignment="0" applyProtection="0"/>
    <xf numFmtId="0" fontId="2" fillId="12" borderId="16" applyNumberFormat="0" applyAlignment="0" applyProtection="0"/>
    <xf numFmtId="0" fontId="2" fillId="12" borderId="16" applyNumberFormat="0" applyAlignment="0" applyProtection="0"/>
    <xf numFmtId="0" fontId="7" fillId="12" borderId="16" applyNumberFormat="0" applyAlignment="0" applyProtection="0"/>
    <xf numFmtId="0" fontId="7" fillId="12" borderId="16" applyNumberFormat="0" applyAlignment="0" applyProtection="0"/>
    <xf numFmtId="0" fontId="29" fillId="2" borderId="18" applyNumberFormat="0" applyAlignment="0" applyProtection="0"/>
    <xf numFmtId="0" fontId="29" fillId="3" borderId="18" applyNumberFormat="0" applyAlignment="0" applyProtection="0"/>
    <xf numFmtId="0" fontId="29" fillId="2" borderId="18" applyNumberFormat="0" applyAlignment="0" applyProtection="0"/>
    <xf numFmtId="0" fontId="29" fillId="2" borderId="18" applyNumberFormat="0" applyAlignment="0" applyProtection="0"/>
    <xf numFmtId="0" fontId="29" fillId="2" borderId="18" applyNumberFormat="0" applyAlignment="0" applyProtection="0"/>
    <xf numFmtId="0" fontId="29" fillId="2" borderId="18" applyNumberFormat="0" applyAlignment="0" applyProtection="0"/>
    <xf numFmtId="0" fontId="29" fillId="2" borderId="18" applyNumberFormat="0" applyAlignment="0" applyProtection="0"/>
    <xf numFmtId="0" fontId="29" fillId="2" borderId="18" applyNumberFormat="0" applyAlignment="0" applyProtection="0"/>
    <xf numFmtId="0" fontId="29" fillId="15" borderId="18" applyNumberFormat="0" applyAlignment="0" applyProtection="0"/>
    <xf numFmtId="0" fontId="29" fillId="15" borderId="18" applyNumberFormat="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0" borderId="19" applyNumberFormat="0" applyFill="0" applyAlignment="0" applyProtection="0"/>
    <xf numFmtId="0" fontId="33" fillId="0" borderId="19" applyNumberFormat="0" applyFill="0" applyAlignment="0" applyProtection="0"/>
    <xf numFmtId="0" fontId="33" fillId="0" borderId="19" applyNumberFormat="0" applyFill="0" applyAlignment="0" applyProtection="0"/>
    <xf numFmtId="0" fontId="33" fillId="0" borderId="19" applyNumberFormat="0" applyFill="0" applyAlignment="0" applyProtection="0"/>
    <xf numFmtId="0" fontId="33" fillId="0" borderId="19" applyNumberFormat="0" applyFill="0" applyAlignment="0" applyProtection="0"/>
    <xf numFmtId="0" fontId="33" fillId="0" borderId="19" applyNumberFormat="0" applyFill="0" applyAlignment="0" applyProtection="0"/>
    <xf numFmtId="0" fontId="33" fillId="0" borderId="19" applyNumberFormat="0" applyFill="0" applyAlignment="0" applyProtection="0"/>
    <xf numFmtId="0" fontId="33" fillId="0" borderId="19" applyNumberFormat="0" applyFill="0" applyAlignment="0" applyProtection="0"/>
    <xf numFmtId="0" fontId="33" fillId="0" borderId="20" applyNumberFormat="0" applyFill="0" applyAlignment="0" applyProtection="0"/>
    <xf numFmtId="0" fontId="33" fillId="0" borderId="20" applyNumberFormat="0" applyFill="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41" fontId="3" fillId="0" borderId="0" applyFont="0" applyFill="0" applyBorder="0" applyAlignment="0" applyProtection="0"/>
    <xf numFmtId="43" fontId="3" fillId="0" borderId="0" applyFont="0" applyFill="0" applyBorder="0" applyAlignment="0" applyProtection="0"/>
    <xf numFmtId="0" fontId="64" fillId="0" borderId="0"/>
    <xf numFmtId="9" fontId="64" fillId="0" borderId="0" applyFont="0" applyFill="0" applyBorder="0" applyAlignment="0" applyProtection="0"/>
    <xf numFmtId="0" fontId="1" fillId="0" borderId="0"/>
    <xf numFmtId="9" fontId="1" fillId="0" borderId="0" applyFont="0" applyFill="0" applyBorder="0" applyAlignment="0" applyProtection="0"/>
  </cellStyleXfs>
  <cellXfs count="263">
    <xf numFmtId="0" fontId="0" fillId="0" borderId="0" xfId="0"/>
    <xf numFmtId="0" fontId="1" fillId="0" borderId="0" xfId="7"/>
    <xf numFmtId="0" fontId="35" fillId="0" borderId="0" xfId="0" applyFont="1" applyFill="1" applyBorder="1" applyAlignment="1">
      <alignment horizontal="center"/>
    </xf>
    <xf numFmtId="1" fontId="35" fillId="0" borderId="0" xfId="0" applyNumberFormat="1" applyFont="1" applyFill="1" applyBorder="1" applyAlignment="1">
      <alignment horizontal="center"/>
    </xf>
    <xf numFmtId="0" fontId="35" fillId="0" borderId="0" xfId="0" applyFont="1" applyFill="1"/>
    <xf numFmtId="0" fontId="35" fillId="0" borderId="0" xfId="0" applyFont="1" applyFill="1" applyAlignment="1">
      <alignment horizontal="center"/>
    </xf>
    <xf numFmtId="1" fontId="35" fillId="0" borderId="0" xfId="0" applyNumberFormat="1" applyFont="1" applyFill="1" applyAlignment="1">
      <alignment horizontal="center"/>
    </xf>
    <xf numFmtId="0" fontId="36" fillId="0" borderId="0" xfId="0" applyFont="1" applyFill="1"/>
    <xf numFmtId="0" fontId="36" fillId="0" borderId="0" xfId="0" applyFont="1" applyFill="1" applyAlignment="1">
      <alignment horizontal="left"/>
    </xf>
    <xf numFmtId="0" fontId="36" fillId="0" borderId="0" xfId="0" applyFont="1" applyFill="1" applyBorder="1" applyAlignment="1">
      <alignment wrapText="1"/>
    </xf>
    <xf numFmtId="9" fontId="36" fillId="0" borderId="0" xfId="8" applyFont="1" applyFill="1" applyBorder="1" applyAlignment="1" applyProtection="1">
      <alignment horizontal="center"/>
    </xf>
    <xf numFmtId="0" fontId="36" fillId="0" borderId="0" xfId="0" applyFont="1" applyFill="1" applyAlignment="1">
      <alignment wrapText="1"/>
    </xf>
    <xf numFmtId="9" fontId="35" fillId="0" borderId="0" xfId="8" applyFont="1" applyFill="1" applyBorder="1" applyAlignment="1" applyProtection="1">
      <alignment vertical="center"/>
    </xf>
    <xf numFmtId="0" fontId="36" fillId="0" borderId="0" xfId="0" applyFont="1" applyFill="1" applyBorder="1"/>
    <xf numFmtId="0" fontId="39" fillId="0" borderId="0" xfId="0" applyFont="1" applyFill="1" applyBorder="1" applyAlignment="1">
      <alignment horizontal="center" vertical="center"/>
    </xf>
    <xf numFmtId="0" fontId="35" fillId="0" borderId="0" xfId="0" applyFont="1" applyFill="1" applyAlignment="1">
      <alignment vertical="center"/>
    </xf>
    <xf numFmtId="0" fontId="35" fillId="0" borderId="0" xfId="0" applyFont="1" applyFill="1" applyBorder="1" applyAlignment="1">
      <alignment vertical="center"/>
    </xf>
    <xf numFmtId="0" fontId="35" fillId="0" borderId="0" xfId="0" applyFont="1" applyFill="1" applyAlignment="1">
      <alignment wrapText="1"/>
    </xf>
    <xf numFmtId="1" fontId="35" fillId="0" borderId="0" xfId="0" applyNumberFormat="1" applyFont="1" applyFill="1" applyBorder="1" applyAlignment="1">
      <alignment horizontal="centerContinuous"/>
    </xf>
    <xf numFmtId="0" fontId="36" fillId="0" borderId="0" xfId="0" applyFont="1" applyFill="1" applyBorder="1" applyAlignment="1">
      <alignment horizontal="centerContinuous"/>
    </xf>
    <xf numFmtId="0" fontId="36" fillId="0" borderId="0" xfId="0" applyFont="1" applyFill="1" applyAlignment="1">
      <alignment horizontal="left" wrapText="1"/>
    </xf>
    <xf numFmtId="0" fontId="36" fillId="0" borderId="0" xfId="0" applyFont="1" applyFill="1" applyAlignment="1"/>
    <xf numFmtId="0" fontId="35" fillId="0" borderId="0" xfId="0" applyFont="1" applyFill="1" applyAlignment="1"/>
    <xf numFmtId="0" fontId="38" fillId="0" borderId="0" xfId="0" applyFont="1" applyFill="1" applyBorder="1" applyAlignment="1">
      <alignment vertical="center"/>
    </xf>
    <xf numFmtId="0" fontId="38" fillId="0" borderId="0" xfId="0" applyFont="1" applyFill="1" applyBorder="1" applyAlignment="1">
      <alignment horizontal="left" vertical="center"/>
    </xf>
    <xf numFmtId="0" fontId="40" fillId="0" borderId="0" xfId="7" applyFont="1" applyFill="1" applyBorder="1"/>
    <xf numFmtId="0" fontId="41" fillId="0" borderId="0" xfId="7" applyFont="1" applyFill="1" applyBorder="1"/>
    <xf numFmtId="1" fontId="35" fillId="0" borderId="0" xfId="0" applyNumberFormat="1" applyFont="1" applyFill="1" applyBorder="1" applyAlignment="1">
      <alignment horizontal="center" wrapText="1"/>
    </xf>
    <xf numFmtId="0" fontId="36" fillId="0" borderId="0" xfId="0" applyFont="1" applyFill="1" applyBorder="1" applyAlignment="1">
      <alignment horizontal="center" wrapText="1"/>
    </xf>
    <xf numFmtId="0" fontId="36" fillId="0" borderId="0" xfId="0" applyFont="1" applyFill="1" applyAlignment="1">
      <alignment horizontal="center" wrapText="1"/>
    </xf>
    <xf numFmtId="0" fontId="35" fillId="0" borderId="0" xfId="0" applyFont="1" applyFill="1" applyBorder="1" applyAlignment="1">
      <alignment horizontal="center" wrapText="1"/>
    </xf>
    <xf numFmtId="0" fontId="39" fillId="0" borderId="0" xfId="0" applyFont="1" applyFill="1" applyBorder="1" applyAlignment="1">
      <alignment horizontal="center" vertical="center" wrapText="1"/>
    </xf>
    <xf numFmtId="0" fontId="40" fillId="0" borderId="0" xfId="7" applyFont="1" applyFill="1" applyBorder="1" applyAlignment="1">
      <alignment vertical="center"/>
    </xf>
    <xf numFmtId="0" fontId="41" fillId="0" borderId="0" xfId="7" applyFont="1" applyFill="1" applyBorder="1" applyAlignment="1">
      <alignment vertical="center"/>
    </xf>
    <xf numFmtId="0" fontId="35" fillId="0" borderId="0" xfId="0" applyFont="1" applyFill="1" applyBorder="1" applyAlignment="1">
      <alignment vertical="center" wrapText="1"/>
    </xf>
    <xf numFmtId="0" fontId="36" fillId="0" borderId="0" xfId="0" applyFont="1" applyFill="1" applyBorder="1" applyAlignment="1">
      <alignment vertical="center"/>
    </xf>
    <xf numFmtId="0" fontId="36" fillId="0" borderId="0" xfId="0" applyFont="1" applyFill="1" applyAlignment="1">
      <alignment vertical="center"/>
    </xf>
    <xf numFmtId="0" fontId="36" fillId="0" borderId="0" xfId="0" applyFont="1" applyFill="1" applyAlignment="1">
      <alignment horizontal="center" vertical="center"/>
    </xf>
    <xf numFmtId="0" fontId="1" fillId="0" borderId="0" xfId="7" applyAlignment="1">
      <alignment horizontal="left"/>
    </xf>
    <xf numFmtId="0" fontId="36" fillId="0" borderId="0" xfId="0" applyFont="1" applyFill="1" applyAlignment="1">
      <alignment horizontal="left" vertical="center"/>
    </xf>
    <xf numFmtId="0" fontId="35" fillId="0" borderId="0" xfId="0" applyNumberFormat="1" applyFont="1" applyFill="1" applyAlignment="1">
      <alignment vertical="center"/>
    </xf>
    <xf numFmtId="0" fontId="36" fillId="0" borderId="26" xfId="0" applyFont="1" applyFill="1" applyBorder="1"/>
    <xf numFmtId="0" fontId="35" fillId="0" borderId="0" xfId="0" applyFont="1" applyFill="1" applyAlignment="1">
      <alignment horizontal="left" vertical="center"/>
    </xf>
    <xf numFmtId="0" fontId="37" fillId="0" borderId="0" xfId="0" applyFont="1" applyFill="1" applyBorder="1" applyAlignment="1">
      <alignment horizontal="center" vertical="center"/>
    </xf>
    <xf numFmtId="0" fontId="49" fillId="37" borderId="0" xfId="7" applyFont="1" applyFill="1" applyBorder="1" applyAlignment="1">
      <alignment horizontal="center" vertical="center" wrapText="1" readingOrder="1"/>
    </xf>
    <xf numFmtId="0" fontId="51" fillId="0" borderId="0" xfId="7" applyFont="1" applyFill="1" applyBorder="1" applyAlignment="1">
      <alignment horizontal="center" vertical="center" wrapText="1" readingOrder="1"/>
    </xf>
    <xf numFmtId="0" fontId="52" fillId="36" borderId="0" xfId="7" applyFont="1" applyFill="1" applyBorder="1" applyAlignment="1">
      <alignment horizontal="center" vertical="center" wrapText="1" readingOrder="1"/>
    </xf>
    <xf numFmtId="0" fontId="53" fillId="9" borderId="0" xfId="7" applyFont="1" applyFill="1" applyBorder="1" applyAlignment="1">
      <alignment horizontal="center" vertical="center" wrapText="1" readingOrder="1"/>
    </xf>
    <xf numFmtId="0" fontId="54" fillId="35" borderId="0" xfId="7" applyFont="1" applyFill="1" applyBorder="1" applyAlignment="1">
      <alignment horizontal="center" vertical="center" wrapText="1" readingOrder="1"/>
    </xf>
    <xf numFmtId="0" fontId="55" fillId="34" borderId="0" xfId="7" applyFont="1" applyFill="1" applyBorder="1" applyAlignment="1">
      <alignment horizontal="center" vertical="center" wrapText="1" readingOrder="1"/>
    </xf>
    <xf numFmtId="0" fontId="46" fillId="0" borderId="0" xfId="7" applyFont="1" applyBorder="1" applyAlignment="1">
      <alignment horizontal="center" wrapText="1"/>
    </xf>
    <xf numFmtId="0" fontId="5" fillId="0" borderId="0" xfId="7" applyFont="1" applyBorder="1" applyAlignment="1">
      <alignment horizontal="center" wrapText="1"/>
    </xf>
    <xf numFmtId="0" fontId="45" fillId="37" borderId="21" xfId="7" applyFont="1" applyFill="1" applyBorder="1" applyAlignment="1">
      <alignment horizontal="center" vertical="center" wrapText="1" readingOrder="1"/>
    </xf>
    <xf numFmtId="0" fontId="4" fillId="38" borderId="23" xfId="7" applyFont="1" applyFill="1" applyBorder="1" applyAlignment="1">
      <alignment horizontal="center" vertical="center" wrapText="1" readingOrder="1"/>
    </xf>
    <xf numFmtId="0" fontId="4" fillId="9" borderId="23" xfId="7" applyFont="1" applyFill="1" applyBorder="1" applyAlignment="1">
      <alignment horizontal="center" vertical="center" wrapText="1" readingOrder="1"/>
    </xf>
    <xf numFmtId="0" fontId="4" fillId="7" borderId="22" xfId="7" applyFont="1" applyFill="1" applyBorder="1" applyAlignment="1">
      <alignment horizontal="center" vertical="center" wrapText="1" readingOrder="1"/>
    </xf>
    <xf numFmtId="0" fontId="48" fillId="37" borderId="0" xfId="7" applyFont="1" applyFill="1" applyBorder="1" applyAlignment="1">
      <alignment horizontal="center" vertical="center" wrapText="1" readingOrder="1"/>
    </xf>
    <xf numFmtId="0" fontId="45" fillId="37" borderId="23" xfId="7" applyFont="1" applyFill="1" applyBorder="1" applyAlignment="1">
      <alignment horizontal="center" vertical="center" wrapText="1" readingOrder="1"/>
    </xf>
    <xf numFmtId="0" fontId="6" fillId="0" borderId="0" xfId="0" applyNumberFormat="1" applyFont="1" applyBorder="1" applyAlignment="1"/>
    <xf numFmtId="14" fontId="38" fillId="0" borderId="0" xfId="0" applyNumberFormat="1" applyFont="1" applyBorder="1" applyAlignment="1">
      <alignment horizontal="center"/>
    </xf>
    <xf numFmtId="0" fontId="6" fillId="0" borderId="0" xfId="0" applyFont="1" applyBorder="1" applyAlignment="1">
      <alignment horizontal="center"/>
    </xf>
    <xf numFmtId="0" fontId="6" fillId="0" borderId="0" xfId="0" applyFont="1" applyBorder="1" applyAlignment="1"/>
    <xf numFmtId="0" fontId="38" fillId="0" borderId="0" xfId="0" applyNumberFormat="1" applyFont="1" applyBorder="1" applyAlignment="1">
      <alignment horizontal="left"/>
    </xf>
    <xf numFmtId="0" fontId="38" fillId="0" borderId="0" xfId="0" applyNumberFormat="1" applyFont="1" applyBorder="1" applyAlignment="1"/>
    <xf numFmtId="0" fontId="38" fillId="0" borderId="0" xfId="0" applyNumberFormat="1" applyFont="1" applyBorder="1" applyAlignment="1">
      <alignment horizontal="left" wrapText="1"/>
    </xf>
    <xf numFmtId="0" fontId="38" fillId="0" borderId="0" xfId="0" applyNumberFormat="1" applyFont="1" applyBorder="1" applyAlignment="1">
      <alignment wrapText="1"/>
    </xf>
    <xf numFmtId="0" fontId="6" fillId="0" borderId="0" xfId="0" applyFont="1" applyBorder="1" applyAlignment="1">
      <alignment horizontal="left"/>
    </xf>
    <xf numFmtId="0" fontId="41" fillId="0" borderId="6" xfId="7" applyNumberFormat="1" applyFont="1" applyBorder="1" applyAlignment="1">
      <alignment horizontal="center" vertical="center"/>
    </xf>
    <xf numFmtId="0" fontId="41" fillId="0" borderId="6" xfId="7" applyNumberFormat="1" applyFont="1" applyBorder="1" applyAlignment="1">
      <alignment horizontal="left" vertical="center"/>
    </xf>
    <xf numFmtId="0" fontId="41" fillId="0" borderId="0" xfId="7" applyFont="1"/>
    <xf numFmtId="0" fontId="40" fillId="0" borderId="0" xfId="7" applyFont="1" applyBorder="1" applyAlignment="1">
      <alignment horizontal="center" vertical="center"/>
    </xf>
    <xf numFmtId="0" fontId="40" fillId="0" borderId="0" xfId="7" applyFont="1" applyBorder="1" applyAlignment="1">
      <alignment horizontal="center"/>
    </xf>
    <xf numFmtId="0" fontId="36" fillId="0" borderId="0" xfId="0" applyFont="1"/>
    <xf numFmtId="0" fontId="41" fillId="2" borderId="0" xfId="7" applyFont="1" applyFill="1" applyBorder="1" applyAlignment="1">
      <alignment horizontal="left" vertical="center"/>
    </xf>
    <xf numFmtId="0" fontId="40" fillId="2" borderId="0" xfId="7" applyFont="1" applyFill="1" applyBorder="1" applyAlignment="1">
      <alignment horizontal="left" vertical="center"/>
    </xf>
    <xf numFmtId="0" fontId="36" fillId="0" borderId="0" xfId="0" applyFont="1" applyAlignment="1">
      <alignment horizontal="left"/>
    </xf>
    <xf numFmtId="0" fontId="41" fillId="0" borderId="0" xfId="7" applyFont="1" applyBorder="1"/>
    <xf numFmtId="0" fontId="36" fillId="0" borderId="0" xfId="0" applyFont="1" applyBorder="1" applyAlignment="1">
      <alignment horizontal="center"/>
    </xf>
    <xf numFmtId="9" fontId="41" fillId="0" borderId="0" xfId="7" applyNumberFormat="1" applyFont="1" applyBorder="1"/>
    <xf numFmtId="0" fontId="36" fillId="0" borderId="0" xfId="0" applyFont="1" applyBorder="1"/>
    <xf numFmtId="0" fontId="36" fillId="0" borderId="0" xfId="0" applyFont="1" applyAlignment="1">
      <alignment horizontal="center"/>
    </xf>
    <xf numFmtId="0" fontId="36" fillId="2" borderId="0" xfId="0" applyFont="1" applyFill="1"/>
    <xf numFmtId="0" fontId="35" fillId="0" borderId="0" xfId="0" applyFont="1" applyBorder="1"/>
    <xf numFmtId="0" fontId="35" fillId="0" borderId="0" xfId="0" applyFont="1" applyBorder="1" applyAlignment="1"/>
    <xf numFmtId="0" fontId="35" fillId="0" borderId="0" xfId="0" applyFont="1" applyBorder="1" applyAlignment="1">
      <alignment horizontal="center"/>
    </xf>
    <xf numFmtId="0" fontId="35" fillId="0" borderId="0" xfId="0" applyFont="1"/>
    <xf numFmtId="0" fontId="35" fillId="2" borderId="0" xfId="0" applyFont="1" applyFill="1"/>
    <xf numFmtId="0" fontId="36" fillId="2" borderId="0" xfId="0" applyFont="1" applyFill="1" applyBorder="1"/>
    <xf numFmtId="0" fontId="36" fillId="2" borderId="0" xfId="0" applyFont="1" applyFill="1" applyBorder="1" applyAlignment="1">
      <alignment horizontal="center"/>
    </xf>
    <xf numFmtId="0" fontId="0" fillId="0" borderId="0" xfId="0" applyFont="1" applyBorder="1" applyAlignment="1"/>
    <xf numFmtId="0" fontId="0" fillId="0" borderId="0" xfId="0" applyFont="1"/>
    <xf numFmtId="0" fontId="0" fillId="0" borderId="0" xfId="0" applyNumberFormat="1" applyFont="1"/>
    <xf numFmtId="167" fontId="0" fillId="0" borderId="0" xfId="0" applyNumberFormat="1" applyFont="1" applyBorder="1" applyAlignment="1"/>
    <xf numFmtId="0" fontId="41" fillId="0" borderId="0" xfId="7" applyNumberFormat="1" applyFont="1" applyBorder="1" applyAlignment="1">
      <alignment horizontal="left"/>
    </xf>
    <xf numFmtId="0" fontId="41" fillId="0" borderId="0" xfId="7" applyNumberFormat="1" applyFont="1" applyBorder="1" applyAlignment="1">
      <alignment horizontal="left" wrapText="1"/>
    </xf>
    <xf numFmtId="0" fontId="36" fillId="0" borderId="0" xfId="0" applyFont="1" applyFill="1" applyAlignment="1">
      <alignment horizontal="center"/>
    </xf>
    <xf numFmtId="0" fontId="0" fillId="0" borderId="0" xfId="0" applyAlignment="1">
      <alignment vertical="top"/>
    </xf>
    <xf numFmtId="0" fontId="43" fillId="0" borderId="0" xfId="7" applyNumberFormat="1" applyFont="1" applyBorder="1" applyAlignment="1">
      <alignment horizontal="left" vertical="top" wrapText="1"/>
    </xf>
    <xf numFmtId="0" fontId="0" fillId="0" borderId="0" xfId="0" applyAlignment="1">
      <alignment horizontal="left" vertical="top"/>
    </xf>
    <xf numFmtId="0" fontId="43" fillId="0" borderId="0" xfId="0" applyFont="1" applyBorder="1" applyAlignment="1">
      <alignment horizontal="left" vertical="top" wrapText="1"/>
    </xf>
    <xf numFmtId="0" fontId="0" fillId="0" borderId="0" xfId="0" applyAlignment="1">
      <alignment horizontal="right" vertical="top"/>
    </xf>
    <xf numFmtId="0" fontId="6" fillId="0" borderId="0" xfId="7" applyNumberFormat="1" applyFont="1" applyBorder="1" applyAlignment="1">
      <alignment horizontal="center"/>
    </xf>
    <xf numFmtId="0" fontId="6" fillId="0" borderId="0" xfId="0" applyNumberFormat="1" applyFont="1" applyBorder="1" applyAlignment="1">
      <alignment horizontal="center"/>
    </xf>
    <xf numFmtId="0" fontId="6" fillId="0" borderId="0" xfId="0" applyNumberFormat="1" applyFont="1" applyBorder="1" applyAlignment="1">
      <alignment wrapText="1"/>
    </xf>
    <xf numFmtId="0" fontId="38" fillId="0" borderId="0" xfId="480" applyNumberFormat="1" applyFont="1" applyBorder="1" applyAlignment="1">
      <alignment horizontal="left" wrapText="1"/>
    </xf>
    <xf numFmtId="0" fontId="41" fillId="0" borderId="0" xfId="7" applyNumberFormat="1" applyFont="1" applyBorder="1" applyAlignment="1"/>
    <xf numFmtId="0" fontId="0" fillId="0" borderId="0" xfId="0" applyFont="1" applyBorder="1" applyAlignment="1">
      <alignment horizontal="center"/>
    </xf>
    <xf numFmtId="0" fontId="56" fillId="0" borderId="0" xfId="7" applyNumberFormat="1" applyFont="1" applyFill="1" applyBorder="1" applyAlignment="1">
      <alignment horizontal="left" vertical="center"/>
    </xf>
    <xf numFmtId="0" fontId="57" fillId="0" borderId="0" xfId="0" applyFont="1" applyAlignment="1">
      <alignment horizontal="left" vertical="center"/>
    </xf>
    <xf numFmtId="0" fontId="57" fillId="0" borderId="0" xfId="0" applyFont="1" applyBorder="1" applyAlignment="1">
      <alignment horizontal="left" vertical="center"/>
    </xf>
    <xf numFmtId="0" fontId="56" fillId="0" borderId="0" xfId="7" applyNumberFormat="1" applyFont="1" applyFill="1" applyBorder="1" applyAlignment="1">
      <alignment horizontal="left" vertical="center" wrapText="1"/>
    </xf>
    <xf numFmtId="0" fontId="56" fillId="0" borderId="34" xfId="7" applyNumberFormat="1" applyFont="1" applyFill="1" applyBorder="1" applyAlignment="1">
      <alignment horizontal="left" vertical="center"/>
    </xf>
    <xf numFmtId="0" fontId="56" fillId="40" borderId="39" xfId="7" applyNumberFormat="1" applyFont="1" applyFill="1" applyBorder="1" applyAlignment="1">
      <alignment horizontal="left" vertical="center"/>
    </xf>
    <xf numFmtId="0" fontId="56" fillId="40" borderId="0" xfId="7" applyNumberFormat="1" applyFont="1" applyFill="1" applyBorder="1" applyAlignment="1">
      <alignment horizontal="left" vertical="center"/>
    </xf>
    <xf numFmtId="0" fontId="56" fillId="41" borderId="0" xfId="7" applyNumberFormat="1" applyFont="1" applyFill="1" applyBorder="1" applyAlignment="1">
      <alignment horizontal="left" vertical="center"/>
    </xf>
    <xf numFmtId="0" fontId="56" fillId="41" borderId="40" xfId="7" applyNumberFormat="1" applyFont="1" applyFill="1" applyBorder="1" applyAlignment="1">
      <alignment horizontal="left" vertical="center"/>
    </xf>
    <xf numFmtId="0" fontId="58" fillId="0" borderId="5" xfId="7" applyNumberFormat="1" applyFont="1" applyFill="1" applyBorder="1" applyAlignment="1">
      <alignment horizontal="center" vertical="center" wrapText="1" readingOrder="1"/>
    </xf>
    <xf numFmtId="0" fontId="58" fillId="0" borderId="35" xfId="7" applyNumberFormat="1" applyFont="1" applyFill="1" applyBorder="1" applyAlignment="1">
      <alignment horizontal="center" vertical="center" wrapText="1" readingOrder="1"/>
    </xf>
    <xf numFmtId="0" fontId="58" fillId="40" borderId="35" xfId="7" applyNumberFormat="1" applyFont="1" applyFill="1" applyBorder="1" applyAlignment="1">
      <alignment horizontal="center" vertical="center" wrapText="1" readingOrder="1"/>
    </xf>
    <xf numFmtId="0" fontId="58" fillId="41" borderId="35" xfId="7" applyNumberFormat="1" applyFont="1" applyFill="1" applyBorder="1" applyAlignment="1">
      <alignment horizontal="center" vertical="center" wrapText="1" readingOrder="1"/>
    </xf>
    <xf numFmtId="0" fontId="58" fillId="41" borderId="3" xfId="7" applyNumberFormat="1" applyFont="1" applyFill="1" applyBorder="1" applyAlignment="1">
      <alignment horizontal="center" vertical="center" wrapText="1" readingOrder="1"/>
    </xf>
    <xf numFmtId="0" fontId="59" fillId="0" borderId="0" xfId="7" applyFont="1" applyAlignment="1">
      <alignment horizontal="center"/>
    </xf>
    <xf numFmtId="49" fontId="36" fillId="0" borderId="0" xfId="0" applyNumberFormat="1" applyFont="1" applyFill="1" applyBorder="1" applyAlignment="1">
      <alignment horizontal="center" vertical="center"/>
    </xf>
    <xf numFmtId="49" fontId="36" fillId="0" borderId="0" xfId="0" applyNumberFormat="1" applyFont="1" applyFill="1" applyBorder="1" applyAlignment="1">
      <alignment horizontal="center" vertical="center" wrapText="1"/>
    </xf>
    <xf numFmtId="0" fontId="36" fillId="0" borderId="0" xfId="0" applyFont="1" applyAlignment="1">
      <alignment horizontal="centerContinuous"/>
    </xf>
    <xf numFmtId="0" fontId="35" fillId="0" borderId="0" xfId="0" applyFont="1" applyAlignment="1">
      <alignment horizontal="centerContinuous"/>
    </xf>
    <xf numFmtId="166" fontId="35" fillId="0" borderId="1" xfId="0" applyNumberFormat="1" applyFont="1" applyBorder="1"/>
    <xf numFmtId="166" fontId="35" fillId="0" borderId="24" xfId="0" applyNumberFormat="1" applyFont="1" applyBorder="1" applyAlignment="1">
      <alignment horizontal="left"/>
    </xf>
    <xf numFmtId="166" fontId="35" fillId="0" borderId="3" xfId="0" applyNumberFormat="1" applyFont="1" applyBorder="1"/>
    <xf numFmtId="0" fontId="42" fillId="39" borderId="36" xfId="0" applyFont="1" applyFill="1" applyBorder="1" applyAlignment="1">
      <alignment horizontal="center"/>
    </xf>
    <xf numFmtId="167" fontId="37" fillId="0" borderId="0" xfId="0" applyNumberFormat="1" applyFont="1" applyFill="1" applyBorder="1" applyAlignment="1">
      <alignment horizontal="right" vertical="center"/>
    </xf>
    <xf numFmtId="0" fontId="37" fillId="0" borderId="0" xfId="0" applyFont="1" applyFill="1" applyBorder="1" applyAlignment="1">
      <alignment horizontal="right" vertical="center"/>
    </xf>
    <xf numFmtId="166" fontId="36" fillId="0" borderId="0" xfId="0" applyNumberFormat="1" applyFont="1" applyFill="1" applyBorder="1" applyAlignment="1">
      <alignment wrapText="1"/>
    </xf>
    <xf numFmtId="0" fontId="37" fillId="0" borderId="0" xfId="0" applyFont="1" applyFill="1" applyBorder="1" applyAlignment="1">
      <alignment horizontal="center" wrapText="1"/>
    </xf>
    <xf numFmtId="0" fontId="36" fillId="0" borderId="29" xfId="0" applyFont="1" applyFill="1" applyBorder="1"/>
    <xf numFmtId="0" fontId="36" fillId="0" borderId="30" xfId="0" applyFont="1" applyFill="1" applyBorder="1"/>
    <xf numFmtId="0" fontId="36" fillId="0" borderId="31" xfId="0" applyFont="1" applyFill="1" applyBorder="1"/>
    <xf numFmtId="0" fontId="36" fillId="0" borderId="32" xfId="0" applyFont="1" applyFill="1" applyBorder="1"/>
    <xf numFmtId="0" fontId="36" fillId="0" borderId="33" xfId="0" applyFont="1" applyFill="1" applyBorder="1"/>
    <xf numFmtId="167" fontId="63" fillId="0" borderId="0" xfId="0" applyNumberFormat="1" applyFont="1" applyFill="1" applyBorder="1" applyAlignment="1">
      <alignment horizontal="right" vertical="center"/>
    </xf>
    <xf numFmtId="0" fontId="62" fillId="0" borderId="37" xfId="0" applyFont="1" applyFill="1" applyBorder="1"/>
    <xf numFmtId="0" fontId="36" fillId="0" borderId="38" xfId="0" applyFont="1" applyBorder="1" applyAlignment="1">
      <alignment horizontal="center"/>
    </xf>
    <xf numFmtId="1" fontId="63" fillId="0" borderId="0" xfId="481" applyNumberFormat="1" applyFont="1" applyFill="1" applyBorder="1" applyAlignment="1">
      <alignment horizontal="right" vertical="center"/>
    </xf>
    <xf numFmtId="169" fontId="0" fillId="0" borderId="0" xfId="0" applyNumberFormat="1" applyFont="1" applyBorder="1" applyAlignment="1"/>
    <xf numFmtId="0" fontId="41" fillId="0" borderId="2" xfId="7" applyNumberFormat="1" applyFont="1" applyBorder="1" applyAlignment="1">
      <alignment horizontal="left" vertical="center"/>
    </xf>
    <xf numFmtId="0" fontId="36" fillId="0" borderId="37" xfId="0" applyFont="1" applyBorder="1" applyAlignment="1">
      <alignment horizontal="center"/>
    </xf>
    <xf numFmtId="0" fontId="51" fillId="0" borderId="6" xfId="7" applyNumberFormat="1" applyFont="1" applyBorder="1" applyAlignment="1">
      <alignment horizontal="left" vertical="center" wrapText="1" readingOrder="1"/>
    </xf>
    <xf numFmtId="0" fontId="51" fillId="0" borderId="21" xfId="7" applyNumberFormat="1" applyFont="1" applyBorder="1" applyAlignment="1">
      <alignment horizontal="left" vertical="center" wrapText="1" readingOrder="1"/>
    </xf>
    <xf numFmtId="0" fontId="51" fillId="0" borderId="2" xfId="7" applyNumberFormat="1" applyFont="1" applyBorder="1" applyAlignment="1">
      <alignment horizontal="left" vertical="center" wrapText="1" readingOrder="1"/>
    </xf>
    <xf numFmtId="0" fontId="51" fillId="0" borderId="1" xfId="7" applyNumberFormat="1" applyFont="1" applyBorder="1" applyAlignment="1">
      <alignment horizontal="left" vertical="center" wrapText="1" readingOrder="1"/>
    </xf>
    <xf numFmtId="0" fontId="1" fillId="0" borderId="0" xfId="7" applyAlignment="1">
      <alignment horizontal="left" wrapText="1"/>
    </xf>
    <xf numFmtId="168" fontId="36" fillId="0" borderId="0" xfId="481" applyNumberFormat="1" applyFont="1" applyBorder="1" applyAlignment="1">
      <alignment horizontal="right"/>
    </xf>
    <xf numFmtId="168" fontId="36" fillId="0" borderId="4" xfId="481" applyNumberFormat="1" applyFont="1" applyBorder="1" applyAlignment="1">
      <alignment horizontal="right"/>
    </xf>
    <xf numFmtId="0" fontId="36" fillId="0" borderId="25" xfId="0" applyFont="1" applyBorder="1" applyAlignment="1">
      <alignment horizontal="center"/>
    </xf>
    <xf numFmtId="1" fontId="63" fillId="0" borderId="4" xfId="481" applyNumberFormat="1" applyFont="1" applyFill="1" applyBorder="1" applyAlignment="1">
      <alignment horizontal="right" vertical="center"/>
    </xf>
    <xf numFmtId="0" fontId="36" fillId="0" borderId="5" xfId="0" applyFont="1" applyBorder="1" applyAlignment="1">
      <alignment horizontal="center"/>
    </xf>
    <xf numFmtId="0" fontId="35" fillId="0" borderId="0" xfId="0" applyFont="1" applyAlignment="1">
      <alignment horizontal="center"/>
    </xf>
    <xf numFmtId="9" fontId="3" fillId="0" borderId="0" xfId="8"/>
    <xf numFmtId="166" fontId="42" fillId="0" borderId="0" xfId="7" applyNumberFormat="1" applyFont="1" applyFill="1" applyBorder="1" applyAlignment="1">
      <alignment horizontal="right" vertical="center" wrapText="1"/>
    </xf>
    <xf numFmtId="0" fontId="44" fillId="0" borderId="0" xfId="7" applyFont="1" applyFill="1" applyBorder="1" applyAlignment="1">
      <alignment horizontal="center" vertical="center"/>
    </xf>
    <xf numFmtId="0" fontId="65" fillId="0" borderId="0" xfId="482" applyFont="1"/>
    <xf numFmtId="0" fontId="66" fillId="0" borderId="0" xfId="482" applyFont="1" applyAlignment="1">
      <alignment vertical="center"/>
    </xf>
    <xf numFmtId="0" fontId="65" fillId="0" borderId="0" xfId="482" applyFont="1" applyAlignment="1">
      <alignment vertical="center"/>
    </xf>
    <xf numFmtId="0" fontId="36" fillId="0" borderId="0" xfId="0" applyFont="1" applyFill="1" applyAlignment="1">
      <alignment horizontal="center"/>
    </xf>
    <xf numFmtId="0" fontId="67" fillId="0" borderId="0" xfId="482" applyFont="1" applyAlignment="1">
      <alignment vertical="center" wrapText="1"/>
    </xf>
    <xf numFmtId="0" fontId="42" fillId="39" borderId="43" xfId="0" applyFont="1" applyFill="1" applyBorder="1" applyAlignment="1">
      <alignment horizontal="center" wrapText="1"/>
    </xf>
    <xf numFmtId="0" fontId="42" fillId="39" borderId="44" xfId="0" applyFont="1" applyFill="1" applyBorder="1" applyAlignment="1">
      <alignment horizontal="center"/>
    </xf>
    <xf numFmtId="3" fontId="70" fillId="0" borderId="0" xfId="0" applyNumberFormat="1" applyFont="1" applyFill="1" applyBorder="1" applyAlignment="1">
      <alignment horizontal="center" vertical="center"/>
    </xf>
    <xf numFmtId="3" fontId="70" fillId="0" borderId="0" xfId="8" applyNumberFormat="1" applyFont="1" applyFill="1" applyBorder="1" applyAlignment="1" applyProtection="1">
      <alignment horizontal="center" vertical="center"/>
    </xf>
    <xf numFmtId="0" fontId="70" fillId="0" borderId="0" xfId="8" applyNumberFormat="1" applyFont="1" applyFill="1" applyBorder="1" applyAlignment="1" applyProtection="1">
      <alignment horizontal="center" vertical="center"/>
    </xf>
    <xf numFmtId="0" fontId="71" fillId="0" borderId="0" xfId="0" applyFont="1" applyFill="1" applyAlignment="1">
      <alignment horizontal="center" vertical="center"/>
    </xf>
    <xf numFmtId="1" fontId="71" fillId="0" borderId="0" xfId="0" applyNumberFormat="1" applyFont="1" applyFill="1" applyAlignment="1">
      <alignment horizontal="center" vertical="center"/>
    </xf>
    <xf numFmtId="0" fontId="70" fillId="0" borderId="0" xfId="0" applyNumberFormat="1" applyFont="1" applyFill="1" applyAlignment="1" applyProtection="1">
      <alignment horizontal="center" vertical="center"/>
    </xf>
    <xf numFmtId="0" fontId="70" fillId="0" borderId="0" xfId="0" applyFont="1" applyFill="1" applyBorder="1" applyAlignment="1">
      <alignment vertical="center" wrapText="1"/>
    </xf>
    <xf numFmtId="0" fontId="71" fillId="0" borderId="0" xfId="0" applyFont="1" applyFill="1" applyAlignment="1">
      <alignment vertical="center" wrapText="1"/>
    </xf>
    <xf numFmtId="0" fontId="70" fillId="0" borderId="0" xfId="0" applyFont="1" applyFill="1" applyBorder="1" applyAlignment="1">
      <alignment horizontal="center" vertical="center"/>
    </xf>
    <xf numFmtId="0" fontId="70" fillId="0" borderId="0" xfId="0" applyNumberFormat="1" applyFont="1" applyFill="1" applyBorder="1" applyAlignment="1">
      <alignment horizontal="center" vertical="center"/>
    </xf>
    <xf numFmtId="0" fontId="71" fillId="0" borderId="0" xfId="0" applyFont="1" applyFill="1" applyAlignment="1">
      <alignment horizontal="left" vertical="center" wrapText="1"/>
    </xf>
    <xf numFmtId="0" fontId="70" fillId="0" borderId="0" xfId="0" applyFont="1" applyFill="1" applyAlignment="1">
      <alignment horizontal="center" vertical="center"/>
    </xf>
    <xf numFmtId="0" fontId="71" fillId="0" borderId="43" xfId="0" applyFont="1" applyBorder="1" applyAlignment="1">
      <alignment vertical="center" wrapText="1"/>
    </xf>
    <xf numFmtId="0" fontId="71" fillId="0" borderId="36" xfId="0" applyFont="1" applyBorder="1" applyAlignment="1">
      <alignment horizontal="center" vertical="center"/>
    </xf>
    <xf numFmtId="0" fontId="71" fillId="0" borderId="44" xfId="0" applyFont="1" applyBorder="1" applyAlignment="1">
      <alignment horizontal="center" vertical="center"/>
    </xf>
    <xf numFmtId="0" fontId="71" fillId="0" borderId="45" xfId="0" applyFont="1" applyBorder="1" applyAlignment="1">
      <alignment vertical="center" wrapText="1"/>
    </xf>
    <xf numFmtId="0" fontId="71" fillId="0" borderId="46" xfId="0" applyFont="1" applyBorder="1" applyAlignment="1">
      <alignment horizontal="center" vertical="center"/>
    </xf>
    <xf numFmtId="0" fontId="71" fillId="0" borderId="47" xfId="0" applyFont="1" applyBorder="1" applyAlignment="1">
      <alignment horizontal="center" vertical="center"/>
    </xf>
    <xf numFmtId="166" fontId="73" fillId="0" borderId="0" xfId="0" applyNumberFormat="1" applyFont="1" applyFill="1" applyBorder="1" applyAlignment="1">
      <alignment vertical="center" wrapText="1"/>
    </xf>
    <xf numFmtId="166" fontId="73" fillId="0" borderId="0" xfId="0" applyNumberFormat="1" applyFont="1" applyFill="1" applyAlignment="1">
      <alignment vertical="center" wrapText="1"/>
    </xf>
    <xf numFmtId="166" fontId="71" fillId="0" borderId="0" xfId="0" applyNumberFormat="1" applyFont="1" applyFill="1" applyBorder="1" applyAlignment="1">
      <alignment vertical="center" wrapText="1"/>
    </xf>
    <xf numFmtId="0" fontId="70" fillId="0" borderId="0" xfId="0" applyFont="1" applyFill="1" applyBorder="1" applyAlignment="1">
      <alignment horizontal="left" vertical="center" wrapText="1"/>
    </xf>
    <xf numFmtId="0" fontId="70" fillId="0" borderId="0" xfId="0" applyFont="1" applyFill="1" applyBorder="1" applyAlignment="1">
      <alignment horizontal="left" vertical="center"/>
    </xf>
    <xf numFmtId="0" fontId="50" fillId="37" borderId="0" xfId="7" applyFont="1" applyFill="1" applyBorder="1" applyAlignment="1">
      <alignment horizontal="center" vertical="center" wrapText="1" readingOrder="1"/>
    </xf>
    <xf numFmtId="0" fontId="0" fillId="0" borderId="0" xfId="0" applyAlignment="1">
      <alignment vertical="center" wrapText="1"/>
    </xf>
    <xf numFmtId="0" fontId="0" fillId="0" borderId="0" xfId="0" applyAlignment="1">
      <alignment horizontal="left" vertical="center"/>
    </xf>
    <xf numFmtId="0" fontId="0" fillId="0" borderId="0" xfId="0" applyAlignment="1">
      <alignment vertical="center"/>
    </xf>
    <xf numFmtId="0" fontId="0" fillId="0" borderId="0" xfId="0" applyAlignment="1">
      <alignment horizontal="left" vertical="center" wrapText="1"/>
    </xf>
    <xf numFmtId="0" fontId="0" fillId="0" borderId="0" xfId="0" applyAlignment="1">
      <alignment horizontal="center" vertical="center"/>
    </xf>
    <xf numFmtId="0" fontId="36" fillId="0" borderId="48" xfId="3" applyNumberFormat="1" applyFont="1" applyBorder="1" applyAlignment="1">
      <alignment horizontal="center" vertical="center"/>
    </xf>
    <xf numFmtId="0" fontId="41" fillId="0" borderId="48" xfId="3" applyNumberFormat="1" applyFont="1" applyBorder="1" applyAlignment="1">
      <alignment horizontal="center" vertical="center"/>
    </xf>
    <xf numFmtId="0" fontId="56" fillId="44" borderId="34" xfId="7" applyNumberFormat="1" applyFont="1" applyFill="1" applyBorder="1" applyAlignment="1">
      <alignment horizontal="left" vertical="center"/>
    </xf>
    <xf numFmtId="0" fontId="78" fillId="0" borderId="0" xfId="0" applyFont="1" applyFill="1" applyBorder="1" applyAlignment="1">
      <alignment horizontal="center" vertical="center" wrapText="1"/>
    </xf>
    <xf numFmtId="0" fontId="78" fillId="42" borderId="0" xfId="0" applyFont="1" applyFill="1" applyBorder="1" applyAlignment="1">
      <alignment horizontal="center" vertical="center" wrapText="1"/>
    </xf>
    <xf numFmtId="0" fontId="78" fillId="44" borderId="0" xfId="0" applyFont="1" applyFill="1" applyBorder="1" applyAlignment="1">
      <alignment horizontal="center" vertical="center" wrapText="1"/>
    </xf>
    <xf numFmtId="0" fontId="78" fillId="45" borderId="0" xfId="3" applyFont="1" applyFill="1" applyBorder="1" applyAlignment="1">
      <alignment horizontal="center" vertical="center" wrapText="1"/>
    </xf>
    <xf numFmtId="0" fontId="79" fillId="0" borderId="0" xfId="0" applyFont="1"/>
    <xf numFmtId="0" fontId="79" fillId="0" borderId="0" xfId="0" applyFont="1" applyFill="1" applyBorder="1" applyAlignment="1">
      <alignment horizontal="center"/>
    </xf>
    <xf numFmtId="0" fontId="79" fillId="0" borderId="0" xfId="3" applyFont="1" applyFill="1" applyBorder="1" applyAlignment="1">
      <alignment horizontal="left" vertical="center"/>
    </xf>
    <xf numFmtId="0" fontId="80" fillId="0" borderId="0" xfId="0" applyFont="1" applyFill="1" applyBorder="1" applyAlignment="1">
      <alignment horizontal="center" vertical="center"/>
    </xf>
    <xf numFmtId="0" fontId="79" fillId="0" borderId="0" xfId="0" applyFont="1" applyAlignment="1">
      <alignment horizontal="center" vertical="center"/>
    </xf>
    <xf numFmtId="0" fontId="79" fillId="0" borderId="0" xfId="3" applyFont="1" applyFill="1" applyBorder="1" applyAlignment="1">
      <alignment horizontal="center"/>
    </xf>
    <xf numFmtId="0" fontId="79" fillId="0" borderId="0" xfId="3" applyFont="1" applyFill="1" applyBorder="1" applyAlignment="1">
      <alignment horizontal="left"/>
    </xf>
    <xf numFmtId="0" fontId="79" fillId="0" borderId="0" xfId="0" applyFont="1" applyFill="1" applyBorder="1" applyAlignment="1"/>
    <xf numFmtId="0" fontId="79" fillId="0" borderId="0" xfId="3" applyFont="1" applyFill="1" applyBorder="1" applyAlignment="1">
      <alignment horizontal="center" vertical="center" wrapText="1"/>
    </xf>
    <xf numFmtId="0" fontId="79" fillId="0" borderId="0" xfId="0" applyFont="1" applyFill="1" applyBorder="1" applyAlignment="1">
      <alignment horizontal="center" vertical="center" wrapText="1"/>
    </xf>
    <xf numFmtId="0" fontId="79" fillId="0" borderId="0" xfId="0" applyFont="1" applyAlignment="1">
      <alignment horizontal="center" vertical="center" wrapText="1"/>
    </xf>
    <xf numFmtId="166" fontId="42" fillId="0" borderId="0" xfId="7" applyNumberFormat="1" applyFont="1" applyFill="1" applyBorder="1" applyAlignment="1">
      <alignment horizontal="right" vertical="center" wrapText="1"/>
    </xf>
    <xf numFmtId="0" fontId="44" fillId="0" borderId="0" xfId="7" applyFont="1" applyFill="1" applyBorder="1" applyAlignment="1">
      <alignment horizontal="center" vertical="center"/>
    </xf>
    <xf numFmtId="0" fontId="74" fillId="0" borderId="0" xfId="0" applyFont="1" applyFill="1" applyBorder="1" applyAlignment="1">
      <alignment horizontal="left" vertical="center"/>
    </xf>
    <xf numFmtId="0" fontId="60" fillId="0" borderId="0" xfId="0" applyFont="1" applyFill="1" applyAlignment="1">
      <alignment horizontal="center"/>
    </xf>
    <xf numFmtId="0" fontId="61" fillId="0" borderId="0" xfId="0" applyFont="1" applyAlignment="1">
      <alignment horizontal="center"/>
    </xf>
    <xf numFmtId="169" fontId="74" fillId="0" borderId="0" xfId="481" applyNumberFormat="1" applyFont="1" applyFill="1" applyBorder="1" applyAlignment="1">
      <alignment horizontal="left" vertical="center"/>
    </xf>
    <xf numFmtId="14" fontId="74" fillId="0" borderId="0" xfId="0" applyNumberFormat="1" applyFont="1" applyFill="1" applyBorder="1" applyAlignment="1">
      <alignment horizontal="left" vertical="center"/>
    </xf>
    <xf numFmtId="0" fontId="77" fillId="0" borderId="0" xfId="482" applyFont="1" applyAlignment="1">
      <alignment horizontal="right" vertical="center"/>
    </xf>
    <xf numFmtId="0" fontId="76" fillId="0" borderId="0" xfId="482" applyFont="1" applyAlignment="1">
      <alignment horizontal="right" vertical="center" wrapText="1"/>
    </xf>
    <xf numFmtId="0" fontId="70" fillId="0" borderId="42" xfId="0" applyFont="1" applyBorder="1" applyAlignment="1">
      <alignment horizontal="left" vertical="center" wrapText="1"/>
    </xf>
    <xf numFmtId="0" fontId="72" fillId="0" borderId="27" xfId="0" applyFont="1" applyFill="1" applyBorder="1" applyAlignment="1">
      <alignment horizontal="left" vertical="top" wrapText="1"/>
    </xf>
    <xf numFmtId="0" fontId="72" fillId="0" borderId="26" xfId="0" applyFont="1" applyFill="1" applyBorder="1" applyAlignment="1">
      <alignment horizontal="left" vertical="top" wrapText="1"/>
    </xf>
    <xf numFmtId="0" fontId="72" fillId="0" borderId="28" xfId="0" applyFont="1" applyFill="1" applyBorder="1" applyAlignment="1">
      <alignment horizontal="left" vertical="top" wrapText="1"/>
    </xf>
    <xf numFmtId="0" fontId="72" fillId="0" borderId="29" xfId="0" applyFont="1" applyFill="1" applyBorder="1" applyAlignment="1">
      <alignment horizontal="left" vertical="top" wrapText="1"/>
    </xf>
    <xf numFmtId="0" fontId="72" fillId="0" borderId="0" xfId="0" applyFont="1" applyFill="1" applyBorder="1" applyAlignment="1">
      <alignment horizontal="left" vertical="top" wrapText="1"/>
    </xf>
    <xf numFmtId="0" fontId="72" fillId="0" borderId="30" xfId="0" applyFont="1" applyFill="1" applyBorder="1" applyAlignment="1">
      <alignment horizontal="left" vertical="top" wrapText="1"/>
    </xf>
    <xf numFmtId="0" fontId="72" fillId="0" borderId="41" xfId="0" applyFont="1" applyFill="1" applyBorder="1" applyAlignment="1">
      <alignment horizontal="left" vertical="top" wrapText="1"/>
    </xf>
    <xf numFmtId="0" fontId="70" fillId="0" borderId="32" xfId="0" applyFont="1" applyBorder="1" applyAlignment="1">
      <alignment horizontal="left" vertical="center" wrapText="1"/>
    </xf>
    <xf numFmtId="0" fontId="42" fillId="39" borderId="0" xfId="0" applyFont="1" applyFill="1" applyBorder="1" applyAlignment="1">
      <alignment horizontal="left" wrapText="1"/>
    </xf>
    <xf numFmtId="0" fontId="70" fillId="0" borderId="0" xfId="0" applyFont="1" applyFill="1" applyBorder="1" applyAlignment="1">
      <alignment horizontal="left" vertical="top" wrapText="1"/>
    </xf>
    <xf numFmtId="0" fontId="68" fillId="43" borderId="27" xfId="0" applyFont="1" applyFill="1" applyBorder="1" applyAlignment="1">
      <alignment horizontal="left" vertical="center" wrapText="1"/>
    </xf>
    <xf numFmtId="0" fontId="68" fillId="43" borderId="26" xfId="0" applyFont="1" applyFill="1" applyBorder="1" applyAlignment="1">
      <alignment horizontal="left" vertical="center" wrapText="1"/>
    </xf>
    <xf numFmtId="0" fontId="68" fillId="43" borderId="28" xfId="0" applyFont="1" applyFill="1" applyBorder="1" applyAlignment="1">
      <alignment horizontal="left" vertical="center" wrapText="1"/>
    </xf>
    <xf numFmtId="0" fontId="68" fillId="43" borderId="29" xfId="0" applyFont="1" applyFill="1" applyBorder="1" applyAlignment="1">
      <alignment horizontal="left" vertical="center" wrapText="1"/>
    </xf>
    <xf numFmtId="0" fontId="68" fillId="43" borderId="0" xfId="0" applyFont="1" applyFill="1" applyBorder="1" applyAlignment="1">
      <alignment horizontal="left" vertical="center" wrapText="1"/>
    </xf>
    <xf numFmtId="0" fontId="68" fillId="43" borderId="30" xfId="0" applyFont="1" applyFill="1" applyBorder="1" applyAlignment="1">
      <alignment horizontal="left" vertical="center" wrapText="1"/>
    </xf>
    <xf numFmtId="0" fontId="69" fillId="43" borderId="0" xfId="0" applyFont="1" applyFill="1" applyBorder="1" applyAlignment="1">
      <alignment horizontal="center" vertical="center"/>
    </xf>
    <xf numFmtId="0" fontId="69" fillId="43" borderId="32" xfId="0" applyFont="1" applyFill="1" applyBorder="1" applyAlignment="1">
      <alignment horizontal="center" vertical="center"/>
    </xf>
    <xf numFmtId="0" fontId="41" fillId="0" borderId="0" xfId="3" applyFont="1" applyFill="1" applyBorder="1" applyAlignment="1">
      <alignment horizontal="center" vertical="center" wrapText="1"/>
    </xf>
    <xf numFmtId="0" fontId="68" fillId="43" borderId="0" xfId="0" applyFont="1" applyFill="1" applyBorder="1" applyAlignment="1">
      <alignment horizontal="center" vertical="center"/>
    </xf>
    <xf numFmtId="0" fontId="68" fillId="43" borderId="32" xfId="0" applyFont="1" applyFill="1" applyBorder="1" applyAlignment="1">
      <alignment horizontal="center" vertical="center"/>
    </xf>
    <xf numFmtId="0" fontId="68" fillId="43" borderId="27" xfId="0" applyFont="1" applyFill="1" applyBorder="1" applyAlignment="1">
      <alignment horizontal="center" vertical="center" wrapText="1"/>
    </xf>
    <xf numFmtId="0" fontId="68" fillId="43" borderId="26" xfId="0" applyFont="1" applyFill="1" applyBorder="1" applyAlignment="1">
      <alignment horizontal="center" vertical="center" wrapText="1"/>
    </xf>
    <xf numFmtId="0" fontId="68" fillId="43" borderId="28" xfId="0" applyFont="1" applyFill="1" applyBorder="1" applyAlignment="1">
      <alignment horizontal="center" vertical="center" wrapText="1"/>
    </xf>
    <xf numFmtId="0" fontId="68" fillId="43" borderId="29" xfId="0" applyFont="1" applyFill="1" applyBorder="1" applyAlignment="1">
      <alignment horizontal="center" vertical="center" wrapText="1"/>
    </xf>
    <xf numFmtId="0" fontId="68" fillId="43" borderId="0" xfId="0" applyFont="1" applyFill="1" applyBorder="1" applyAlignment="1">
      <alignment horizontal="center" vertical="center" wrapText="1"/>
    </xf>
    <xf numFmtId="0" fontId="68" fillId="43" borderId="30" xfId="0" applyFont="1" applyFill="1" applyBorder="1" applyAlignment="1">
      <alignment horizontal="center" vertical="center" wrapText="1"/>
    </xf>
    <xf numFmtId="0" fontId="36" fillId="0" borderId="0" xfId="0" applyFont="1" applyFill="1" applyAlignment="1">
      <alignment horizontal="center"/>
    </xf>
    <xf numFmtId="0" fontId="67" fillId="0" borderId="0" xfId="482" applyFont="1" applyAlignment="1">
      <alignment horizontal="right" vertical="center" wrapText="1"/>
    </xf>
    <xf numFmtId="0" fontId="65" fillId="0" borderId="0" xfId="482" applyFont="1" applyAlignment="1">
      <alignment horizontal="right" vertical="center"/>
    </xf>
    <xf numFmtId="0" fontId="75" fillId="0" borderId="0" xfId="0" applyFont="1" applyFill="1" applyBorder="1" applyAlignment="1">
      <alignment horizontal="left" vertical="center"/>
    </xf>
    <xf numFmtId="169" fontId="75" fillId="0" borderId="0" xfId="0" applyNumberFormat="1" applyFont="1" applyFill="1" applyBorder="1" applyAlignment="1">
      <alignment horizontal="left" vertical="center"/>
    </xf>
    <xf numFmtId="14" fontId="75" fillId="0" borderId="0" xfId="0" applyNumberFormat="1" applyFont="1" applyFill="1" applyBorder="1" applyAlignment="1">
      <alignment horizontal="left" vertical="center"/>
    </xf>
    <xf numFmtId="0" fontId="36" fillId="2" borderId="0" xfId="0" applyFont="1" applyFill="1" applyBorder="1" applyAlignment="1">
      <alignment horizontal="left" vertical="center"/>
    </xf>
    <xf numFmtId="0" fontId="40" fillId="8" borderId="0" xfId="7" applyFont="1" applyFill="1" applyBorder="1" applyAlignment="1">
      <alignment horizontal="center" vertical="center"/>
    </xf>
    <xf numFmtId="0" fontId="35" fillId="0" borderId="37" xfId="0" applyFont="1" applyBorder="1" applyAlignment="1">
      <alignment horizontal="center" wrapText="1"/>
    </xf>
    <xf numFmtId="0" fontId="40" fillId="0" borderId="0" xfId="7" applyFont="1" applyBorder="1" applyAlignment="1">
      <alignment horizontal="center" vertical="center" textRotation="90"/>
    </xf>
    <xf numFmtId="0" fontId="40" fillId="0" borderId="0" xfId="7" applyFont="1" applyBorder="1" applyAlignment="1">
      <alignment horizontal="center" vertical="center" wrapText="1" readingOrder="1"/>
    </xf>
    <xf numFmtId="0" fontId="48" fillId="37" borderId="0" xfId="7" applyFont="1" applyFill="1" applyBorder="1" applyAlignment="1">
      <alignment horizontal="center" vertical="center" wrapText="1" readingOrder="1"/>
    </xf>
  </cellXfs>
  <cellStyles count="486">
    <cellStyle name="20% - Accent1 1" xfId="10" xr:uid="{00000000-0005-0000-0000-000000000000}"/>
    <cellStyle name="20% - Accent1 2" xfId="11" xr:uid="{00000000-0005-0000-0000-000001000000}"/>
    <cellStyle name="20% - Accent1 2 2" xfId="12" xr:uid="{00000000-0005-0000-0000-000002000000}"/>
    <cellStyle name="20% - Accent1 3" xfId="13" xr:uid="{00000000-0005-0000-0000-000003000000}"/>
    <cellStyle name="20% - Accent1 4" xfId="14" xr:uid="{00000000-0005-0000-0000-000004000000}"/>
    <cellStyle name="20% - Accent1 5" xfId="15" xr:uid="{00000000-0005-0000-0000-000005000000}"/>
    <cellStyle name="20% - Accent1 6" xfId="16" xr:uid="{00000000-0005-0000-0000-000006000000}"/>
    <cellStyle name="20% - Accent1 7" xfId="17" xr:uid="{00000000-0005-0000-0000-000007000000}"/>
    <cellStyle name="20% - Accent1 8" xfId="18" xr:uid="{00000000-0005-0000-0000-000008000000}"/>
    <cellStyle name="20% - Accent1 9" xfId="19" xr:uid="{00000000-0005-0000-0000-000009000000}"/>
    <cellStyle name="20% - Accent2 1" xfId="20" xr:uid="{00000000-0005-0000-0000-00000A000000}"/>
    <cellStyle name="20% - Accent2 2" xfId="21" xr:uid="{00000000-0005-0000-0000-00000B000000}"/>
    <cellStyle name="20% - Accent2 2 2" xfId="22" xr:uid="{00000000-0005-0000-0000-00000C000000}"/>
    <cellStyle name="20% - Accent2 3" xfId="23" xr:uid="{00000000-0005-0000-0000-00000D000000}"/>
    <cellStyle name="20% - Accent2 4" xfId="24" xr:uid="{00000000-0005-0000-0000-00000E000000}"/>
    <cellStyle name="20% - Accent2 5" xfId="25" xr:uid="{00000000-0005-0000-0000-00000F000000}"/>
    <cellStyle name="20% - Accent2 6" xfId="26" xr:uid="{00000000-0005-0000-0000-000010000000}"/>
    <cellStyle name="20% - Accent2 7" xfId="27" xr:uid="{00000000-0005-0000-0000-000011000000}"/>
    <cellStyle name="20% - Accent2 8" xfId="28" xr:uid="{00000000-0005-0000-0000-000012000000}"/>
    <cellStyle name="20% - Accent2 9" xfId="29" xr:uid="{00000000-0005-0000-0000-000013000000}"/>
    <cellStyle name="20% - Accent3 1" xfId="30" xr:uid="{00000000-0005-0000-0000-000014000000}"/>
    <cellStyle name="20% - Accent3 2" xfId="31" xr:uid="{00000000-0005-0000-0000-000015000000}"/>
    <cellStyle name="20% - Accent3 2 2" xfId="32" xr:uid="{00000000-0005-0000-0000-000016000000}"/>
    <cellStyle name="20% - Accent3 3" xfId="33" xr:uid="{00000000-0005-0000-0000-000017000000}"/>
    <cellStyle name="20% - Accent3 4" xfId="34" xr:uid="{00000000-0005-0000-0000-000018000000}"/>
    <cellStyle name="20% - Accent3 5" xfId="35" xr:uid="{00000000-0005-0000-0000-000019000000}"/>
    <cellStyle name="20% - Accent3 6" xfId="36" xr:uid="{00000000-0005-0000-0000-00001A000000}"/>
    <cellStyle name="20% - Accent3 7" xfId="37" xr:uid="{00000000-0005-0000-0000-00001B000000}"/>
    <cellStyle name="20% - Accent3 8" xfId="38" xr:uid="{00000000-0005-0000-0000-00001C000000}"/>
    <cellStyle name="20% - Accent3 9" xfId="39" xr:uid="{00000000-0005-0000-0000-00001D000000}"/>
    <cellStyle name="20% - Accent4 1" xfId="40" xr:uid="{00000000-0005-0000-0000-00001E000000}"/>
    <cellStyle name="20% - Accent4 2" xfId="41" xr:uid="{00000000-0005-0000-0000-00001F000000}"/>
    <cellStyle name="20% - Accent4 2 2" xfId="42" xr:uid="{00000000-0005-0000-0000-000020000000}"/>
    <cellStyle name="20% - Accent4 3" xfId="43" xr:uid="{00000000-0005-0000-0000-000021000000}"/>
    <cellStyle name="20% - Accent4 4" xfId="44" xr:uid="{00000000-0005-0000-0000-000022000000}"/>
    <cellStyle name="20% - Accent4 5" xfId="45" xr:uid="{00000000-0005-0000-0000-000023000000}"/>
    <cellStyle name="20% - Accent4 6" xfId="46" xr:uid="{00000000-0005-0000-0000-000024000000}"/>
    <cellStyle name="20% - Accent4 7" xfId="47" xr:uid="{00000000-0005-0000-0000-000025000000}"/>
    <cellStyle name="20% - Accent4 8" xfId="48" xr:uid="{00000000-0005-0000-0000-000026000000}"/>
    <cellStyle name="20% - Accent4 9" xfId="49" xr:uid="{00000000-0005-0000-0000-000027000000}"/>
    <cellStyle name="20% - Accent5 1" xfId="50" xr:uid="{00000000-0005-0000-0000-000028000000}"/>
    <cellStyle name="20% - Accent5 2" xfId="51" xr:uid="{00000000-0005-0000-0000-000029000000}"/>
    <cellStyle name="20% - Accent5 2 2" xfId="52" xr:uid="{00000000-0005-0000-0000-00002A000000}"/>
    <cellStyle name="20% - Accent5 3" xfId="53" xr:uid="{00000000-0005-0000-0000-00002B000000}"/>
    <cellStyle name="20% - Accent5 4" xfId="54" xr:uid="{00000000-0005-0000-0000-00002C000000}"/>
    <cellStyle name="20% - Accent5 5" xfId="55" xr:uid="{00000000-0005-0000-0000-00002D000000}"/>
    <cellStyle name="20% - Accent5 6" xfId="56" xr:uid="{00000000-0005-0000-0000-00002E000000}"/>
    <cellStyle name="20% - Accent5 7" xfId="57" xr:uid="{00000000-0005-0000-0000-00002F000000}"/>
    <cellStyle name="20% - Accent5 8" xfId="58" xr:uid="{00000000-0005-0000-0000-000030000000}"/>
    <cellStyle name="20% - Accent5 9" xfId="59" xr:uid="{00000000-0005-0000-0000-000031000000}"/>
    <cellStyle name="20% - Accent6 1" xfId="60" xr:uid="{00000000-0005-0000-0000-000032000000}"/>
    <cellStyle name="20% - Accent6 2" xfId="61" xr:uid="{00000000-0005-0000-0000-000033000000}"/>
    <cellStyle name="20% - Accent6 2 2" xfId="62" xr:uid="{00000000-0005-0000-0000-000034000000}"/>
    <cellStyle name="20% - Accent6 3" xfId="63" xr:uid="{00000000-0005-0000-0000-000035000000}"/>
    <cellStyle name="20% - Accent6 4" xfId="64" xr:uid="{00000000-0005-0000-0000-000036000000}"/>
    <cellStyle name="20% - Accent6 5" xfId="65" xr:uid="{00000000-0005-0000-0000-000037000000}"/>
    <cellStyle name="20% - Accent6 6" xfId="66" xr:uid="{00000000-0005-0000-0000-000038000000}"/>
    <cellStyle name="20% - Accent6 7" xfId="67" xr:uid="{00000000-0005-0000-0000-000039000000}"/>
    <cellStyle name="20% - Accent6 8" xfId="68" xr:uid="{00000000-0005-0000-0000-00003A000000}"/>
    <cellStyle name="20% - Accent6 9" xfId="69" xr:uid="{00000000-0005-0000-0000-00003B000000}"/>
    <cellStyle name="40% - Accent1 1" xfId="70" xr:uid="{00000000-0005-0000-0000-00003C000000}"/>
    <cellStyle name="40% - Accent1 2" xfId="71" xr:uid="{00000000-0005-0000-0000-00003D000000}"/>
    <cellStyle name="40% - Accent1 2 2" xfId="72" xr:uid="{00000000-0005-0000-0000-00003E000000}"/>
    <cellStyle name="40% - Accent1 3" xfId="73" xr:uid="{00000000-0005-0000-0000-00003F000000}"/>
    <cellStyle name="40% - Accent1 4" xfId="74" xr:uid="{00000000-0005-0000-0000-000040000000}"/>
    <cellStyle name="40% - Accent1 5" xfId="75" xr:uid="{00000000-0005-0000-0000-000041000000}"/>
    <cellStyle name="40% - Accent1 6" xfId="76" xr:uid="{00000000-0005-0000-0000-000042000000}"/>
    <cellStyle name="40% - Accent1 7" xfId="77" xr:uid="{00000000-0005-0000-0000-000043000000}"/>
    <cellStyle name="40% - Accent1 8" xfId="78" xr:uid="{00000000-0005-0000-0000-000044000000}"/>
    <cellStyle name="40% - Accent1 9" xfId="79" xr:uid="{00000000-0005-0000-0000-000045000000}"/>
    <cellStyle name="40% - Accent2 1" xfId="80" xr:uid="{00000000-0005-0000-0000-000046000000}"/>
    <cellStyle name="40% - Accent2 2" xfId="81" xr:uid="{00000000-0005-0000-0000-000047000000}"/>
    <cellStyle name="40% - Accent2 2 2" xfId="82" xr:uid="{00000000-0005-0000-0000-000048000000}"/>
    <cellStyle name="40% - Accent2 3" xfId="83" xr:uid="{00000000-0005-0000-0000-000049000000}"/>
    <cellStyle name="40% - Accent2 4" xfId="84" xr:uid="{00000000-0005-0000-0000-00004A000000}"/>
    <cellStyle name="40% - Accent2 5" xfId="85" xr:uid="{00000000-0005-0000-0000-00004B000000}"/>
    <cellStyle name="40% - Accent2 6" xfId="86" xr:uid="{00000000-0005-0000-0000-00004C000000}"/>
    <cellStyle name="40% - Accent2 7" xfId="87" xr:uid="{00000000-0005-0000-0000-00004D000000}"/>
    <cellStyle name="40% - Accent2 8" xfId="88" xr:uid="{00000000-0005-0000-0000-00004E000000}"/>
    <cellStyle name="40% - Accent2 9" xfId="89" xr:uid="{00000000-0005-0000-0000-00004F000000}"/>
    <cellStyle name="40% - Accent3 1" xfId="90" xr:uid="{00000000-0005-0000-0000-000050000000}"/>
    <cellStyle name="40% - Accent3 2" xfId="91" xr:uid="{00000000-0005-0000-0000-000051000000}"/>
    <cellStyle name="40% - Accent3 2 2" xfId="92" xr:uid="{00000000-0005-0000-0000-000052000000}"/>
    <cellStyle name="40% - Accent3 3" xfId="93" xr:uid="{00000000-0005-0000-0000-000053000000}"/>
    <cellStyle name="40% - Accent3 4" xfId="94" xr:uid="{00000000-0005-0000-0000-000054000000}"/>
    <cellStyle name="40% - Accent3 5" xfId="95" xr:uid="{00000000-0005-0000-0000-000055000000}"/>
    <cellStyle name="40% - Accent3 6" xfId="96" xr:uid="{00000000-0005-0000-0000-000056000000}"/>
    <cellStyle name="40% - Accent3 7" xfId="97" xr:uid="{00000000-0005-0000-0000-000057000000}"/>
    <cellStyle name="40% - Accent3 8" xfId="98" xr:uid="{00000000-0005-0000-0000-000058000000}"/>
    <cellStyle name="40% - Accent3 9" xfId="99" xr:uid="{00000000-0005-0000-0000-000059000000}"/>
    <cellStyle name="40% - Accent4 1" xfId="100" xr:uid="{00000000-0005-0000-0000-00005A000000}"/>
    <cellStyle name="40% - Accent4 2" xfId="101" xr:uid="{00000000-0005-0000-0000-00005B000000}"/>
    <cellStyle name="40% - Accent4 2 2" xfId="102" xr:uid="{00000000-0005-0000-0000-00005C000000}"/>
    <cellStyle name="40% - Accent4 3" xfId="103" xr:uid="{00000000-0005-0000-0000-00005D000000}"/>
    <cellStyle name="40% - Accent4 4" xfId="104" xr:uid="{00000000-0005-0000-0000-00005E000000}"/>
    <cellStyle name="40% - Accent4 5" xfId="105" xr:uid="{00000000-0005-0000-0000-00005F000000}"/>
    <cellStyle name="40% - Accent4 6" xfId="106" xr:uid="{00000000-0005-0000-0000-000060000000}"/>
    <cellStyle name="40% - Accent4 7" xfId="107" xr:uid="{00000000-0005-0000-0000-000061000000}"/>
    <cellStyle name="40% - Accent4 8" xfId="108" xr:uid="{00000000-0005-0000-0000-000062000000}"/>
    <cellStyle name="40% - Accent4 9" xfId="109" xr:uid="{00000000-0005-0000-0000-000063000000}"/>
    <cellStyle name="40% - Accent5 1" xfId="110" xr:uid="{00000000-0005-0000-0000-000064000000}"/>
    <cellStyle name="40% - Accent5 2" xfId="111" xr:uid="{00000000-0005-0000-0000-000065000000}"/>
    <cellStyle name="40% - Accent5 2 2" xfId="112" xr:uid="{00000000-0005-0000-0000-000066000000}"/>
    <cellStyle name="40% - Accent5 3" xfId="113" xr:uid="{00000000-0005-0000-0000-000067000000}"/>
    <cellStyle name="40% - Accent5 4" xfId="114" xr:uid="{00000000-0005-0000-0000-000068000000}"/>
    <cellStyle name="40% - Accent5 5" xfId="115" xr:uid="{00000000-0005-0000-0000-000069000000}"/>
    <cellStyle name="40% - Accent5 6" xfId="116" xr:uid="{00000000-0005-0000-0000-00006A000000}"/>
    <cellStyle name="40% - Accent5 7" xfId="117" xr:uid="{00000000-0005-0000-0000-00006B000000}"/>
    <cellStyle name="40% - Accent5 8" xfId="118" xr:uid="{00000000-0005-0000-0000-00006C000000}"/>
    <cellStyle name="40% - Accent5 9" xfId="119" xr:uid="{00000000-0005-0000-0000-00006D000000}"/>
    <cellStyle name="40% - Accent6 1" xfId="120" xr:uid="{00000000-0005-0000-0000-00006E000000}"/>
    <cellStyle name="40% - Accent6 2" xfId="121" xr:uid="{00000000-0005-0000-0000-00006F000000}"/>
    <cellStyle name="40% - Accent6 2 2" xfId="122" xr:uid="{00000000-0005-0000-0000-000070000000}"/>
    <cellStyle name="40% - Accent6 3" xfId="123" xr:uid="{00000000-0005-0000-0000-000071000000}"/>
    <cellStyle name="40% - Accent6 4" xfId="124" xr:uid="{00000000-0005-0000-0000-000072000000}"/>
    <cellStyle name="40% - Accent6 5" xfId="125" xr:uid="{00000000-0005-0000-0000-000073000000}"/>
    <cellStyle name="40% - Accent6 6" xfId="126" xr:uid="{00000000-0005-0000-0000-000074000000}"/>
    <cellStyle name="40% - Accent6 7" xfId="127" xr:uid="{00000000-0005-0000-0000-000075000000}"/>
    <cellStyle name="40% - Accent6 8" xfId="128" xr:uid="{00000000-0005-0000-0000-000076000000}"/>
    <cellStyle name="40% - Accent6 9" xfId="129" xr:uid="{00000000-0005-0000-0000-000077000000}"/>
    <cellStyle name="60% - Accent1 1" xfId="130" xr:uid="{00000000-0005-0000-0000-000078000000}"/>
    <cellStyle name="60% - Accent1 2" xfId="131" xr:uid="{00000000-0005-0000-0000-000079000000}"/>
    <cellStyle name="60% - Accent1 2 2" xfId="132" xr:uid="{00000000-0005-0000-0000-00007A000000}"/>
    <cellStyle name="60% - Accent1 3" xfId="133" xr:uid="{00000000-0005-0000-0000-00007B000000}"/>
    <cellStyle name="60% - Accent1 4" xfId="134" xr:uid="{00000000-0005-0000-0000-00007C000000}"/>
    <cellStyle name="60% - Accent1 5" xfId="135" xr:uid="{00000000-0005-0000-0000-00007D000000}"/>
    <cellStyle name="60% - Accent1 6" xfId="136" xr:uid="{00000000-0005-0000-0000-00007E000000}"/>
    <cellStyle name="60% - Accent1 7" xfId="137" xr:uid="{00000000-0005-0000-0000-00007F000000}"/>
    <cellStyle name="60% - Accent1 8" xfId="138" xr:uid="{00000000-0005-0000-0000-000080000000}"/>
    <cellStyle name="60% - Accent1 9" xfId="139" xr:uid="{00000000-0005-0000-0000-000081000000}"/>
    <cellStyle name="60% - Accent2 1" xfId="140" xr:uid="{00000000-0005-0000-0000-000082000000}"/>
    <cellStyle name="60% - Accent2 2" xfId="141" xr:uid="{00000000-0005-0000-0000-000083000000}"/>
    <cellStyle name="60% - Accent2 2 2" xfId="142" xr:uid="{00000000-0005-0000-0000-000084000000}"/>
    <cellStyle name="60% - Accent2 3" xfId="143" xr:uid="{00000000-0005-0000-0000-000085000000}"/>
    <cellStyle name="60% - Accent2 4" xfId="144" xr:uid="{00000000-0005-0000-0000-000086000000}"/>
    <cellStyle name="60% - Accent2 5" xfId="145" xr:uid="{00000000-0005-0000-0000-000087000000}"/>
    <cellStyle name="60% - Accent2 6" xfId="146" xr:uid="{00000000-0005-0000-0000-000088000000}"/>
    <cellStyle name="60% - Accent2 7" xfId="147" xr:uid="{00000000-0005-0000-0000-000089000000}"/>
    <cellStyle name="60% - Accent2 8" xfId="148" xr:uid="{00000000-0005-0000-0000-00008A000000}"/>
    <cellStyle name="60% - Accent2 9" xfId="149" xr:uid="{00000000-0005-0000-0000-00008B000000}"/>
    <cellStyle name="60% - Accent3 1" xfId="150" xr:uid="{00000000-0005-0000-0000-00008C000000}"/>
    <cellStyle name="60% - Accent3 2" xfId="151" xr:uid="{00000000-0005-0000-0000-00008D000000}"/>
    <cellStyle name="60% - Accent3 2 2" xfId="152" xr:uid="{00000000-0005-0000-0000-00008E000000}"/>
    <cellStyle name="60% - Accent3 3" xfId="153" xr:uid="{00000000-0005-0000-0000-00008F000000}"/>
    <cellStyle name="60% - Accent3 4" xfId="154" xr:uid="{00000000-0005-0000-0000-000090000000}"/>
    <cellStyle name="60% - Accent3 5" xfId="155" xr:uid="{00000000-0005-0000-0000-000091000000}"/>
    <cellStyle name="60% - Accent3 6" xfId="156" xr:uid="{00000000-0005-0000-0000-000092000000}"/>
    <cellStyle name="60% - Accent3 7" xfId="157" xr:uid="{00000000-0005-0000-0000-000093000000}"/>
    <cellStyle name="60% - Accent3 8" xfId="158" xr:uid="{00000000-0005-0000-0000-000094000000}"/>
    <cellStyle name="60% - Accent3 9" xfId="159" xr:uid="{00000000-0005-0000-0000-000095000000}"/>
    <cellStyle name="60% - Accent4 1" xfId="160" xr:uid="{00000000-0005-0000-0000-000096000000}"/>
    <cellStyle name="60% - Accent4 2" xfId="161" xr:uid="{00000000-0005-0000-0000-000097000000}"/>
    <cellStyle name="60% - Accent4 2 2" xfId="162" xr:uid="{00000000-0005-0000-0000-000098000000}"/>
    <cellStyle name="60% - Accent4 3" xfId="163" xr:uid="{00000000-0005-0000-0000-000099000000}"/>
    <cellStyle name="60% - Accent4 4" xfId="164" xr:uid="{00000000-0005-0000-0000-00009A000000}"/>
    <cellStyle name="60% - Accent4 5" xfId="165" xr:uid="{00000000-0005-0000-0000-00009B000000}"/>
    <cellStyle name="60% - Accent4 6" xfId="166" xr:uid="{00000000-0005-0000-0000-00009C000000}"/>
    <cellStyle name="60% - Accent4 7" xfId="167" xr:uid="{00000000-0005-0000-0000-00009D000000}"/>
    <cellStyle name="60% - Accent4 8" xfId="168" xr:uid="{00000000-0005-0000-0000-00009E000000}"/>
    <cellStyle name="60% - Accent4 9" xfId="169" xr:uid="{00000000-0005-0000-0000-00009F000000}"/>
    <cellStyle name="60% - Accent5 1" xfId="170" xr:uid="{00000000-0005-0000-0000-0000A0000000}"/>
    <cellStyle name="60% - Accent5 2" xfId="171" xr:uid="{00000000-0005-0000-0000-0000A1000000}"/>
    <cellStyle name="60% - Accent5 2 2" xfId="172" xr:uid="{00000000-0005-0000-0000-0000A2000000}"/>
    <cellStyle name="60% - Accent5 3" xfId="173" xr:uid="{00000000-0005-0000-0000-0000A3000000}"/>
    <cellStyle name="60% - Accent5 4" xfId="174" xr:uid="{00000000-0005-0000-0000-0000A4000000}"/>
    <cellStyle name="60% - Accent5 5" xfId="175" xr:uid="{00000000-0005-0000-0000-0000A5000000}"/>
    <cellStyle name="60% - Accent5 6" xfId="176" xr:uid="{00000000-0005-0000-0000-0000A6000000}"/>
    <cellStyle name="60% - Accent5 7" xfId="177" xr:uid="{00000000-0005-0000-0000-0000A7000000}"/>
    <cellStyle name="60% - Accent5 8" xfId="178" xr:uid="{00000000-0005-0000-0000-0000A8000000}"/>
    <cellStyle name="60% - Accent5 9" xfId="179" xr:uid="{00000000-0005-0000-0000-0000A9000000}"/>
    <cellStyle name="60% - Accent6 1" xfId="180" xr:uid="{00000000-0005-0000-0000-0000AA000000}"/>
    <cellStyle name="60% - Accent6 2" xfId="181" xr:uid="{00000000-0005-0000-0000-0000AB000000}"/>
    <cellStyle name="60% - Accent6 2 2" xfId="182" xr:uid="{00000000-0005-0000-0000-0000AC000000}"/>
    <cellStyle name="60% - Accent6 3" xfId="183" xr:uid="{00000000-0005-0000-0000-0000AD000000}"/>
    <cellStyle name="60% - Accent6 4" xfId="184" xr:uid="{00000000-0005-0000-0000-0000AE000000}"/>
    <cellStyle name="60% - Accent6 5" xfId="185" xr:uid="{00000000-0005-0000-0000-0000AF000000}"/>
    <cellStyle name="60% - Accent6 6" xfId="186" xr:uid="{00000000-0005-0000-0000-0000B0000000}"/>
    <cellStyle name="60% - Accent6 7" xfId="187" xr:uid="{00000000-0005-0000-0000-0000B1000000}"/>
    <cellStyle name="60% - Accent6 8" xfId="188" xr:uid="{00000000-0005-0000-0000-0000B2000000}"/>
    <cellStyle name="60% - Accent6 9" xfId="189" xr:uid="{00000000-0005-0000-0000-0000B3000000}"/>
    <cellStyle name="Accent1 1" xfId="190" xr:uid="{00000000-0005-0000-0000-0000B4000000}"/>
    <cellStyle name="Accent1 2" xfId="191" xr:uid="{00000000-0005-0000-0000-0000B5000000}"/>
    <cellStyle name="Accent1 2 2" xfId="192" xr:uid="{00000000-0005-0000-0000-0000B6000000}"/>
    <cellStyle name="Accent1 3" xfId="193" xr:uid="{00000000-0005-0000-0000-0000B7000000}"/>
    <cellStyle name="Accent1 4" xfId="194" xr:uid="{00000000-0005-0000-0000-0000B8000000}"/>
    <cellStyle name="Accent1 5" xfId="195" xr:uid="{00000000-0005-0000-0000-0000B9000000}"/>
    <cellStyle name="Accent1 6" xfId="196" xr:uid="{00000000-0005-0000-0000-0000BA000000}"/>
    <cellStyle name="Accent1 7" xfId="197" xr:uid="{00000000-0005-0000-0000-0000BB000000}"/>
    <cellStyle name="Accent1 8" xfId="198" xr:uid="{00000000-0005-0000-0000-0000BC000000}"/>
    <cellStyle name="Accent1 9" xfId="199" xr:uid="{00000000-0005-0000-0000-0000BD000000}"/>
    <cellStyle name="Accent2 1" xfId="200" xr:uid="{00000000-0005-0000-0000-0000BE000000}"/>
    <cellStyle name="Accent2 2" xfId="201" xr:uid="{00000000-0005-0000-0000-0000BF000000}"/>
    <cellStyle name="Accent2 2 2" xfId="202" xr:uid="{00000000-0005-0000-0000-0000C0000000}"/>
    <cellStyle name="Accent2 3" xfId="203" xr:uid="{00000000-0005-0000-0000-0000C1000000}"/>
    <cellStyle name="Accent2 4" xfId="204" xr:uid="{00000000-0005-0000-0000-0000C2000000}"/>
    <cellStyle name="Accent2 5" xfId="205" xr:uid="{00000000-0005-0000-0000-0000C3000000}"/>
    <cellStyle name="Accent2 6" xfId="206" xr:uid="{00000000-0005-0000-0000-0000C4000000}"/>
    <cellStyle name="Accent2 7" xfId="207" xr:uid="{00000000-0005-0000-0000-0000C5000000}"/>
    <cellStyle name="Accent2 8" xfId="208" xr:uid="{00000000-0005-0000-0000-0000C6000000}"/>
    <cellStyle name="Accent2 9" xfId="209" xr:uid="{00000000-0005-0000-0000-0000C7000000}"/>
    <cellStyle name="Accent3 1" xfId="210" xr:uid="{00000000-0005-0000-0000-0000C8000000}"/>
    <cellStyle name="Accent3 2" xfId="211" xr:uid="{00000000-0005-0000-0000-0000C9000000}"/>
    <cellStyle name="Accent3 2 2" xfId="212" xr:uid="{00000000-0005-0000-0000-0000CA000000}"/>
    <cellStyle name="Accent3 3" xfId="213" xr:uid="{00000000-0005-0000-0000-0000CB000000}"/>
    <cellStyle name="Accent3 4" xfId="214" xr:uid="{00000000-0005-0000-0000-0000CC000000}"/>
    <cellStyle name="Accent3 5" xfId="215" xr:uid="{00000000-0005-0000-0000-0000CD000000}"/>
    <cellStyle name="Accent3 6" xfId="216" xr:uid="{00000000-0005-0000-0000-0000CE000000}"/>
    <cellStyle name="Accent3 7" xfId="217" xr:uid="{00000000-0005-0000-0000-0000CF000000}"/>
    <cellStyle name="Accent3 8" xfId="218" xr:uid="{00000000-0005-0000-0000-0000D0000000}"/>
    <cellStyle name="Accent3 9" xfId="219" xr:uid="{00000000-0005-0000-0000-0000D1000000}"/>
    <cellStyle name="Accent4 1" xfId="220" xr:uid="{00000000-0005-0000-0000-0000D2000000}"/>
    <cellStyle name="Accent4 2" xfId="221" xr:uid="{00000000-0005-0000-0000-0000D3000000}"/>
    <cellStyle name="Accent4 2 2" xfId="222" xr:uid="{00000000-0005-0000-0000-0000D4000000}"/>
    <cellStyle name="Accent4 3" xfId="223" xr:uid="{00000000-0005-0000-0000-0000D5000000}"/>
    <cellStyle name="Accent4 4" xfId="224" xr:uid="{00000000-0005-0000-0000-0000D6000000}"/>
    <cellStyle name="Accent4 5" xfId="225" xr:uid="{00000000-0005-0000-0000-0000D7000000}"/>
    <cellStyle name="Accent4 6" xfId="226" xr:uid="{00000000-0005-0000-0000-0000D8000000}"/>
    <cellStyle name="Accent4 7" xfId="227" xr:uid="{00000000-0005-0000-0000-0000D9000000}"/>
    <cellStyle name="Accent4 8" xfId="228" xr:uid="{00000000-0005-0000-0000-0000DA000000}"/>
    <cellStyle name="Accent4 9" xfId="229" xr:uid="{00000000-0005-0000-0000-0000DB000000}"/>
    <cellStyle name="Accent5 1" xfId="230" xr:uid="{00000000-0005-0000-0000-0000DC000000}"/>
    <cellStyle name="Accent5 2" xfId="231" xr:uid="{00000000-0005-0000-0000-0000DD000000}"/>
    <cellStyle name="Accent5 2 2" xfId="232" xr:uid="{00000000-0005-0000-0000-0000DE000000}"/>
    <cellStyle name="Accent5 3" xfId="233" xr:uid="{00000000-0005-0000-0000-0000DF000000}"/>
    <cellStyle name="Accent5 4" xfId="234" xr:uid="{00000000-0005-0000-0000-0000E0000000}"/>
    <cellStyle name="Accent5 5" xfId="235" xr:uid="{00000000-0005-0000-0000-0000E1000000}"/>
    <cellStyle name="Accent5 6" xfId="236" xr:uid="{00000000-0005-0000-0000-0000E2000000}"/>
    <cellStyle name="Accent5 7" xfId="237" xr:uid="{00000000-0005-0000-0000-0000E3000000}"/>
    <cellStyle name="Accent5 8" xfId="238" xr:uid="{00000000-0005-0000-0000-0000E4000000}"/>
    <cellStyle name="Accent5 9" xfId="239" xr:uid="{00000000-0005-0000-0000-0000E5000000}"/>
    <cellStyle name="Accent6 1" xfId="240" xr:uid="{00000000-0005-0000-0000-0000E6000000}"/>
    <cellStyle name="Accent6 2" xfId="241" xr:uid="{00000000-0005-0000-0000-0000E7000000}"/>
    <cellStyle name="Accent6 2 2" xfId="242" xr:uid="{00000000-0005-0000-0000-0000E8000000}"/>
    <cellStyle name="Accent6 3" xfId="243" xr:uid="{00000000-0005-0000-0000-0000E9000000}"/>
    <cellStyle name="Accent6 4" xfId="244" xr:uid="{00000000-0005-0000-0000-0000EA000000}"/>
    <cellStyle name="Accent6 5" xfId="245" xr:uid="{00000000-0005-0000-0000-0000EB000000}"/>
    <cellStyle name="Accent6 6" xfId="246" xr:uid="{00000000-0005-0000-0000-0000EC000000}"/>
    <cellStyle name="Accent6 7" xfId="247" xr:uid="{00000000-0005-0000-0000-0000ED000000}"/>
    <cellStyle name="Accent6 8" xfId="248" xr:uid="{00000000-0005-0000-0000-0000EE000000}"/>
    <cellStyle name="Accent6 9" xfId="249" xr:uid="{00000000-0005-0000-0000-0000EF000000}"/>
    <cellStyle name="Bad 1" xfId="250" xr:uid="{00000000-0005-0000-0000-0000F0000000}"/>
    <cellStyle name="Bad 2" xfId="251" xr:uid="{00000000-0005-0000-0000-0000F1000000}"/>
    <cellStyle name="Bad 2 2" xfId="252" xr:uid="{00000000-0005-0000-0000-0000F2000000}"/>
    <cellStyle name="Bad 3" xfId="253" xr:uid="{00000000-0005-0000-0000-0000F3000000}"/>
    <cellStyle name="Bad 4" xfId="254" xr:uid="{00000000-0005-0000-0000-0000F4000000}"/>
    <cellStyle name="Bad 5" xfId="255" xr:uid="{00000000-0005-0000-0000-0000F5000000}"/>
    <cellStyle name="Bad 6" xfId="256" xr:uid="{00000000-0005-0000-0000-0000F6000000}"/>
    <cellStyle name="Bad 7" xfId="257" xr:uid="{00000000-0005-0000-0000-0000F7000000}"/>
    <cellStyle name="Bad 8" xfId="258" xr:uid="{00000000-0005-0000-0000-0000F8000000}"/>
    <cellStyle name="Bad 9" xfId="259" xr:uid="{00000000-0005-0000-0000-0000F9000000}"/>
    <cellStyle name="Calculation 1" xfId="260" xr:uid="{00000000-0005-0000-0000-0000FA000000}"/>
    <cellStyle name="Calculation 2" xfId="261" xr:uid="{00000000-0005-0000-0000-0000FB000000}"/>
    <cellStyle name="Calculation 2 2" xfId="262" xr:uid="{00000000-0005-0000-0000-0000FC000000}"/>
    <cellStyle name="Calculation 3" xfId="263" xr:uid="{00000000-0005-0000-0000-0000FD000000}"/>
    <cellStyle name="Calculation 4" xfId="264" xr:uid="{00000000-0005-0000-0000-0000FE000000}"/>
    <cellStyle name="Calculation 5" xfId="265" xr:uid="{00000000-0005-0000-0000-0000FF000000}"/>
    <cellStyle name="Calculation 6" xfId="266" xr:uid="{00000000-0005-0000-0000-000000010000}"/>
    <cellStyle name="Calculation 7" xfId="267" xr:uid="{00000000-0005-0000-0000-000001010000}"/>
    <cellStyle name="Calculation 8" xfId="268" xr:uid="{00000000-0005-0000-0000-000002010000}"/>
    <cellStyle name="Calculation 9" xfId="269" xr:uid="{00000000-0005-0000-0000-000003010000}"/>
    <cellStyle name="Check Cell 1" xfId="270" xr:uid="{00000000-0005-0000-0000-000004010000}"/>
    <cellStyle name="Check Cell 2" xfId="271" xr:uid="{00000000-0005-0000-0000-000005010000}"/>
    <cellStyle name="Check Cell 2 2" xfId="272" xr:uid="{00000000-0005-0000-0000-000006010000}"/>
    <cellStyle name="Check Cell 3" xfId="273" xr:uid="{00000000-0005-0000-0000-000007010000}"/>
    <cellStyle name="Check Cell 4" xfId="274" xr:uid="{00000000-0005-0000-0000-000008010000}"/>
    <cellStyle name="Check Cell 5" xfId="275" xr:uid="{00000000-0005-0000-0000-000009010000}"/>
    <cellStyle name="Check Cell 6" xfId="276" xr:uid="{00000000-0005-0000-0000-00000A010000}"/>
    <cellStyle name="Check Cell 7" xfId="277" xr:uid="{00000000-0005-0000-0000-00000B010000}"/>
    <cellStyle name="Check Cell 8" xfId="278" xr:uid="{00000000-0005-0000-0000-00000C010000}"/>
    <cellStyle name="Check Cell 9" xfId="279" xr:uid="{00000000-0005-0000-0000-00000D010000}"/>
    <cellStyle name="Comma" xfId="481" builtinId="3"/>
    <cellStyle name="Comma [0]" xfId="480" builtinId="6"/>
    <cellStyle name="Comma [0] 2" xfId="1" xr:uid="{00000000-0005-0000-0000-00000F010000}"/>
    <cellStyle name="Comma [0] 2 2" xfId="280" xr:uid="{00000000-0005-0000-0000-000010010000}"/>
    <cellStyle name="Comma [0] 3" xfId="2" xr:uid="{00000000-0005-0000-0000-000011010000}"/>
    <cellStyle name="DataPilot Category" xfId="281" xr:uid="{00000000-0005-0000-0000-000012010000}"/>
    <cellStyle name="DataPilot Category 1" xfId="282" xr:uid="{00000000-0005-0000-0000-000013010000}"/>
    <cellStyle name="DataPilot Category 2" xfId="283" xr:uid="{00000000-0005-0000-0000-000014010000}"/>
    <cellStyle name="DataPilot Category 3" xfId="284" xr:uid="{00000000-0005-0000-0000-000015010000}"/>
    <cellStyle name="DataPilot Category 4" xfId="285" xr:uid="{00000000-0005-0000-0000-000016010000}"/>
    <cellStyle name="DataPilot Category 5" xfId="286" xr:uid="{00000000-0005-0000-0000-000017010000}"/>
    <cellStyle name="DataPilot Category 6" xfId="287" xr:uid="{00000000-0005-0000-0000-000018010000}"/>
    <cellStyle name="DataPilot Corner" xfId="288" xr:uid="{00000000-0005-0000-0000-000019010000}"/>
    <cellStyle name="DataPilot Corner 1" xfId="289" xr:uid="{00000000-0005-0000-0000-00001A010000}"/>
    <cellStyle name="DataPilot Corner 2" xfId="290" xr:uid="{00000000-0005-0000-0000-00001B010000}"/>
    <cellStyle name="DataPilot Corner 3" xfId="291" xr:uid="{00000000-0005-0000-0000-00001C010000}"/>
    <cellStyle name="DataPilot Corner 4" xfId="292" xr:uid="{00000000-0005-0000-0000-00001D010000}"/>
    <cellStyle name="DataPilot Corner 5" xfId="293" xr:uid="{00000000-0005-0000-0000-00001E010000}"/>
    <cellStyle name="DataPilot Corner 6" xfId="294" xr:uid="{00000000-0005-0000-0000-00001F010000}"/>
    <cellStyle name="DataPilot Field" xfId="295" xr:uid="{00000000-0005-0000-0000-000020010000}"/>
    <cellStyle name="DataPilot Field 1" xfId="296" xr:uid="{00000000-0005-0000-0000-000021010000}"/>
    <cellStyle name="DataPilot Field 2" xfId="297" xr:uid="{00000000-0005-0000-0000-000022010000}"/>
    <cellStyle name="DataPilot Field 3" xfId="298" xr:uid="{00000000-0005-0000-0000-000023010000}"/>
    <cellStyle name="DataPilot Field 4" xfId="299" xr:uid="{00000000-0005-0000-0000-000024010000}"/>
    <cellStyle name="DataPilot Field 5" xfId="300" xr:uid="{00000000-0005-0000-0000-000025010000}"/>
    <cellStyle name="DataPilot Field 6" xfId="301" xr:uid="{00000000-0005-0000-0000-000026010000}"/>
    <cellStyle name="DataPilot Result" xfId="302" xr:uid="{00000000-0005-0000-0000-000027010000}"/>
    <cellStyle name="DataPilot Result 1" xfId="303" xr:uid="{00000000-0005-0000-0000-000028010000}"/>
    <cellStyle name="DataPilot Result 2" xfId="304" xr:uid="{00000000-0005-0000-0000-000029010000}"/>
    <cellStyle name="DataPilot Result 3" xfId="305" xr:uid="{00000000-0005-0000-0000-00002A010000}"/>
    <cellStyle name="DataPilot Result 4" xfId="306" xr:uid="{00000000-0005-0000-0000-00002B010000}"/>
    <cellStyle name="DataPilot Result 5" xfId="307" xr:uid="{00000000-0005-0000-0000-00002C010000}"/>
    <cellStyle name="DataPilot Result 6" xfId="308" xr:uid="{00000000-0005-0000-0000-00002D010000}"/>
    <cellStyle name="DataPilot Title" xfId="309" xr:uid="{00000000-0005-0000-0000-00002E010000}"/>
    <cellStyle name="DataPilot Title 1" xfId="310" xr:uid="{00000000-0005-0000-0000-00002F010000}"/>
    <cellStyle name="DataPilot Title 2" xfId="311" xr:uid="{00000000-0005-0000-0000-000030010000}"/>
    <cellStyle name="DataPilot Title 3" xfId="312" xr:uid="{00000000-0005-0000-0000-000031010000}"/>
    <cellStyle name="DataPilot Title 4" xfId="313" xr:uid="{00000000-0005-0000-0000-000032010000}"/>
    <cellStyle name="DataPilot Title 5" xfId="314" xr:uid="{00000000-0005-0000-0000-000033010000}"/>
    <cellStyle name="DataPilot Title 6" xfId="315" xr:uid="{00000000-0005-0000-0000-000034010000}"/>
    <cellStyle name="DataPilot Value" xfId="316" xr:uid="{00000000-0005-0000-0000-000035010000}"/>
    <cellStyle name="DataPilot Value 1" xfId="317" xr:uid="{00000000-0005-0000-0000-000036010000}"/>
    <cellStyle name="DataPilot Value 2" xfId="318" xr:uid="{00000000-0005-0000-0000-000037010000}"/>
    <cellStyle name="DataPilot Value 3" xfId="319" xr:uid="{00000000-0005-0000-0000-000038010000}"/>
    <cellStyle name="DataPilot Value 4" xfId="320" xr:uid="{00000000-0005-0000-0000-000039010000}"/>
    <cellStyle name="DataPilot Value 5" xfId="321" xr:uid="{00000000-0005-0000-0000-00003A010000}"/>
    <cellStyle name="DataPilot Value 6" xfId="322" xr:uid="{00000000-0005-0000-0000-00003B010000}"/>
    <cellStyle name="DataPilot Value 7" xfId="323" xr:uid="{00000000-0005-0000-0000-00003C010000}"/>
    <cellStyle name="Excel Built-in Normal" xfId="3" xr:uid="{00000000-0005-0000-0000-00003D010000}"/>
    <cellStyle name="Excel Built-in Normal 2" xfId="325" xr:uid="{00000000-0005-0000-0000-00003E010000}"/>
    <cellStyle name="Excel Built-in Normal 3" xfId="324" xr:uid="{00000000-0005-0000-0000-00003F010000}"/>
    <cellStyle name="Explanatory Text 1" xfId="326" xr:uid="{00000000-0005-0000-0000-000040010000}"/>
    <cellStyle name="Explanatory Text 2" xfId="327" xr:uid="{00000000-0005-0000-0000-000041010000}"/>
    <cellStyle name="Explanatory Text 2 2" xfId="328" xr:uid="{00000000-0005-0000-0000-000042010000}"/>
    <cellStyle name="Explanatory Text 3" xfId="329" xr:uid="{00000000-0005-0000-0000-000043010000}"/>
    <cellStyle name="Explanatory Text 4" xfId="330" xr:uid="{00000000-0005-0000-0000-000044010000}"/>
    <cellStyle name="Explanatory Text 5" xfId="331" xr:uid="{00000000-0005-0000-0000-000045010000}"/>
    <cellStyle name="Explanatory Text 6" xfId="332" xr:uid="{00000000-0005-0000-0000-000046010000}"/>
    <cellStyle name="Explanatory Text 7" xfId="333" xr:uid="{00000000-0005-0000-0000-000047010000}"/>
    <cellStyle name="Explanatory Text 8" xfId="334" xr:uid="{00000000-0005-0000-0000-000048010000}"/>
    <cellStyle name="Explanatory Text 9" xfId="335" xr:uid="{00000000-0005-0000-0000-000049010000}"/>
    <cellStyle name="Good 1" xfId="336" xr:uid="{00000000-0005-0000-0000-00004A010000}"/>
    <cellStyle name="Good 2" xfId="337" xr:uid="{00000000-0005-0000-0000-00004B010000}"/>
    <cellStyle name="Good 2 2" xfId="338" xr:uid="{00000000-0005-0000-0000-00004C010000}"/>
    <cellStyle name="Good 3" xfId="339" xr:uid="{00000000-0005-0000-0000-00004D010000}"/>
    <cellStyle name="Good 4" xfId="340" xr:uid="{00000000-0005-0000-0000-00004E010000}"/>
    <cellStyle name="Good 5" xfId="341" xr:uid="{00000000-0005-0000-0000-00004F010000}"/>
    <cellStyle name="Good 6" xfId="342" xr:uid="{00000000-0005-0000-0000-000050010000}"/>
    <cellStyle name="Good 7" xfId="343" xr:uid="{00000000-0005-0000-0000-000051010000}"/>
    <cellStyle name="Good 8" xfId="344" xr:uid="{00000000-0005-0000-0000-000052010000}"/>
    <cellStyle name="Good 9" xfId="345" xr:uid="{00000000-0005-0000-0000-000053010000}"/>
    <cellStyle name="Heading 1 1" xfId="346" xr:uid="{00000000-0005-0000-0000-000054010000}"/>
    <cellStyle name="Heading 1 2" xfId="347" xr:uid="{00000000-0005-0000-0000-000055010000}"/>
    <cellStyle name="Heading 1 2 2" xfId="348" xr:uid="{00000000-0005-0000-0000-000056010000}"/>
    <cellStyle name="Heading 1 3" xfId="349" xr:uid="{00000000-0005-0000-0000-000057010000}"/>
    <cellStyle name="Heading 1 4" xfId="350" xr:uid="{00000000-0005-0000-0000-000058010000}"/>
    <cellStyle name="Heading 1 5" xfId="351" xr:uid="{00000000-0005-0000-0000-000059010000}"/>
    <cellStyle name="Heading 1 6" xfId="352" xr:uid="{00000000-0005-0000-0000-00005A010000}"/>
    <cellStyle name="Heading 1 7" xfId="353" xr:uid="{00000000-0005-0000-0000-00005B010000}"/>
    <cellStyle name="Heading 1 8" xfId="354" xr:uid="{00000000-0005-0000-0000-00005C010000}"/>
    <cellStyle name="Heading 1 9" xfId="355" xr:uid="{00000000-0005-0000-0000-00005D010000}"/>
    <cellStyle name="Heading 2 1" xfId="356" xr:uid="{00000000-0005-0000-0000-00005E010000}"/>
    <cellStyle name="Heading 2 2" xfId="357" xr:uid="{00000000-0005-0000-0000-00005F010000}"/>
    <cellStyle name="Heading 2 2 2" xfId="358" xr:uid="{00000000-0005-0000-0000-000060010000}"/>
    <cellStyle name="Heading 2 3" xfId="359" xr:uid="{00000000-0005-0000-0000-000061010000}"/>
    <cellStyle name="Heading 2 4" xfId="360" xr:uid="{00000000-0005-0000-0000-000062010000}"/>
    <cellStyle name="Heading 2 5" xfId="361" xr:uid="{00000000-0005-0000-0000-000063010000}"/>
    <cellStyle name="Heading 2 6" xfId="362" xr:uid="{00000000-0005-0000-0000-000064010000}"/>
    <cellStyle name="Heading 2 7" xfId="363" xr:uid="{00000000-0005-0000-0000-000065010000}"/>
    <cellStyle name="Heading 2 8" xfId="364" xr:uid="{00000000-0005-0000-0000-000066010000}"/>
    <cellStyle name="Heading 2 9" xfId="365" xr:uid="{00000000-0005-0000-0000-000067010000}"/>
    <cellStyle name="Heading 3 1" xfId="366" xr:uid="{00000000-0005-0000-0000-000068010000}"/>
    <cellStyle name="Heading 3 2" xfId="367" xr:uid="{00000000-0005-0000-0000-000069010000}"/>
    <cellStyle name="Heading 3 2 2" xfId="368" xr:uid="{00000000-0005-0000-0000-00006A010000}"/>
    <cellStyle name="Heading 3 3" xfId="369" xr:uid="{00000000-0005-0000-0000-00006B010000}"/>
    <cellStyle name="Heading 3 4" xfId="370" xr:uid="{00000000-0005-0000-0000-00006C010000}"/>
    <cellStyle name="Heading 3 5" xfId="371" xr:uid="{00000000-0005-0000-0000-00006D010000}"/>
    <cellStyle name="Heading 3 6" xfId="372" xr:uid="{00000000-0005-0000-0000-00006E010000}"/>
    <cellStyle name="Heading 3 7" xfId="373" xr:uid="{00000000-0005-0000-0000-00006F010000}"/>
    <cellStyle name="Heading 3 8" xfId="374" xr:uid="{00000000-0005-0000-0000-000070010000}"/>
    <cellStyle name="Heading 3 9" xfId="375" xr:uid="{00000000-0005-0000-0000-000071010000}"/>
    <cellStyle name="Heading 4 1" xfId="376" xr:uid="{00000000-0005-0000-0000-000072010000}"/>
    <cellStyle name="Heading 4 2" xfId="377" xr:uid="{00000000-0005-0000-0000-000073010000}"/>
    <cellStyle name="Heading 4 2 2" xfId="378" xr:uid="{00000000-0005-0000-0000-000074010000}"/>
    <cellStyle name="Heading 4 3" xfId="379" xr:uid="{00000000-0005-0000-0000-000075010000}"/>
    <cellStyle name="Heading 4 4" xfId="380" xr:uid="{00000000-0005-0000-0000-000076010000}"/>
    <cellStyle name="Heading 4 5" xfId="381" xr:uid="{00000000-0005-0000-0000-000077010000}"/>
    <cellStyle name="Heading 4 6" xfId="382" xr:uid="{00000000-0005-0000-0000-000078010000}"/>
    <cellStyle name="Heading 4 7" xfId="383" xr:uid="{00000000-0005-0000-0000-000079010000}"/>
    <cellStyle name="Heading 4 8" xfId="384" xr:uid="{00000000-0005-0000-0000-00007A010000}"/>
    <cellStyle name="Heading 4 9" xfId="385" xr:uid="{00000000-0005-0000-0000-00007B010000}"/>
    <cellStyle name="Input 1" xfId="386" xr:uid="{00000000-0005-0000-0000-00007C010000}"/>
    <cellStyle name="Input 2" xfId="387" xr:uid="{00000000-0005-0000-0000-00007D010000}"/>
    <cellStyle name="Input 2 2" xfId="388" xr:uid="{00000000-0005-0000-0000-00007E010000}"/>
    <cellStyle name="Input 3" xfId="389" xr:uid="{00000000-0005-0000-0000-00007F010000}"/>
    <cellStyle name="Input 4" xfId="390" xr:uid="{00000000-0005-0000-0000-000080010000}"/>
    <cellStyle name="Input 5" xfId="391" xr:uid="{00000000-0005-0000-0000-000081010000}"/>
    <cellStyle name="Input 6" xfId="392" xr:uid="{00000000-0005-0000-0000-000082010000}"/>
    <cellStyle name="Input 7" xfId="393" xr:uid="{00000000-0005-0000-0000-000083010000}"/>
    <cellStyle name="Input 8" xfId="394" xr:uid="{00000000-0005-0000-0000-000084010000}"/>
    <cellStyle name="Input 9" xfId="395" xr:uid="{00000000-0005-0000-0000-000085010000}"/>
    <cellStyle name="Linked Cell 1" xfId="396" xr:uid="{00000000-0005-0000-0000-000086010000}"/>
    <cellStyle name="Linked Cell 2" xfId="397" xr:uid="{00000000-0005-0000-0000-000087010000}"/>
    <cellStyle name="Linked Cell 2 2" xfId="398" xr:uid="{00000000-0005-0000-0000-000088010000}"/>
    <cellStyle name="Linked Cell 3" xfId="399" xr:uid="{00000000-0005-0000-0000-000089010000}"/>
    <cellStyle name="Linked Cell 4" xfId="400" xr:uid="{00000000-0005-0000-0000-00008A010000}"/>
    <cellStyle name="Linked Cell 5" xfId="401" xr:uid="{00000000-0005-0000-0000-00008B010000}"/>
    <cellStyle name="Linked Cell 6" xfId="402" xr:uid="{00000000-0005-0000-0000-00008C010000}"/>
    <cellStyle name="Linked Cell 7" xfId="403" xr:uid="{00000000-0005-0000-0000-00008D010000}"/>
    <cellStyle name="Linked Cell 8" xfId="404" xr:uid="{00000000-0005-0000-0000-00008E010000}"/>
    <cellStyle name="Linked Cell 9" xfId="405" xr:uid="{00000000-0005-0000-0000-00008F010000}"/>
    <cellStyle name="Neutral 1" xfId="406" xr:uid="{00000000-0005-0000-0000-000090010000}"/>
    <cellStyle name="Neutral 2" xfId="407" xr:uid="{00000000-0005-0000-0000-000091010000}"/>
    <cellStyle name="Neutral 2 2" xfId="408" xr:uid="{00000000-0005-0000-0000-000092010000}"/>
    <cellStyle name="Neutral 3" xfId="409" xr:uid="{00000000-0005-0000-0000-000093010000}"/>
    <cellStyle name="Neutral 4" xfId="410" xr:uid="{00000000-0005-0000-0000-000094010000}"/>
    <cellStyle name="Neutral 5" xfId="411" xr:uid="{00000000-0005-0000-0000-000095010000}"/>
    <cellStyle name="Neutral 6" xfId="412" xr:uid="{00000000-0005-0000-0000-000096010000}"/>
    <cellStyle name="Neutral 7" xfId="413" xr:uid="{00000000-0005-0000-0000-000097010000}"/>
    <cellStyle name="Neutral 8" xfId="414" xr:uid="{00000000-0005-0000-0000-000098010000}"/>
    <cellStyle name="Neutral 9" xfId="415" xr:uid="{00000000-0005-0000-0000-000099010000}"/>
    <cellStyle name="Normal" xfId="0" builtinId="0"/>
    <cellStyle name="Normal 2" xfId="4" xr:uid="{00000000-0005-0000-0000-00009B010000}"/>
    <cellStyle name="Normal 2 1" xfId="416" xr:uid="{00000000-0005-0000-0000-00009C010000}"/>
    <cellStyle name="Normal 2 2" xfId="417" xr:uid="{00000000-0005-0000-0000-00009D010000}"/>
    <cellStyle name="Normal 2 3" xfId="418" xr:uid="{00000000-0005-0000-0000-00009E010000}"/>
    <cellStyle name="Normal 2 4" xfId="419" xr:uid="{00000000-0005-0000-0000-00009F010000}"/>
    <cellStyle name="Normal 2 5" xfId="420" xr:uid="{00000000-0005-0000-0000-0000A0010000}"/>
    <cellStyle name="Normal 2 6" xfId="421" xr:uid="{00000000-0005-0000-0000-0000A1010000}"/>
    <cellStyle name="Normal 2 7" xfId="484" xr:uid="{851548F3-F068-4435-B343-31E363F0C3CF}"/>
    <cellStyle name="Normal 3" xfId="5" xr:uid="{00000000-0005-0000-0000-0000A2010000}"/>
    <cellStyle name="Normal 3 1" xfId="423" xr:uid="{00000000-0005-0000-0000-0000A3010000}"/>
    <cellStyle name="Normal 3 2" xfId="424" xr:uid="{00000000-0005-0000-0000-0000A4010000}"/>
    <cellStyle name="Normal 3 3" xfId="425" xr:uid="{00000000-0005-0000-0000-0000A5010000}"/>
    <cellStyle name="Normal 3 4" xfId="426" xr:uid="{00000000-0005-0000-0000-0000A6010000}"/>
    <cellStyle name="Normal 3 5" xfId="427" xr:uid="{00000000-0005-0000-0000-0000A7010000}"/>
    <cellStyle name="Normal 3 6" xfId="428" xr:uid="{00000000-0005-0000-0000-0000A8010000}"/>
    <cellStyle name="Normal 3 7" xfId="422" xr:uid="{00000000-0005-0000-0000-0000A9010000}"/>
    <cellStyle name="Normal 4" xfId="6" xr:uid="{00000000-0005-0000-0000-0000AA010000}"/>
    <cellStyle name="Normal 5" xfId="7" xr:uid="{00000000-0005-0000-0000-0000AB010000}"/>
    <cellStyle name="Normal 5 2" xfId="429" xr:uid="{00000000-0005-0000-0000-0000AC010000}"/>
    <cellStyle name="Normal 6" xfId="482" xr:uid="{B2B54EC8-12D2-4A67-A4C8-E04A978507BB}"/>
    <cellStyle name="Note 1" xfId="430" xr:uid="{00000000-0005-0000-0000-0000AD010000}"/>
    <cellStyle name="Note 2" xfId="431" xr:uid="{00000000-0005-0000-0000-0000AE010000}"/>
    <cellStyle name="Note 2 2" xfId="432" xr:uid="{00000000-0005-0000-0000-0000AF010000}"/>
    <cellStyle name="Note 3" xfId="433" xr:uid="{00000000-0005-0000-0000-0000B0010000}"/>
    <cellStyle name="Note 4" xfId="434" xr:uid="{00000000-0005-0000-0000-0000B1010000}"/>
    <cellStyle name="Note 5" xfId="435" xr:uid="{00000000-0005-0000-0000-0000B2010000}"/>
    <cellStyle name="Note 6" xfId="436" xr:uid="{00000000-0005-0000-0000-0000B3010000}"/>
    <cellStyle name="Note 7" xfId="437" xr:uid="{00000000-0005-0000-0000-0000B4010000}"/>
    <cellStyle name="Note 8" xfId="438" xr:uid="{00000000-0005-0000-0000-0000B5010000}"/>
    <cellStyle name="Note 9" xfId="439" xr:uid="{00000000-0005-0000-0000-0000B6010000}"/>
    <cellStyle name="Output 1" xfId="440" xr:uid="{00000000-0005-0000-0000-0000B7010000}"/>
    <cellStyle name="Output 2" xfId="441" xr:uid="{00000000-0005-0000-0000-0000B8010000}"/>
    <cellStyle name="Output 2 2" xfId="442" xr:uid="{00000000-0005-0000-0000-0000B9010000}"/>
    <cellStyle name="Output 3" xfId="443" xr:uid="{00000000-0005-0000-0000-0000BA010000}"/>
    <cellStyle name="Output 4" xfId="444" xr:uid="{00000000-0005-0000-0000-0000BB010000}"/>
    <cellStyle name="Output 5" xfId="445" xr:uid="{00000000-0005-0000-0000-0000BC010000}"/>
    <cellStyle name="Output 6" xfId="446" xr:uid="{00000000-0005-0000-0000-0000BD010000}"/>
    <cellStyle name="Output 7" xfId="447" xr:uid="{00000000-0005-0000-0000-0000BE010000}"/>
    <cellStyle name="Output 8" xfId="448" xr:uid="{00000000-0005-0000-0000-0000BF010000}"/>
    <cellStyle name="Output 9" xfId="449" xr:uid="{00000000-0005-0000-0000-0000C0010000}"/>
    <cellStyle name="Percent" xfId="8" builtinId="5"/>
    <cellStyle name="Percent 2" xfId="9" xr:uid="{00000000-0005-0000-0000-0000C2010000}"/>
    <cellStyle name="Percent 2 2" xfId="485" xr:uid="{6E7364EC-420E-46E2-911D-E03BA3E86C90}"/>
    <cellStyle name="Percent 3" xfId="483" xr:uid="{7BE255DB-E9F0-4E89-9096-650533443559}"/>
    <cellStyle name="Title 1" xfId="450" xr:uid="{00000000-0005-0000-0000-0000C3010000}"/>
    <cellStyle name="Title 2" xfId="451" xr:uid="{00000000-0005-0000-0000-0000C4010000}"/>
    <cellStyle name="Title 2 2" xfId="452" xr:uid="{00000000-0005-0000-0000-0000C5010000}"/>
    <cellStyle name="Title 3" xfId="453" xr:uid="{00000000-0005-0000-0000-0000C6010000}"/>
    <cellStyle name="Title 4" xfId="454" xr:uid="{00000000-0005-0000-0000-0000C7010000}"/>
    <cellStyle name="Title 5" xfId="455" xr:uid="{00000000-0005-0000-0000-0000C8010000}"/>
    <cellStyle name="Title 6" xfId="456" xr:uid="{00000000-0005-0000-0000-0000C9010000}"/>
    <cellStyle name="Title 7" xfId="457" xr:uid="{00000000-0005-0000-0000-0000CA010000}"/>
    <cellStyle name="Title 8" xfId="458" xr:uid="{00000000-0005-0000-0000-0000CB010000}"/>
    <cellStyle name="Title 9" xfId="459" xr:uid="{00000000-0005-0000-0000-0000CC010000}"/>
    <cellStyle name="Total 1" xfId="460" xr:uid="{00000000-0005-0000-0000-0000CD010000}"/>
    <cellStyle name="Total 2" xfId="461" xr:uid="{00000000-0005-0000-0000-0000CE010000}"/>
    <cellStyle name="Total 2 2" xfId="462" xr:uid="{00000000-0005-0000-0000-0000CF010000}"/>
    <cellStyle name="Total 3" xfId="463" xr:uid="{00000000-0005-0000-0000-0000D0010000}"/>
    <cellStyle name="Total 4" xfId="464" xr:uid="{00000000-0005-0000-0000-0000D1010000}"/>
    <cellStyle name="Total 5" xfId="465" xr:uid="{00000000-0005-0000-0000-0000D2010000}"/>
    <cellStyle name="Total 6" xfId="466" xr:uid="{00000000-0005-0000-0000-0000D3010000}"/>
    <cellStyle name="Total 7" xfId="467" xr:uid="{00000000-0005-0000-0000-0000D4010000}"/>
    <cellStyle name="Total 8" xfId="468" xr:uid="{00000000-0005-0000-0000-0000D5010000}"/>
    <cellStyle name="Total 9" xfId="469" xr:uid="{00000000-0005-0000-0000-0000D6010000}"/>
    <cellStyle name="Warning Text 1" xfId="470" xr:uid="{00000000-0005-0000-0000-0000D7010000}"/>
    <cellStyle name="Warning Text 2" xfId="471" xr:uid="{00000000-0005-0000-0000-0000D8010000}"/>
    <cellStyle name="Warning Text 2 2" xfId="472" xr:uid="{00000000-0005-0000-0000-0000D9010000}"/>
    <cellStyle name="Warning Text 3" xfId="473" xr:uid="{00000000-0005-0000-0000-0000DA010000}"/>
    <cellStyle name="Warning Text 4" xfId="474" xr:uid="{00000000-0005-0000-0000-0000DB010000}"/>
    <cellStyle name="Warning Text 5" xfId="475" xr:uid="{00000000-0005-0000-0000-0000DC010000}"/>
    <cellStyle name="Warning Text 6" xfId="476" xr:uid="{00000000-0005-0000-0000-0000DD010000}"/>
    <cellStyle name="Warning Text 7" xfId="477" xr:uid="{00000000-0005-0000-0000-0000DE010000}"/>
    <cellStyle name="Warning Text 8" xfId="478" xr:uid="{00000000-0005-0000-0000-0000DF010000}"/>
    <cellStyle name="Warning Text 9" xfId="479" xr:uid="{00000000-0005-0000-0000-0000E0010000}"/>
  </cellStyles>
  <dxfs count="174">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strike val="0"/>
        <outline val="0"/>
        <shadow val="0"/>
        <u val="none"/>
        <vertAlign val="baseline"/>
        <color theme="3" tint="-0.499984740745262"/>
        <name val="Calibri"/>
        <family val="2"/>
        <scheme val="minor"/>
      </font>
      <fill>
        <patternFill patternType="none">
          <bgColor auto="1"/>
        </patternFill>
      </fill>
      <alignment horizontal="center" vertical="center" textRotation="0" wrapText="1" indent="0" justifyLastLine="0" shrinkToFit="0" readingOrder="0"/>
    </dxf>
    <dxf>
      <font>
        <b val="0"/>
        <strike val="0"/>
        <outline val="0"/>
        <shadow val="0"/>
        <u val="none"/>
        <vertAlign val="baseline"/>
        <color theme="3" tint="-0.499984740745262"/>
        <name val="Calibri"/>
        <family val="2"/>
        <scheme val="minor"/>
      </font>
      <fill>
        <patternFill patternType="none">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strike val="0"/>
        <outline val="0"/>
        <shadow val="0"/>
        <u val="none"/>
        <vertAlign val="baseline"/>
        <color theme="3" tint="-0.499984740745262"/>
        <name val="Calibri"/>
        <family val="2"/>
        <scheme val="minor"/>
      </font>
      <fill>
        <patternFill patternType="none">
          <bgColor auto="1"/>
        </patternFill>
      </fill>
      <alignment horizontal="center" vertical="center" textRotation="0" wrapText="1" indent="0" justifyLastLine="0" shrinkToFit="0" readingOrder="0"/>
    </dxf>
    <dxf>
      <font>
        <b val="0"/>
        <strike val="0"/>
        <outline val="0"/>
        <shadow val="0"/>
        <u val="none"/>
        <vertAlign val="baseline"/>
        <color theme="3" tint="-0.499984740745262"/>
        <name val="Calibri"/>
        <family val="2"/>
        <scheme val="minor"/>
      </font>
      <fill>
        <patternFill patternType="none">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val="0"/>
        <strike val="0"/>
        <outline val="0"/>
        <shadow val="0"/>
        <u val="none"/>
        <vertAlign val="baseline"/>
        <color theme="3" tint="-0.499984740745262"/>
        <name val="Calibri"/>
        <family val="2"/>
        <scheme val="minor"/>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499984740745262"/>
        <name val="Calibri"/>
        <family val="2"/>
        <scheme val="minor"/>
      </font>
      <fill>
        <patternFill patternType="none">
          <fgColor indexed="26"/>
          <bgColor auto="1"/>
        </patternFill>
      </fill>
      <alignment horizontal="center" vertical="bottom" textRotation="0" wrapText="0" indent="0" justifyLastLine="0" shrinkToFit="0" readingOrder="0"/>
    </dxf>
    <dxf>
      <font>
        <b/>
        <i val="0"/>
        <strike val="0"/>
        <condense val="0"/>
        <extend val="0"/>
        <outline val="0"/>
        <shadow val="0"/>
        <u val="none"/>
        <vertAlign val="baseline"/>
        <sz val="12"/>
        <color theme="3" tint="-0.499984740745262"/>
        <name val="Calibri"/>
        <family val="2"/>
        <scheme val="minor"/>
      </font>
      <fill>
        <patternFill patternType="solid">
          <fgColor indexed="34"/>
          <bgColor indexed="13"/>
        </patternFill>
      </fill>
      <alignment horizontal="center" vertical="center" textRotation="0" wrapText="1" indent="0" justifyLastLine="0" shrinkToFit="0" readingOrder="0"/>
      <border diagonalUp="0" diagonalDown="0" outline="0">
        <left style="thin">
          <color indexed="8"/>
        </left>
        <right style="thin">
          <color indexed="8"/>
        </right>
        <top/>
        <bottom/>
      </border>
    </dxf>
    <dxf>
      <alignment horizontal="left" vertical="top" textRotation="0" wrapText="0" indent="0" justifyLastLine="0" shrinkToFit="0" readingOrder="0"/>
    </dxf>
    <dxf>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righ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169" formatCode="0.0"/>
      <alignment horizontal="general" vertical="bottom" textRotation="0" wrapText="0" indent="0" justifyLastLine="0" shrinkToFit="0" readingOrder="0"/>
    </dxf>
    <dxf>
      <font>
        <b val="0"/>
        <i val="0"/>
        <strike val="0"/>
        <condense val="0"/>
        <extend val="0"/>
        <outline val="0"/>
        <shadow val="0"/>
        <u val="none"/>
        <vertAlign val="baseline"/>
        <sz val="11"/>
        <color theme="1"/>
        <name val="Cambria"/>
        <family val="1"/>
        <scheme val="minor"/>
      </font>
      <numFmt numFmtId="0" formatCode="General"/>
      <alignment horizontal="left" vertical="bottom" textRotation="0" wrapText="1" indent="0" justifyLastLine="0" shrinkToFit="0" readingOrder="0"/>
    </dxf>
    <dxf>
      <font>
        <strike val="0"/>
        <outline val="0"/>
        <shadow val="0"/>
        <u val="none"/>
        <vertAlign val="baseline"/>
        <sz val="11"/>
      </font>
      <alignment horizontal="center" vertical="bottom" textRotation="0" wrapText="0" indent="0" justifyLastLine="0" shrinkToFit="0" readingOrder="0"/>
    </dxf>
    <dxf>
      <font>
        <b val="0"/>
        <i val="0"/>
        <strike val="0"/>
        <condense val="0"/>
        <extend val="0"/>
        <outline val="0"/>
        <shadow val="0"/>
        <u val="none"/>
        <vertAlign val="baseline"/>
        <sz val="11"/>
        <color theme="1"/>
        <name val="Cambria"/>
        <family val="1"/>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mbria"/>
        <family val="1"/>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167" formatCode="#,##0.0"/>
      <alignment horizontal="general" vertical="bottom" textRotation="0" wrapText="0" indent="0" justifyLastLine="0" shrinkToFit="0" readingOrder="0"/>
    </dxf>
    <dxf>
      <font>
        <b val="0"/>
        <i val="0"/>
        <strike val="0"/>
        <condense val="0"/>
        <extend val="0"/>
        <outline val="0"/>
        <shadow val="0"/>
        <u val="none"/>
        <vertAlign val="baseline"/>
        <sz val="11"/>
        <color theme="1"/>
        <name val="Cambria"/>
        <family val="1"/>
        <scheme val="minor"/>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horizontal="general" vertical="bottom" textRotation="0" wrapText="0" indent="0" justifyLastLine="0" shrinkToFit="0" readingOrder="0"/>
    </dxf>
    <dxf>
      <font>
        <strike val="0"/>
        <outline val="0"/>
        <shadow val="0"/>
        <u val="none"/>
        <vertAlign val="baseline"/>
        <sz val="11"/>
      </font>
      <numFmt numFmtId="0" formatCode="General"/>
    </dxf>
    <dxf>
      <font>
        <strike val="0"/>
        <outline val="0"/>
        <shadow val="0"/>
        <u val="none"/>
        <vertAlign val="baseline"/>
        <sz val="11"/>
      </font>
    </dxf>
    <dxf>
      <font>
        <b val="0"/>
        <i val="0"/>
        <strike val="0"/>
        <condense val="0"/>
        <extend val="0"/>
        <outline val="0"/>
        <shadow val="0"/>
        <u val="none"/>
        <vertAlign val="baseline"/>
        <sz val="11"/>
        <color indexed="8"/>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minor"/>
      </font>
      <numFmt numFmtId="0" formatCode="General"/>
      <alignment vertical="bottom" textRotation="0" indent="0" justifyLastLine="0" shrinkToFit="0" readingOrder="0"/>
    </dxf>
    <dxf>
      <font>
        <b/>
        <i val="0"/>
        <strike val="0"/>
        <condense val="0"/>
        <extend val="0"/>
        <outline val="0"/>
        <shadow val="0"/>
        <u val="none"/>
        <vertAlign val="baseline"/>
        <sz val="11"/>
        <color theme="3" tint="-0.499984740745262"/>
        <name val="Cambria"/>
        <family val="1"/>
        <scheme val="none"/>
      </font>
      <numFmt numFmtId="0" formatCode="General"/>
      <alignment horizontal="left" vertical="center" textRotation="0" wrapText="0" indent="0" justifyLastLine="0" shrinkToFit="0" readingOrder="0"/>
      <border diagonalUp="0" diagonalDown="0" outline="0">
        <left style="thin">
          <color theme="6"/>
        </left>
        <right style="thin">
          <color theme="6"/>
        </right>
        <top/>
        <bottom/>
      </border>
    </dxf>
    <dxf>
      <font>
        <b val="0"/>
        <i val="0"/>
        <strike val="0"/>
        <condense val="0"/>
        <extend val="0"/>
        <outline val="0"/>
        <shadow val="0"/>
        <u val="none"/>
        <vertAlign val="baseline"/>
        <sz val="11"/>
        <color indexed="8"/>
        <name val="Cambria"/>
        <family val="1"/>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mbria"/>
        <family val="1"/>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mbria"/>
        <family val="1"/>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indexed="8"/>
        <name val="Cambria"/>
        <family val="1"/>
        <scheme val="none"/>
      </font>
      <numFmt numFmtId="0" formatCode="General"/>
    </dxf>
    <dxf>
      <font>
        <b val="0"/>
        <i val="0"/>
        <strike val="0"/>
        <condense val="0"/>
        <extend val="0"/>
        <outline val="0"/>
        <shadow val="0"/>
        <u val="none"/>
        <vertAlign val="baseline"/>
        <sz val="11"/>
        <color auto="1"/>
        <name val="Cambria"/>
        <family val="1"/>
        <scheme val="none"/>
      </font>
    </dxf>
    <dxf>
      <font>
        <b val="0"/>
        <i val="0"/>
        <strike val="0"/>
        <condense val="0"/>
        <extend val="0"/>
        <outline val="0"/>
        <shadow val="0"/>
        <u val="none"/>
        <vertAlign val="baseline"/>
        <sz val="11"/>
        <color indexed="8"/>
        <name val="Cambria"/>
        <family val="1"/>
        <scheme val="none"/>
      </font>
      <alignment horizontal="center" vertical="bottom" textRotation="0" wrapText="0" indent="0" justifyLastLine="0" shrinkToFit="0" readingOrder="0"/>
    </dxf>
    <dxf>
      <font>
        <b/>
        <i val="0"/>
        <strike val="0"/>
        <condense val="0"/>
        <extend val="0"/>
        <outline val="0"/>
        <shadow val="0"/>
        <u val="none"/>
        <vertAlign val="baseline"/>
        <sz val="11"/>
        <color indexed="8"/>
        <name val="Cambria"/>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mbria"/>
        <family val="1"/>
        <scheme val="none"/>
      </font>
      <numFmt numFmtId="13" formatCode="0%"/>
    </dxf>
    <dxf>
      <font>
        <b val="0"/>
        <i val="0"/>
        <strike val="0"/>
        <condense val="0"/>
        <extend val="0"/>
        <outline val="0"/>
        <shadow val="0"/>
        <u val="none"/>
        <vertAlign val="baseline"/>
        <sz val="11"/>
        <color auto="1"/>
        <name val="Cambria"/>
        <family val="1"/>
        <scheme val="none"/>
      </font>
      <numFmt numFmtId="13" formatCode="0%"/>
    </dxf>
    <dxf>
      <font>
        <b val="0"/>
        <i val="0"/>
        <strike val="0"/>
        <condense val="0"/>
        <extend val="0"/>
        <outline val="0"/>
        <shadow val="0"/>
        <u val="none"/>
        <vertAlign val="baseline"/>
        <sz val="11"/>
        <color auto="1"/>
        <name val="Cambria"/>
        <family val="1"/>
        <scheme val="none"/>
      </font>
      <numFmt numFmtId="13" formatCode="0%"/>
    </dxf>
    <dxf>
      <font>
        <b val="0"/>
        <i val="0"/>
        <strike val="0"/>
        <condense val="0"/>
        <extend val="0"/>
        <outline val="0"/>
        <shadow val="0"/>
        <u val="none"/>
        <vertAlign val="baseline"/>
        <sz val="11"/>
        <color indexed="8"/>
        <name val="Cambria"/>
        <family val="1"/>
        <scheme val="none"/>
      </font>
      <numFmt numFmtId="0" formatCode="General"/>
      <alignment horizontal="center" textRotation="0" wrapText="0" indent="0" justifyLastLine="0" shrinkToFit="0" readingOrder="0"/>
    </dxf>
    <dxf>
      <font>
        <b val="0"/>
        <i val="0"/>
        <strike val="0"/>
        <condense val="0"/>
        <extend val="0"/>
        <outline val="0"/>
        <shadow val="0"/>
        <u val="none"/>
        <vertAlign val="baseline"/>
        <sz val="11"/>
        <color indexed="8"/>
        <name val="Cambria"/>
        <family val="1"/>
        <scheme val="none"/>
      </font>
      <numFmt numFmtId="0" formatCode="General"/>
      <alignment horizontal="center" textRotation="0" wrapText="0" indent="0" justifyLastLine="0" shrinkToFit="0" readingOrder="0"/>
    </dxf>
    <dxf>
      <font>
        <b val="0"/>
        <i val="0"/>
        <strike val="0"/>
        <condense val="0"/>
        <extend val="0"/>
        <outline val="0"/>
        <shadow val="0"/>
        <u val="none"/>
        <vertAlign val="baseline"/>
        <sz val="11"/>
        <color indexed="8"/>
        <name val="Cambria"/>
        <family val="1"/>
        <scheme val="none"/>
      </font>
      <numFmt numFmtId="0" formatCode="General"/>
      <alignment horizontal="center" textRotation="0" wrapText="0" indent="0" justifyLastLine="0" shrinkToFit="0" readingOrder="0"/>
    </dxf>
    <dxf>
      <font>
        <b val="0"/>
        <i val="0"/>
        <strike val="0"/>
        <condense val="0"/>
        <extend val="0"/>
        <outline val="0"/>
        <shadow val="0"/>
        <u val="none"/>
        <vertAlign val="baseline"/>
        <sz val="11"/>
        <color indexed="8"/>
        <name val="Cambria"/>
        <family val="1"/>
        <scheme val="none"/>
      </font>
    </dxf>
    <dxf>
      <font>
        <b val="0"/>
        <i val="0"/>
        <strike val="0"/>
        <condense val="0"/>
        <extend val="0"/>
        <outline val="0"/>
        <shadow val="0"/>
        <u val="none"/>
        <vertAlign val="baseline"/>
        <sz val="11"/>
        <color indexed="8"/>
        <name val="Cambria"/>
        <family val="1"/>
        <scheme val="none"/>
      </font>
    </dxf>
    <dxf>
      <font>
        <b val="0"/>
        <strike val="0"/>
        <outline val="0"/>
        <shadow val="0"/>
        <u val="none"/>
        <vertAlign val="baseline"/>
        <sz val="11"/>
        <name val="Cambria"/>
        <family val="1"/>
        <scheme val="none"/>
      </font>
    </dxf>
    <dxf>
      <font>
        <b/>
        <i val="0"/>
        <strike val="0"/>
        <condense val="0"/>
        <extend val="0"/>
        <outline val="0"/>
        <shadow val="0"/>
        <u val="none"/>
        <vertAlign val="baseline"/>
        <sz val="11"/>
        <color auto="1"/>
        <name val="Cambria"/>
        <family val="1"/>
        <scheme val="none"/>
      </font>
      <fill>
        <patternFill patternType="solid">
          <fgColor indexed="26"/>
          <bgColor indexed="9"/>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mbria"/>
        <family val="1"/>
        <scheme val="none"/>
      </font>
      <numFmt numFmtId="0" formatCode="General"/>
      <alignment horizontal="left" vertical="center" textRotation="0" wrapText="1" indent="0" justifyLastLine="0" shrinkToFit="0" readingOrder="1"/>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left"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left" vertical="center" textRotation="0" wrapText="1" indent="0" justifyLastLine="0" shrinkToFit="0" readingOrder="1"/>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left"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left"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left"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left"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left" vertical="center" textRotation="0" wrapText="1" indent="0" justifyLastLine="0" shrinkToFit="0" readingOrder="1"/>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left"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mbria"/>
        <family val="1"/>
        <scheme val="none"/>
      </font>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mbria"/>
        <family val="1"/>
        <scheme val="none"/>
      </font>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mbria"/>
        <family val="1"/>
        <scheme val="none"/>
      </font>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mbria"/>
        <family val="1"/>
        <scheme val="none"/>
      </font>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mbria"/>
        <family val="1"/>
        <scheme val="none"/>
      </font>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mbria"/>
        <family val="1"/>
        <scheme val="none"/>
      </font>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center" vertical="center" textRotation="0" wrapText="0" indent="0" justifyLastLine="0" shrinkToFit="0" readingOrder="1"/>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mbria"/>
        <family val="1"/>
        <scheme val="none"/>
      </font>
      <numFmt numFmtId="0" formatCode="General"/>
      <alignment horizontal="center" vertical="center" textRotation="0" wrapText="1" indent="0" justifyLastLine="0" shrinkToFit="0" readingOrder="1"/>
    </dxf>
    <dxf>
      <border outline="0">
        <bottom style="thin">
          <color indexed="64"/>
        </bottom>
      </border>
    </dxf>
    <dxf>
      <font>
        <b/>
        <i val="0"/>
        <strike val="0"/>
        <condense val="0"/>
        <extend val="0"/>
        <outline val="0"/>
        <shadow val="0"/>
        <u val="none"/>
        <vertAlign val="baseline"/>
        <sz val="11"/>
        <color theme="3" tint="-0.499984740745262"/>
        <name val="Cambria"/>
        <family val="1"/>
        <charset val="1"/>
        <scheme val="none"/>
      </font>
      <numFmt numFmtId="0" formatCode="General"/>
      <fill>
        <patternFill patternType="solid">
          <fgColor indexed="64"/>
          <bgColor theme="2" tint="-0.249977111117893"/>
        </patternFill>
      </fill>
      <alignment horizontal="center" vertical="center" textRotation="0" wrapText="1" indent="0" justifyLastLine="0" shrinkToFit="0" readingOrder="1"/>
      <border diagonalUp="0" diagonalDown="0" outline="0">
        <left style="thin">
          <color indexed="64"/>
        </left>
        <right style="thin">
          <color indexed="64"/>
        </right>
        <top/>
        <bottom/>
      </border>
    </dxf>
    <dxf>
      <font>
        <color auto="1"/>
      </font>
      <fill>
        <patternFill>
          <bgColor theme="0"/>
        </patternFill>
      </fill>
    </dxf>
    <dxf>
      <fill>
        <patternFill>
          <bgColor theme="9" tint="0.59996337778862885"/>
        </patternFill>
      </fill>
    </dxf>
    <dxf>
      <fill>
        <patternFill>
          <bgColor rgb="FF92D050"/>
        </patternFill>
      </fill>
    </dxf>
    <dxf>
      <font>
        <color rgb="FF00B050"/>
      </font>
      <fill>
        <patternFill>
          <bgColor theme="9" tint="0.59996337778862885"/>
        </patternFill>
      </fill>
    </dxf>
    <dxf>
      <font>
        <color theme="5" tint="-0.499984740745262"/>
      </font>
      <fill>
        <patternFill>
          <bgColor theme="7" tint="0.59996337778862885"/>
        </patternFill>
      </fill>
    </dxf>
    <dxf>
      <font>
        <color rgb="FF002060"/>
      </font>
      <fill>
        <patternFill>
          <bgColor theme="8" tint="0.59996337778862885"/>
        </patternFill>
      </fill>
    </dxf>
    <dxf>
      <font>
        <color rgb="FFC00000"/>
      </font>
      <fill>
        <patternFill>
          <bgColor rgb="FFFFCCCC"/>
        </patternFill>
      </fill>
    </dxf>
    <dxf>
      <font>
        <color auto="1"/>
      </font>
      <fill>
        <patternFill>
          <bgColor theme="0"/>
        </patternFill>
      </fill>
    </dxf>
    <dxf>
      <fill>
        <patternFill>
          <bgColor theme="9" tint="0.59996337778862885"/>
        </patternFill>
      </fill>
    </dxf>
    <dxf>
      <fill>
        <patternFill>
          <bgColor rgb="FF92D050"/>
        </patternFill>
      </fill>
    </dxf>
    <dxf>
      <fill>
        <patternFill>
          <bgColor theme="0"/>
        </patternFill>
      </fill>
    </dxf>
    <dxf>
      <font>
        <b val="0"/>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indexed="65"/>
        </patternFill>
      </fill>
      <alignment horizontal="left" vertical="center" textRotation="0" wrapText="1"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rgb="FF000000"/>
        <name val="Cambria"/>
        <family val="1"/>
        <scheme val="none"/>
      </font>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Cambria"/>
        <family val="1"/>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9" tint="-0.499984740745262"/>
        <name val="Cambria"/>
        <family val="1"/>
        <scheme val="none"/>
      </font>
      <numFmt numFmtId="0" formatCode="General"/>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9" tint="-0.499984740745262"/>
        <name val="Cambria"/>
        <family val="1"/>
        <scheme val="none"/>
      </font>
      <numFmt numFmtId="3" formatCode="#,##0"/>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3" formatCode="#,##0"/>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9" tint="-0.499984740745262"/>
        <name val="Cambria"/>
        <family val="1"/>
        <scheme val="none"/>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3" formatCode="#,##0"/>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3" formatCode="#,##0"/>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9" tint="-0.499984740745262"/>
        <name val="Cambria"/>
        <family val="1"/>
        <scheme val="none"/>
      </font>
      <numFmt numFmtId="3" formatCode="#,##0"/>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9" tint="-0.499984740745262"/>
        <name val="Cambria"/>
        <family val="1"/>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9" tint="-0.499984740745262"/>
        <name val="Cambria"/>
        <family val="1"/>
        <scheme val="none"/>
      </font>
      <fill>
        <patternFill patternType="none">
          <fgColor indexed="64"/>
          <bgColor auto="1"/>
        </patternFill>
      </fill>
      <alignment vertical="center" textRotation="0" wrapText="1" indent="0" justifyLastLine="0" shrinkToFit="0" readingOrder="0"/>
    </dxf>
    <dxf>
      <font>
        <strike val="0"/>
        <outline val="0"/>
        <shadow val="0"/>
        <u val="none"/>
        <vertAlign val="baseline"/>
        <sz val="11"/>
        <color rgb="FF000000"/>
        <name val="Cambria"/>
        <family val="1"/>
        <scheme val="none"/>
      </font>
      <numFmt numFmtId="1" formatCode="0"/>
      <alignment vertical="center" textRotation="0" wrapText="0" indent="0" justifyLastLine="0" shrinkToFit="0" readingOrder="0"/>
    </dxf>
    <dxf>
      <font>
        <b val="0"/>
        <strike val="0"/>
        <outline val="0"/>
        <shadow val="0"/>
        <u val="none"/>
        <vertAlign val="baseline"/>
        <sz val="11"/>
        <color rgb="FF000000"/>
        <name val="Cambria"/>
        <family val="1"/>
        <scheme val="none"/>
      </font>
      <numFmt numFmtId="1" formatCode="0"/>
      <fill>
        <patternFill patternType="none">
          <fgColor rgb="FF000000"/>
          <bgColor auto="1"/>
        </patternFill>
      </fill>
      <alignment vertical="center" textRotation="0" wrapText="0" indent="0" justifyLastLine="0" shrinkToFit="0" readingOrder="0"/>
    </dxf>
    <dxf>
      <font>
        <b val="0"/>
        <i val="0"/>
        <strike val="0"/>
        <condense val="0"/>
        <extend val="0"/>
        <outline val="0"/>
        <shadow val="0"/>
        <u val="none"/>
        <vertAlign val="baseline"/>
        <sz val="11"/>
        <color indexed="8"/>
        <name val="Cambria"/>
        <family val="1"/>
        <scheme val="none"/>
      </font>
      <numFmt numFmtId="30" formatCode="@"/>
      <fill>
        <patternFill patternType="none">
          <fgColor indexed="64"/>
          <bgColor indexed="65"/>
        </patternFill>
      </fill>
      <alignment horizontal="center" vertical="center" textRotation="0" wrapText="0" indent="0" justifyLastLine="0" shrinkToFit="0" readingOrder="0"/>
    </dxf>
    <dxf>
      <fill>
        <patternFill>
          <bgColor theme="5" tint="0.39994506668294322"/>
        </patternFill>
      </fill>
    </dxf>
    <dxf>
      <fill>
        <patternFill>
          <bgColor theme="4" tint="0.39994506668294322"/>
        </patternFill>
      </fill>
    </dxf>
    <dxf>
      <font>
        <b val="0"/>
        <condense val="0"/>
        <extend val="0"/>
        <sz val="11"/>
        <color indexed="8"/>
      </font>
      <fill>
        <patternFill patternType="solid">
          <fgColor indexed="46"/>
          <bgColor indexed="22"/>
        </patternFill>
      </fill>
    </dxf>
    <dxf>
      <fill>
        <patternFill>
          <bgColor theme="5" tint="0.39994506668294322"/>
        </patternFill>
      </fill>
    </dxf>
    <dxf>
      <fill>
        <patternFill>
          <bgColor theme="4" tint="0.399945066682943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DDD9C3"/>
      <rgbColor rgb="00FFFF99"/>
      <rgbColor rgb="0099CCFF"/>
      <rgbColor rgb="00FF99CC"/>
      <rgbColor rgb="00BFBFB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eetMetadata" Target="metadata.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5" Type="http://schemas.openxmlformats.org/officeDocument/2006/relationships/customXml" Target="../customXml/item10.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9.xml"/><Relationship Id="rId32"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10" Type="http://schemas.openxmlformats.org/officeDocument/2006/relationships/connections" Target="connections.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Peta Karir</c:v>
          </c:tx>
          <c:spPr>
            <a:ln w="19050" cap="rnd">
              <a:noFill/>
              <a:round/>
            </a:ln>
            <a:effectLst/>
          </c:spPr>
          <c:marker>
            <c:symbol val="diamond"/>
            <c:size val="13"/>
            <c:spPr>
              <a:solidFill>
                <a:schemeClr val="accent6">
                  <a:lumMod val="50000"/>
                </a:schemeClr>
              </a:solidFill>
              <a:ln w="9525">
                <a:solidFill>
                  <a:srgbClr val="FF0000"/>
                </a:solidFill>
              </a:ln>
              <a:effectLst/>
            </c:spPr>
          </c:marker>
          <c:xVal>
            <c:numRef>
              <c:f>Analysis!$C$29</c:f>
              <c:numCache>
                <c:formatCode>#,##0.0_ ;\-#,##0.0\ </c:formatCode>
                <c:ptCount val="1"/>
                <c:pt idx="0">
                  <c:v>5.6923076923076925</c:v>
                </c:pt>
              </c:numCache>
            </c:numRef>
          </c:xVal>
          <c:yVal>
            <c:numRef>
              <c:f>Analysis!$C$30</c:f>
              <c:numCache>
                <c:formatCode>#,##0.0_ ;\-#,##0.0\ </c:formatCode>
                <c:ptCount val="1"/>
                <c:pt idx="0">
                  <c:v>2.8</c:v>
                </c:pt>
              </c:numCache>
            </c:numRef>
          </c:yVal>
          <c:smooth val="0"/>
          <c:extLst>
            <c:ext xmlns:c16="http://schemas.microsoft.com/office/drawing/2014/chart" uri="{C3380CC4-5D6E-409C-BE32-E72D297353CC}">
              <c16:uniqueId val="{00000000-49F1-4FBF-8EFE-BA147DD07308}"/>
            </c:ext>
          </c:extLst>
        </c:ser>
        <c:dLbls>
          <c:showLegendKey val="0"/>
          <c:showVal val="0"/>
          <c:showCatName val="0"/>
          <c:showSerName val="0"/>
          <c:showPercent val="0"/>
          <c:showBubbleSize val="0"/>
        </c:dLbls>
        <c:axId val="604311648"/>
        <c:axId val="604317888"/>
      </c:scatterChart>
      <c:valAx>
        <c:axId val="604311648"/>
        <c:scaling>
          <c:orientation val="minMax"/>
          <c:max val="10"/>
        </c:scaling>
        <c:delete val="0"/>
        <c:axPos val="b"/>
        <c:numFmt formatCode="#,##0.0_ ;\-#,##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04317888"/>
        <c:crosses val="autoZero"/>
        <c:crossBetween val="midCat"/>
        <c:minorUnit val="0.5"/>
      </c:valAx>
      <c:valAx>
        <c:axId val="604317888"/>
        <c:scaling>
          <c:orientation val="minMax"/>
          <c:max val="5"/>
        </c:scaling>
        <c:delete val="0"/>
        <c:axPos val="l"/>
        <c:numFmt formatCode="#,##0.0_ ;\-#,##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04311648"/>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d-ID"/>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169265266542054"/>
          <c:y val="0.1133171970710747"/>
          <c:w val="0.42213698877092759"/>
          <c:h val="0.75462852870835584"/>
        </c:manualLayout>
      </c:layout>
      <c:radarChart>
        <c:radarStyle val="marker"/>
        <c:varyColors val="0"/>
        <c:ser>
          <c:idx val="1"/>
          <c:order val="2"/>
          <c:tx>
            <c:v>Nilai</c:v>
          </c:tx>
          <c:spPr>
            <a:ln w="31750" cap="rnd">
              <a:solidFill>
                <a:schemeClr val="accent6"/>
              </a:solidFill>
              <a:round/>
            </a:ln>
            <a:effectLst/>
          </c:spPr>
          <c:marker>
            <c:symbol val="none"/>
          </c:marker>
          <c:cat>
            <c:strRef>
              <c:f>Analysis!$B$5:$B$17</c:f>
              <c:strCache>
                <c:ptCount val="13"/>
                <c:pt idx="0">
                  <c:v>Logika Berpikir</c:v>
                </c:pt>
                <c:pt idx="1">
                  <c:v>Sistematika Berpikir</c:v>
                </c:pt>
                <c:pt idx="2">
                  <c:v>Analisa Sintesa</c:v>
                </c:pt>
                <c:pt idx="3">
                  <c:v>Hasrat Berprestasi</c:v>
                </c:pt>
                <c:pt idx="4">
                  <c:v>Inisatif</c:v>
                </c:pt>
                <c:pt idx="5">
                  <c:v>Sistematika Kerja</c:v>
                </c:pt>
                <c:pt idx="6">
                  <c:v>Ketelitian</c:v>
                </c:pt>
                <c:pt idx="7">
                  <c:v>Stabilitas Emosi</c:v>
                </c:pt>
                <c:pt idx="8">
                  <c:v>Kepercayaan Diri</c:v>
                </c:pt>
                <c:pt idx="9">
                  <c:v>Kontak Sosial</c:v>
                </c:pt>
                <c:pt idx="10">
                  <c:v>Kerjasama</c:v>
                </c:pt>
                <c:pt idx="11">
                  <c:v>Kemandirian</c:v>
                </c:pt>
                <c:pt idx="12">
                  <c:v>Kemampuan Adaptasi</c:v>
                </c:pt>
              </c:strCache>
            </c:strRef>
          </c:cat>
          <c:val>
            <c:numRef>
              <c:f>Analysis!$C$5:$C$17</c:f>
              <c:numCache>
                <c:formatCode>General</c:formatCode>
                <c:ptCount val="13"/>
                <c:pt idx="0">
                  <c:v>5</c:v>
                </c:pt>
                <c:pt idx="1">
                  <c:v>5</c:v>
                </c:pt>
                <c:pt idx="2">
                  <c:v>6</c:v>
                </c:pt>
                <c:pt idx="3">
                  <c:v>7</c:v>
                </c:pt>
                <c:pt idx="4">
                  <c:v>7</c:v>
                </c:pt>
                <c:pt idx="5">
                  <c:v>5</c:v>
                </c:pt>
                <c:pt idx="6">
                  <c:v>5</c:v>
                </c:pt>
                <c:pt idx="7">
                  <c:v>6</c:v>
                </c:pt>
                <c:pt idx="8">
                  <c:v>6</c:v>
                </c:pt>
                <c:pt idx="9">
                  <c:v>6</c:v>
                </c:pt>
                <c:pt idx="10">
                  <c:v>5</c:v>
                </c:pt>
                <c:pt idx="11">
                  <c:v>6</c:v>
                </c:pt>
                <c:pt idx="12">
                  <c:v>5</c:v>
                </c:pt>
              </c:numCache>
            </c:numRef>
          </c:val>
          <c:extLst>
            <c:ext xmlns:c16="http://schemas.microsoft.com/office/drawing/2014/chart" uri="{C3380CC4-5D6E-409C-BE32-E72D297353CC}">
              <c16:uniqueId val="{00000001-7919-4D93-A909-784177AB0071}"/>
            </c:ext>
          </c:extLst>
        </c:ser>
        <c:ser>
          <c:idx val="2"/>
          <c:order val="3"/>
          <c:tx>
            <c:v>Std Est</c:v>
          </c:tx>
          <c:spPr>
            <a:ln w="15875" cap="rnd">
              <a:solidFill>
                <a:schemeClr val="accent4">
                  <a:alpha val="75000"/>
                </a:schemeClr>
              </a:solidFill>
              <a:round/>
            </a:ln>
            <a:effectLst/>
          </c:spPr>
          <c:marker>
            <c:symbol val="none"/>
          </c:marker>
          <c:cat>
            <c:strRef>
              <c:f>Analysis!$B$5:$B$17</c:f>
              <c:strCache>
                <c:ptCount val="13"/>
                <c:pt idx="0">
                  <c:v>Logika Berpikir</c:v>
                </c:pt>
                <c:pt idx="1">
                  <c:v>Sistematika Berpikir</c:v>
                </c:pt>
                <c:pt idx="2">
                  <c:v>Analisa Sintesa</c:v>
                </c:pt>
                <c:pt idx="3">
                  <c:v>Hasrat Berprestasi</c:v>
                </c:pt>
                <c:pt idx="4">
                  <c:v>Inisatif</c:v>
                </c:pt>
                <c:pt idx="5">
                  <c:v>Sistematika Kerja</c:v>
                </c:pt>
                <c:pt idx="6">
                  <c:v>Ketelitian</c:v>
                </c:pt>
                <c:pt idx="7">
                  <c:v>Stabilitas Emosi</c:v>
                </c:pt>
                <c:pt idx="8">
                  <c:v>Kepercayaan Diri</c:v>
                </c:pt>
                <c:pt idx="9">
                  <c:v>Kontak Sosial</c:v>
                </c:pt>
                <c:pt idx="10">
                  <c:v>Kerjasama</c:v>
                </c:pt>
                <c:pt idx="11">
                  <c:v>Kemandirian</c:v>
                </c:pt>
                <c:pt idx="12">
                  <c:v>Kemampuan Adaptasi</c:v>
                </c:pt>
              </c:strCache>
            </c:strRef>
          </c:cat>
          <c:val>
            <c:numRef>
              <c:f>Analysis!$D$5:$D$17</c:f>
              <c:numCache>
                <c:formatCode>General</c:formatCode>
                <c:ptCount val="13"/>
                <c:pt idx="0">
                  <c:v>6</c:v>
                </c:pt>
                <c:pt idx="1">
                  <c:v>5</c:v>
                </c:pt>
                <c:pt idx="2">
                  <c:v>6</c:v>
                </c:pt>
                <c:pt idx="3">
                  <c:v>5</c:v>
                </c:pt>
                <c:pt idx="4">
                  <c:v>6</c:v>
                </c:pt>
                <c:pt idx="5">
                  <c:v>5</c:v>
                </c:pt>
                <c:pt idx="6">
                  <c:v>6</c:v>
                </c:pt>
                <c:pt idx="7">
                  <c:v>6</c:v>
                </c:pt>
                <c:pt idx="8">
                  <c:v>7</c:v>
                </c:pt>
                <c:pt idx="9">
                  <c:v>6</c:v>
                </c:pt>
                <c:pt idx="10">
                  <c:v>7</c:v>
                </c:pt>
                <c:pt idx="11">
                  <c:v>7</c:v>
                </c:pt>
                <c:pt idx="12">
                  <c:v>6</c:v>
                </c:pt>
              </c:numCache>
            </c:numRef>
          </c:val>
          <c:extLst>
            <c:ext xmlns:c16="http://schemas.microsoft.com/office/drawing/2014/chart" uri="{C3380CC4-5D6E-409C-BE32-E72D297353CC}">
              <c16:uniqueId val="{00000002-7919-4D93-A909-784177AB0071}"/>
            </c:ext>
          </c:extLst>
        </c:ser>
        <c:ser>
          <c:idx val="4"/>
          <c:order val="4"/>
          <c:tx>
            <c:v>Std Dev</c:v>
          </c:tx>
          <c:spPr>
            <a:ln w="15875" cap="rnd">
              <a:solidFill>
                <a:srgbClr val="C00000">
                  <a:alpha val="75000"/>
                </a:srgbClr>
              </a:solidFill>
              <a:round/>
            </a:ln>
            <a:effectLst/>
          </c:spPr>
          <c:marker>
            <c:symbol val="none"/>
          </c:marker>
          <c:cat>
            <c:strRef>
              <c:f>Analysis!$B$5:$B$17</c:f>
              <c:strCache>
                <c:ptCount val="13"/>
                <c:pt idx="0">
                  <c:v>Logika Berpikir</c:v>
                </c:pt>
                <c:pt idx="1">
                  <c:v>Sistematika Berpikir</c:v>
                </c:pt>
                <c:pt idx="2">
                  <c:v>Analisa Sintesa</c:v>
                </c:pt>
                <c:pt idx="3">
                  <c:v>Hasrat Berprestasi</c:v>
                </c:pt>
                <c:pt idx="4">
                  <c:v>Inisatif</c:v>
                </c:pt>
                <c:pt idx="5">
                  <c:v>Sistematika Kerja</c:v>
                </c:pt>
                <c:pt idx="6">
                  <c:v>Ketelitian</c:v>
                </c:pt>
                <c:pt idx="7">
                  <c:v>Stabilitas Emosi</c:v>
                </c:pt>
                <c:pt idx="8">
                  <c:v>Kepercayaan Diri</c:v>
                </c:pt>
                <c:pt idx="9">
                  <c:v>Kontak Sosial</c:v>
                </c:pt>
                <c:pt idx="10">
                  <c:v>Kerjasama</c:v>
                </c:pt>
                <c:pt idx="11">
                  <c:v>Kemandirian</c:v>
                </c:pt>
                <c:pt idx="12">
                  <c:v>Kemampuan Adaptasi</c:v>
                </c:pt>
              </c:strCache>
            </c:strRef>
          </c:cat>
          <c:val>
            <c:numRef>
              <c:f>Analysis!$E$5:$E$17</c:f>
              <c:numCache>
                <c:formatCode>General</c:formatCode>
                <c:ptCount val="13"/>
                <c:pt idx="0">
                  <c:v>6</c:v>
                </c:pt>
                <c:pt idx="1">
                  <c:v>5</c:v>
                </c:pt>
                <c:pt idx="2">
                  <c:v>6</c:v>
                </c:pt>
                <c:pt idx="3">
                  <c:v>5</c:v>
                </c:pt>
                <c:pt idx="4">
                  <c:v>6</c:v>
                </c:pt>
                <c:pt idx="5">
                  <c:v>5</c:v>
                </c:pt>
                <c:pt idx="6">
                  <c:v>6</c:v>
                </c:pt>
                <c:pt idx="7">
                  <c:v>6</c:v>
                </c:pt>
                <c:pt idx="8">
                  <c:v>7</c:v>
                </c:pt>
                <c:pt idx="9">
                  <c:v>6</c:v>
                </c:pt>
                <c:pt idx="10">
                  <c:v>7</c:v>
                </c:pt>
                <c:pt idx="11">
                  <c:v>7</c:v>
                </c:pt>
                <c:pt idx="12">
                  <c:v>6</c:v>
                </c:pt>
              </c:numCache>
            </c:numRef>
          </c:val>
          <c:extLst>
            <c:ext xmlns:c16="http://schemas.microsoft.com/office/drawing/2014/chart" uri="{C3380CC4-5D6E-409C-BE32-E72D297353CC}">
              <c16:uniqueId val="{00000003-7919-4D93-A909-784177AB0071}"/>
            </c:ext>
          </c:extLst>
        </c:ser>
        <c:dLbls>
          <c:showLegendKey val="0"/>
          <c:showVal val="0"/>
          <c:showCatName val="0"/>
          <c:showSerName val="0"/>
          <c:showPercent val="0"/>
          <c:showBubbleSize val="0"/>
        </c:dLbls>
        <c:axId val="360544800"/>
        <c:axId val="360534400"/>
        <c:extLst>
          <c:ext xmlns:c15="http://schemas.microsoft.com/office/drawing/2012/chart" uri="{02D57815-91ED-43cb-92C2-25804820EDAC}">
            <c15:filteredRadarSeries>
              <c15:ser>
                <c:idx val="0"/>
                <c:order val="0"/>
                <c:tx>
                  <c:strRef>
                    <c:extLst>
                      <c:ext uri="{02D57815-91ED-43cb-92C2-25804820EDAC}">
                        <c15:formulaRef>
                          <c15:sqref>Analysis!$I$4</c15:sqref>
                        </c15:formulaRef>
                      </c:ext>
                    </c:extLst>
                    <c:strCache>
                      <c:ptCount val="1"/>
                      <c:pt idx="0">
                        <c:v>% Nilai</c:v>
                      </c:pt>
                    </c:strCache>
                  </c:strRef>
                </c:tx>
                <c:spPr>
                  <a:ln w="28575" cap="rnd">
                    <a:solidFill>
                      <a:schemeClr val="accent6"/>
                    </a:solidFill>
                    <a:round/>
                  </a:ln>
                  <a:effectLst/>
                </c:spPr>
                <c:marker>
                  <c:symbol val="none"/>
                </c:marker>
                <c:cat>
                  <c:strRef>
                    <c:extLst>
                      <c:ext uri="{02D57815-91ED-43cb-92C2-25804820EDAC}">
                        <c15:formulaRef>
                          <c15:sqref>Analysis!$B$5:$B$17</c15:sqref>
                        </c15:formulaRef>
                      </c:ext>
                    </c:extLst>
                    <c:strCache>
                      <c:ptCount val="13"/>
                      <c:pt idx="0">
                        <c:v>Logika Berpikir</c:v>
                      </c:pt>
                      <c:pt idx="1">
                        <c:v>Sistematika Berpikir</c:v>
                      </c:pt>
                      <c:pt idx="2">
                        <c:v>Analisa Sintesa</c:v>
                      </c:pt>
                      <c:pt idx="3">
                        <c:v>Hasrat Berprestasi</c:v>
                      </c:pt>
                      <c:pt idx="4">
                        <c:v>Inisatif</c:v>
                      </c:pt>
                      <c:pt idx="5">
                        <c:v>Sistematika Kerja</c:v>
                      </c:pt>
                      <c:pt idx="6">
                        <c:v>Ketelitian</c:v>
                      </c:pt>
                      <c:pt idx="7">
                        <c:v>Stabilitas Emosi</c:v>
                      </c:pt>
                      <c:pt idx="8">
                        <c:v>Kepercayaan Diri</c:v>
                      </c:pt>
                      <c:pt idx="9">
                        <c:v>Kontak Sosial</c:v>
                      </c:pt>
                      <c:pt idx="10">
                        <c:v>Kerjasama</c:v>
                      </c:pt>
                      <c:pt idx="11">
                        <c:v>Kemandirian</c:v>
                      </c:pt>
                      <c:pt idx="12">
                        <c:v>Kemampuan Adaptasi</c:v>
                      </c:pt>
                    </c:strCache>
                  </c:strRef>
                </c:cat>
                <c:val>
                  <c:numRef>
                    <c:extLst>
                      <c:ext uri="{02D57815-91ED-43cb-92C2-25804820EDAC}">
                        <c15:formulaRef>
                          <c15:sqref>Analysis!$I$5:$I$17</c15:sqref>
                        </c15:formulaRef>
                      </c:ext>
                    </c:extLst>
                    <c:numCache>
                      <c:formatCode>0%</c:formatCode>
                      <c:ptCount val="13"/>
                      <c:pt idx="0">
                        <c:v>0.83333333333333337</c:v>
                      </c:pt>
                      <c:pt idx="1">
                        <c:v>1</c:v>
                      </c:pt>
                      <c:pt idx="2">
                        <c:v>1</c:v>
                      </c:pt>
                      <c:pt idx="3">
                        <c:v>1.4</c:v>
                      </c:pt>
                      <c:pt idx="4">
                        <c:v>1.1666666666666667</c:v>
                      </c:pt>
                      <c:pt idx="5">
                        <c:v>1</c:v>
                      </c:pt>
                      <c:pt idx="6">
                        <c:v>0.83333333333333337</c:v>
                      </c:pt>
                      <c:pt idx="7">
                        <c:v>1</c:v>
                      </c:pt>
                      <c:pt idx="8">
                        <c:v>0.8571428571428571</c:v>
                      </c:pt>
                      <c:pt idx="9">
                        <c:v>1</c:v>
                      </c:pt>
                      <c:pt idx="10">
                        <c:v>0.7142857142857143</c:v>
                      </c:pt>
                      <c:pt idx="11">
                        <c:v>0.8571428571428571</c:v>
                      </c:pt>
                      <c:pt idx="12">
                        <c:v>0.83333333333333337</c:v>
                      </c:pt>
                    </c:numCache>
                  </c:numRef>
                </c:val>
                <c:extLst>
                  <c:ext xmlns:c16="http://schemas.microsoft.com/office/drawing/2014/chart" uri="{C3380CC4-5D6E-409C-BE32-E72D297353CC}">
                    <c16:uniqueId val="{00000001-8E6A-47B8-B7D8-891B5FA5A424}"/>
                  </c:ext>
                </c:extLst>
              </c15:ser>
            </c15:filteredRadarSeries>
            <c15:filteredRadarSeries>
              <c15:ser>
                <c:idx val="3"/>
                <c:order val="1"/>
                <c:tx>
                  <c:strRef>
                    <c:extLst xmlns:c15="http://schemas.microsoft.com/office/drawing/2012/chart">
                      <c:ext xmlns:c15="http://schemas.microsoft.com/office/drawing/2012/chart" uri="{02D57815-91ED-43cb-92C2-25804820EDAC}">
                        <c15:formulaRef>
                          <c15:sqref>Analysis!$H$4</c15:sqref>
                        </c15:formulaRef>
                      </c:ext>
                    </c:extLst>
                    <c:strCache>
                      <c:ptCount val="1"/>
                      <c:pt idx="0">
                        <c:v>% Std</c:v>
                      </c:pt>
                    </c:strCache>
                  </c:strRef>
                </c:tx>
                <c:spPr>
                  <a:ln w="19050" cap="rnd">
                    <a:solidFill>
                      <a:schemeClr val="accent4">
                        <a:alpha val="80000"/>
                      </a:schemeClr>
                    </a:solidFill>
                    <a:round/>
                  </a:ln>
                  <a:effectLst/>
                </c:spPr>
                <c:marker>
                  <c:symbol val="none"/>
                </c:marker>
                <c:cat>
                  <c:strRef>
                    <c:extLst xmlns:c15="http://schemas.microsoft.com/office/drawing/2012/chart">
                      <c:ext xmlns:c15="http://schemas.microsoft.com/office/drawing/2012/chart" uri="{02D57815-91ED-43cb-92C2-25804820EDAC}">
                        <c15:formulaRef>
                          <c15:sqref>Analysis!$B$5:$B$17</c15:sqref>
                        </c15:formulaRef>
                      </c:ext>
                    </c:extLst>
                    <c:strCache>
                      <c:ptCount val="13"/>
                      <c:pt idx="0">
                        <c:v>Logika Berpikir</c:v>
                      </c:pt>
                      <c:pt idx="1">
                        <c:v>Sistematika Berpikir</c:v>
                      </c:pt>
                      <c:pt idx="2">
                        <c:v>Analisa Sintesa</c:v>
                      </c:pt>
                      <c:pt idx="3">
                        <c:v>Hasrat Berprestasi</c:v>
                      </c:pt>
                      <c:pt idx="4">
                        <c:v>Inisatif</c:v>
                      </c:pt>
                      <c:pt idx="5">
                        <c:v>Sistematika Kerja</c:v>
                      </c:pt>
                      <c:pt idx="6">
                        <c:v>Ketelitian</c:v>
                      </c:pt>
                      <c:pt idx="7">
                        <c:v>Stabilitas Emosi</c:v>
                      </c:pt>
                      <c:pt idx="8">
                        <c:v>Kepercayaan Diri</c:v>
                      </c:pt>
                      <c:pt idx="9">
                        <c:v>Kontak Sosial</c:v>
                      </c:pt>
                      <c:pt idx="10">
                        <c:v>Kerjasama</c:v>
                      </c:pt>
                      <c:pt idx="11">
                        <c:v>Kemandirian</c:v>
                      </c:pt>
                      <c:pt idx="12">
                        <c:v>Kemampuan Adaptasi</c:v>
                      </c:pt>
                    </c:strCache>
                  </c:strRef>
                </c:cat>
                <c:val>
                  <c:numRef>
                    <c:extLst xmlns:c15="http://schemas.microsoft.com/office/drawing/2012/chart">
                      <c:ext xmlns:c15="http://schemas.microsoft.com/office/drawing/2012/chart" uri="{02D57815-91ED-43cb-92C2-25804820EDAC}">
                        <c15:formulaRef>
                          <c15:sqref>Analysis!$H$5:$H$17</c15:sqref>
                        </c15:formulaRef>
                      </c:ext>
                    </c:extLst>
                    <c:numCache>
                      <c:formatCode>0%</c:formatCode>
                      <c:ptCount val="13"/>
                      <c:pt idx="0">
                        <c:v>1</c:v>
                      </c:pt>
                      <c:pt idx="1">
                        <c:v>1</c:v>
                      </c:pt>
                      <c:pt idx="2">
                        <c:v>1</c:v>
                      </c:pt>
                      <c:pt idx="3">
                        <c:v>1</c:v>
                      </c:pt>
                      <c:pt idx="4">
                        <c:v>1</c:v>
                      </c:pt>
                      <c:pt idx="5">
                        <c:v>1</c:v>
                      </c:pt>
                      <c:pt idx="6">
                        <c:v>1</c:v>
                      </c:pt>
                      <c:pt idx="7">
                        <c:v>1</c:v>
                      </c:pt>
                      <c:pt idx="8">
                        <c:v>1</c:v>
                      </c:pt>
                      <c:pt idx="9">
                        <c:v>1</c:v>
                      </c:pt>
                      <c:pt idx="10">
                        <c:v>1</c:v>
                      </c:pt>
                      <c:pt idx="11">
                        <c:v>1</c:v>
                      </c:pt>
                      <c:pt idx="12">
                        <c:v>1</c:v>
                      </c:pt>
                    </c:numCache>
                  </c:numRef>
                </c:val>
                <c:extLst xmlns:c15="http://schemas.microsoft.com/office/drawing/2012/chart">
                  <c:ext xmlns:c16="http://schemas.microsoft.com/office/drawing/2014/chart" uri="{C3380CC4-5D6E-409C-BE32-E72D297353CC}">
                    <c16:uniqueId val="{00000000-929A-4B7D-8B5E-AC1E1322211B}"/>
                  </c:ext>
                </c:extLst>
              </c15:ser>
            </c15:filteredRadarSeries>
          </c:ext>
        </c:extLst>
      </c:radarChart>
      <c:catAx>
        <c:axId val="360544800"/>
        <c:scaling>
          <c:orientation val="minMax"/>
        </c:scaling>
        <c:delete val="0"/>
        <c:axPos val="b"/>
        <c:numFmt formatCode="General"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1000" b="0" i="0" u="none" strike="noStrike" kern="1200" baseline="0">
                <a:solidFill>
                  <a:schemeClr val="accent6">
                    <a:lumMod val="50000"/>
                  </a:schemeClr>
                </a:solidFill>
                <a:latin typeface="Cambria" panose="02040503050406030204" pitchFamily="18" charset="0"/>
                <a:ea typeface="Cambria" panose="02040503050406030204" pitchFamily="18" charset="0"/>
                <a:cs typeface="+mn-cs"/>
              </a:defRPr>
            </a:pPr>
            <a:endParaRPr lang="id-ID"/>
          </a:p>
        </c:txPr>
        <c:crossAx val="360534400"/>
        <c:crosses val="autoZero"/>
        <c:auto val="1"/>
        <c:lblAlgn val="ctr"/>
        <c:lblOffset val="100"/>
        <c:noMultiLvlLbl val="0"/>
      </c:catAx>
      <c:valAx>
        <c:axId val="360534400"/>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6350">
            <a:solidFill>
              <a:schemeClr val="accent6">
                <a:alpha val="25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id-ID"/>
          </a:p>
        </c:txPr>
        <c:crossAx val="360544800"/>
        <c:crosses val="autoZero"/>
        <c:crossBetween val="between"/>
      </c:valAx>
      <c:spPr>
        <a:noFill/>
        <a:ln>
          <a:noFill/>
        </a:ln>
        <a:effectLst/>
      </c:spPr>
    </c:plotArea>
    <c:legend>
      <c:legendPos val="b"/>
      <c:layout>
        <c:manualLayout>
          <c:xMode val="edge"/>
          <c:yMode val="edge"/>
          <c:x val="0.22462906160215473"/>
          <c:y val="0.90719763554059851"/>
          <c:w val="0.54947086601813055"/>
          <c:h val="9.2582342381276231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id-ID"/>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663705353085525"/>
          <c:y val="9.3970325331187599E-2"/>
          <c:w val="0.68005411402950711"/>
          <c:h val="0.56520210311833852"/>
        </c:manualLayout>
      </c:layout>
      <c:barChart>
        <c:barDir val="col"/>
        <c:grouping val="clustered"/>
        <c:varyColors val="0"/>
        <c:ser>
          <c:idx val="0"/>
          <c:order val="1"/>
          <c:tx>
            <c:v>Nilai</c:v>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layout>
                <c:manualLayout>
                  <c:x val="2.9958284857525947E-3"/>
                  <c:y val="0.51296845153034232"/>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BAB-4FB1-8AAF-1D48DE0EC3A4}"/>
                </c:ext>
              </c:extLst>
            </c:dLbl>
            <c:dLbl>
              <c:idx val="1"/>
              <c:layout>
                <c:manualLayout>
                  <c:x val="0"/>
                  <c:y val="0.75771165225543247"/>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BAB-4FB1-8AAF-1D48DE0EC3A4}"/>
                </c:ext>
              </c:extLst>
            </c:dLbl>
            <c:dLbl>
              <c:idx val="2"/>
              <c:layout>
                <c:manualLayout>
                  <c:x val="0"/>
                  <c:y val="0.52087081325819717"/>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accent6">
                          <a:lumMod val="50000"/>
                        </a:schemeClr>
                      </a:solidFill>
                      <a:latin typeface="+mn-lt"/>
                      <a:ea typeface="+mn-ea"/>
                      <a:cs typeface="+mn-cs"/>
                    </a:defRPr>
                  </a:pPr>
                  <a:endParaRPr lang="id-ID"/>
                </a:p>
              </c:txPr>
              <c:dLblPos val="outEnd"/>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1773728612851209"/>
                      <c:h val="0.17067823713514754"/>
                    </c:manualLayout>
                  </c15:layout>
                </c:ext>
                <c:ext xmlns:c16="http://schemas.microsoft.com/office/drawing/2014/chart" uri="{C3380CC4-5D6E-409C-BE32-E72D297353CC}">
                  <c16:uniqueId val="{00000007-1BAB-4FB1-8AAF-1D48DE0EC3A4}"/>
                </c:ext>
              </c:extLst>
            </c:dLbl>
            <c:dLbl>
              <c:idx val="3"/>
              <c:layout>
                <c:manualLayout>
                  <c:x val="0"/>
                  <c:y val="0.54216701545379309"/>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BAB-4FB1-8AAF-1D48DE0EC3A4}"/>
                </c:ext>
              </c:extLst>
            </c:dLbl>
            <c:dLbl>
              <c:idx val="4"/>
              <c:layout>
                <c:manualLayout>
                  <c:x val="0"/>
                  <c:y val="0.37885582612771623"/>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BAB-4FB1-8AAF-1D48DE0EC3A4}"/>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accent6">
                        <a:lumMod val="50000"/>
                      </a:schemeClr>
                    </a:solidFill>
                    <a:latin typeface="+mn-lt"/>
                    <a:ea typeface="+mn-ea"/>
                    <a:cs typeface="+mn-cs"/>
                  </a:defRPr>
                </a:pPr>
                <a:endParaRPr lang="id-ID"/>
              </a:p>
            </c:txPr>
            <c:dLblPos val="inBase"/>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Analysis!$B$21:$B$25</c:f>
              <c:strCache>
                <c:ptCount val="5"/>
                <c:pt idx="0">
                  <c:v>Innovation</c:v>
                </c:pt>
                <c:pt idx="1">
                  <c:v>Pdca</c:v>
                </c:pt>
                <c:pt idx="2">
                  <c:v>Planning &amp; Organization</c:v>
                </c:pt>
                <c:pt idx="3">
                  <c:v>Interpersonal &amp; Collaboration</c:v>
                </c:pt>
                <c:pt idx="4">
                  <c:v>Communication</c:v>
                </c:pt>
              </c:strCache>
            </c:strRef>
          </c:cat>
          <c:val>
            <c:numRef>
              <c:f>Analysis!$C$21:$C$25</c:f>
              <c:numCache>
                <c:formatCode>General</c:formatCode>
                <c:ptCount val="5"/>
                <c:pt idx="0">
                  <c:v>3</c:v>
                </c:pt>
                <c:pt idx="1">
                  <c:v>4</c:v>
                </c:pt>
                <c:pt idx="2">
                  <c:v>3</c:v>
                </c:pt>
                <c:pt idx="3">
                  <c:v>2</c:v>
                </c:pt>
                <c:pt idx="4">
                  <c:v>2</c:v>
                </c:pt>
              </c:numCache>
            </c:numRef>
          </c:val>
          <c:extLst>
            <c:ext xmlns:c16="http://schemas.microsoft.com/office/drawing/2014/chart" uri="{C3380CC4-5D6E-409C-BE32-E72D297353CC}">
              <c16:uniqueId val="{00000000-1BAB-4FB1-8AAF-1D48DE0EC3A4}"/>
            </c:ext>
          </c:extLst>
        </c:ser>
        <c:dLbls>
          <c:showLegendKey val="0"/>
          <c:showVal val="0"/>
          <c:showCatName val="0"/>
          <c:showSerName val="0"/>
          <c:showPercent val="0"/>
          <c:showBubbleSize val="0"/>
        </c:dLbls>
        <c:gapWidth val="150"/>
        <c:axId val="142536991"/>
        <c:axId val="142552383"/>
        <c:extLst>
          <c:ext xmlns:c15="http://schemas.microsoft.com/office/drawing/2012/chart" uri="{02D57815-91ED-43cb-92C2-25804820EDAC}">
            <c15:filteredBarSeries>
              <c15:ser>
                <c:idx val="1"/>
                <c:order val="0"/>
                <c:tx>
                  <c:v>Std</c:v>
                </c:tx>
                <c:spPr>
                  <a:noFill/>
                  <a:ln w="22225">
                    <a:solidFill>
                      <a:schemeClr val="accent4"/>
                    </a:solidFill>
                  </a:ln>
                  <a:effectLst>
                    <a:outerShdw blurRad="57150" dist="19050" dir="5400000" algn="ctr" rotWithShape="0">
                      <a:srgbClr val="000000">
                        <a:alpha val="63000"/>
                      </a:srgbClr>
                    </a:outerShdw>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id-ID"/>
                    </a:p>
                  </c:txPr>
                  <c:dLblPos val="inBase"/>
                  <c:showLegendKey val="0"/>
                  <c:showVal val="1"/>
                  <c:showCatName val="1"/>
                  <c:showSerName val="0"/>
                  <c:showPercent val="0"/>
                  <c:showBubbleSize val="0"/>
                  <c:showLeaderLines val="0"/>
                  <c:extLst>
                    <c:ext uri="{CE6537A1-D6FC-4f65-9D91-7224C49458BB}">
                      <c15:spPr xmlns:c15="http://schemas.microsoft.com/office/drawing/2012/chart">
                        <a:prstGeom prst="wedgeRectCallout">
                          <a:avLst/>
                        </a:prstGeom>
                        <a:noFill/>
                        <a:ln>
                          <a:noFill/>
                        </a:ln>
                      </c15:spPr>
                      <c15:showLeaderLines val="0"/>
                    </c:ext>
                  </c:extLst>
                </c:dLbls>
                <c:cat>
                  <c:strRef>
                    <c:extLst>
                      <c:ext uri="{02D57815-91ED-43cb-92C2-25804820EDAC}">
                        <c15:formulaRef>
                          <c15:sqref>Analysis!$B$21:$B$25</c15:sqref>
                        </c15:formulaRef>
                      </c:ext>
                    </c:extLst>
                    <c:strCache>
                      <c:ptCount val="5"/>
                      <c:pt idx="0">
                        <c:v>Innovation</c:v>
                      </c:pt>
                      <c:pt idx="1">
                        <c:v>Pdca</c:v>
                      </c:pt>
                      <c:pt idx="2">
                        <c:v>Planning &amp; Organization</c:v>
                      </c:pt>
                      <c:pt idx="3">
                        <c:v>Interpersonal &amp; Collaboration</c:v>
                      </c:pt>
                      <c:pt idx="4">
                        <c:v>Communication</c:v>
                      </c:pt>
                    </c:strCache>
                  </c:strRef>
                </c:cat>
                <c:val>
                  <c:numRef>
                    <c:extLst>
                      <c:ext uri="{02D57815-91ED-43cb-92C2-25804820EDAC}">
                        <c15:formulaRef>
                          <c15:sqref>Analysis!$F$21:$F$25</c15:sqref>
                        </c15:formulaRef>
                      </c:ext>
                    </c:extLst>
                    <c:numCache>
                      <c:formatCode>General</c:formatCode>
                      <c:ptCount val="5"/>
                      <c:pt idx="0">
                        <c:v>3</c:v>
                      </c:pt>
                      <c:pt idx="1">
                        <c:v>2</c:v>
                      </c:pt>
                      <c:pt idx="2">
                        <c:v>3</c:v>
                      </c:pt>
                      <c:pt idx="3">
                        <c:v>3</c:v>
                      </c:pt>
                      <c:pt idx="4">
                        <c:v>3</c:v>
                      </c:pt>
                    </c:numCache>
                  </c:numRef>
                </c:val>
                <c:extLst>
                  <c:ext xmlns:c16="http://schemas.microsoft.com/office/drawing/2014/chart" uri="{C3380CC4-5D6E-409C-BE32-E72D297353CC}">
                    <c16:uniqueId val="{00000003-1BAB-4FB1-8AAF-1D48DE0EC3A4}"/>
                  </c:ext>
                </c:extLst>
              </c15:ser>
            </c15:filteredBarSeries>
          </c:ext>
        </c:extLst>
      </c:barChart>
      <c:scatterChart>
        <c:scatterStyle val="lineMarker"/>
        <c:varyColors val="0"/>
        <c:ser>
          <c:idx val="2"/>
          <c:order val="2"/>
          <c:tx>
            <c:v>Std Est</c:v>
          </c:tx>
          <c:spPr>
            <a:ln w="25400" cap="rnd">
              <a:noFill/>
              <a:round/>
            </a:ln>
            <a:effectLst>
              <a:outerShdw blurRad="57150" dist="19050" dir="5400000" algn="ctr" rotWithShape="0">
                <a:srgbClr val="000000">
                  <a:alpha val="63000"/>
                </a:srgbClr>
              </a:outerShdw>
            </a:effectLst>
          </c:spPr>
          <c:marker>
            <c:symbol val="dash"/>
            <c:size val="2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xVal>
            <c:strRef>
              <c:f>Analysis!$B$21:$B$25</c:f>
              <c:strCache>
                <c:ptCount val="5"/>
                <c:pt idx="0">
                  <c:v>Innovation</c:v>
                </c:pt>
                <c:pt idx="1">
                  <c:v>Pdca</c:v>
                </c:pt>
                <c:pt idx="2">
                  <c:v>Planning &amp; Organization</c:v>
                </c:pt>
                <c:pt idx="3">
                  <c:v>Interpersonal &amp; Collaboration</c:v>
                </c:pt>
                <c:pt idx="4">
                  <c:v>Communication</c:v>
                </c:pt>
              </c:strCache>
            </c:strRef>
          </c:xVal>
          <c:yVal>
            <c:numRef>
              <c:f>Analysis!$D$21:$D$25</c:f>
              <c:numCache>
                <c:formatCode>General</c:formatCode>
                <c:ptCount val="5"/>
                <c:pt idx="0">
                  <c:v>3</c:v>
                </c:pt>
                <c:pt idx="1">
                  <c:v>3</c:v>
                </c:pt>
                <c:pt idx="2">
                  <c:v>2</c:v>
                </c:pt>
                <c:pt idx="3">
                  <c:v>2</c:v>
                </c:pt>
                <c:pt idx="4">
                  <c:v>3</c:v>
                </c:pt>
              </c:numCache>
            </c:numRef>
          </c:yVal>
          <c:smooth val="0"/>
          <c:extLst>
            <c:ext xmlns:c16="http://schemas.microsoft.com/office/drawing/2014/chart" uri="{C3380CC4-5D6E-409C-BE32-E72D297353CC}">
              <c16:uniqueId val="{00000001-1BAB-4FB1-8AAF-1D48DE0EC3A4}"/>
            </c:ext>
          </c:extLst>
        </c:ser>
        <c:ser>
          <c:idx val="3"/>
          <c:order val="3"/>
          <c:tx>
            <c:v>Std Dev</c:v>
          </c:tx>
          <c:spPr>
            <a:ln w="25400" cap="rnd">
              <a:noFill/>
              <a:round/>
            </a:ln>
            <a:effectLst>
              <a:outerShdw blurRad="57150" dist="19050" dir="5400000" algn="ctr" rotWithShape="0">
                <a:srgbClr val="000000">
                  <a:alpha val="63000"/>
                </a:srgbClr>
              </a:outerShdw>
            </a:effectLst>
          </c:spPr>
          <c:marker>
            <c:symbol val="dash"/>
            <c:size val="20"/>
            <c:spPr>
              <a:solidFill>
                <a:srgbClr val="C00000"/>
              </a:solidFill>
              <a:ln w="0">
                <a:solidFill>
                  <a:srgbClr val="C00000"/>
                </a:solidFill>
                <a:round/>
              </a:ln>
              <a:effectLst>
                <a:outerShdw blurRad="57150" dist="19050" dir="5400000" algn="ctr" rotWithShape="0">
                  <a:srgbClr val="000000">
                    <a:alpha val="63000"/>
                  </a:srgbClr>
                </a:outerShdw>
              </a:effectLst>
            </c:spPr>
          </c:marker>
          <c:xVal>
            <c:strRef>
              <c:f>Analysis!$B$21:$B$25</c:f>
              <c:strCache>
                <c:ptCount val="5"/>
                <c:pt idx="0">
                  <c:v>Innovation</c:v>
                </c:pt>
                <c:pt idx="1">
                  <c:v>Pdca</c:v>
                </c:pt>
                <c:pt idx="2">
                  <c:v>Planning &amp; Organization</c:v>
                </c:pt>
                <c:pt idx="3">
                  <c:v>Interpersonal &amp; Collaboration</c:v>
                </c:pt>
                <c:pt idx="4">
                  <c:v>Communication</c:v>
                </c:pt>
              </c:strCache>
            </c:strRef>
          </c:xVal>
          <c:yVal>
            <c:numRef>
              <c:f>Analysis!$E$21:$E$25</c:f>
              <c:numCache>
                <c:formatCode>General</c:formatCode>
                <c:ptCount val="5"/>
                <c:pt idx="0">
                  <c:v>3</c:v>
                </c:pt>
                <c:pt idx="1">
                  <c:v>2</c:v>
                </c:pt>
                <c:pt idx="2">
                  <c:v>3</c:v>
                </c:pt>
                <c:pt idx="3">
                  <c:v>3</c:v>
                </c:pt>
                <c:pt idx="4">
                  <c:v>3</c:v>
                </c:pt>
              </c:numCache>
            </c:numRef>
          </c:yVal>
          <c:smooth val="0"/>
          <c:extLst>
            <c:ext xmlns:c16="http://schemas.microsoft.com/office/drawing/2014/chart" uri="{C3380CC4-5D6E-409C-BE32-E72D297353CC}">
              <c16:uniqueId val="{00000002-1BAB-4FB1-8AAF-1D48DE0EC3A4}"/>
            </c:ext>
          </c:extLst>
        </c:ser>
        <c:dLbls>
          <c:showLegendKey val="0"/>
          <c:showVal val="0"/>
          <c:showCatName val="0"/>
          <c:showSerName val="0"/>
          <c:showPercent val="0"/>
          <c:showBubbleSize val="0"/>
        </c:dLbls>
        <c:axId val="142536991"/>
        <c:axId val="142552383"/>
      </c:scatterChart>
      <c:catAx>
        <c:axId val="142536991"/>
        <c:scaling>
          <c:orientation val="minMax"/>
        </c:scaling>
        <c:delete val="1"/>
        <c:axPos val="b"/>
        <c:numFmt formatCode="General" sourceLinked="1"/>
        <c:majorTickMark val="out"/>
        <c:minorTickMark val="none"/>
        <c:tickLblPos val="nextTo"/>
        <c:crossAx val="142552383"/>
        <c:crosses val="autoZero"/>
        <c:auto val="1"/>
        <c:lblAlgn val="ctr"/>
        <c:lblOffset val="0"/>
        <c:noMultiLvlLbl val="0"/>
      </c:catAx>
      <c:valAx>
        <c:axId val="142552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id-ID"/>
          </a:p>
        </c:txPr>
        <c:crossAx val="142536991"/>
        <c:crosses val="autoZero"/>
        <c:crossBetween val="between"/>
        <c:majorUnit val="1"/>
        <c:minorUnit val="0.5"/>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id-ID"/>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Spin" dx="22" fmlaLink="$D$1" max="30000" min="1" page="10" val="2"/>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chart" Target="../charts/chart2.xml"/><Relationship Id="rId7" Type="http://schemas.openxmlformats.org/officeDocument/2006/relationships/image" Target="../media/image5.svg"/><Relationship Id="rId12" Type="http://schemas.openxmlformats.org/officeDocument/2006/relationships/image" Target="../media/image10.png"/><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svg"/><Relationship Id="rId5" Type="http://schemas.openxmlformats.org/officeDocument/2006/relationships/image" Target="../media/image3.svg"/><Relationship Id="rId15" Type="http://schemas.openxmlformats.org/officeDocument/2006/relationships/chart" Target="../charts/chart3.xml"/><Relationship Id="rId10" Type="http://schemas.openxmlformats.org/officeDocument/2006/relationships/image" Target="../media/image8.pn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0</xdr:row>
          <xdr:rowOff>0</xdr:rowOff>
        </xdr:from>
        <xdr:to>
          <xdr:col>4</xdr:col>
          <xdr:colOff>295275</xdr:colOff>
          <xdr:row>1</xdr:row>
          <xdr:rowOff>171450</xdr:rowOff>
        </xdr:to>
        <xdr:sp macro="" textlink="">
          <xdr:nvSpPr>
            <xdr:cNvPr id="10241" name="Spinner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xdr:col>
      <xdr:colOff>0</xdr:colOff>
      <xdr:row>54</xdr:row>
      <xdr:rowOff>190057</xdr:rowOff>
    </xdr:from>
    <xdr:to>
      <xdr:col>4</xdr:col>
      <xdr:colOff>53730</xdr:colOff>
      <xdr:row>70</xdr:row>
      <xdr:rowOff>0</xdr:rowOff>
    </xdr:to>
    <xdr:grpSp>
      <xdr:nvGrpSpPr>
        <xdr:cNvPr id="8" name="Group 7">
          <a:extLst>
            <a:ext uri="{FF2B5EF4-FFF2-40B4-BE49-F238E27FC236}">
              <a16:creationId xmlns:a16="http://schemas.microsoft.com/office/drawing/2014/main" id="{00000000-0008-0000-0000-000008000000}"/>
            </a:ext>
          </a:extLst>
        </xdr:cNvPr>
        <xdr:cNvGrpSpPr>
          <a:grpSpLocks noChangeAspect="1"/>
        </xdr:cNvGrpSpPr>
      </xdr:nvGrpSpPr>
      <xdr:grpSpPr>
        <a:xfrm>
          <a:off x="353786" y="10477057"/>
          <a:ext cx="2952051" cy="2857943"/>
          <a:chOff x="1270178" y="8218714"/>
          <a:chExt cx="2852786" cy="2721428"/>
        </a:xfrm>
      </xdr:grpSpPr>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alphaModFix amt="85000"/>
            <a:extLst>
              <a:ext uri="{28A0092B-C50C-407E-A947-70E740481C1C}">
                <a14:useLocalDpi xmlns:a14="http://schemas.microsoft.com/office/drawing/2010/main" val="0"/>
              </a:ext>
            </a:extLst>
          </a:blip>
          <a:srcRect/>
          <a:stretch>
            <a:fillRect/>
          </a:stretch>
        </xdr:blipFill>
        <xdr:spPr bwMode="auto">
          <a:xfrm>
            <a:off x="1602525" y="8383535"/>
            <a:ext cx="2292996" cy="229299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1270178" y="8218714"/>
          <a:ext cx="2852786" cy="2721428"/>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editAs="oneCell">
    <xdr:from>
      <xdr:col>2</xdr:col>
      <xdr:colOff>0</xdr:colOff>
      <xdr:row>39</xdr:row>
      <xdr:rowOff>2135</xdr:rowOff>
    </xdr:from>
    <xdr:to>
      <xdr:col>5</xdr:col>
      <xdr:colOff>508567</xdr:colOff>
      <xdr:row>54</xdr:row>
      <xdr:rowOff>4644</xdr:rowOff>
    </xdr:to>
    <xdr:grpSp>
      <xdr:nvGrpSpPr>
        <xdr:cNvPr id="33" name="Group 32">
          <a:extLst>
            <a:ext uri="{FF2B5EF4-FFF2-40B4-BE49-F238E27FC236}">
              <a16:creationId xmlns:a16="http://schemas.microsoft.com/office/drawing/2014/main" id="{00000000-0008-0000-0000-000021000000}"/>
            </a:ext>
          </a:extLst>
        </xdr:cNvPr>
        <xdr:cNvGrpSpPr>
          <a:grpSpLocks noChangeAspect="1"/>
        </xdr:cNvGrpSpPr>
      </xdr:nvGrpSpPr>
      <xdr:grpSpPr>
        <a:xfrm>
          <a:off x="353786" y="7431635"/>
          <a:ext cx="4128067" cy="2860009"/>
          <a:chOff x="666751" y="7306657"/>
          <a:chExt cx="4120244" cy="2827196"/>
        </a:xfrm>
      </xdr:grpSpPr>
      <xdr:graphicFrame macro="">
        <xdr:nvGraphicFramePr>
          <xdr:cNvPr id="3" name="Pem_Pot">
            <a:extLst>
              <a:ext uri="{FF2B5EF4-FFF2-40B4-BE49-F238E27FC236}">
                <a16:creationId xmlns:a16="http://schemas.microsoft.com/office/drawing/2014/main" id="{00000000-0008-0000-0000-000003000000}"/>
              </a:ext>
            </a:extLst>
          </xdr:cNvPr>
          <xdr:cNvGraphicFramePr>
            <a:graphicFrameLocks/>
          </xdr:cNvGraphicFramePr>
        </xdr:nvGraphicFramePr>
        <xdr:xfrm>
          <a:off x="666751" y="7681785"/>
          <a:ext cx="4120243" cy="2452068"/>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bwMode="auto">
          <a:xfrm>
            <a:off x="666751" y="7306657"/>
            <a:ext cx="4120244" cy="376959"/>
          </a:xfrm>
          <a:prstGeom prst="roundRect">
            <a:avLst/>
          </a:prstGeom>
          <a:ln>
            <a:headEnd type="none" w="med" len="med"/>
            <a:tailEnd type="none" w="med" len="med"/>
          </a:ln>
        </xdr:spPr>
        <xdr:style>
          <a:lnRef idx="0">
            <a:schemeClr val="accent6"/>
          </a:lnRef>
          <a:fillRef idx="3">
            <a:schemeClr val="accent6"/>
          </a:fillRef>
          <a:effectRef idx="3">
            <a:schemeClr val="accent6"/>
          </a:effectRef>
          <a:fontRef idx="minor">
            <a:schemeClr val="lt1"/>
          </a:fontRef>
        </xdr:style>
        <xdr:txBody>
          <a:bodyPr vertOverflow="clip" wrap="square" lIns="18288" tIns="0" rIns="0" bIns="0" rtlCol="0" anchor="ctr" upright="1"/>
          <a:lstStyle/>
          <a:p>
            <a:pPr algn="ctr"/>
            <a:r>
              <a:rPr lang="en-US" sz="1200" b="1">
                <a:latin typeface="Cambria" panose="02040503050406030204" pitchFamily="18" charset="0"/>
                <a:ea typeface="Cambria" panose="02040503050406030204" pitchFamily="18" charset="0"/>
              </a:rPr>
              <a:t>PEMENUHAN POTENSI</a:t>
            </a:r>
            <a:endParaRPr lang="id-ID" sz="1200" b="1">
              <a:latin typeface="Cambria" panose="02040503050406030204" pitchFamily="18" charset="0"/>
              <a:ea typeface="Cambria" panose="02040503050406030204" pitchFamily="18" charset="0"/>
            </a:endParaRPr>
          </a:p>
        </xdr:txBody>
      </xdr:sp>
    </xdr:grpSp>
    <xdr:clientData/>
  </xdr:twoCellAnchor>
  <xdr:twoCellAnchor editAs="oneCell">
    <xdr:from>
      <xdr:col>4</xdr:col>
      <xdr:colOff>469847</xdr:colOff>
      <xdr:row>56</xdr:row>
      <xdr:rowOff>108631</xdr:rowOff>
    </xdr:from>
    <xdr:to>
      <xdr:col>8</xdr:col>
      <xdr:colOff>0</xdr:colOff>
      <xdr:row>69</xdr:row>
      <xdr:rowOff>0</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3721954" y="10776631"/>
          <a:ext cx="2414867" cy="2367869"/>
          <a:chOff x="4734486" y="7020923"/>
          <a:chExt cx="2163535" cy="2450449"/>
        </a:xfrm>
      </xdr:grpSpPr>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4734486" y="8273943"/>
            <a:ext cx="2163535" cy="11974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numCol="1" spcCol="0" rtlCol="0" anchor="t">
            <a:noAutofit/>
          </a:bodyPr>
          <a:lstStyle/>
          <a:p>
            <a:r>
              <a:rPr lang="en-US" sz="1200" b="1" i="0" u="none" strike="noStrike">
                <a:solidFill>
                  <a:schemeClr val="accent6">
                    <a:lumMod val="75000"/>
                  </a:schemeClr>
                </a:solidFill>
                <a:latin typeface="Cambria"/>
                <a:ea typeface="Cambria"/>
              </a:rPr>
              <a:t>S : Star Person
SP : Specialist Person</a:t>
            </a:r>
          </a:p>
          <a:p>
            <a:r>
              <a:rPr lang="en-US" sz="1200" b="1" i="0" u="none" strike="noStrike">
                <a:solidFill>
                  <a:schemeClr val="accent6">
                    <a:lumMod val="75000"/>
                  </a:schemeClr>
                </a:solidFill>
                <a:latin typeface="Cambria"/>
                <a:ea typeface="Cambria"/>
              </a:rPr>
              <a:t>CP : Career Person</a:t>
            </a:r>
          </a:p>
          <a:p>
            <a:r>
              <a:rPr lang="en-US" sz="1200" b="1" i="0" u="none" strike="noStrike">
                <a:solidFill>
                  <a:schemeClr val="accent6">
                    <a:lumMod val="75000"/>
                  </a:schemeClr>
                </a:solidFill>
                <a:latin typeface="Cambria"/>
                <a:ea typeface="Cambria"/>
              </a:rPr>
              <a:t>PC : Potential Candidat</a:t>
            </a:r>
          </a:p>
          <a:p>
            <a:r>
              <a:rPr lang="en-US" sz="1200" b="1" i="0" u="none" strike="noStrike">
                <a:solidFill>
                  <a:schemeClr val="accent6">
                    <a:lumMod val="75000"/>
                  </a:schemeClr>
                </a:solidFill>
                <a:latin typeface="Cambria"/>
                <a:ea typeface="Cambria"/>
              </a:rPr>
              <a:t>PE : Problem Employee</a:t>
            </a:r>
          </a:p>
        </xdr:txBody>
      </xdr:sp>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bwMode="auto">
          <a:xfrm>
            <a:off x="4914580" y="7760074"/>
            <a:ext cx="1803346" cy="406267"/>
          </a:xfrm>
          <a:prstGeom prst="roundRect">
            <a:avLst/>
          </a:prstGeom>
          <a:ln>
            <a:headEnd type="none" w="med" len="med"/>
            <a:tailEnd type="none" w="med" len="med"/>
          </a:ln>
        </xdr:spPr>
        <xdr:style>
          <a:lnRef idx="0">
            <a:schemeClr val="accent6"/>
          </a:lnRef>
          <a:fillRef idx="3">
            <a:schemeClr val="accent6"/>
          </a:fillRef>
          <a:effectRef idx="3">
            <a:schemeClr val="accent6"/>
          </a:effectRef>
          <a:fontRef idx="minor">
            <a:schemeClr val="lt1"/>
          </a:fontRef>
        </xdr:style>
        <xdr:txBody>
          <a:bodyPr vertOverflow="clip" wrap="square" lIns="18288" tIns="0" rIns="0" bIns="0" rtlCol="0" anchor="ctr" upright="1"/>
          <a:lstStyle/>
          <a:p>
            <a:pPr algn="ctr"/>
            <a:r>
              <a:rPr lang="en-US" sz="1400">
                <a:latin typeface="Cambria" panose="02040503050406030204" pitchFamily="18" charset="0"/>
                <a:ea typeface="Cambria" panose="02040503050406030204" pitchFamily="18" charset="0"/>
              </a:rPr>
              <a:t>PETA KARIR</a:t>
            </a:r>
            <a:endParaRPr lang="id-ID" sz="1400">
              <a:latin typeface="Cambria" panose="02040503050406030204" pitchFamily="18" charset="0"/>
              <a:ea typeface="Cambria" panose="02040503050406030204" pitchFamily="18" charset="0"/>
            </a:endParaRPr>
          </a:p>
        </xdr:txBody>
      </xdr:sp>
      <xdr:pic>
        <xdr:nvPicPr>
          <xdr:cNvPr id="18" name="Graphic 17" descr="Office worker male outline">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5052253" y="7020924"/>
            <a:ext cx="657104" cy="745110"/>
          </a:xfrm>
          <a:prstGeom prst="rect">
            <a:avLst/>
          </a:prstGeom>
        </xdr:spPr>
      </xdr:pic>
      <xdr:pic>
        <xdr:nvPicPr>
          <xdr:cNvPr id="19" name="Graphic 18" descr="Office worker female outline">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5912382" y="7020923"/>
            <a:ext cx="657104" cy="745110"/>
          </a:xfrm>
          <a:prstGeom prst="rect">
            <a:avLst/>
          </a:prstGeom>
        </xdr:spPr>
      </xdr:pic>
    </xdr:grpSp>
    <xdr:clientData/>
  </xdr:twoCellAnchor>
  <xdr:twoCellAnchor editAs="oneCell">
    <xdr:from>
      <xdr:col>10</xdr:col>
      <xdr:colOff>14993</xdr:colOff>
      <xdr:row>8</xdr:row>
      <xdr:rowOff>94939</xdr:rowOff>
    </xdr:from>
    <xdr:to>
      <xdr:col>13</xdr:col>
      <xdr:colOff>127180</xdr:colOff>
      <xdr:row>15</xdr:row>
      <xdr:rowOff>174242</xdr:rowOff>
    </xdr:to>
    <xdr:grpSp>
      <xdr:nvGrpSpPr>
        <xdr:cNvPr id="40" name="Group 39">
          <a:extLst>
            <a:ext uri="{FF2B5EF4-FFF2-40B4-BE49-F238E27FC236}">
              <a16:creationId xmlns:a16="http://schemas.microsoft.com/office/drawing/2014/main" id="{00000000-0008-0000-0000-000028000000}"/>
            </a:ext>
          </a:extLst>
        </xdr:cNvPr>
        <xdr:cNvGrpSpPr>
          <a:grpSpLocks noChangeAspect="1"/>
        </xdr:cNvGrpSpPr>
      </xdr:nvGrpSpPr>
      <xdr:grpSpPr>
        <a:xfrm>
          <a:off x="6859386" y="1618939"/>
          <a:ext cx="2384580" cy="1412803"/>
          <a:chOff x="5941738" y="-19862"/>
          <a:chExt cx="2507951" cy="1668797"/>
        </a:xfrm>
      </xdr:grpSpPr>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5941739" y="1011088"/>
            <a:ext cx="948039" cy="6378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b="1">
                <a:solidFill>
                  <a:srgbClr val="92D050"/>
                </a:solidFill>
                <a:latin typeface="Cambria" panose="02040503050406030204" pitchFamily="18" charset="0"/>
                <a:ea typeface="Cambria" panose="02040503050406030204" pitchFamily="18" charset="0"/>
              </a:rPr>
              <a:t>IQ</a:t>
            </a:r>
            <a:endParaRPr lang="id-ID" sz="2400" b="1">
              <a:solidFill>
                <a:srgbClr val="92D050"/>
              </a:solidFill>
              <a:latin typeface="Cambria" panose="02040503050406030204" pitchFamily="18" charset="0"/>
              <a:ea typeface="Cambria" panose="02040503050406030204" pitchFamily="18" charset="0"/>
            </a:endParaRPr>
          </a:p>
        </xdr:txBody>
      </xdr:sp>
      <xdr:sp macro="" textlink="Analysis!$C$28">
        <xdr:nvSpPr>
          <xdr:cNvPr id="24" name="Rectangle: Rounded Corners 23">
            <a:extLst>
              <a:ext uri="{FF2B5EF4-FFF2-40B4-BE49-F238E27FC236}">
                <a16:creationId xmlns:a16="http://schemas.microsoft.com/office/drawing/2014/main" id="{00000000-0008-0000-0000-000018000000}"/>
              </a:ext>
            </a:extLst>
          </xdr:cNvPr>
          <xdr:cNvSpPr>
            <a:spLocks noChangeAspect="1"/>
          </xdr:cNvSpPr>
        </xdr:nvSpPr>
        <xdr:spPr bwMode="auto">
          <a:xfrm>
            <a:off x="6615300" y="276550"/>
            <a:ext cx="1834389" cy="1092081"/>
          </a:xfrm>
          <a:prstGeom prst="roundRect">
            <a:avLst/>
          </a:prstGeom>
          <a:no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fld id="{89A464C5-94D2-4FA0-B48A-B68E5E599C6C}" type="TxLink">
              <a:rPr lang="en-US" sz="4800" b="1" i="0" u="none" strike="noStrike">
                <a:solidFill>
                  <a:srgbClr val="92D050"/>
                </a:solidFill>
                <a:latin typeface="Cambria" panose="02040503050406030204" pitchFamily="18" charset="0"/>
                <a:ea typeface="Cambria" panose="02040503050406030204" pitchFamily="18" charset="0"/>
              </a:rPr>
              <a:pPr algn="ctr"/>
              <a:t>130</a:t>
            </a:fld>
            <a:endParaRPr lang="id-ID" sz="4800" b="1">
              <a:solidFill>
                <a:srgbClr val="92D050"/>
              </a:solidFill>
              <a:latin typeface="Cambria" panose="02040503050406030204" pitchFamily="18" charset="0"/>
              <a:ea typeface="Cambria" panose="02040503050406030204" pitchFamily="18" charset="0"/>
            </a:endParaRPr>
          </a:p>
        </xdr:txBody>
      </xdr:sp>
      <xdr:pic>
        <xdr:nvPicPr>
          <xdr:cNvPr id="41" name="Graphic 40" descr="Mental Health outline">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941738" y="-19862"/>
            <a:ext cx="948039" cy="1063077"/>
          </a:xfrm>
          <a:prstGeom prst="rect">
            <a:avLst/>
          </a:prstGeom>
        </xdr:spPr>
      </xdr:pic>
    </xdr:grpSp>
    <xdr:clientData/>
  </xdr:twoCellAnchor>
  <xdr:twoCellAnchor>
    <xdr:from>
      <xdr:col>10</xdr:col>
      <xdr:colOff>14993</xdr:colOff>
      <xdr:row>16</xdr:row>
      <xdr:rowOff>156096</xdr:rowOff>
    </xdr:from>
    <xdr:to>
      <xdr:col>12</xdr:col>
      <xdr:colOff>79493</xdr:colOff>
      <xdr:row>26</xdr:row>
      <xdr:rowOff>156680</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6859386" y="3204096"/>
          <a:ext cx="2160000" cy="1905584"/>
          <a:chOff x="6513245" y="3255828"/>
          <a:chExt cx="2160000" cy="1905584"/>
        </a:xfrm>
      </xdr:grpSpPr>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6693245" y="4801412"/>
            <a:ext cx="180000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a:solidFill>
                  <a:schemeClr val="accent6"/>
                </a:solidFill>
                <a:latin typeface="Cambria" panose="02040503050406030204" pitchFamily="18" charset="0"/>
                <a:ea typeface="Cambria" panose="02040503050406030204" pitchFamily="18" charset="0"/>
              </a:rPr>
              <a:t>Indeks Potensi</a:t>
            </a:r>
            <a:endParaRPr lang="id-ID" sz="1200" b="1">
              <a:solidFill>
                <a:schemeClr val="accent6"/>
              </a:solidFill>
              <a:latin typeface="Cambria" panose="02040503050406030204" pitchFamily="18" charset="0"/>
              <a:ea typeface="Cambria" panose="02040503050406030204" pitchFamily="18" charset="0"/>
            </a:endParaRPr>
          </a:p>
        </xdr:txBody>
      </xdr:sp>
      <xdr:pic>
        <xdr:nvPicPr>
          <xdr:cNvPr id="44" name="Graphic 43" descr="Business Growth outline">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143245" y="3255828"/>
            <a:ext cx="900000" cy="900000"/>
          </a:xfrm>
          <a:prstGeom prst="rect">
            <a:avLst/>
          </a:prstGeom>
        </xdr:spPr>
      </xdr:pic>
      <xdr:sp macro="" textlink="Analysis!$E$29">
        <xdr:nvSpPr>
          <xdr:cNvPr id="4" name="TextBox 3">
            <a:extLst>
              <a:ext uri="{FF2B5EF4-FFF2-40B4-BE49-F238E27FC236}">
                <a16:creationId xmlns:a16="http://schemas.microsoft.com/office/drawing/2014/main" id="{00000000-0008-0000-0000-000004000000}"/>
              </a:ext>
            </a:extLst>
          </xdr:cNvPr>
          <xdr:cNvSpPr txBox="1"/>
        </xdr:nvSpPr>
        <xdr:spPr>
          <a:xfrm>
            <a:off x="6513245" y="4064620"/>
            <a:ext cx="2160000" cy="828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1D4F529-BAA5-40B7-84FB-6BB4F781FB95}" type="TxLink">
              <a:rPr lang="en-US" sz="4800" b="1" i="0" u="none" strike="noStrike">
                <a:solidFill>
                  <a:srgbClr val="92D050"/>
                </a:solidFill>
                <a:latin typeface="Cambria"/>
                <a:ea typeface="Cambria"/>
              </a:rPr>
              <a:pPr algn="ctr"/>
              <a:t>7/13</a:t>
            </a:fld>
            <a:endParaRPr lang="id-ID" sz="4800" b="1" u="none">
              <a:solidFill>
                <a:srgbClr val="92D050"/>
              </a:solidFill>
            </a:endParaRPr>
          </a:p>
        </xdr:txBody>
      </xdr:sp>
    </xdr:grpSp>
    <xdr:clientData/>
  </xdr:twoCellAnchor>
  <xdr:twoCellAnchor editAs="oneCell">
    <xdr:from>
      <xdr:col>10</xdr:col>
      <xdr:colOff>14993</xdr:colOff>
      <xdr:row>27</xdr:row>
      <xdr:rowOff>138538</xdr:rowOff>
    </xdr:from>
    <xdr:to>
      <xdr:col>12</xdr:col>
      <xdr:colOff>79492</xdr:colOff>
      <xdr:row>37</xdr:row>
      <xdr:rowOff>138546</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6859386" y="5282038"/>
          <a:ext cx="2159999" cy="1905008"/>
          <a:chOff x="6513246" y="5299363"/>
          <a:chExt cx="2159999" cy="1899997"/>
        </a:xfrm>
      </xdr:grpSpPr>
      <xdr:pic>
        <xdr:nvPicPr>
          <xdr:cNvPr id="26" name="Graphic 25" descr="Group brainstorm outline">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7143245" y="5299363"/>
            <a:ext cx="900000" cy="899999"/>
          </a:xfrm>
          <a:prstGeom prst="rect">
            <a:avLst/>
          </a:prstGeom>
        </xdr:spPr>
      </xdr:pic>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6693246" y="6839360"/>
            <a:ext cx="179999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a:solidFill>
                  <a:schemeClr val="accent6"/>
                </a:solidFill>
                <a:latin typeface="Cambria" panose="02040503050406030204" pitchFamily="18" charset="0"/>
                <a:ea typeface="Cambria" panose="02040503050406030204" pitchFamily="18" charset="0"/>
              </a:rPr>
              <a:t>Indeks Kompetensi</a:t>
            </a:r>
            <a:endParaRPr lang="id-ID" sz="1200" b="1">
              <a:solidFill>
                <a:schemeClr val="accent6"/>
              </a:solidFill>
              <a:latin typeface="Cambria" panose="02040503050406030204" pitchFamily="18" charset="0"/>
              <a:ea typeface="Cambria" panose="02040503050406030204" pitchFamily="18" charset="0"/>
            </a:endParaRPr>
          </a:p>
        </xdr:txBody>
      </xdr:sp>
      <xdr:sp macro="" textlink="Analysis!$E$30">
        <xdr:nvSpPr>
          <xdr:cNvPr id="39" name="TextBox 38">
            <a:extLst>
              <a:ext uri="{FF2B5EF4-FFF2-40B4-BE49-F238E27FC236}">
                <a16:creationId xmlns:a16="http://schemas.microsoft.com/office/drawing/2014/main" id="{00000000-0008-0000-0000-000027000000}"/>
              </a:ext>
            </a:extLst>
          </xdr:cNvPr>
          <xdr:cNvSpPr txBox="1"/>
        </xdr:nvSpPr>
        <xdr:spPr>
          <a:xfrm>
            <a:off x="6513246" y="6098592"/>
            <a:ext cx="2159999" cy="841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C729A5AB-AEA7-41BB-93A1-706E0CB70BD4}" type="TxLink">
              <a:rPr lang="en-US" sz="4800" b="1" i="0" u="none" strike="noStrike">
                <a:solidFill>
                  <a:srgbClr val="92D050"/>
                </a:solidFill>
                <a:latin typeface="Cambria"/>
                <a:ea typeface="Cambria"/>
              </a:rPr>
              <a:pPr algn="ctr"/>
              <a:t>3/5</a:t>
            </a:fld>
            <a:endParaRPr lang="id-ID" sz="4800" b="1" u="none">
              <a:solidFill>
                <a:srgbClr val="92D050"/>
              </a:solidFill>
            </a:endParaRPr>
          </a:p>
        </xdr:txBody>
      </xdr:sp>
    </xdr:grpSp>
    <xdr:clientData/>
  </xdr:twoCellAnchor>
  <xdr:twoCellAnchor editAs="oneCell">
    <xdr:from>
      <xdr:col>11</xdr:col>
      <xdr:colOff>64412</xdr:colOff>
      <xdr:row>3</xdr:row>
      <xdr:rowOff>0</xdr:rowOff>
    </xdr:from>
    <xdr:to>
      <xdr:col>12</xdr:col>
      <xdr:colOff>1</xdr:colOff>
      <xdr:row>8</xdr:row>
      <xdr:rowOff>70227</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886118" y="571500"/>
          <a:ext cx="720000" cy="1022727"/>
        </a:xfrm>
        <a:prstGeom prst="rect">
          <a:avLst/>
        </a:prstGeom>
      </xdr:spPr>
    </xdr:pic>
    <xdr:clientData/>
  </xdr:twoCellAnchor>
  <xdr:twoCellAnchor editAs="oneCell">
    <xdr:from>
      <xdr:col>23</xdr:col>
      <xdr:colOff>125645</xdr:colOff>
      <xdr:row>3</xdr:row>
      <xdr:rowOff>0</xdr:rowOff>
    </xdr:from>
    <xdr:to>
      <xdr:col>24</xdr:col>
      <xdr:colOff>0</xdr:colOff>
      <xdr:row>8</xdr:row>
      <xdr:rowOff>66826</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218690" y="571500"/>
          <a:ext cx="722946" cy="1019326"/>
        </a:xfrm>
        <a:prstGeom prst="rect">
          <a:avLst/>
        </a:prstGeom>
      </xdr:spPr>
    </xdr:pic>
    <xdr:clientData/>
  </xdr:twoCellAnchor>
  <xdr:twoCellAnchor editAs="oneCell">
    <xdr:from>
      <xdr:col>5</xdr:col>
      <xdr:colOff>710089</xdr:colOff>
      <xdr:row>38</xdr:row>
      <xdr:rowOff>190499</xdr:rowOff>
    </xdr:from>
    <xdr:to>
      <xdr:col>12</xdr:col>
      <xdr:colOff>0</xdr:colOff>
      <xdr:row>53</xdr:row>
      <xdr:rowOff>190497</xdr:rowOff>
    </xdr:to>
    <xdr:grpSp>
      <xdr:nvGrpSpPr>
        <xdr:cNvPr id="46" name="Group 45">
          <a:extLst>
            <a:ext uri="{FF2B5EF4-FFF2-40B4-BE49-F238E27FC236}">
              <a16:creationId xmlns:a16="http://schemas.microsoft.com/office/drawing/2014/main" id="{00000000-0008-0000-0000-00002E000000}"/>
            </a:ext>
          </a:extLst>
        </xdr:cNvPr>
        <xdr:cNvGrpSpPr/>
      </xdr:nvGrpSpPr>
      <xdr:grpSpPr>
        <a:xfrm>
          <a:off x="4683375" y="7429499"/>
          <a:ext cx="4256518" cy="2857498"/>
          <a:chOff x="4546304" y="7263748"/>
          <a:chExt cx="4224242" cy="3047161"/>
        </a:xfrm>
      </xdr:grpSpPr>
      <xdr:graphicFrame macro="">
        <xdr:nvGraphicFramePr>
          <xdr:cNvPr id="47" name="Chart 46">
            <a:extLst>
              <a:ext uri="{FF2B5EF4-FFF2-40B4-BE49-F238E27FC236}">
                <a16:creationId xmlns:a16="http://schemas.microsoft.com/office/drawing/2014/main" id="{00000000-0008-0000-0000-00002F000000}"/>
              </a:ext>
            </a:extLst>
          </xdr:cNvPr>
          <xdr:cNvGraphicFramePr>
            <a:graphicFrameLocks noChangeAspect="1"/>
          </xdr:cNvGraphicFramePr>
        </xdr:nvGraphicFramePr>
        <xdr:xfrm>
          <a:off x="4546304" y="7670037"/>
          <a:ext cx="4224242" cy="2640872"/>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48" name="Rectangle: Rounded Corners 47">
            <a:extLst>
              <a:ext uri="{FF2B5EF4-FFF2-40B4-BE49-F238E27FC236}">
                <a16:creationId xmlns:a16="http://schemas.microsoft.com/office/drawing/2014/main" id="{00000000-0008-0000-0000-000030000000}"/>
              </a:ext>
            </a:extLst>
          </xdr:cNvPr>
          <xdr:cNvSpPr/>
        </xdr:nvSpPr>
        <xdr:spPr bwMode="auto">
          <a:xfrm>
            <a:off x="4550581" y="7263748"/>
            <a:ext cx="4219965" cy="406288"/>
          </a:xfrm>
          <a:prstGeom prst="roundRect">
            <a:avLst/>
          </a:prstGeom>
          <a:ln>
            <a:headEnd type="none" w="med" len="med"/>
            <a:tailEnd type="none" w="med" len="med"/>
          </a:ln>
        </xdr:spPr>
        <xdr:style>
          <a:lnRef idx="0">
            <a:schemeClr val="accent6"/>
          </a:lnRef>
          <a:fillRef idx="3">
            <a:schemeClr val="accent6"/>
          </a:fillRef>
          <a:effectRef idx="3">
            <a:schemeClr val="accent6"/>
          </a:effectRef>
          <a:fontRef idx="minor">
            <a:schemeClr val="lt1"/>
          </a:fontRef>
        </xdr:style>
        <xdr:txBody>
          <a:bodyPr vertOverflow="clip" wrap="square" lIns="18288" tIns="0" rIns="0" bIns="0" rtlCol="0" anchor="ctr" upright="1"/>
          <a:lstStyle/>
          <a:p>
            <a:pPr algn="ctr"/>
            <a:r>
              <a:rPr lang="en-US" sz="1200" b="1">
                <a:latin typeface="Cambria" panose="02040503050406030204" pitchFamily="18" charset="0"/>
                <a:ea typeface="Cambria" panose="02040503050406030204" pitchFamily="18" charset="0"/>
              </a:rPr>
              <a:t>PEMENUHAN KOMPETENSI</a:t>
            </a:r>
            <a:endParaRPr lang="id-ID" sz="1200" b="1">
              <a:latin typeface="Cambria" panose="02040503050406030204" pitchFamily="18" charset="0"/>
              <a:ea typeface="Cambria" panose="02040503050406030204" pitchFamily="18" charset="0"/>
            </a:endParaRPr>
          </a:p>
        </xdr:txBody>
      </xdr:sp>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B12032B-6CF9-4E8E-9BD0-DCFB347BC87B}" autoFormatId="16" applyNumberFormats="0" applyBorderFormats="0" applyFontFormats="0" applyPatternFormats="0" applyAlignmentFormats="0" applyWidthHeightFormats="0">
  <queryTableRefresh nextId="51" unboundColumnsRight="31">
    <queryTableFields count="42">
      <queryTableField id="1" name="Index" tableColumnId="1"/>
      <queryTableField id="16" name="Employee ID" tableColumnId="12"/>
      <queryTableField id="17" name="Name" tableColumnId="13"/>
      <queryTableField id="4" name="Gender" tableColumnId="4"/>
      <queryTableField id="5" name="Birth Date" tableColumnId="5"/>
      <queryTableField id="6" name="Age (Years)" tableColumnId="6"/>
      <queryTableField id="7" name="City/Province" tableColumnId="7"/>
      <queryTableField id="8" name="Business Area" tableColumnId="8"/>
      <queryTableField id="11" name="Area" tableColumnId="11"/>
      <queryTableField id="9" name="Position" tableColumnId="9"/>
      <queryTableField id="10" name="IPP (3 Years Average)" tableColumnId="10"/>
      <queryTableField id="20" dataBound="0" tableColumnId="14"/>
      <queryTableField id="21" dataBound="0" tableColumnId="2"/>
      <queryTableField id="22" dataBound="0" tableColumnId="3"/>
      <queryTableField id="23" dataBound="0" tableColumnId="15"/>
      <queryTableField id="24" dataBound="0" tableColumnId="16"/>
      <queryTableField id="25" dataBound="0" tableColumnId="17"/>
      <queryTableField id="26" dataBound="0" tableColumnId="18"/>
      <queryTableField id="27" dataBound="0" tableColumnId="19"/>
      <queryTableField id="28" dataBound="0" tableColumnId="20"/>
      <queryTableField id="29" dataBound="0" tableColumnId="21"/>
      <queryTableField id="30" dataBound="0" tableColumnId="22"/>
      <queryTableField id="31" dataBound="0" tableColumnId="23"/>
      <queryTableField id="32" dataBound="0" tableColumnId="24"/>
      <queryTableField id="33" dataBound="0" tableColumnId="25"/>
      <queryTableField id="34" dataBound="0" tableColumnId="26"/>
      <queryTableField id="35" dataBound="0" tableColumnId="27"/>
      <queryTableField id="36" dataBound="0" tableColumnId="28"/>
      <queryTableField id="37" dataBound="0" tableColumnId="29"/>
      <queryTableField id="38" dataBound="0" tableColumnId="30"/>
      <queryTableField id="39" dataBound="0" tableColumnId="31"/>
      <queryTableField id="40" dataBound="0" tableColumnId="32"/>
      <queryTableField id="41" dataBound="0" tableColumnId="33"/>
      <queryTableField id="42" dataBound="0" tableColumnId="34"/>
      <queryTableField id="43" dataBound="0" tableColumnId="35"/>
      <queryTableField id="44" dataBound="0" tableColumnId="36"/>
      <queryTableField id="45" dataBound="0" tableColumnId="37"/>
      <queryTableField id="46" dataBound="0" tableColumnId="38"/>
      <queryTableField id="47" dataBound="0" tableColumnId="39"/>
      <queryTableField id="48" dataBound="0" tableColumnId="40"/>
      <queryTableField id="49" dataBound="0" tableColumnId="41"/>
      <queryTableField id="50" dataBound="0" tableColumnId="42"/>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E4ACE46-8880-4309-9A2A-5192F93D476B}" name="Potensi" displayName="Potensi" ref="C14:J28" totalsRowCount="1" headerRowDxfId="168" dataDxfId="167" totalsRowDxfId="166">
  <tableColumns count="8">
    <tableColumn id="1" xr3:uid="{33929445-F37F-403A-82E5-F688343658B7}" name="DIMENSI" totalsRowLabel="Total" dataDxfId="165" totalsRowDxfId="164">
      <calculatedColumnFormula>Analysis!B5</calculatedColumnFormula>
    </tableColumn>
    <tableColumn id="2" xr3:uid="{6D2C23E2-6003-4E62-B5F3-9805A47787E9}" name="NILAI" dataDxfId="163" totalsRowDxfId="162">
      <calculatedColumnFormula>Analysis!C5</calculatedColumnFormula>
    </tableColumn>
    <tableColumn id="3" xr3:uid="{1114D98E-A2B5-4361-A68C-2AFEB8768D0E}" name="STD EST" dataDxfId="161" totalsRowDxfId="160">
      <calculatedColumnFormula>Analysis!D5</calculatedColumnFormula>
    </tableColumn>
    <tableColumn id="5" xr3:uid="{37C95B46-048C-4740-93E4-EF6C7FF6118F}" name="GAP EST" totalsRowFunction="sum" dataDxfId="159" totalsRowDxfId="158">
      <calculatedColumnFormula>D15-E15</calculatedColumnFormula>
    </tableColumn>
    <tableColumn id="4" xr3:uid="{610231F8-A4F8-4696-9191-4C01F11D7904}" name="STD DEV" dataDxfId="157" totalsRowDxfId="156">
      <calculatedColumnFormula>Analysis!E5</calculatedColumnFormula>
    </tableColumn>
    <tableColumn id="6" xr3:uid="{76DDC27B-0941-485D-8C0B-5EC2491D4449}" name="GAP DEV" totalsRowFunction="sum" dataDxfId="155" totalsRowDxfId="154" dataCellStyle="Percent">
      <calculatedColumnFormula>D15-G15</calculatedColumnFormula>
    </tableColumn>
    <tableColumn id="7" xr3:uid="{1CCB27CB-C6B9-4C6E-8742-0B48094ED3A6}" name="EST" totalsRowFunction="custom" dataDxfId="153" totalsRowDxfId="152" dataCellStyle="Percent">
      <calculatedColumnFormula>IF($D15="","",IF($D15&gt;=E15,"ok","x"))</calculatedColumnFormula>
      <totalsRowFormula>COUNTIF(Potensi[EST],"ok")</totalsRowFormula>
    </tableColumn>
    <tableColumn id="8" xr3:uid="{1F839FCA-3DC7-41E8-806A-7E5F8F3D0AA7}" name="DEV" totalsRowFunction="custom" dataDxfId="151" totalsRowDxfId="150" dataCellStyle="Percent">
      <calculatedColumnFormula>IF($D15="","",IF($D15&gt;=G15,"ok","x"))</calculatedColumnFormula>
      <totalsRowFormula>COUNTIF(Potensi[DEV],"ok")</totalsRowFormula>
    </tableColumn>
  </tableColumns>
  <tableStyleInfo name="TableStyleMedium7" showFirstColumn="1" showLastColumn="0" showRowStripes="0"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6D793E9-D62B-4C27-8762-C43DE1F2038A}" name="Kompetensi" displayName="Kompetensi" ref="C31:J37" totalsRowCount="1" headerRowDxfId="149" dataDxfId="148" totalsRowDxfId="147">
  <tableColumns count="8">
    <tableColumn id="1" xr3:uid="{718F2B01-2A22-4EBE-8006-24B932E8D650}" name="DIMENSI" totalsRowLabel="Total" dataDxfId="146" totalsRowDxfId="145">
      <calculatedColumnFormula>Analysis!B21</calculatedColumnFormula>
    </tableColumn>
    <tableColumn id="2" xr3:uid="{DB03FCE8-9CF9-41CB-85A8-7FE0318E07B3}" name="NILAI" dataDxfId="144" totalsRowDxfId="143">
      <calculatedColumnFormula>Analysis!C21</calculatedColumnFormula>
    </tableColumn>
    <tableColumn id="3" xr3:uid="{FA11303B-F5B8-481C-BF53-0E77D684D8A7}" name="STD EST" dataDxfId="142" totalsRowDxfId="141">
      <calculatedColumnFormula>Analysis!D21</calculatedColumnFormula>
    </tableColumn>
    <tableColumn id="5" xr3:uid="{EE542D7F-D217-4619-8FAF-31465E58CBCD}" name="GAP EST" totalsRowFunction="custom" dataDxfId="140" totalsRowDxfId="139">
      <calculatedColumnFormula>IFERROR(D32-E32,"")</calculatedColumnFormula>
      <totalsRowFormula>SUM(Kompetensi[GAP EST])</totalsRowFormula>
    </tableColumn>
    <tableColumn id="4" xr3:uid="{D92F9915-229C-472B-98F3-47CB5DDFC44D}" name="STD DEV" dataDxfId="138" totalsRowDxfId="137">
      <calculatedColumnFormula>Analysis!E21</calculatedColumnFormula>
    </tableColumn>
    <tableColumn id="6" xr3:uid="{4D2A5CCA-8DA1-4B61-ABF5-11A2AAD221EB}" name="GAP DEV" totalsRowFunction="custom" dataDxfId="136" totalsRowDxfId="135">
      <calculatedColumnFormula>IFERROR(D32-G32,"")</calculatedColumnFormula>
      <totalsRowFormula>SUM(Kompetensi[GAP DEV])</totalsRowFormula>
    </tableColumn>
    <tableColumn id="7" xr3:uid="{41BCDFA4-C4B1-4870-AE3C-3060CBC52C14}" name="EST" totalsRowFunction="custom" dataDxfId="134" totalsRowDxfId="133">
      <calculatedColumnFormula>IF(C32="","",IF($D32&gt;=E32,"ok","x"))</calculatedColumnFormula>
      <totalsRowFormula>COUNTIF(Kompetensi[EST],"ok")</totalsRowFormula>
    </tableColumn>
    <tableColumn id="8" xr3:uid="{4CF45EDD-A46B-4134-82CF-8AD9427BEFD9}" name="DEV" totalsRowFunction="custom" dataDxfId="132" totalsRowDxfId="131">
      <calculatedColumnFormula>IF(C32="","",IF(D32&gt;=G32,"ok","X"))</calculatedColumnFormula>
      <totalsRowFormula>COUNTIF(Kompetensi[DEV],"ok")</totalsRowFormula>
    </tableColumn>
  </tableColumns>
  <tableStyleInfo name="TableStyleMedium7" showFirstColumn="1" showLastColumn="0" showRowStripes="0"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09EB229-D4EF-4B73-BFC0-2BB69928AB14}" name="Assessment" displayName="Assessment" ref="A1:P816" totalsRowShown="0" headerRowDxfId="119" dataDxfId="117" headerRowBorderDxfId="118" tableBorderDxfId="116" totalsRowBorderDxfId="115" headerRowCellStyle="Normal 5" dataCellStyle="Normal 5">
  <autoFilter ref="A1:P816" xr:uid="{F09EB229-D4EF-4B73-BFC0-2BB69928AB14}"/>
  <sortState xmlns:xlrd2="http://schemas.microsoft.com/office/spreadsheetml/2017/richdata2" ref="A2:P816">
    <sortCondition ref="A1:A816"/>
  </sortState>
  <tableColumns count="16">
    <tableColumn id="1" xr3:uid="{2AD10AD0-A5FB-4A16-85C5-7DB73780A467}" name="INDEX" dataDxfId="114" dataCellStyle="Normal 5"/>
    <tableColumn id="2" xr3:uid="{662EC7D6-190D-421C-8557-A73A56E4B1AD}" name="NAME" dataDxfId="113" dataCellStyle="Normal 5">
      <calculatedColumnFormula>INDEX(Data_Assessment[],MATCH('Rekomendasi HAV'!$A2,Data_Assessment[[INDEX]:[INDEX]],0),MATCH('Rekomendasi HAV'!B$1,Data_Assessment[#Headers],0))</calculatedColumnFormula>
    </tableColumn>
    <tableColumn id="3" xr3:uid="{CE9FDDED-359D-446D-AAEB-319BA6373CF8}" name="CITY/PROVINCE" dataDxfId="112" dataCellStyle="Normal 5">
      <calculatedColumnFormula>INDEX(Data_Assessment[],MATCH('Rekomendasi HAV'!$A2,Data_Assessment[[INDEX]:[INDEX]],0),MATCH('Rekomendasi HAV'!C$1,Data_Assessment[#Headers],0))</calculatedColumnFormula>
    </tableColumn>
    <tableColumn id="4" xr3:uid="{A4BD474C-09A6-44A9-AD96-7E1ED1E76595}" name="BUSINESS AREA" dataDxfId="111" dataCellStyle="Normal 5">
      <calculatedColumnFormula>INDEX(Data_Assessment[],MATCH('Rekomendasi HAV'!$A2,Data_Assessment[[INDEX]:[INDEX]],0),MATCH('Rekomendasi HAV'!D$1,Data_Assessment[#Headers],0))</calculatedColumnFormula>
    </tableColumn>
    <tableColumn id="5" xr3:uid="{1C245F1C-5F1C-4042-BE24-3A629348018F}" name="POSITION (EST/DEV)" dataDxfId="110" dataCellStyle="Normal 5">
      <calculatedColumnFormula>INDEX(Data_Assessment[],MATCH('Rekomendasi HAV'!$B2,Data_Assessment[[NAME]:[NAME]],0),MATCH('Rekomendasi HAV'!E$1,Data_Assessment[#Headers],0))</calculatedColumnFormula>
    </tableColumn>
    <tableColumn id="14" xr3:uid="{BFDF21BB-D73E-41DD-A56E-BB734035047C}" name="JOB TARGET" dataDxfId="109" dataCellStyle="Normal 5"/>
    <tableColumn id="16" xr3:uid="{51B8B6E9-055C-4E20-B8A0-64CAE28FB6F4}" name="JOB TARGET_x000a_(EST)" dataDxfId="108" dataCellStyle="Normal 5">
      <calculatedColumnFormula>IF(ISNUMBER(SEARCH("DEV",Assessment[[#This Row],[JOB TARGET]])),SUBSTITUTE(Assessment[[#This Row],[JOB TARGET]],"DEV","EST"),Assessment[[#This Row],[JOB TARGET]])</calculatedColumnFormula>
    </tableColumn>
    <tableColumn id="6" xr3:uid="{EBF5AFA8-9EF1-41F2-B19E-DB6B26579F5C}" name="BEHAVIOUR COMPETANCE (EST)" dataDxfId="107" dataCellStyle="Normal 5">
      <calculatedColumnFormula array="1">IF(Assessment[[#This Row],[JOB TARGET]]="","Job Target Kosong",IF(COUNT(IF('Data Assessment'!$N2:$Z2-OFFSET(Standar!$B$2,MATCH(Assessment[[#This Row],[JOB TARGET
(EST)]],Standar[NAMA JABATAN],0)-1,1,1,13)&lt;0,1,""))&lt;=3,'9 Grid'!$B$4,IF(COUNT(IF('Data Assessment'!$N2:$Z2-OFFSET(Standar!$B$2,MATCH(Assessment[[#This Row],[JOB TARGET]],Standar[NAMA JABATAN],0)-1,1,1,13)&lt;0,1,""))&gt;=7,'9 Grid'!$B$6,'9 Grid'!$B$5)))</calculatedColumnFormula>
    </tableColumn>
    <tableColumn id="7" xr3:uid="{66185435-8C51-4279-AA31-9D3CED9538B3}" name="CURRENT PERFORMANCE (EST)" dataDxfId="106" dataCellStyle="Normal 5">
      <calculatedColumnFormula>IFERROR(IF(Data_Assessment[[#This Row],[IPP (3 YEARS AVERAGE)]]="","(IPP Belum Ada)",IF(Data_Assessment[[#This Row],[IPP (3 YEARS AVERAGE)]]&lt;2,'9 Grid'!$F$2,IF(Data_Assessment[[#This Row],[IPP (3 YEARS AVERAGE)]]&gt;=4,'9 Grid'!$D$2,'9 Grid'!$E$2))),"")</calculatedColumnFormula>
    </tableColumn>
    <tableColumn id="8" xr3:uid="{23057141-26A0-4FEB-B738-F15A7BC8F859}" name="DEFINITION (EST)" dataDxfId="105" dataCellStyle="Normal 5">
      <calculatedColumnFormula>IFERROR(INDEX('9 Grid'!$D$4:$F$6,MATCH('Rekomendasi HAV'!H2,'9 Grid'!$B$4:$B$6,0),MATCH('Rekomendasi HAV'!I2,'9 Grid'!$D$2:$F$2,0)),"")</calculatedColumnFormula>
    </tableColumn>
    <tableColumn id="9" xr3:uid="{9443A1E5-C28A-43F5-940F-30AC81203ECE}" name="PROMOTION RECOMMEND_x000a_(EST)" dataDxfId="104" dataCellStyle="Normal 5">
      <calculatedColumnFormula>IFERROR(INDEX('9 Grid'!$D$8:$F$8,1,MATCH('Rekomendasi HAV'!I2,'9 Grid'!$D$2:$F$2,0)),"")</calculatedColumnFormula>
    </tableColumn>
    <tableColumn id="15" xr3:uid="{96B5F356-1694-43EE-B07E-0BA49545045B}" name="JOB TARGET_x000a_(DEV)" dataDxfId="103" dataCellStyle="Normal 5">
      <calculatedColumnFormula>IF(ISNUMBER(SEARCH("EST",Assessment[[#This Row],[JOB TARGET]])),SUBSTITUTE(Assessment[[#This Row],[JOB TARGET]],"EST","DEV"),Assessment[[#This Row],[JOB TARGET]])</calculatedColumnFormula>
    </tableColumn>
    <tableColumn id="10" xr3:uid="{4981B330-1A91-4A22-8D4B-7B78F88FD7FA}" name="BEHAVIOUR COMPETANCE (DEV)" dataDxfId="102" dataCellStyle="Normal 5">
      <calculatedColumnFormula array="1">IF(Assessment[[#This Row],[JOB TARGET]]="","Job Target Kosong",IF(COUNT(IF('Data Assessment'!$N2:$Z2-OFFSET(Standar!$B$2,MATCH(Assessment[[#This Row],[JOB TARGET
(DEV)]],Standar[NAMA JABATAN],0)-1,1,1,13)&lt;0,1,""))&lt;=3,'9 Grid'!$B$4,IF(COUNT(IF('Data Assessment'!$N2:$Z2-OFFSET(Standar!$B$2,MATCH(Assessment[[#This Row],[JOB TARGET
(DEV)]],Standar[NAMA JABATAN],0)-1,1,1,13)&lt;0,1,""))&gt;=7,'9 Grid'!$B$6,'9 Grid'!$B$5)))</calculatedColumnFormula>
    </tableColumn>
    <tableColumn id="11" xr3:uid="{475B6B41-A156-4A85-9CE6-5F659CD5118C}" name="CURRENT PERFORMANCE (DEV)" dataDxfId="101" dataCellStyle="Normal 5">
      <calculatedColumnFormula>IFERROR(IF(Data_Assessment[[#This Row],[IPP (3 YEARS AVERAGE)]]="","(IPP Belum Ada)",IF(Data_Assessment[[#This Row],[IPP (3 YEARS AVERAGE)]]&lt;2,'9 Grid'!$F$2,IF(Data_Assessment[[#This Row],[IPP (3 YEARS AVERAGE)]]&gt;=4,'9 Grid'!$D$2,'9 Grid'!$E$2))),"")</calculatedColumnFormula>
    </tableColumn>
    <tableColumn id="12" xr3:uid="{6A246007-FB0C-4162-9DC4-BA3A9A71BDAA}" name="DEFINITION (DEV)" dataDxfId="100" dataCellStyle="Normal 5">
      <calculatedColumnFormula>IFERROR(INDEX('9 Grid'!$D$4:$F$6,MATCH('Rekomendasi HAV'!M2,'9 Grid'!$B$4:$B$6,0),MATCH('Rekomendasi HAV'!N2,'9 Grid'!$D$2:$F$2,0)),"")</calculatedColumnFormula>
    </tableColumn>
    <tableColumn id="13" xr3:uid="{13E20BF2-75DF-4C76-9F56-643EDD0B449F}" name="PROMOTION RECOMMEND_x000a_(DEV)" dataDxfId="99" dataCellStyle="Normal 5">
      <calculatedColumnFormula>IFERROR(INDEX('9 Grid'!$D$8:$F$8,1,MATCH('Rekomendasi HAV'!N2,'9 Grid'!$D$2:$F$2,0)),"")</calculatedColumnFormula>
    </tableColumn>
  </tableColumns>
  <tableStyleInfo name="TableStyleMedium3"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519FB73-8E8E-4BCB-AD09-46BF24D35D71}" name="Analisis_Pot" displayName="Analisis_Pot" ref="A4:H17" totalsRowShown="0" headerRowDxfId="98" dataDxfId="97" headerRowCellStyle="Normal 5">
  <autoFilter ref="A4:H17" xr:uid="{A519FB73-8E8E-4BCB-AD09-46BF24D35D71}"/>
  <tableColumns count="8">
    <tableColumn id="1" xr3:uid="{5381E4C5-0F4D-49A4-8F34-5FE6691EDC57}" name="No." dataDxfId="96"/>
    <tableColumn id="2" xr3:uid="{8D61807D-D323-402B-ADB1-D4373E415DB4}" name="Dimensi" dataDxfId="95"/>
    <tableColumn id="3" xr3:uid="{AF755183-1BDF-4E4C-B146-472D28868BE8}" name="Nilai" dataDxfId="94">
      <calculatedColumnFormula>IFERROR(INDEX('Data Assessment'!$E$2:$AO$818,MATCH(Dashboard!$D$1,Data_Assessment[INDEX],0),MATCH($B5,'Data Assessment'!$E$1:$AO$1,0)),"")</calculatedColumnFormula>
    </tableColumn>
    <tableColumn id="4" xr3:uid="{81E7FACD-E751-4517-93EA-D376CE503D1D}" name="Est" dataDxfId="93">
      <calculatedColumnFormula>IFERROR(INDEX(Standar[],MATCH(IF(ISNUMBER(SEARCH(Analisis_Pot[[#Headers],[Dev]],$C$1)),SUBSTITUTE($C$1,RIGHT($C$1,3),Analisis_Pot[[#Headers],[Est]]),$C$1),Standar[[NAMA JABATAN]:[NAMA JABATAN]],0),MATCH(Analisis_Pot[[#This Row],[Dimensi]],Standar[#Headers],0)),"")</calculatedColumnFormula>
    </tableColumn>
    <tableColumn id="5" xr3:uid="{2C92D47B-DBBB-4098-82AD-4D9F46892B9E}" name="Dev" dataDxfId="92">
      <calculatedColumnFormula>IFERROR(INDEX(Standar[],MATCH(IF(ISNUMBER(SEARCH(Analisis_Pot[[#Headers],[Est]],$C$1)),SUBSTITUTE($C$1,RIGHT($C$1,3),Analisis_Pot[[#Headers],[Dev]]),$C$1),Standar[[NAMA JABATAN]:[NAMA JABATAN]],0),MATCH(Analisis_Pot[[#This Row],[Dimensi]],Standar[#Headers],0)),"")</calculatedColumnFormula>
    </tableColumn>
    <tableColumn id="6" xr3:uid="{A68F017E-9241-4552-A3F7-6BCD303431AC}" name="% Nilai Est " dataDxfId="91" dataCellStyle="Normal 5">
      <calculatedColumnFormula>C5/D5</calculatedColumnFormula>
    </tableColumn>
    <tableColumn id="7" xr3:uid="{B6AD9BA8-149F-4C30-A211-E1BD25FBB3B7}" name="% Nilai Dev" dataDxfId="90" dataCellStyle="Normal 5">
      <calculatedColumnFormula>C5/E5</calculatedColumnFormula>
    </tableColumn>
    <tableColumn id="8" xr3:uid="{4E75779F-0F49-4830-987E-A73A2D9296ED}" name="% Std" dataDxfId="89" dataCellStyle="Normal 5">
      <calculatedColumnFormula>C5/C5</calculatedColumnFormula>
    </tableColumn>
  </tableColumns>
  <tableStyleInfo name="TableStyleLight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4AA4CB2-73FA-4D75-8EA9-A826B0621162}" name="Analisis_Komp" displayName="Analisis_Komp" ref="A20:E25" totalsRowShown="0" headerRowDxfId="88" dataDxfId="87">
  <autoFilter ref="A20:E25" xr:uid="{C4AA4CB2-73FA-4D75-8EA9-A826B0621162}"/>
  <tableColumns count="5">
    <tableColumn id="1" xr3:uid="{9635FA31-5E64-4183-92E8-398A569B33DE}" name="No." dataDxfId="86" dataCellStyle="Normal 5">
      <calculatedColumnFormula array="1">ROW(_xlfn.ANCHORARRAY($B21))-ROW($B$20)</calculatedColumnFormula>
    </tableColumn>
    <tableColumn id="2" xr3:uid="{0608E29E-6642-491D-B6A3-1A501C837AC4}" name="Dimensi" dataDxfId="85">
      <calculatedColumnFormula array="1">IFERROR(PROPER(INDEX(Standar[#Headers],1,TRANSPOSE(_xlfn.AGGREGATE(15,3,(OFFSET(Standar!$P$2,MATCH($C$1,Standar[NAMA JABATAN],0)-1,0,1,15)&lt;&gt;"")/(OFFSET(Standar!$P$2,MATCH($C$1,Standar[NAMA JABATAN],0)-1,0,1,15)&lt;&gt;"")*COLUMN(OFFSET(Standar!$P$2,MATCH($C$1,Standar[NAMA JABATAN],0)-1,0,1,15)),ROWS($A$21:A21))))),"")</calculatedColumnFormula>
    </tableColumn>
    <tableColumn id="3" xr3:uid="{BE5B7DF7-13E3-4139-B189-CF62CF9214ED}" name="Nilai" dataDxfId="84">
      <calculatedColumnFormula>IFERROR(INDEX('Data Assessment'!$E$2:$AO$816,MATCH(Dashboard!$D$1,Data_Assessment[INDEX],0),MATCH(Analisis_Komp[[#This Row],[Dimensi]],'Data Assessment'!$E$1:$AO$1,0)),"-")</calculatedColumnFormula>
    </tableColumn>
    <tableColumn id="4" xr3:uid="{7D1769D0-CA68-413E-9CC1-6F239BAE7C71}" name="Est" dataDxfId="83">
      <calculatedColumnFormula>IFERROR(INDEX(Standar[],MATCH(IF(ISNUMBER(SEARCH(Analisis_Pot[[#Headers],[Dev]],$C$1)),SUBSTITUTE($C$1,RIGHT($C$1,3),Analisis_Pot[[#Headers],[Est]]),$C$1),Standar[[NAMA JABATAN]:[NAMA JABATAN]],0),MATCH(Analisis_Komp[[#This Row],[Dimensi]],Standar[#Headers],0)),"-")</calculatedColumnFormula>
    </tableColumn>
    <tableColumn id="5" xr3:uid="{27566436-1D19-47B6-A927-215F375D93FB}" name="Dev" dataDxfId="82">
      <calculatedColumnFormula>IFERROR(INDEX(Standar[],MATCH(IF(ISNUMBER(SEARCH(Analisis_Pot[[#Headers],[Est]],$C$1)),SUBSTITUTE($C$1,RIGHT($C$1,3),Analisis_Pot[[#Headers],[Dev]]),$C$1),Standar[[NAMA JABATAN]:[NAMA JABATAN]],0),MATCH(Analisis_Komp[[#This Row],[Dimensi]],Standar[#Headers],0)),"-")</calculatedColumnFormula>
    </tableColumn>
  </tableColumns>
  <tableStyleInfo name="TableStyleLight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005ED5-74FB-47D0-90A2-690F440BBA36}" name="Data_Assessment" displayName="Data_Assessment" ref="A1:AP816" tableType="queryTable" totalsRowShown="0" headerRowDxfId="81" dataDxfId="80" headerRowCellStyle="Normal 5">
  <autoFilter ref="A1:AP816" xr:uid="{E6005ED5-74FB-47D0-90A2-690F440BBA36}"/>
  <tableColumns count="42">
    <tableColumn id="1" xr3:uid="{AE054BDF-AAE8-4B5D-B424-D91219AB2619}" uniqueName="1" name="INDEX" queryTableFieldId="1" dataDxfId="79"/>
    <tableColumn id="12" xr3:uid="{964BE011-9D2F-42EE-BB34-626B17FF17C7}" uniqueName="12" name="EMPLOYEE ID" queryTableFieldId="16" dataDxfId="78"/>
    <tableColumn id="13" xr3:uid="{41BB574A-2AE5-48A4-9836-DD343B28CDE3}" uniqueName="13" name="NAME" queryTableFieldId="17" dataDxfId="77"/>
    <tableColumn id="4" xr3:uid="{09224326-FEBB-45E5-AB36-CDCE222C2D8D}" uniqueName="4" name="GENDER" queryTableFieldId="4" dataDxfId="76"/>
    <tableColumn id="5" xr3:uid="{F14987EA-4E27-44ED-842A-C52ED3B85062}" uniqueName="5" name="BIRTH DATE" queryTableFieldId="5" dataDxfId="75"/>
    <tableColumn id="6" xr3:uid="{C188E322-631C-4D82-AD22-EED6DC1F67D3}" uniqueName="6" name="AGE (YEARS)" queryTableFieldId="6" dataDxfId="74"/>
    <tableColumn id="7" xr3:uid="{17602D72-6AD4-47CE-9EC3-16FF3A3E4215}" uniqueName="7" name="CITY/PROVINCE" queryTableFieldId="7" dataDxfId="73"/>
    <tableColumn id="8" xr3:uid="{04404A7A-D918-478A-AC3B-6976EBDC697D}" uniqueName="8" name="BUSINESS AREA" queryTableFieldId="8" dataDxfId="72"/>
    <tableColumn id="11" xr3:uid="{AB071792-F862-4BDD-BAB5-A284B19D247C}" uniqueName="11" name="AREA" queryTableFieldId="11" dataDxfId="71"/>
    <tableColumn id="9" xr3:uid="{B47149AB-3052-4EA0-8E55-A0EF11FCA8A0}" uniqueName="9" name="POSITION" queryTableFieldId="9" dataDxfId="70"/>
    <tableColumn id="10" xr3:uid="{A9FCE145-222D-4A69-899C-F888450F7F5D}" uniqueName="10" name="IPP (3 YEARS AVERAGE)" queryTableFieldId="10" dataDxfId="69"/>
    <tableColumn id="14" xr3:uid="{BD2C2F11-7857-41FA-B087-1564B6509016}" uniqueName="14" name="POSITION (EST/DEV)" queryTableFieldId="20" dataDxfId="68"/>
    <tableColumn id="2" xr3:uid="{0E648BDC-509E-483A-A6C6-295C4F547B1A}" uniqueName="2" name="IQ" queryTableFieldId="21" dataDxfId="67"/>
    <tableColumn id="3" xr3:uid="{AC6023E4-D3E6-459A-954F-448D265F7A62}" uniqueName="3" name="LOGIKA BERPIKIR" queryTableFieldId="22" dataDxfId="66"/>
    <tableColumn id="15" xr3:uid="{20AB4929-98AE-4744-9CFB-A7F38C82AB33}" uniqueName="15" name="SISTEMATIKA BERPIKIR" queryTableFieldId="23" dataDxfId="65"/>
    <tableColumn id="16" xr3:uid="{48E4885A-CA35-4BED-817B-23D588EBFEF9}" uniqueName="16" name="ANALISA SINTESA" queryTableFieldId="24" dataDxfId="64"/>
    <tableColumn id="17" xr3:uid="{3C8F614A-9899-424D-ACA3-7AEB4F597796}" uniqueName="17" name="HASRAT BERPRESTASI" queryTableFieldId="25" dataDxfId="63"/>
    <tableColumn id="18" xr3:uid="{C38384AB-8FA1-4828-9C2F-3253F2288F36}" uniqueName="18" name="INISATIF" queryTableFieldId="26" dataDxfId="62"/>
    <tableColumn id="19" xr3:uid="{4CA2C462-148B-4DA1-A7EE-D1E065FE7F0D}" uniqueName="19" name="SISTEMATIKA KERJA" queryTableFieldId="27" dataDxfId="61"/>
    <tableColumn id="20" xr3:uid="{7444C880-B8BE-4E92-99DB-1CF75CBAA070}" uniqueName="20" name="KETELITIAN" queryTableFieldId="28" dataDxfId="60"/>
    <tableColumn id="21" xr3:uid="{7C61890A-ED84-4966-A7B6-5BA64F92EFB3}" uniqueName="21" name="STABILITAS EMOSI" queryTableFieldId="29" dataDxfId="59"/>
    <tableColumn id="22" xr3:uid="{CB0348F5-BD7B-40A9-94D3-00F2278F4D62}" uniqueName="22" name="KEPERCAYAAN DIRI" queryTableFieldId="30" dataDxfId="58"/>
    <tableColumn id="23" xr3:uid="{660F9067-FD6E-4BF5-B28E-A44645A5159A}" uniqueName="23" name="KONTAK SOSIAL" queryTableFieldId="31" dataDxfId="57"/>
    <tableColumn id="24" xr3:uid="{2370B378-D963-4D39-A631-C6914E44A8AE}" uniqueName="24" name="KERJASAMA" queryTableFieldId="32" dataDxfId="56"/>
    <tableColumn id="25" xr3:uid="{C4D550F0-2BD0-4A32-982D-9009EF0925BF}" uniqueName="25" name="KEMANDIRIAN" queryTableFieldId="33" dataDxfId="55"/>
    <tableColumn id="26" xr3:uid="{4E221EB1-9C39-4955-88BD-FAF5B553436B}" uniqueName="26" name="KEMAMPUAN ADAPTASI" queryTableFieldId="34" dataDxfId="54"/>
    <tableColumn id="27" xr3:uid="{58C65E40-F166-43D7-B15B-E10079DD4B12}" uniqueName="27" name="INNOVATION" queryTableFieldId="35" dataDxfId="53"/>
    <tableColumn id="28" xr3:uid="{B2D1C708-3FB2-4CDF-8180-9EE8230C8710}" uniqueName="28" name="ADAPTABILITY &amp; TEAM WORK" queryTableFieldId="36" dataDxfId="52"/>
    <tableColumn id="29" xr3:uid="{0D00BB21-267E-4CFA-9FF8-A8989B293458}" uniqueName="29" name="LISTEN LEARN &amp; CONTRIBUTE" queryTableFieldId="37" dataDxfId="51"/>
    <tableColumn id="30" xr3:uid="{67241493-A23D-4E65-8C16-0B73202BBB28}" uniqueName="30" name="INTEGRITY" queryTableFieldId="38" dataDxfId="50"/>
    <tableColumn id="31" xr3:uid="{F4400DAD-AD4C-4274-8593-F70B24CE88C0}" uniqueName="31" name="MOTIVATION &amp; COMMITMENT" queryTableFieldId="39" dataDxfId="49"/>
    <tableColumn id="32" xr3:uid="{4A44F925-B9E8-44F5-8572-AAC86CC6B916}" uniqueName="32" name="TEAM WORK" queryTableFieldId="40" dataDxfId="48"/>
    <tableColumn id="33" xr3:uid="{33ACBBEF-82E4-48F5-BDA1-06925FCCB221}" uniqueName="33" name="BUILDING BUSSINESS PARTENERSHIP" queryTableFieldId="41" dataDxfId="47"/>
    <tableColumn id="34" xr3:uid="{799ED0D5-CBE7-44E5-B262-8C1FCC78A257}" uniqueName="34" name="PDCA" queryTableFieldId="42" dataDxfId="46"/>
    <tableColumn id="35" xr3:uid="{AA5F82CA-09A2-4FBC-AA07-330A66455CC8}" uniqueName="35" name="PLANNING &amp; ORGANIZATION" queryTableFieldId="43" dataDxfId="45"/>
    <tableColumn id="36" xr3:uid="{DAEFDFE2-B919-4822-A2E1-87BC3132D93B}" uniqueName="36" name="INTERPERSONAL &amp; COLLABORATION" queryTableFieldId="44" dataDxfId="44"/>
    <tableColumn id="37" xr3:uid="{5A1BF845-5285-49CA-8FD7-AC693F61D278}" uniqueName="37" name="LEADERSHIP/MENTORING" queryTableFieldId="45" dataDxfId="43"/>
    <tableColumn id="38" xr3:uid="{FAFCC188-B7E4-4162-9B7E-D9CEFE6EAF02}" uniqueName="38" name="COMMUNICATION" queryTableFieldId="46" dataDxfId="42"/>
    <tableColumn id="39" xr3:uid="{A12690F8-B689-41A3-97C5-C00DBF04A9F9}" uniqueName="39" name="STAFFING &amp; PEOPLE DEVELOPMENT" queryTableFieldId="47" dataDxfId="41"/>
    <tableColumn id="40" xr3:uid="{A4A0944F-F2E8-4CB9-9E0D-3566D35E03C8}" uniqueName="40" name="VISIONNARY &amp; STRATEGIC LEADERSHIP" queryTableFieldId="48" dataDxfId="40"/>
    <tableColumn id="41" xr3:uid="{5ECE2CBD-4DFD-44B0-8F94-CB9EF7651F50}" uniqueName="41" name="STRATEGIC DECISION MAKING" queryTableFieldId="49" dataDxfId="39"/>
    <tableColumn id="42" xr3:uid="{439D98CF-1374-403B-9DCE-93CFECCFF561}" uniqueName="42" name="LEADING TROUGH VISION &amp; VALUE" queryTableFieldId="50" dataDxfId="38"/>
  </tableColumns>
  <tableStyleInfo name="TableStyleMedium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7E09984-2601-4584-B512-F913A8D1B79E}" name="Strong_Weakness" displayName="Strong_Weakness" ref="A1:D816" totalsRowShown="0" dataDxfId="37">
  <autoFilter ref="A1:D816" xr:uid="{A7E09984-2601-4584-B512-F913A8D1B79E}"/>
  <tableColumns count="4">
    <tableColumn id="1" xr3:uid="{2F703C5F-9256-48BE-BE34-FDBB0798DDED}" name="INDEX" dataDxfId="36">
      <calculatedColumnFormula>ROW(Strong_Weakness[[#This Row],[INDEX]])-ROW(Strong_Weakness[[#Headers],[INDEX]])</calculatedColumnFormula>
    </tableColumn>
    <tableColumn id="2" xr3:uid="{22696825-EF8D-4DFD-8AFF-40A989214826}" name="NAME" dataDxfId="35">
      <calculatedColumnFormula>INDEX(Data_Assessment[],MATCH(Strong_Weakness[[#This Row],[INDEX]],Data_Assessment[INDEX],0),MATCH(Strong_Weakness[[#Headers],[NAME]],Data_Assessment[#Headers],0))</calculatedColumnFormula>
    </tableColumn>
    <tableColumn id="4" xr3:uid="{E4F3EC35-9651-4FD2-B27C-14B67DBCC83F}" name="STRONG" dataDxfId="34"/>
    <tableColumn id="5" xr3:uid="{EE341844-25FD-4362-8E8F-16BD83B8E991}" name="WEAKNESS" dataDxfId="33"/>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65839B1-B5FA-4EB6-87E6-367B6BD496CE}" name="Standar" displayName="Standar" ref="A1:AE25" totalsRowShown="0" headerRowDxfId="32" dataDxfId="31" headerRowCellStyle="Excel Built-in Normal" dataCellStyle="Excel Built-in Normal">
  <autoFilter ref="A1:AE25" xr:uid="{C65839B1-B5FA-4EB6-87E6-367B6BD496CE}"/>
  <tableColumns count="31">
    <tableColumn id="1" xr3:uid="{191A366A-4644-43E0-A401-FD3E35072B0E}" name="CODE JABATAN" dataDxfId="30"/>
    <tableColumn id="2" xr3:uid="{15F02860-CF94-4A6B-AD20-90B4DFC26AAF}" name="NAMA JABATAN" dataDxfId="29"/>
    <tableColumn id="3" xr3:uid="{08C5DAE8-DCF0-4185-A7CA-25E424059FAB}" name="LOGIKA BERPIKIR" dataDxfId="28" dataCellStyle="Excel Built-in Normal"/>
    <tableColumn id="4" xr3:uid="{471678AF-70FF-4F99-BDAE-2714A8DA1DB7}" name="SISTEMATIKA BERPIKIR" dataDxfId="27" dataCellStyle="Excel Built-in Normal"/>
    <tableColumn id="5" xr3:uid="{18A6E75E-C34A-4C18-9BA2-6728EAD5A708}" name="ANALISA SINTESA" dataDxfId="26" dataCellStyle="Excel Built-in Normal"/>
    <tableColumn id="6" xr3:uid="{AC4801B6-1BD4-4DD7-AF03-86F8A5FCEA91}" name="HASRAT BERPRESTASI" dataDxfId="25" dataCellStyle="Excel Built-in Normal"/>
    <tableColumn id="7" xr3:uid="{587D4BA6-C232-441B-861B-BF3BC3E12A81}" name="INISATIF" dataDxfId="24" dataCellStyle="Excel Built-in Normal"/>
    <tableColumn id="8" xr3:uid="{0C64E43D-1358-411C-B2C2-516CC4DE2F83}" name="SISTEMATIKA KERJA" dataDxfId="23" dataCellStyle="Excel Built-in Normal"/>
    <tableColumn id="9" xr3:uid="{33FD0C9C-4C29-4DC9-AF9F-0E83DB686F4C}" name="KETELITIAN" dataDxfId="22" dataCellStyle="Excel Built-in Normal"/>
    <tableColumn id="10" xr3:uid="{219EA178-ADF9-48B5-B4D8-CAAAB734DD52}" name="STABILITAS EMOSI" dataDxfId="21" dataCellStyle="Excel Built-in Normal"/>
    <tableColumn id="11" xr3:uid="{B8B7C865-239F-481A-A79C-838E0468C8A5}" name="KEPERCAYAAN DIRI" dataDxfId="20" dataCellStyle="Excel Built-in Normal"/>
    <tableColumn id="12" xr3:uid="{BF52D3D8-433C-4B98-968E-9535D21FFDFA}" name="KONTAK SOSIAL" dataDxfId="19" dataCellStyle="Excel Built-in Normal"/>
    <tableColumn id="13" xr3:uid="{8C579AFA-F111-4622-B2D4-D82595C54DFA}" name="KERJASAMA" dataDxfId="18" dataCellStyle="Excel Built-in Normal"/>
    <tableColumn id="14" xr3:uid="{C4D6F0C7-9171-4354-9DB6-FF81DB8C6885}" name="KEMANDIRIAN" dataDxfId="17" dataCellStyle="Excel Built-in Normal"/>
    <tableColumn id="15" xr3:uid="{F5DA4909-A620-42B0-BECD-AF2A41C44CAD}" name="KEMAMPUAN ADAPTASI" dataDxfId="16" dataCellStyle="Excel Built-in Normal"/>
    <tableColumn id="16" xr3:uid="{E4062111-E4CC-4BAC-91C4-9B066DE823C9}" name="INNOVATION" dataDxfId="15" dataCellStyle="Excel Built-in Normal"/>
    <tableColumn id="17" xr3:uid="{EB10BB86-0D4C-4678-AAFE-ABCCA4D42B25}" name="ADAPTABILITY &amp; TEAM WORK" dataDxfId="14" dataCellStyle="Excel Built-in Normal"/>
    <tableColumn id="18" xr3:uid="{2D616416-7775-4E35-9512-D51C54C90447}" name="LISTEN LEARN &amp; CONTRIBUTE" dataDxfId="13" dataCellStyle="Excel Built-in Normal"/>
    <tableColumn id="19" xr3:uid="{044C00A0-B35A-4240-BE10-D9444BB4105F}" name="INTEGRITY" dataDxfId="12" dataCellStyle="Excel Built-in Normal"/>
    <tableColumn id="20" xr3:uid="{0EEB33C0-BACC-4A3C-B051-AB19EE0DDA80}" name="MOTIVATION &amp; COMMITMENT" dataDxfId="11" dataCellStyle="Excel Built-in Normal"/>
    <tableColumn id="21" xr3:uid="{D1F24CAE-610B-47B6-B25F-4B271009CB8A}" name="TEAM WORK" dataDxfId="10" dataCellStyle="Excel Built-in Normal"/>
    <tableColumn id="22" xr3:uid="{D6318697-A8CA-459E-A08B-02CC9DF0BAB9}" name="BUILDING BUSSINESS PARTENERSHIP" dataDxfId="9" dataCellStyle="Excel Built-in Normal"/>
    <tableColumn id="23" xr3:uid="{19EF041D-2E87-495D-A228-C8A35AE6A15F}" name="PDCA" dataDxfId="8"/>
    <tableColumn id="24" xr3:uid="{76197943-6CEB-49B6-84CA-44DB83EB5A05}" name="PLANNING &amp; ORGANIZATION" dataDxfId="7"/>
    <tableColumn id="25" xr3:uid="{4E863B05-6D36-408D-A360-1DD48F7E546F}" name="INTERPERSONAL &amp; COLLABORATION" dataDxfId="6" dataCellStyle="Excel Built-in Normal"/>
    <tableColumn id="26" xr3:uid="{3DE1ED81-FE89-407A-B49A-E0D5A83CE37C}" name="LEADERSHIP/MENTORING" dataDxfId="5" dataCellStyle="Excel Built-in Normal"/>
    <tableColumn id="27" xr3:uid="{F1EA04F3-E365-4133-819F-5FDEC0E39337}" name="COMMUNICATION" dataDxfId="4" dataCellStyle="Excel Built-in Normal"/>
    <tableColumn id="28" xr3:uid="{8CE09AAF-94FA-4786-A6C0-8976953786F7}" name="STAFFING &amp; PEOPLE DEVELOPMENT" dataDxfId="3" dataCellStyle="Excel Built-in Normal"/>
    <tableColumn id="29" xr3:uid="{AEFC70D0-2E50-4BD6-BECB-7BE49617E761}" name="VISIONNARY &amp; STRATEGIC LEADERSHIP" dataDxfId="2"/>
    <tableColumn id="30" xr3:uid="{D916C963-E344-43A7-B97C-0D08D5A454DF}" name="STRATEGIC DECISION MAKING" dataDxfId="1"/>
    <tableColumn id="31" xr3:uid="{4CD533DA-AEC7-4F67-9384-3B061DB44BF1}" name="LEADING TROUGH VISION &amp; VALUE" dataDxfId="0" dataCellStyle="Excel Built-in Normal"/>
  </tableColumns>
  <tableStyleInfo name="TableStyleLight18"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03EF9-6FED-46A2-A5B4-031B3B7C2786}">
  <sheetPr codeName="Sheet8">
    <tabColor theme="9" tint="-0.249977111117893"/>
  </sheetPr>
  <dimension ref="C1:AI77"/>
  <sheetViews>
    <sheetView showGridLines="0" tabSelected="1" showWhiteSpace="0" view="pageBreakPreview" zoomScale="70" zoomScaleNormal="70" zoomScaleSheetLayoutView="70" zoomScalePageLayoutView="55" workbookViewId="0">
      <pane xSplit="14" ySplit="2" topLeftCell="O3" activePane="bottomRight" state="frozen"/>
      <selection pane="topRight" activeCell="O1" sqref="O1"/>
      <selection pane="bottomLeft" activeCell="A3" sqref="A3"/>
      <selection pane="bottomRight" activeCell="D1" sqref="D1:D2"/>
    </sheetView>
  </sheetViews>
  <sheetFormatPr defaultColWidth="3.85546875" defaultRowHeight="14.25"/>
  <cols>
    <col min="1" max="2" width="2.7109375" style="7" customWidth="1"/>
    <col min="3" max="3" width="35.7109375" style="11" customWidth="1"/>
    <col min="4" max="4" width="7.7109375" style="36" customWidth="1"/>
    <col min="5" max="8" width="10.7109375" style="36" customWidth="1"/>
    <col min="9" max="10" width="5.28515625" style="36" customWidth="1"/>
    <col min="11" max="11" width="19.7109375" style="21" customWidth="1"/>
    <col min="12" max="12" width="11.7109375" style="11" customWidth="1"/>
    <col min="13" max="13" width="2.7109375" style="9" customWidth="1"/>
    <col min="14" max="14" width="3.7109375" style="13" customWidth="1"/>
    <col min="15" max="15" width="3.7109375" style="7" customWidth="1"/>
    <col min="16" max="16" width="4.28515625" style="7" customWidth="1"/>
    <col min="17" max="17" width="30.7109375" style="7" customWidth="1"/>
    <col min="18" max="18" width="15.7109375" style="7" customWidth="1"/>
    <col min="19" max="19" width="10.7109375" style="7" customWidth="1"/>
    <col min="20" max="20" width="13.7109375" style="7" customWidth="1"/>
    <col min="21" max="21" width="30.7109375" style="7" customWidth="1"/>
    <col min="22" max="22" width="13.7109375" style="7" customWidth="1"/>
    <col min="23" max="23" width="10.7109375" style="7" customWidth="1"/>
    <col min="24" max="24" width="12.7109375" style="7" customWidth="1"/>
    <col min="25" max="29" width="3.85546875" style="7"/>
    <col min="30" max="30" width="7.42578125" style="7" bestFit="1" customWidth="1"/>
    <col min="31" max="31" width="15.7109375" style="7" bestFit="1" customWidth="1"/>
    <col min="32" max="32" width="12.5703125" style="7" bestFit="1" customWidth="1"/>
    <col min="33" max="16384" width="3.85546875" style="7"/>
  </cols>
  <sheetData>
    <row r="1" spans="3:35" s="13" customFormat="1" ht="15" customHeight="1">
      <c r="C1" s="214" t="s">
        <v>892</v>
      </c>
      <c r="D1" s="215">
        <v>2</v>
      </c>
      <c r="E1" s="32"/>
      <c r="F1" s="32"/>
      <c r="G1" s="32"/>
      <c r="I1" s="161"/>
      <c r="J1" s="161"/>
      <c r="K1" s="161"/>
      <c r="L1" s="161"/>
      <c r="M1" s="161"/>
      <c r="N1" s="161"/>
      <c r="O1" s="161"/>
      <c r="P1" s="161"/>
      <c r="Q1" s="161"/>
      <c r="R1" s="161"/>
      <c r="S1" s="161"/>
      <c r="T1" s="25"/>
      <c r="U1" s="26"/>
      <c r="V1" s="26"/>
      <c r="W1" s="26"/>
      <c r="X1" s="26"/>
      <c r="Y1" s="26"/>
      <c r="Z1" s="26"/>
      <c r="AA1" s="26"/>
      <c r="AB1" s="26"/>
      <c r="AC1" s="26"/>
      <c r="AD1" s="26"/>
      <c r="AE1" s="26"/>
      <c r="AF1" s="26"/>
      <c r="AG1" s="26"/>
      <c r="AH1" s="26"/>
      <c r="AI1" s="26"/>
    </row>
    <row r="2" spans="3:35" s="13" customFormat="1" ht="15" customHeight="1">
      <c r="C2" s="214"/>
      <c r="D2" s="215"/>
      <c r="E2" s="33"/>
      <c r="F2" s="33"/>
      <c r="G2" s="33"/>
      <c r="H2" s="161"/>
      <c r="I2" s="161"/>
      <c r="J2" s="161"/>
      <c r="K2" s="161"/>
      <c r="L2" s="161"/>
      <c r="M2" s="161"/>
      <c r="N2" s="161"/>
      <c r="O2" s="161"/>
      <c r="P2" s="161"/>
      <c r="Q2" s="161"/>
      <c r="R2" s="161"/>
      <c r="S2" s="161"/>
      <c r="T2" s="26"/>
      <c r="U2" s="26"/>
      <c r="V2" s="26"/>
      <c r="W2" s="26"/>
      <c r="X2" s="26"/>
      <c r="Y2" s="26"/>
      <c r="Z2" s="26"/>
      <c r="AA2" s="26"/>
      <c r="AB2" s="26"/>
      <c r="AC2" s="26"/>
      <c r="AD2" s="26"/>
      <c r="AE2" s="26"/>
      <c r="AF2" s="26"/>
      <c r="AG2" s="26"/>
      <c r="AH2" s="26"/>
      <c r="AI2" s="26"/>
    </row>
    <row r="3" spans="3:35" s="13" customFormat="1" ht="15" customHeight="1">
      <c r="C3" s="158"/>
      <c r="D3" s="159"/>
      <c r="E3" s="33"/>
      <c r="F3" s="33"/>
      <c r="M3" s="160"/>
      <c r="N3" s="160"/>
      <c r="O3" s="160"/>
      <c r="P3" s="160"/>
      <c r="Q3" s="160"/>
      <c r="R3" s="160"/>
      <c r="S3" s="160"/>
      <c r="T3" s="26"/>
      <c r="U3" s="26"/>
      <c r="V3" s="26"/>
      <c r="W3" s="26"/>
      <c r="X3" s="26"/>
      <c r="Y3" s="26"/>
      <c r="Z3" s="26"/>
      <c r="AA3" s="26"/>
      <c r="AB3" s="26"/>
      <c r="AC3" s="26"/>
      <c r="AD3" s="26"/>
      <c r="AE3" s="26"/>
      <c r="AF3" s="26"/>
      <c r="AG3" s="26"/>
      <c r="AH3" s="26"/>
      <c r="AI3" s="26"/>
    </row>
    <row r="4" spans="3:35" ht="15" customHeight="1">
      <c r="C4" s="185" t="s">
        <v>0</v>
      </c>
      <c r="D4" s="216" t="str">
        <f>IFERROR(IF($D$1="","",INDEX(Data_Assessment[],MATCH($D$1,Data_Assessment[INDEX],0),MATCH($C4,Data_Assessment[#Headers],0))),"")</f>
        <v>Adi Sumantri, Ir.</v>
      </c>
      <c r="E4" s="216"/>
      <c r="F4" s="216"/>
      <c r="G4" s="222" t="s">
        <v>1640</v>
      </c>
      <c r="H4" s="222"/>
      <c r="I4" s="222"/>
      <c r="J4" s="222"/>
      <c r="K4" s="222"/>
      <c r="O4" s="13"/>
      <c r="P4" s="13"/>
      <c r="Q4" s="187" t="s">
        <v>0</v>
      </c>
      <c r="R4" s="254" t="str">
        <f>D4</f>
        <v>Adi Sumantri, Ir.</v>
      </c>
      <c r="S4" s="254"/>
      <c r="T4" s="254"/>
      <c r="U4" s="252" t="s">
        <v>1640</v>
      </c>
      <c r="V4" s="252"/>
      <c r="W4" s="252"/>
      <c r="AF4" s="164"/>
      <c r="AG4" s="164"/>
      <c r="AH4" s="164"/>
      <c r="AI4" s="164"/>
    </row>
    <row r="5" spans="3:35" ht="15" customHeight="1">
      <c r="C5" s="185" t="s">
        <v>848</v>
      </c>
      <c r="D5" s="216">
        <f>IFERROR(IF($D$1="","",INDEX(Data_Assessment[],MATCH($D$1,Data_Assessment[INDEX],0),MATCH($C5,Data_Assessment[#Headers],0))),"")</f>
        <v>50031149</v>
      </c>
      <c r="E5" s="216"/>
      <c r="F5" s="216"/>
      <c r="G5" s="222"/>
      <c r="H5" s="222"/>
      <c r="I5" s="222"/>
      <c r="J5" s="222"/>
      <c r="K5" s="222"/>
      <c r="O5" s="13"/>
      <c r="P5" s="13"/>
      <c r="Q5" s="187" t="s">
        <v>848</v>
      </c>
      <c r="R5" s="254">
        <f t="shared" ref="R5:R11" si="0">D5</f>
        <v>50031149</v>
      </c>
      <c r="S5" s="254"/>
      <c r="T5" s="254"/>
      <c r="U5" s="252"/>
      <c r="V5" s="252"/>
      <c r="W5" s="252"/>
      <c r="AE5" s="164"/>
      <c r="AF5" s="164"/>
      <c r="AG5" s="164"/>
      <c r="AH5" s="164"/>
      <c r="AI5" s="164"/>
    </row>
    <row r="6" spans="3:35" ht="15" customHeight="1">
      <c r="C6" s="186" t="s">
        <v>893</v>
      </c>
      <c r="D6" s="219">
        <f ca="1">IFERROR(IF($D$1="","",INDEX(Data_Assessment[],MATCH($D$1,Data_Assessment[INDEX],0),MATCH($C6,Data_Assessment[#Headers],0))),"")</f>
        <v>48.887063655030801</v>
      </c>
      <c r="E6" s="219"/>
      <c r="F6" s="219"/>
      <c r="G6" s="221" t="s">
        <v>1639</v>
      </c>
      <c r="H6" s="221"/>
      <c r="I6" s="221"/>
      <c r="J6" s="221"/>
      <c r="K6" s="221"/>
      <c r="L6" s="162"/>
      <c r="M6" s="11"/>
      <c r="N6" s="7"/>
      <c r="O6" s="13"/>
      <c r="P6" s="13"/>
      <c r="Q6" s="187" t="s">
        <v>893</v>
      </c>
      <c r="R6" s="255">
        <f t="shared" ca="1" si="0"/>
        <v>48.887063655030801</v>
      </c>
      <c r="S6" s="255"/>
      <c r="T6" s="255"/>
      <c r="U6" s="253" t="s">
        <v>1639</v>
      </c>
      <c r="V6" s="253"/>
      <c r="W6" s="253"/>
      <c r="AF6" s="162"/>
      <c r="AG6" s="162"/>
      <c r="AH6" s="162"/>
      <c r="AI6" s="162"/>
    </row>
    <row r="7" spans="3:35" ht="15" customHeight="1">
      <c r="C7" s="186" t="s">
        <v>39</v>
      </c>
      <c r="D7" s="216" t="str">
        <f>IFERROR(IF($D$1="","",INDEX(Data_Assessment[],MATCH($D$1,Data_Assessment[INDEX],0),MATCH($C7,Data_Assessment[#Headers],0)))&amp;" ("&amp;INDEX(Data_Assessment[],MATCH($D$1,Data_Assessment[INDEX],0),MATCH("City/Province",Data_Assessment[#Headers],0))&amp;")","")</f>
        <v>1 (Medan)</v>
      </c>
      <c r="E7" s="216"/>
      <c r="F7" s="216"/>
      <c r="G7" s="164"/>
      <c r="H7" s="164"/>
      <c r="I7" s="164"/>
      <c r="J7" s="164"/>
      <c r="K7" s="164"/>
      <c r="M7" s="11"/>
      <c r="N7" s="7"/>
      <c r="O7" s="13"/>
      <c r="P7" s="13"/>
      <c r="Q7" s="187" t="s">
        <v>39</v>
      </c>
      <c r="R7" s="254" t="str">
        <f t="shared" si="0"/>
        <v>1 (Medan)</v>
      </c>
      <c r="S7" s="254"/>
      <c r="T7" s="254"/>
    </row>
    <row r="8" spans="3:35" ht="15" customHeight="1">
      <c r="C8" s="186" t="s">
        <v>894</v>
      </c>
      <c r="D8" s="216" t="str">
        <f>IFERROR(IF($D$1="","",INDEX(Data_Assessment[],MATCH($D$1,Data_Assessment[INDEX],0),MATCH($C8,Data_Assessment[#Headers],0))),"")</f>
        <v>LSIP - RO Medan</v>
      </c>
      <c r="E8" s="216"/>
      <c r="F8" s="216"/>
      <c r="G8" s="7"/>
      <c r="H8" s="7"/>
      <c r="I8" s="7"/>
      <c r="J8" s="7"/>
      <c r="K8" s="7"/>
      <c r="N8" s="7"/>
      <c r="O8" s="13"/>
      <c r="P8" s="13"/>
      <c r="Q8" s="187" t="s">
        <v>894</v>
      </c>
      <c r="R8" s="254" t="str">
        <f t="shared" si="0"/>
        <v>LSIP - RO Medan</v>
      </c>
      <c r="S8" s="254"/>
      <c r="T8" s="254"/>
    </row>
    <row r="9" spans="3:35" ht="15" customHeight="1">
      <c r="C9" s="185" t="s">
        <v>1593</v>
      </c>
      <c r="D9" s="216" t="str">
        <f>IFERROR(IF($D$1="","",INDEX(Data_Assessment[],MATCH($D$1,Data_Assessment[INDEX],0),MATCH($C9,Data_Assessment[#Headers],0))),"")</f>
        <v>AMA_EST</v>
      </c>
      <c r="E9" s="216"/>
      <c r="F9" s="216"/>
      <c r="N9" s="7"/>
      <c r="O9" s="13"/>
      <c r="P9" s="13"/>
      <c r="Q9" s="187" t="s">
        <v>1593</v>
      </c>
      <c r="R9" s="254" t="str">
        <f t="shared" si="0"/>
        <v>AMA_EST</v>
      </c>
      <c r="S9" s="254"/>
      <c r="T9" s="254"/>
    </row>
    <row r="10" spans="3:35" ht="15" customHeight="1">
      <c r="C10" s="185" t="s">
        <v>1629</v>
      </c>
      <c r="D10" s="216" t="s">
        <v>53</v>
      </c>
      <c r="E10" s="216"/>
      <c r="F10" s="216"/>
      <c r="N10" s="7"/>
      <c r="O10" s="13"/>
      <c r="P10" s="13"/>
      <c r="Q10" s="187" t="s">
        <v>1629</v>
      </c>
      <c r="R10" s="254" t="str">
        <f>D10</f>
        <v>HA_DEV</v>
      </c>
      <c r="S10" s="254"/>
      <c r="T10" s="254"/>
    </row>
    <row r="11" spans="3:35" ht="15" customHeight="1">
      <c r="C11" s="185" t="s">
        <v>1</v>
      </c>
      <c r="D11" s="220">
        <f ca="1">TODAY()</f>
        <v>44641</v>
      </c>
      <c r="E11" s="220"/>
      <c r="F11" s="220"/>
      <c r="N11" s="7"/>
      <c r="O11" s="13"/>
      <c r="P11" s="13"/>
      <c r="Q11" s="187" t="s">
        <v>1</v>
      </c>
      <c r="R11" s="256">
        <f t="shared" ca="1" si="0"/>
        <v>44641</v>
      </c>
      <c r="S11" s="256"/>
      <c r="T11" s="256"/>
    </row>
    <row r="12" spans="3:35" ht="15" customHeight="1">
      <c r="C12" s="30"/>
      <c r="D12" s="35"/>
      <c r="E12" s="35"/>
      <c r="F12" s="35"/>
      <c r="N12" s="18"/>
      <c r="O12" s="18"/>
      <c r="P12" s="3"/>
    </row>
    <row r="13" spans="3:35" ht="15" customHeight="1">
      <c r="C13" s="217" t="str">
        <f>"PENILAIAN ASPEK POTENSI UNTUK MENJADI "&amp;UPPER(IF(ISNUMBER(SEARCH("_",Analysis!$C$1)),LEFT(Analysis!$C$1,SEARCH("_",Analysis!$C$1)-1),Analysis!$C$1))</f>
        <v>PENILAIAN ASPEK POTENSI UNTUK MENJADI HA</v>
      </c>
      <c r="D13" s="218"/>
      <c r="E13" s="218"/>
      <c r="F13" s="218"/>
      <c r="G13" s="218"/>
      <c r="H13" s="218"/>
      <c r="I13" s="218"/>
      <c r="J13" s="218"/>
      <c r="P13" s="6"/>
      <c r="Q13" s="240" t="s">
        <v>2</v>
      </c>
      <c r="R13" s="240"/>
      <c r="S13" s="240"/>
      <c r="T13" s="240"/>
      <c r="U13" s="240" t="s">
        <v>3</v>
      </c>
      <c r="V13" s="240"/>
      <c r="W13" s="240"/>
      <c r="X13" s="240"/>
    </row>
    <row r="14" spans="3:35" ht="15" customHeight="1">
      <c r="C14" s="123" t="s">
        <v>1627</v>
      </c>
      <c r="D14" s="122" t="s">
        <v>1623</v>
      </c>
      <c r="E14" s="122" t="s">
        <v>1622</v>
      </c>
      <c r="F14" s="122" t="s">
        <v>1625</v>
      </c>
      <c r="G14" s="122" t="s">
        <v>1624</v>
      </c>
      <c r="H14" s="122" t="s">
        <v>1626</v>
      </c>
      <c r="I14" s="122" t="s">
        <v>57</v>
      </c>
      <c r="J14" s="122" t="s">
        <v>58</v>
      </c>
      <c r="P14" s="6"/>
      <c r="Q14" s="241"/>
      <c r="R14" s="241"/>
      <c r="S14" s="241"/>
      <c r="T14" s="241"/>
      <c r="U14" s="241"/>
      <c r="V14" s="241"/>
      <c r="W14" s="241"/>
      <c r="X14" s="241"/>
    </row>
    <row r="15" spans="3:35" ht="15" customHeight="1">
      <c r="C15" s="173" t="str">
        <f>Analysis!B5</f>
        <v>Logika Berpikir</v>
      </c>
      <c r="D15" s="167">
        <f>Analysis!C5</f>
        <v>5</v>
      </c>
      <c r="E15" s="167">
        <f>Analysis!D5</f>
        <v>6</v>
      </c>
      <c r="F15" s="167">
        <f t="shared" ref="F15:F27" si="1">D15-E15</f>
        <v>-1</v>
      </c>
      <c r="G15" s="167">
        <f>Analysis!E5</f>
        <v>6</v>
      </c>
      <c r="H15" s="168">
        <f t="shared" ref="H15:H27" si="2">D15-G15</f>
        <v>-1</v>
      </c>
      <c r="I15" s="169" t="str">
        <f t="shared" ref="I15:I27" si="3">IF($D15="","",IF($D15&gt;=E15,"ok","x"))</f>
        <v>x</v>
      </c>
      <c r="J15" s="169" t="str">
        <f t="shared" ref="J15:J27" si="4">IF($D15="","",IF($D15&gt;=G15,"ok","x"))</f>
        <v>x</v>
      </c>
      <c r="P15" s="10"/>
      <c r="Q15" s="224" t="str">
        <f>INDEX(Strong_Weakness[],MATCH($D$4,Strong_Weakness[[NAME]:[NAME]],0),3)</f>
        <v>Orientasi bekerja yang dimiliki irvan dalam mencapai target pekerjaan membuatnya mampu mengerjakan tugas sesuai dengan standar yang diberikan oleh perusahaan.
Ia mampu menggunakan potensi yang dimilikinya untuk bekerja dalam situasi yang rutin dan membutuhkan tingkat keakuratan yang cukup tinggi.
Ia tidak mudah puas dengan hasil kerja, berusaha meningkatkan kualitas pekerjaan walau untuk kepuasan pribadi.
Dalam bekerja, Irvan mampu memberikan kontribusi yang lebih didalam tim. meskipun perannya masih terbatas,ia mampu menjalankan fungsinya sesuai dengan tanggung jawabnya. ia dapat bekerja dengan optimal berdasarkan arahan dan dukungan dari orang lain dalam unit kerjanya.</v>
      </c>
      <c r="R15" s="225"/>
      <c r="S15" s="225"/>
      <c r="T15" s="226"/>
      <c r="U15" s="230" t="str">
        <f>INDEX(Strong_Weakness[],MATCH($D$4,Strong_Weakness[[NAME]:[NAME]],0),4)</f>
        <v>Ketika pada situasi yang menekan, ia cenderung mudah untuk terpengaruhsecara emosi, ia menjadi kurang dapat berkonsentrasi sehingga dapat berpotensi menurunkan kualitas kerjanya.
Ia sangat peduli terhadap penilaian orang lainmengenai dirinya.ia bahkan cenderung menaruh curiga terhadap perilaku orang lain.disamping itu ia juga kurang mampu melihat kritik secara positip sehingga ia menjadi mudah terpancing oleh penilaian.
Taraf kemampuan berpikir sdr Irvan tergolong cukup memadai, namun belum dapat ia manfaatkan secara optimal untuk pekerjaan yang membutuhkan identifikasi terhadap pokok permasalahan maupun pembuatan solusi masalah yang lebih kompleks.</v>
      </c>
      <c r="V15" s="230"/>
      <c r="W15" s="230"/>
      <c r="X15" s="230"/>
    </row>
    <row r="16" spans="3:35" ht="15" customHeight="1">
      <c r="C16" s="173" t="str">
        <f>Analysis!B6</f>
        <v>Sistematika Berpikir</v>
      </c>
      <c r="D16" s="167">
        <f>Analysis!C6</f>
        <v>5</v>
      </c>
      <c r="E16" s="167">
        <f>Analysis!D6</f>
        <v>5</v>
      </c>
      <c r="F16" s="167">
        <f t="shared" si="1"/>
        <v>0</v>
      </c>
      <c r="G16" s="167">
        <f>Analysis!E6</f>
        <v>5</v>
      </c>
      <c r="H16" s="168">
        <f t="shared" si="2"/>
        <v>0</v>
      </c>
      <c r="I16" s="169" t="str">
        <f t="shared" si="3"/>
        <v>ok</v>
      </c>
      <c r="J16" s="169" t="str">
        <f t="shared" si="4"/>
        <v>ok</v>
      </c>
      <c r="P16" s="10"/>
      <c r="Q16" s="227"/>
      <c r="R16" s="228"/>
      <c r="S16" s="228"/>
      <c r="T16" s="229"/>
      <c r="U16" s="230"/>
      <c r="V16" s="230"/>
      <c r="W16" s="230"/>
      <c r="X16" s="230"/>
    </row>
    <row r="17" spans="3:24" ht="15" customHeight="1">
      <c r="C17" s="173" t="str">
        <f>Analysis!B7</f>
        <v>Analisa Sintesa</v>
      </c>
      <c r="D17" s="167">
        <f>Analysis!C7</f>
        <v>6</v>
      </c>
      <c r="E17" s="167">
        <f>Analysis!D7</f>
        <v>6</v>
      </c>
      <c r="F17" s="167">
        <f t="shared" si="1"/>
        <v>0</v>
      </c>
      <c r="G17" s="167">
        <f>Analysis!E7</f>
        <v>6</v>
      </c>
      <c r="H17" s="168">
        <f t="shared" si="2"/>
        <v>0</v>
      </c>
      <c r="I17" s="169" t="str">
        <f t="shared" si="3"/>
        <v>ok</v>
      </c>
      <c r="J17" s="169" t="str">
        <f t="shared" si="4"/>
        <v>ok</v>
      </c>
      <c r="P17" s="10"/>
      <c r="Q17" s="227"/>
      <c r="R17" s="228"/>
      <c r="S17" s="228"/>
      <c r="T17" s="229"/>
      <c r="U17" s="230"/>
      <c r="V17" s="230"/>
      <c r="W17" s="230"/>
      <c r="X17" s="230"/>
    </row>
    <row r="18" spans="3:24" ht="15" customHeight="1">
      <c r="C18" s="173" t="str">
        <f>Analysis!B8</f>
        <v>Hasrat Berprestasi</v>
      </c>
      <c r="D18" s="167">
        <f>Analysis!C8</f>
        <v>7</v>
      </c>
      <c r="E18" s="167">
        <f>Analysis!D8</f>
        <v>5</v>
      </c>
      <c r="F18" s="167">
        <f t="shared" si="1"/>
        <v>2</v>
      </c>
      <c r="G18" s="167">
        <f>Analysis!E8</f>
        <v>5</v>
      </c>
      <c r="H18" s="168">
        <f t="shared" si="2"/>
        <v>2</v>
      </c>
      <c r="I18" s="169" t="str">
        <f t="shared" si="3"/>
        <v>ok</v>
      </c>
      <c r="J18" s="169" t="str">
        <f t="shared" si="4"/>
        <v>ok</v>
      </c>
      <c r="P18" s="10"/>
      <c r="Q18" s="227"/>
      <c r="R18" s="228"/>
      <c r="S18" s="228"/>
      <c r="T18" s="229"/>
      <c r="U18" s="230"/>
      <c r="V18" s="230"/>
      <c r="W18" s="230"/>
      <c r="X18" s="230"/>
    </row>
    <row r="19" spans="3:24" ht="15" customHeight="1">
      <c r="C19" s="173" t="str">
        <f>Analysis!B9</f>
        <v>Inisatif</v>
      </c>
      <c r="D19" s="167">
        <f>Analysis!C9</f>
        <v>7</v>
      </c>
      <c r="E19" s="167">
        <f>Analysis!D9</f>
        <v>6</v>
      </c>
      <c r="F19" s="167">
        <f t="shared" si="1"/>
        <v>1</v>
      </c>
      <c r="G19" s="167">
        <f>Analysis!E9</f>
        <v>6</v>
      </c>
      <c r="H19" s="168">
        <f t="shared" si="2"/>
        <v>1</v>
      </c>
      <c r="I19" s="169" t="str">
        <f t="shared" si="3"/>
        <v>ok</v>
      </c>
      <c r="J19" s="169" t="str">
        <f t="shared" si="4"/>
        <v>ok</v>
      </c>
      <c r="P19" s="10"/>
      <c r="Q19" s="227"/>
      <c r="R19" s="228"/>
      <c r="S19" s="228"/>
      <c r="T19" s="229"/>
      <c r="U19" s="230"/>
      <c r="V19" s="230"/>
      <c r="W19" s="230"/>
      <c r="X19" s="230"/>
    </row>
    <row r="20" spans="3:24" ht="15" customHeight="1">
      <c r="C20" s="173" t="str">
        <f>Analysis!B10</f>
        <v>Sistematika Kerja</v>
      </c>
      <c r="D20" s="167">
        <f>Analysis!C10</f>
        <v>5</v>
      </c>
      <c r="E20" s="167">
        <f>Analysis!D10</f>
        <v>5</v>
      </c>
      <c r="F20" s="167">
        <f t="shared" si="1"/>
        <v>0</v>
      </c>
      <c r="G20" s="167">
        <f>Analysis!E10</f>
        <v>5</v>
      </c>
      <c r="H20" s="168">
        <f t="shared" si="2"/>
        <v>0</v>
      </c>
      <c r="I20" s="169" t="str">
        <f t="shared" si="3"/>
        <v>ok</v>
      </c>
      <c r="J20" s="169" t="str">
        <f t="shared" si="4"/>
        <v>ok</v>
      </c>
      <c r="P20" s="10"/>
      <c r="Q20" s="227"/>
      <c r="R20" s="228"/>
      <c r="S20" s="228"/>
      <c r="T20" s="229"/>
      <c r="U20" s="230"/>
      <c r="V20" s="230"/>
      <c r="W20" s="230"/>
      <c r="X20" s="230"/>
    </row>
    <row r="21" spans="3:24" ht="15" customHeight="1">
      <c r="C21" s="173" t="str">
        <f>Analysis!B11</f>
        <v>Ketelitian</v>
      </c>
      <c r="D21" s="167">
        <f>Analysis!C11</f>
        <v>5</v>
      </c>
      <c r="E21" s="167">
        <f>Analysis!D11</f>
        <v>6</v>
      </c>
      <c r="F21" s="167">
        <f t="shared" si="1"/>
        <v>-1</v>
      </c>
      <c r="G21" s="167">
        <f>Analysis!E11</f>
        <v>6</v>
      </c>
      <c r="H21" s="168">
        <f t="shared" si="2"/>
        <v>-1</v>
      </c>
      <c r="I21" s="169" t="str">
        <f t="shared" si="3"/>
        <v>x</v>
      </c>
      <c r="J21" s="169" t="str">
        <f t="shared" si="4"/>
        <v>x</v>
      </c>
      <c r="P21" s="10"/>
      <c r="Q21" s="227"/>
      <c r="R21" s="228"/>
      <c r="S21" s="228"/>
      <c r="T21" s="229"/>
      <c r="U21" s="230"/>
      <c r="V21" s="230"/>
      <c r="W21" s="230"/>
      <c r="X21" s="230"/>
    </row>
    <row r="22" spans="3:24" ht="15" customHeight="1">
      <c r="C22" s="173" t="str">
        <f>Analysis!B12</f>
        <v>Stabilitas Emosi</v>
      </c>
      <c r="D22" s="167">
        <f>Analysis!C12</f>
        <v>6</v>
      </c>
      <c r="E22" s="167">
        <f>Analysis!D12</f>
        <v>6</v>
      </c>
      <c r="F22" s="167">
        <f t="shared" si="1"/>
        <v>0</v>
      </c>
      <c r="G22" s="167">
        <f>Analysis!E12</f>
        <v>6</v>
      </c>
      <c r="H22" s="168">
        <f t="shared" si="2"/>
        <v>0</v>
      </c>
      <c r="I22" s="169" t="str">
        <f t="shared" si="3"/>
        <v>ok</v>
      </c>
      <c r="J22" s="169" t="str">
        <f t="shared" si="4"/>
        <v>ok</v>
      </c>
      <c r="P22" s="10"/>
      <c r="Q22" s="227"/>
      <c r="R22" s="228"/>
      <c r="S22" s="228"/>
      <c r="T22" s="229"/>
      <c r="U22" s="230"/>
      <c r="V22" s="230"/>
      <c r="W22" s="230"/>
      <c r="X22" s="230"/>
    </row>
    <row r="23" spans="3:24" ht="15" customHeight="1">
      <c r="C23" s="173" t="str">
        <f>Analysis!B13</f>
        <v>Kepercayaan Diri</v>
      </c>
      <c r="D23" s="167">
        <f>Analysis!C13</f>
        <v>6</v>
      </c>
      <c r="E23" s="167">
        <f>Analysis!D13</f>
        <v>7</v>
      </c>
      <c r="F23" s="167">
        <f t="shared" si="1"/>
        <v>-1</v>
      </c>
      <c r="G23" s="167">
        <f>Analysis!E13</f>
        <v>7</v>
      </c>
      <c r="H23" s="168">
        <f t="shared" si="2"/>
        <v>-1</v>
      </c>
      <c r="I23" s="169" t="str">
        <f t="shared" si="3"/>
        <v>x</v>
      </c>
      <c r="J23" s="169" t="str">
        <f t="shared" si="4"/>
        <v>x</v>
      </c>
      <c r="P23" s="10"/>
      <c r="Q23" s="227"/>
      <c r="R23" s="228"/>
      <c r="S23" s="228"/>
      <c r="T23" s="229"/>
      <c r="U23" s="230"/>
      <c r="V23" s="230"/>
      <c r="W23" s="230"/>
      <c r="X23" s="230"/>
    </row>
    <row r="24" spans="3:24" ht="15" customHeight="1">
      <c r="C24" s="173" t="str">
        <f>Analysis!B14</f>
        <v>Kontak Sosial</v>
      </c>
      <c r="D24" s="167">
        <f>Analysis!C14</f>
        <v>6</v>
      </c>
      <c r="E24" s="167">
        <f>Analysis!D14</f>
        <v>6</v>
      </c>
      <c r="F24" s="167">
        <f t="shared" si="1"/>
        <v>0</v>
      </c>
      <c r="G24" s="167">
        <f>Analysis!E14</f>
        <v>6</v>
      </c>
      <c r="H24" s="168">
        <f t="shared" si="2"/>
        <v>0</v>
      </c>
      <c r="I24" s="169" t="str">
        <f t="shared" si="3"/>
        <v>ok</v>
      </c>
      <c r="J24" s="169" t="str">
        <f t="shared" si="4"/>
        <v>ok</v>
      </c>
      <c r="P24" s="10"/>
      <c r="Q24" s="227"/>
      <c r="R24" s="228"/>
      <c r="S24" s="228"/>
      <c r="T24" s="229"/>
      <c r="U24" s="230"/>
      <c r="V24" s="230"/>
      <c r="W24" s="230"/>
      <c r="X24" s="230"/>
    </row>
    <row r="25" spans="3:24" ht="15" customHeight="1">
      <c r="C25" s="173" t="str">
        <f>Analysis!B15</f>
        <v>Kerjasama</v>
      </c>
      <c r="D25" s="167">
        <f>Analysis!C15</f>
        <v>5</v>
      </c>
      <c r="E25" s="167">
        <f>Analysis!D15</f>
        <v>7</v>
      </c>
      <c r="F25" s="167">
        <f t="shared" si="1"/>
        <v>-2</v>
      </c>
      <c r="G25" s="167">
        <f>Analysis!E15</f>
        <v>7</v>
      </c>
      <c r="H25" s="168">
        <f t="shared" si="2"/>
        <v>-2</v>
      </c>
      <c r="I25" s="169" t="str">
        <f t="shared" si="3"/>
        <v>x</v>
      </c>
      <c r="J25" s="169" t="str">
        <f t="shared" si="4"/>
        <v>x</v>
      </c>
      <c r="P25" s="10"/>
      <c r="Q25" s="227"/>
      <c r="R25" s="228"/>
      <c r="S25" s="228"/>
      <c r="T25" s="229"/>
      <c r="U25" s="230"/>
      <c r="V25" s="230"/>
      <c r="W25" s="230"/>
      <c r="X25" s="230"/>
    </row>
    <row r="26" spans="3:24" ht="15" customHeight="1">
      <c r="C26" s="173" t="str">
        <f>Analysis!B16</f>
        <v>Kemandirian</v>
      </c>
      <c r="D26" s="167">
        <f>Analysis!C16</f>
        <v>6</v>
      </c>
      <c r="E26" s="167">
        <f>Analysis!D16</f>
        <v>7</v>
      </c>
      <c r="F26" s="167">
        <f t="shared" si="1"/>
        <v>-1</v>
      </c>
      <c r="G26" s="167">
        <f>Analysis!E16</f>
        <v>7</v>
      </c>
      <c r="H26" s="168">
        <f t="shared" si="2"/>
        <v>-1</v>
      </c>
      <c r="I26" s="169" t="str">
        <f t="shared" si="3"/>
        <v>x</v>
      </c>
      <c r="J26" s="169" t="str">
        <f t="shared" si="4"/>
        <v>x</v>
      </c>
      <c r="P26" s="10"/>
      <c r="Q26" s="227"/>
      <c r="R26" s="228"/>
      <c r="S26" s="228"/>
      <c r="T26" s="229"/>
      <c r="U26" s="230"/>
      <c r="V26" s="230"/>
      <c r="W26" s="230"/>
      <c r="X26" s="230"/>
    </row>
    <row r="27" spans="3:24" ht="15" customHeight="1">
      <c r="C27" s="173" t="str">
        <f>Analysis!B17</f>
        <v>Kemampuan Adaptasi</v>
      </c>
      <c r="D27" s="167">
        <f>Analysis!C17</f>
        <v>5</v>
      </c>
      <c r="E27" s="167">
        <f>Analysis!D17</f>
        <v>6</v>
      </c>
      <c r="F27" s="167">
        <f t="shared" si="1"/>
        <v>-1</v>
      </c>
      <c r="G27" s="167">
        <f>Analysis!E17</f>
        <v>6</v>
      </c>
      <c r="H27" s="168">
        <f t="shared" si="2"/>
        <v>-1</v>
      </c>
      <c r="I27" s="169" t="str">
        <f t="shared" si="3"/>
        <v>x</v>
      </c>
      <c r="J27" s="169" t="str">
        <f t="shared" si="4"/>
        <v>x</v>
      </c>
      <c r="P27" s="10"/>
      <c r="Q27" s="227"/>
      <c r="R27" s="228"/>
      <c r="S27" s="228"/>
      <c r="T27" s="229"/>
      <c r="U27" s="230"/>
      <c r="V27" s="230"/>
      <c r="W27" s="230"/>
      <c r="X27" s="230"/>
    </row>
    <row r="28" spans="3:24" ht="15" customHeight="1">
      <c r="C28" s="174" t="s">
        <v>847</v>
      </c>
      <c r="D28" s="170"/>
      <c r="E28" s="170"/>
      <c r="F28" s="171">
        <f>SUBTOTAL(109,Potensi[GAP EST])</f>
        <v>-4</v>
      </c>
      <c r="G28" s="170"/>
      <c r="H28" s="172">
        <f>SUBTOTAL(109,Potensi[GAP DEV])</f>
        <v>-4</v>
      </c>
      <c r="I28" s="172">
        <f>COUNTIF(Potensi[EST],"ok")</f>
        <v>7</v>
      </c>
      <c r="J28" s="172">
        <f>COUNTIF(Potensi[DEV],"ok")</f>
        <v>7</v>
      </c>
      <c r="P28" s="12"/>
      <c r="Q28" s="227"/>
      <c r="R28" s="228"/>
      <c r="S28" s="228"/>
      <c r="T28" s="229"/>
      <c r="U28" s="230"/>
      <c r="V28" s="230"/>
      <c r="W28" s="230"/>
      <c r="X28" s="230"/>
    </row>
    <row r="29" spans="3:24" ht="15" customHeight="1">
      <c r="L29" s="27"/>
      <c r="M29" s="27"/>
      <c r="N29" s="3"/>
      <c r="O29" s="3"/>
      <c r="Q29" s="227"/>
      <c r="R29" s="228"/>
      <c r="S29" s="228"/>
      <c r="T29" s="229"/>
      <c r="U29" s="230"/>
      <c r="V29" s="230"/>
      <c r="W29" s="230"/>
      <c r="X29" s="230"/>
    </row>
    <row r="30" spans="3:24" ht="15" customHeight="1">
      <c r="C30" s="217" t="str">
        <f>"PENILAIAN ASPEK KOMPETENSI UNTUK MENJADI "&amp;UPPER(IF(ISNUMBER(SEARCH("_",Analysis!$C$1)),LEFT(Analysis!$C$1,SEARCH("_",Analysis!$C$1)-1),Analysis!$C$1))</f>
        <v>PENILAIAN ASPEK KOMPETENSI UNTUK MENJADI HA</v>
      </c>
      <c r="D30" s="218"/>
      <c r="E30" s="218"/>
      <c r="F30" s="218"/>
      <c r="G30" s="218"/>
      <c r="H30" s="218"/>
      <c r="I30" s="218"/>
      <c r="J30" s="218"/>
      <c r="K30" s="19"/>
      <c r="L30" s="28"/>
      <c r="M30" s="28"/>
      <c r="N30" s="19"/>
      <c r="O30" s="19"/>
      <c r="P30" s="4"/>
      <c r="Q30" s="227"/>
      <c r="R30" s="228"/>
      <c r="S30" s="228"/>
      <c r="T30" s="229"/>
      <c r="U30" s="230"/>
      <c r="V30" s="230"/>
      <c r="W30" s="230"/>
      <c r="X30" s="230"/>
    </row>
    <row r="31" spans="3:24" ht="15" customHeight="1">
      <c r="C31" s="123" t="s">
        <v>1627</v>
      </c>
      <c r="D31" s="122" t="s">
        <v>1623</v>
      </c>
      <c r="E31" s="122" t="s">
        <v>1622</v>
      </c>
      <c r="F31" s="122" t="s">
        <v>1625</v>
      </c>
      <c r="G31" s="122" t="s">
        <v>1624</v>
      </c>
      <c r="H31" s="122" t="s">
        <v>1626</v>
      </c>
      <c r="I31" s="122" t="s">
        <v>57</v>
      </c>
      <c r="J31" s="122" t="s">
        <v>58</v>
      </c>
      <c r="K31" s="19"/>
      <c r="L31" s="28"/>
      <c r="M31" s="28"/>
      <c r="N31" s="19"/>
      <c r="O31" s="19"/>
      <c r="P31" s="4"/>
      <c r="Q31" s="227"/>
      <c r="R31" s="228"/>
      <c r="S31" s="228"/>
      <c r="T31" s="229"/>
      <c r="U31" s="230"/>
      <c r="V31" s="230"/>
      <c r="W31" s="230"/>
      <c r="X31" s="230"/>
    </row>
    <row r="32" spans="3:24" ht="15" customHeight="1">
      <c r="C32" s="188" t="str">
        <f ca="1">Analysis!B21</f>
        <v>Innovation</v>
      </c>
      <c r="D32" s="175">
        <f ca="1">Analysis!C21</f>
        <v>3</v>
      </c>
      <c r="E32" s="175">
        <f ca="1">Analysis!D21</f>
        <v>3</v>
      </c>
      <c r="F32" s="175">
        <f ca="1">IFERROR(D32-E32,"")</f>
        <v>0</v>
      </c>
      <c r="G32" s="175">
        <f ca="1">Analysis!E21</f>
        <v>3</v>
      </c>
      <c r="H32" s="176">
        <f ca="1">IFERROR(D32-G32,"")</f>
        <v>0</v>
      </c>
      <c r="I32" s="176" t="str">
        <f t="shared" ref="I32:I36" ca="1" si="5">IF(C32="","",IF($D32&gt;=E32,"ok","x"))</f>
        <v>ok</v>
      </c>
      <c r="J32" s="176" t="str">
        <f t="shared" ref="J32:J36" ca="1" si="6">IF(C32="","",IF(D32&gt;=G32,"ok","X"))</f>
        <v>ok</v>
      </c>
      <c r="P32" s="8"/>
      <c r="Q32" s="227"/>
      <c r="R32" s="228"/>
      <c r="S32" s="228"/>
      <c r="T32" s="229"/>
      <c r="U32" s="230"/>
      <c r="V32" s="230"/>
      <c r="W32" s="230"/>
      <c r="X32" s="230"/>
    </row>
    <row r="33" spans="3:24" ht="15" customHeight="1">
      <c r="C33" s="188" t="str">
        <f ca="1">Analysis!B22</f>
        <v>Pdca</v>
      </c>
      <c r="D33" s="175">
        <f ca="1">Analysis!C22</f>
        <v>4</v>
      </c>
      <c r="E33" s="175">
        <f ca="1">Analysis!D22</f>
        <v>3</v>
      </c>
      <c r="F33" s="175">
        <f ca="1">IFERROR(D33-E33,"")</f>
        <v>1</v>
      </c>
      <c r="G33" s="175">
        <f ca="1">Analysis!E22</f>
        <v>2</v>
      </c>
      <c r="H33" s="176">
        <f ca="1">IFERROR(D33-G33,"")</f>
        <v>2</v>
      </c>
      <c r="I33" s="176" t="str">
        <f t="shared" ca="1" si="5"/>
        <v>ok</v>
      </c>
      <c r="J33" s="176" t="str">
        <f t="shared" ca="1" si="6"/>
        <v>ok</v>
      </c>
      <c r="P33" s="8"/>
      <c r="Q33" s="227"/>
      <c r="R33" s="228"/>
      <c r="S33" s="228"/>
      <c r="T33" s="229"/>
      <c r="U33" s="230"/>
      <c r="V33" s="230"/>
      <c r="W33" s="230"/>
      <c r="X33" s="230"/>
    </row>
    <row r="34" spans="3:24" s="4" customFormat="1" ht="15" customHeight="1">
      <c r="C34" s="189" t="str">
        <f ca="1">Analysis!B23</f>
        <v>Planning &amp; Organization</v>
      </c>
      <c r="D34" s="175">
        <f ca="1">Analysis!C23</f>
        <v>3</v>
      </c>
      <c r="E34" s="175">
        <f ca="1">Analysis!D23</f>
        <v>2</v>
      </c>
      <c r="F34" s="175">
        <f ca="1">IFERROR(D34-E34,"")</f>
        <v>1</v>
      </c>
      <c r="G34" s="175">
        <f ca="1">Analysis!E23</f>
        <v>3</v>
      </c>
      <c r="H34" s="176">
        <f ca="1">IFERROR(D34-G34,"")</f>
        <v>0</v>
      </c>
      <c r="I34" s="176" t="str">
        <f t="shared" ca="1" si="5"/>
        <v>ok</v>
      </c>
      <c r="J34" s="176" t="str">
        <f t="shared" ca="1" si="6"/>
        <v>ok</v>
      </c>
      <c r="K34" s="22"/>
      <c r="L34" s="17"/>
      <c r="M34" s="17"/>
      <c r="P34" s="7"/>
      <c r="Q34" s="227"/>
      <c r="R34" s="228"/>
      <c r="S34" s="228"/>
      <c r="T34" s="229"/>
      <c r="U34" s="230"/>
      <c r="V34" s="230"/>
      <c r="W34" s="230"/>
      <c r="X34" s="230"/>
    </row>
    <row r="35" spans="3:24" s="8" customFormat="1" ht="15" customHeight="1">
      <c r="C35" s="188" t="str">
        <f ca="1">Analysis!B24</f>
        <v>Interpersonal &amp; Collaboration</v>
      </c>
      <c r="D35" s="175">
        <f ca="1">Analysis!C24</f>
        <v>2</v>
      </c>
      <c r="E35" s="175">
        <f ca="1">Analysis!D24</f>
        <v>2</v>
      </c>
      <c r="F35" s="175">
        <f ca="1">IFERROR(D35-E35,"")</f>
        <v>0</v>
      </c>
      <c r="G35" s="175">
        <f ca="1">Analysis!E24</f>
        <v>3</v>
      </c>
      <c r="H35" s="176">
        <f ca="1">IFERROR(D35-G35,"")</f>
        <v>-1</v>
      </c>
      <c r="I35" s="176" t="str">
        <f t="shared" ca="1" si="5"/>
        <v>ok</v>
      </c>
      <c r="J35" s="176" t="str">
        <f t="shared" ca="1" si="6"/>
        <v>X</v>
      </c>
      <c r="L35" s="20"/>
      <c r="M35" s="20"/>
      <c r="P35" s="7"/>
      <c r="Q35" s="227"/>
      <c r="R35" s="228"/>
      <c r="S35" s="228"/>
      <c r="T35" s="229"/>
      <c r="U35" s="230"/>
      <c r="V35" s="230"/>
      <c r="W35" s="230"/>
      <c r="X35" s="230"/>
    </row>
    <row r="36" spans="3:24" s="8" customFormat="1" ht="15" customHeight="1">
      <c r="C36" s="188" t="str">
        <f ca="1">Analysis!B25</f>
        <v>Communication</v>
      </c>
      <c r="D36" s="175">
        <f ca="1">Analysis!C25</f>
        <v>2</v>
      </c>
      <c r="E36" s="175">
        <f ca="1">Analysis!D25</f>
        <v>3</v>
      </c>
      <c r="F36" s="175">
        <f ca="1">IFERROR(D36-E36,"")</f>
        <v>-1</v>
      </c>
      <c r="G36" s="175">
        <f ca="1">Analysis!E25</f>
        <v>3</v>
      </c>
      <c r="H36" s="176">
        <f ca="1">IFERROR(D36-G36,"")</f>
        <v>-1</v>
      </c>
      <c r="I36" s="176" t="str">
        <f t="shared" ca="1" si="5"/>
        <v>x</v>
      </c>
      <c r="J36" s="176" t="str">
        <f t="shared" ca="1" si="6"/>
        <v>X</v>
      </c>
      <c r="L36" s="20"/>
      <c r="M36" s="20"/>
      <c r="P36" s="7"/>
      <c r="Q36" s="227"/>
      <c r="R36" s="228"/>
      <c r="S36" s="228"/>
      <c r="T36" s="229"/>
      <c r="U36" s="230"/>
      <c r="V36" s="230"/>
      <c r="W36" s="230"/>
      <c r="X36" s="230"/>
    </row>
    <row r="37" spans="3:24" ht="15" customHeight="1">
      <c r="C37" s="177" t="s">
        <v>847</v>
      </c>
      <c r="D37" s="178"/>
      <c r="E37" s="178"/>
      <c r="F37" s="178">
        <f ca="1">SUM(Kompetensi[GAP EST])</f>
        <v>1</v>
      </c>
      <c r="G37" s="178"/>
      <c r="H37" s="178">
        <f ca="1">SUM(Kompetensi[GAP DEV])</f>
        <v>0</v>
      </c>
      <c r="I37" s="178">
        <f ca="1">COUNTIF(Kompetensi[EST],"ok")</f>
        <v>4</v>
      </c>
      <c r="J37" s="178">
        <f ca="1">COUNTIF(Kompetensi[DEV],"ok")</f>
        <v>3</v>
      </c>
      <c r="Q37" s="227"/>
      <c r="R37" s="228"/>
      <c r="S37" s="228"/>
      <c r="T37" s="229"/>
      <c r="U37" s="230"/>
      <c r="V37" s="230"/>
      <c r="W37" s="230"/>
      <c r="X37" s="230"/>
    </row>
    <row r="38" spans="3:24" ht="15" customHeight="1">
      <c r="P38" s="4"/>
      <c r="Q38" s="227"/>
      <c r="R38" s="228"/>
      <c r="S38" s="228"/>
      <c r="T38" s="229"/>
      <c r="U38" s="230"/>
      <c r="V38" s="230"/>
      <c r="W38" s="230"/>
      <c r="X38" s="230"/>
    </row>
    <row r="39" spans="3:24" ht="15" customHeight="1">
      <c r="P39" s="4"/>
      <c r="Q39" s="227"/>
      <c r="R39" s="228"/>
      <c r="S39" s="228"/>
      <c r="T39" s="229"/>
      <c r="U39" s="230"/>
      <c r="V39" s="230"/>
      <c r="W39" s="230"/>
      <c r="X39" s="230"/>
    </row>
    <row r="40" spans="3:24" ht="15" customHeight="1">
      <c r="L40" s="29"/>
      <c r="M40" s="29"/>
      <c r="N40" s="95"/>
      <c r="O40" s="163"/>
      <c r="P40" s="4"/>
      <c r="Q40" s="227"/>
      <c r="R40" s="228"/>
      <c r="S40" s="228"/>
      <c r="T40" s="229"/>
      <c r="U40" s="230"/>
      <c r="V40" s="230"/>
      <c r="W40" s="230"/>
      <c r="X40" s="230"/>
    </row>
    <row r="41" spans="3:24" ht="15" customHeight="1">
      <c r="C41" s="9"/>
      <c r="D41" s="35"/>
      <c r="E41" s="35"/>
      <c r="G41" s="15"/>
      <c r="H41" s="42"/>
      <c r="I41" s="37"/>
      <c r="J41" s="37"/>
      <c r="K41" s="95"/>
      <c r="L41" s="29"/>
      <c r="M41" s="29"/>
      <c r="N41" s="95"/>
      <c r="O41" s="163"/>
      <c r="P41" s="4"/>
      <c r="Q41" s="227"/>
      <c r="R41" s="228"/>
      <c r="S41" s="228"/>
      <c r="T41" s="229"/>
      <c r="U41" s="230"/>
      <c r="V41" s="230"/>
      <c r="W41" s="230"/>
      <c r="X41" s="230"/>
    </row>
    <row r="42" spans="3:24" ht="15" customHeight="1">
      <c r="C42" s="132"/>
      <c r="D42" s="130"/>
      <c r="E42" s="35"/>
      <c r="G42" s="15"/>
      <c r="H42" s="42"/>
      <c r="I42" s="37"/>
      <c r="J42" s="37"/>
      <c r="K42" s="95"/>
      <c r="L42" s="29"/>
      <c r="M42" s="29"/>
      <c r="N42" s="95"/>
      <c r="O42" s="163"/>
      <c r="P42" s="4"/>
      <c r="Q42" s="227"/>
      <c r="R42" s="228"/>
      <c r="S42" s="228"/>
      <c r="T42" s="229"/>
      <c r="U42" s="230"/>
      <c r="V42" s="230"/>
      <c r="W42" s="230"/>
      <c r="X42" s="230"/>
    </row>
    <row r="43" spans="3:24" ht="15" customHeight="1">
      <c r="C43" s="132"/>
      <c r="D43" s="130"/>
      <c r="E43" s="35"/>
      <c r="G43" s="15"/>
      <c r="H43" s="42"/>
      <c r="I43" s="37"/>
      <c r="J43" s="37"/>
      <c r="K43" s="95"/>
      <c r="P43" s="4"/>
      <c r="Q43" s="227"/>
      <c r="R43" s="228"/>
      <c r="S43" s="228"/>
      <c r="T43" s="229"/>
      <c r="U43" s="230"/>
      <c r="V43" s="230"/>
      <c r="W43" s="230"/>
      <c r="X43" s="230"/>
    </row>
    <row r="44" spans="3:24" ht="15" customHeight="1">
      <c r="C44" s="132"/>
      <c r="D44" s="131"/>
      <c r="E44" s="35"/>
      <c r="G44" s="23"/>
      <c r="H44" s="15"/>
      <c r="I44" s="15"/>
      <c r="J44" s="15"/>
      <c r="K44" s="22"/>
      <c r="Q44" s="227"/>
      <c r="R44" s="228"/>
      <c r="S44" s="228"/>
      <c r="T44" s="229"/>
      <c r="U44" s="230"/>
      <c r="V44" s="230"/>
      <c r="W44" s="230"/>
      <c r="X44" s="230"/>
    </row>
    <row r="45" spans="3:24" ht="15" customHeight="1">
      <c r="E45" s="24"/>
      <c r="F45" s="40"/>
      <c r="G45" s="39"/>
      <c r="H45" s="39"/>
      <c r="I45" s="39"/>
      <c r="J45" s="39"/>
      <c r="Q45" s="41"/>
      <c r="R45" s="41"/>
      <c r="S45" s="41"/>
      <c r="T45" s="41"/>
    </row>
    <row r="46" spans="3:24" ht="15" customHeight="1">
      <c r="D46" s="43"/>
      <c r="E46" s="24"/>
      <c r="F46" s="40"/>
      <c r="G46" s="39"/>
      <c r="H46" s="39"/>
      <c r="I46" s="39"/>
      <c r="J46" s="39"/>
      <c r="K46" s="14"/>
      <c r="O46" s="2"/>
      <c r="Q46" s="2"/>
      <c r="R46" s="2"/>
      <c r="S46" s="2"/>
      <c r="T46" s="2"/>
      <c r="U46" s="2"/>
      <c r="V46" s="2"/>
      <c r="W46" s="2"/>
      <c r="X46" s="2"/>
    </row>
    <row r="47" spans="3:24" ht="15" customHeight="1">
      <c r="D47" s="43"/>
      <c r="E47" s="24"/>
      <c r="F47" s="40"/>
      <c r="G47" s="39"/>
      <c r="H47" s="39"/>
      <c r="I47" s="39"/>
      <c r="J47" s="39"/>
      <c r="K47" s="14"/>
      <c r="O47" s="14"/>
      <c r="Q47" s="243" t="s">
        <v>1641</v>
      </c>
      <c r="R47" s="243"/>
      <c r="S47" s="243"/>
      <c r="T47" s="243"/>
      <c r="U47" s="243"/>
      <c r="V47" s="243"/>
      <c r="W47" s="243"/>
      <c r="X47" s="243"/>
    </row>
    <row r="48" spans="3:24" ht="15" customHeight="1">
      <c r="E48" s="24"/>
      <c r="F48" s="40"/>
      <c r="G48" s="39"/>
      <c r="H48" s="39"/>
      <c r="I48" s="39"/>
      <c r="J48" s="39"/>
      <c r="K48" s="14"/>
      <c r="O48" s="14"/>
      <c r="Q48" s="244"/>
      <c r="R48" s="244"/>
      <c r="S48" s="244"/>
      <c r="T48" s="244"/>
      <c r="U48" s="244"/>
      <c r="V48" s="244"/>
      <c r="W48" s="244"/>
      <c r="X48" s="244"/>
    </row>
    <row r="49" spans="3:24" ht="15" customHeight="1">
      <c r="F49" s="40"/>
      <c r="G49" s="39"/>
      <c r="H49" s="39"/>
      <c r="I49" s="39"/>
      <c r="J49" s="39"/>
      <c r="K49" s="14"/>
      <c r="O49" s="14"/>
      <c r="Q49" s="134"/>
      <c r="R49" s="13"/>
      <c r="S49" s="13"/>
      <c r="T49" s="13"/>
      <c r="U49" s="13"/>
      <c r="V49" s="13"/>
      <c r="W49" s="13"/>
      <c r="X49" s="135"/>
    </row>
    <row r="50" spans="3:24" ht="15" customHeight="1">
      <c r="C50" s="133"/>
      <c r="D50" s="43"/>
      <c r="K50" s="14"/>
      <c r="L50" s="31"/>
      <c r="O50" s="13"/>
      <c r="Q50" s="134"/>
      <c r="R50" s="13"/>
      <c r="S50" s="13"/>
      <c r="T50" s="13"/>
      <c r="U50" s="13"/>
      <c r="V50" s="13"/>
      <c r="W50" s="13"/>
      <c r="X50" s="135"/>
    </row>
    <row r="51" spans="3:24" ht="15" customHeight="1">
      <c r="O51" s="13"/>
      <c r="P51" s="5"/>
      <c r="Q51" s="134"/>
      <c r="R51" s="13"/>
      <c r="S51" s="13"/>
      <c r="T51" s="13"/>
      <c r="U51" s="13"/>
      <c r="V51" s="13"/>
      <c r="W51" s="13"/>
      <c r="X51" s="135"/>
    </row>
    <row r="52" spans="3:24" ht="15" customHeight="1">
      <c r="O52" s="13"/>
      <c r="P52" s="5"/>
      <c r="Q52" s="134"/>
      <c r="R52" s="13"/>
      <c r="S52" s="13"/>
      <c r="T52" s="13"/>
      <c r="U52" s="13"/>
      <c r="V52" s="13"/>
      <c r="W52" s="13"/>
      <c r="X52" s="135"/>
    </row>
    <row r="53" spans="3:24" ht="15" customHeight="1">
      <c r="O53" s="13"/>
      <c r="P53" s="5"/>
      <c r="Q53" s="134"/>
      <c r="R53" s="13"/>
      <c r="S53" s="13"/>
      <c r="T53" s="13"/>
      <c r="U53" s="13"/>
      <c r="V53" s="13"/>
      <c r="W53" s="13"/>
      <c r="X53" s="135"/>
    </row>
    <row r="54" spans="3:24" ht="15" customHeight="1">
      <c r="O54" s="13"/>
      <c r="P54" s="5"/>
      <c r="Q54" s="134"/>
      <c r="R54" s="13"/>
      <c r="S54" s="13"/>
      <c r="T54" s="13"/>
      <c r="U54" s="13"/>
      <c r="V54" s="13"/>
      <c r="W54" s="13"/>
      <c r="X54" s="135"/>
    </row>
    <row r="55" spans="3:24" ht="15" customHeight="1">
      <c r="O55" s="13"/>
      <c r="P55" s="5"/>
      <c r="Q55" s="134"/>
      <c r="R55" s="13"/>
      <c r="S55" s="13"/>
      <c r="T55" s="13"/>
      <c r="U55" s="13"/>
      <c r="V55" s="13"/>
      <c r="W55" s="13"/>
      <c r="X55" s="135"/>
    </row>
    <row r="56" spans="3:24" ht="15" customHeight="1">
      <c r="O56" s="13"/>
      <c r="P56" s="5"/>
      <c r="Q56" s="134"/>
      <c r="R56" s="13"/>
      <c r="S56" s="13"/>
      <c r="T56" s="13"/>
      <c r="U56" s="13"/>
      <c r="V56" s="13"/>
      <c r="W56" s="13"/>
      <c r="X56" s="135"/>
    </row>
    <row r="57" spans="3:24" ht="15" customHeight="1">
      <c r="D57" s="9"/>
      <c r="E57" s="13"/>
      <c r="F57" s="7"/>
      <c r="J57" s="234" t="s">
        <v>1644</v>
      </c>
      <c r="K57" s="235"/>
      <c r="L57" s="236"/>
      <c r="O57" s="13"/>
      <c r="P57" s="15"/>
      <c r="Q57" s="134"/>
      <c r="R57" s="13"/>
      <c r="S57" s="13"/>
      <c r="T57" s="13"/>
      <c r="U57" s="13"/>
      <c r="V57" s="13"/>
      <c r="W57" s="13"/>
      <c r="X57" s="135"/>
    </row>
    <row r="58" spans="3:24" ht="15" customHeight="1">
      <c r="D58" s="9"/>
      <c r="E58" s="13"/>
      <c r="F58" s="7"/>
      <c r="J58" s="237"/>
      <c r="K58" s="238"/>
      <c r="L58" s="239"/>
      <c r="M58" s="30"/>
      <c r="N58" s="2"/>
      <c r="O58" s="2"/>
      <c r="P58" s="15"/>
      <c r="Q58" s="136"/>
      <c r="R58" s="137"/>
      <c r="S58" s="137"/>
      <c r="T58" s="137"/>
      <c r="U58" s="137"/>
      <c r="V58" s="137"/>
      <c r="W58" s="137"/>
      <c r="X58" s="138"/>
    </row>
    <row r="59" spans="3:24" ht="15" customHeight="1">
      <c r="D59" s="7"/>
      <c r="E59" s="7"/>
      <c r="F59" s="7"/>
      <c r="G59" s="7"/>
      <c r="H59" s="7"/>
      <c r="I59" s="7"/>
      <c r="J59" s="233" t="s">
        <v>1643</v>
      </c>
      <c r="K59" s="233"/>
      <c r="L59" s="233"/>
      <c r="M59" s="34"/>
      <c r="N59" s="16"/>
      <c r="O59" s="16"/>
      <c r="P59" s="15"/>
    </row>
    <row r="60" spans="3:24" ht="15" customHeight="1">
      <c r="D60" s="7"/>
      <c r="E60" s="7"/>
      <c r="F60" s="7"/>
      <c r="G60" s="7"/>
      <c r="H60" s="7"/>
      <c r="I60" s="7"/>
      <c r="J60" s="233"/>
      <c r="K60" s="233"/>
      <c r="L60" s="233"/>
      <c r="M60" s="34"/>
      <c r="N60" s="16"/>
      <c r="O60" s="16"/>
    </row>
    <row r="61" spans="3:24" ht="15" customHeight="1">
      <c r="D61" s="7"/>
      <c r="E61" s="7"/>
      <c r="F61" s="7"/>
      <c r="G61" s="7"/>
      <c r="H61" s="7"/>
      <c r="I61" s="7"/>
      <c r="J61" s="233"/>
      <c r="K61" s="233"/>
      <c r="L61" s="233"/>
      <c r="M61" s="34"/>
      <c r="N61" s="16"/>
      <c r="O61" s="16"/>
    </row>
    <row r="62" spans="3:24" ht="15" customHeight="1">
      <c r="D62" s="7"/>
      <c r="E62" s="7"/>
      <c r="F62" s="7"/>
      <c r="G62" s="7"/>
      <c r="H62" s="7"/>
      <c r="I62" s="7"/>
      <c r="J62" s="233"/>
      <c r="K62" s="233"/>
      <c r="L62" s="233"/>
      <c r="M62" s="34"/>
      <c r="N62" s="16"/>
      <c r="O62" s="16"/>
      <c r="U62" s="251" t="str">
        <f ca="1">_xlfn.TEXTJOIN(", ",TRUE,"Jakarta",TEXT(TODAY(),"dd mmmm yyy"))</f>
        <v>Jakarta, 21 Maret 2022</v>
      </c>
      <c r="V62" s="251"/>
      <c r="W62" s="251"/>
      <c r="X62" s="251"/>
    </row>
    <row r="63" spans="3:24" ht="15" customHeight="1">
      <c r="J63" s="233"/>
      <c r="K63" s="233"/>
      <c r="L63" s="233"/>
      <c r="M63" s="34"/>
      <c r="N63" s="16"/>
      <c r="O63" s="16"/>
      <c r="W63" s="95"/>
      <c r="X63" s="95"/>
    </row>
    <row r="64" spans="3:24" ht="15" customHeight="1">
      <c r="J64" s="233"/>
      <c r="K64" s="233"/>
      <c r="L64" s="233"/>
      <c r="M64" s="34"/>
      <c r="N64" s="16"/>
      <c r="O64" s="16"/>
      <c r="W64" s="95"/>
      <c r="X64" s="95"/>
    </row>
    <row r="65" spans="3:24" ht="15" customHeight="1">
      <c r="C65" s="7"/>
      <c r="D65" s="7"/>
      <c r="E65" s="7"/>
      <c r="F65" s="7"/>
      <c r="G65" s="7"/>
      <c r="H65" s="7"/>
      <c r="I65" s="7"/>
      <c r="J65" s="233"/>
      <c r="K65" s="233"/>
      <c r="L65" s="233"/>
      <c r="O65" s="13"/>
      <c r="W65" s="95"/>
      <c r="X65" s="95"/>
    </row>
    <row r="66" spans="3:24" ht="15" customHeight="1">
      <c r="C66" s="7"/>
      <c r="D66" s="7"/>
      <c r="E66" s="7"/>
      <c r="F66" s="7"/>
      <c r="G66" s="7"/>
      <c r="H66" s="7"/>
      <c r="I66" s="7"/>
      <c r="J66" s="233"/>
      <c r="K66" s="233"/>
      <c r="L66" s="233"/>
      <c r="W66" s="95"/>
      <c r="X66" s="95"/>
    </row>
    <row r="67" spans="3:24" ht="15" customHeight="1">
      <c r="J67" s="233"/>
      <c r="K67" s="233"/>
      <c r="L67" s="233"/>
      <c r="W67" s="95"/>
      <c r="X67" s="95"/>
    </row>
    <row r="68" spans="3:24" ht="15" customHeight="1">
      <c r="J68" s="233"/>
      <c r="K68" s="233"/>
      <c r="L68" s="233"/>
      <c r="X68" s="95"/>
    </row>
    <row r="69" spans="3:24" ht="15" customHeight="1">
      <c r="J69" s="233"/>
      <c r="K69" s="233"/>
      <c r="L69" s="233"/>
    </row>
    <row r="70" spans="3:24" ht="15" customHeight="1">
      <c r="U70" s="242" t="s">
        <v>853</v>
      </c>
      <c r="V70" s="242"/>
      <c r="W70" s="242"/>
      <c r="X70" s="242"/>
    </row>
    <row r="71" spans="3:24" ht="15" customHeight="1">
      <c r="U71" s="242"/>
      <c r="V71" s="242"/>
      <c r="W71" s="242"/>
      <c r="X71" s="242"/>
    </row>
    <row r="72" spans="3:24" ht="15" customHeight="1">
      <c r="C72" s="245" t="s">
        <v>1642</v>
      </c>
      <c r="D72" s="246"/>
      <c r="E72" s="246"/>
      <c r="F72" s="246"/>
      <c r="G72" s="246"/>
      <c r="H72" s="246"/>
      <c r="I72" s="246"/>
      <c r="J72" s="247"/>
    </row>
    <row r="73" spans="3:24">
      <c r="C73" s="248"/>
      <c r="D73" s="249"/>
      <c r="E73" s="249"/>
      <c r="F73" s="249"/>
      <c r="G73" s="249"/>
      <c r="H73" s="249"/>
      <c r="I73" s="249"/>
      <c r="J73" s="250"/>
    </row>
    <row r="74" spans="3:24">
      <c r="C74" s="165" t="s">
        <v>4</v>
      </c>
      <c r="D74" s="232" t="s">
        <v>5</v>
      </c>
      <c r="E74" s="232"/>
      <c r="F74" s="232"/>
      <c r="G74" s="232"/>
      <c r="H74" s="232"/>
      <c r="I74" s="129" t="s">
        <v>57</v>
      </c>
      <c r="J74" s="166" t="s">
        <v>58</v>
      </c>
    </row>
    <row r="75" spans="3:24" ht="28.5">
      <c r="C75" s="179" t="s">
        <v>25</v>
      </c>
      <c r="D75" s="231" t="s">
        <v>6</v>
      </c>
      <c r="E75" s="231"/>
      <c r="F75" s="231"/>
      <c r="G75" s="231"/>
      <c r="H75" s="231"/>
      <c r="I75" s="180" t="str">
        <f ca="1">IF((I$28+I$37)&lt;4,"X","")</f>
        <v/>
      </c>
      <c r="J75" s="181" t="str">
        <f ca="1">IF((J$28+J$37)&lt;4,"X","")</f>
        <v/>
      </c>
    </row>
    <row r="76" spans="3:24" ht="28.5">
      <c r="C76" s="179" t="s">
        <v>26</v>
      </c>
      <c r="D76" s="231" t="s">
        <v>7</v>
      </c>
      <c r="E76" s="231"/>
      <c r="F76" s="231"/>
      <c r="G76" s="231"/>
      <c r="H76" s="231"/>
      <c r="I76" s="180" t="str">
        <f ca="1">IF(AND((I$28+I$37)&gt;=4,(I$28+I$37)&lt;7),"X","")</f>
        <v/>
      </c>
      <c r="J76" s="181" t="str">
        <f ca="1">IF(AND((J$28+J$37)&gt;=4,(J$28+J$37)&lt;7),"X","")</f>
        <v/>
      </c>
    </row>
    <row r="77" spans="3:24" ht="28.5">
      <c r="C77" s="182" t="s">
        <v>27</v>
      </c>
      <c r="D77" s="223" t="s">
        <v>8</v>
      </c>
      <c r="E77" s="223"/>
      <c r="F77" s="223"/>
      <c r="G77" s="223"/>
      <c r="H77" s="223"/>
      <c r="I77" s="183" t="str">
        <f ca="1">IF((I$28+I$37)&gt;=7,"X","")</f>
        <v>X</v>
      </c>
      <c r="J77" s="184" t="str">
        <f ca="1">IF((J$28+J$37)&gt;=7,"X","")</f>
        <v>X</v>
      </c>
    </row>
  </sheetData>
  <sheetProtection selectLockedCells="1" selectUnlockedCells="1"/>
  <mergeCells count="38">
    <mergeCell ref="R7:T7"/>
    <mergeCell ref="R8:T8"/>
    <mergeCell ref="R9:T9"/>
    <mergeCell ref="R10:T10"/>
    <mergeCell ref="R11:T11"/>
    <mergeCell ref="U4:W5"/>
    <mergeCell ref="U6:W6"/>
    <mergeCell ref="R4:T4"/>
    <mergeCell ref="R5:T5"/>
    <mergeCell ref="R6:T6"/>
    <mergeCell ref="Q13:T14"/>
    <mergeCell ref="U13:X14"/>
    <mergeCell ref="U70:X71"/>
    <mergeCell ref="Q47:X48"/>
    <mergeCell ref="C72:J73"/>
    <mergeCell ref="U62:X62"/>
    <mergeCell ref="D77:H77"/>
    <mergeCell ref="Q15:T44"/>
    <mergeCell ref="U15:X44"/>
    <mergeCell ref="C30:J30"/>
    <mergeCell ref="D76:H76"/>
    <mergeCell ref="D75:H75"/>
    <mergeCell ref="D74:H74"/>
    <mergeCell ref="J59:L69"/>
    <mergeCell ref="J57:L58"/>
    <mergeCell ref="C1:C2"/>
    <mergeCell ref="D1:D2"/>
    <mergeCell ref="D4:F4"/>
    <mergeCell ref="D8:F8"/>
    <mergeCell ref="C13:J13"/>
    <mergeCell ref="D9:F9"/>
    <mergeCell ref="D7:F7"/>
    <mergeCell ref="D6:F6"/>
    <mergeCell ref="D5:F5"/>
    <mergeCell ref="D11:F11"/>
    <mergeCell ref="G6:K6"/>
    <mergeCell ref="G4:K5"/>
    <mergeCell ref="D10:F10"/>
  </mergeCells>
  <conditionalFormatting sqref="F15:F27 E16:E27">
    <cfRule type="containsText" dxfId="173" priority="3" operator="containsText" text="ok">
      <formula>NOT(ISERROR(SEARCH("ok",E15)))</formula>
    </cfRule>
    <cfRule type="containsText" dxfId="172" priority="4" operator="containsText" text="x">
      <formula>NOT(ISERROR(SEARCH("x",E15)))</formula>
    </cfRule>
    <cfRule type="cellIs" dxfId="171" priority="5" stopIfTrue="1" operator="equal">
      <formula>"ok"</formula>
    </cfRule>
  </conditionalFormatting>
  <conditionalFormatting sqref="F32 E33:G36">
    <cfRule type="containsText" dxfId="170" priority="1" operator="containsText" text="ok">
      <formula>NOT(ISERROR(SEARCH("ok",E32)))</formula>
    </cfRule>
    <cfRule type="containsText" dxfId="169" priority="2" operator="containsText" text="x">
      <formula>NOT(ISERROR(SEARCH("x",E32)))</formula>
    </cfRule>
  </conditionalFormatting>
  <printOptions horizontalCentered="1"/>
  <pageMargins left="0.31496062992125984" right="0.31496062992125984" top="0.74803149606299213" bottom="0.35433070866141736" header="0.31496062992125984" footer="0.31496062992125984"/>
  <pageSetup paperSize="9" scale="65" firstPageNumber="0" orientation="portrait" horizontalDpi="300" verticalDpi="300" r:id="rId1"/>
  <headerFooter alignWithMargins="0">
    <oddHeader xml:space="preserve">&amp;L&amp;"Book Antiqua,Bold"&amp;14ASSESSMENT REPORT&amp;R&amp;"Calibri Light,Bold"CONFIDENTIAL   </oddHeader>
    <oddFooter>&amp;R&amp;9Halaman -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Spinner 1">
              <controlPr defaultSize="0" autoPict="0">
                <anchor moveWithCells="1">
                  <from>
                    <xdr:col>4</xdr:col>
                    <xdr:colOff>0</xdr:colOff>
                    <xdr:row>0</xdr:row>
                    <xdr:rowOff>0</xdr:rowOff>
                  </from>
                  <to>
                    <xdr:col>4</xdr:col>
                    <xdr:colOff>295275</xdr:colOff>
                    <xdr:row>1</xdr:row>
                    <xdr:rowOff>171450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5A24F03-D735-4E21-80AA-C380B8812C14}">
          <x14:formula1>
            <xm:f>OFFSET(Standar!$B$2,0,0,COUNTA(Standar!$B$2:$B$1000),1)</xm:f>
          </x14:formula1>
          <xm:sqref>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5" tint="-0.249977111117893"/>
  </sheetPr>
  <dimension ref="A1:P816"/>
  <sheetViews>
    <sheetView zoomScale="85" zoomScaleNormal="85" workbookViewId="0">
      <pane xSplit="2" ySplit="1" topLeftCell="I2" activePane="bottomRight" state="frozen"/>
      <selection pane="topRight" activeCell="C1" sqref="C1"/>
      <selection pane="bottomLeft" activeCell="A2" sqref="A2"/>
      <selection pane="bottomRight" activeCell="P2" sqref="P2"/>
    </sheetView>
  </sheetViews>
  <sheetFormatPr defaultColWidth="9.140625" defaultRowHeight="12.75"/>
  <cols>
    <col min="1" max="1" width="12.28515625" style="1" bestFit="1" customWidth="1"/>
    <col min="2" max="2" width="33.85546875" style="38" bestFit="1" customWidth="1"/>
    <col min="3" max="3" width="17.42578125" style="38" bestFit="1" customWidth="1"/>
    <col min="4" max="4" width="33.140625" style="38" bestFit="1" customWidth="1"/>
    <col min="5" max="5" width="27.28515625" style="38" bestFit="1" customWidth="1"/>
    <col min="6" max="6" width="18.42578125" style="150" bestFit="1" customWidth="1"/>
    <col min="7" max="7" width="18.42578125" style="150" hidden="1" customWidth="1"/>
    <col min="8" max="8" width="39.28515625" style="150" bestFit="1" customWidth="1"/>
    <col min="9" max="9" width="38.85546875" style="150" bestFit="1" customWidth="1"/>
    <col min="10" max="10" width="32.7109375" style="150" bestFit="1" customWidth="1"/>
    <col min="11" max="11" width="19.42578125" style="150" bestFit="1" customWidth="1"/>
    <col min="12" max="12" width="18.42578125" style="150" hidden="1" customWidth="1"/>
    <col min="13" max="13" width="39.7109375" style="150" bestFit="1" customWidth="1"/>
    <col min="14" max="14" width="33.42578125" style="38" bestFit="1" customWidth="1"/>
    <col min="15" max="15" width="32.7109375" style="38" bestFit="1" customWidth="1"/>
    <col min="16" max="16" width="19.42578125" style="38" bestFit="1" customWidth="1"/>
    <col min="17" max="17" width="5.7109375" style="1" bestFit="1" customWidth="1"/>
    <col min="18" max="27" width="2.140625" style="1" bestFit="1" customWidth="1"/>
    <col min="28" max="30" width="9.140625" style="1"/>
    <col min="31" max="31" width="5.7109375" style="1" bestFit="1" customWidth="1"/>
    <col min="32" max="16384" width="9.140625" style="1"/>
  </cols>
  <sheetData>
    <row r="1" spans="1:16" s="121" customFormat="1" ht="42.75">
      <c r="A1" s="116" t="s">
        <v>1597</v>
      </c>
      <c r="B1" s="117" t="s">
        <v>38</v>
      </c>
      <c r="C1" s="117" t="s">
        <v>1602</v>
      </c>
      <c r="D1" s="117" t="s">
        <v>1589</v>
      </c>
      <c r="E1" s="117" t="s">
        <v>1594</v>
      </c>
      <c r="F1" s="117" t="s">
        <v>1634</v>
      </c>
      <c r="G1" s="118" t="s">
        <v>1636</v>
      </c>
      <c r="H1" s="118" t="s">
        <v>851</v>
      </c>
      <c r="I1" s="118" t="s">
        <v>1650</v>
      </c>
      <c r="J1" s="118" t="s">
        <v>849</v>
      </c>
      <c r="K1" s="118" t="s">
        <v>1595</v>
      </c>
      <c r="L1" s="119" t="s">
        <v>1635</v>
      </c>
      <c r="M1" s="119" t="s">
        <v>852</v>
      </c>
      <c r="N1" s="119" t="s">
        <v>1651</v>
      </c>
      <c r="O1" s="119" t="s">
        <v>850</v>
      </c>
      <c r="P1" s="120" t="s">
        <v>1596</v>
      </c>
    </row>
    <row r="2" spans="1:16" ht="14.25">
      <c r="A2" s="67">
        <v>1</v>
      </c>
      <c r="B2" s="68" t="str">
        <f>INDEX(Data_Assessment[],MATCH('Rekomendasi HAV'!$A2,Data_Assessment[[INDEX]:[INDEX]],0),MATCH('Rekomendasi HAV'!B$1,Data_Assessment[#Headers],0))</f>
        <v>Saddam Husein Rambe</v>
      </c>
      <c r="C2" s="68" t="str">
        <f>INDEX(Data_Assessment[],MATCH('Rekomendasi HAV'!$A2,Data_Assessment[[INDEX]:[INDEX]],0),MATCH('Rekomendasi HAV'!C$1,Data_Assessment[#Headers],0))</f>
        <v>Sumatera Utara</v>
      </c>
      <c r="D2" s="68" t="str">
        <f>INDEX(Data_Assessment[],MATCH('Rekomendasi HAV'!$A2,Data_Assessment[[INDEX]:[INDEX]],0),MATCH('Rekomendasi HAV'!D$1,Data_Assessment[#Headers],0))</f>
        <v>LSIP - Turangie Estate</v>
      </c>
      <c r="E2" s="68" t="str">
        <f>INDEX(Data_Assessment[],MATCH('Rekomendasi HAV'!$B2,Data_Assessment[[NAME]:[NAME]],0),MATCH('Rekomendasi HAV'!E$1,Data_Assessment[#Headers],0))</f>
        <v>HA_EST</v>
      </c>
      <c r="F2" s="68" t="s">
        <v>49</v>
      </c>
      <c r="G2" s="146" t="str">
        <f>IF(ISNUMBER(SEARCH("DEV",Assessment[[#This Row],[JOB TARGET]])),SUBSTITUTE(Assessment[[#This Row],[JOB TARGET]],"DEV","EST"),Assessment[[#This Row],[JOB TARGET]])</f>
        <v>FA_EST</v>
      </c>
      <c r="H2" s="146" t="str" cm="1">
        <f t="array" aca="1" ref="H2" ca="1">IF(Assessment[[#This Row],[JOB TARGET]]="","Job Target Kosong",IF(COUNT(IF('Data Assessment'!$N2:$Z2-OFFSET(Standar!$B$2,MATCH(Assessment[[#This Row],[JOB TARGET
(EST)]],Standar[NAMA JABATAN],0)-1,1,1,13)&lt;0,1,""))&lt;=3,'9 Grid'!$B$4,IF(COUNT(IF('Data Assessment'!$N2:$Z2-OFFSET(Standar!$B$2,MATCH(Assessment[[#This Row],[JOB TARGET]],Standar[NAMA JABATAN],0)-1,1,1,13)&lt;0,1,""))&gt;=7,'9 Grid'!$B$6,'9 Grid'!$B$5)))</f>
        <v>Not Competence Behavior Performance</v>
      </c>
      <c r="I2" s="146" t="str">
        <f>IFERROR(IF(Data_Assessment[[#This Row],[IPP (3 YEARS AVERAGE)]]="","(IPP Belum Ada)",IF(Data_Assessment[[#This Row],[IPP (3 YEARS AVERAGE)]]&lt;2,'9 Grid'!$F$2,IF(Data_Assessment[[#This Row],[IPP (3 YEARS AVERAGE)]]&gt;=4,'9 Grid'!$D$2,'9 Grid'!$E$2))),"")</f>
        <v>Contributor</v>
      </c>
      <c r="J2" s="146" t="str">
        <f ca="1">IFERROR(INDEX('9 Grid'!$D$4:$F$6,MATCH('Rekomendasi HAV'!H2,'9 Grid'!$B$4:$B$6,0),MATCH('Rekomendasi HAV'!I2,'9 Grid'!$D$2:$F$2,0)),"")</f>
        <v>(9) Mastery/Contributor</v>
      </c>
      <c r="K2" s="146" t="str">
        <f>IFERROR(INDEX('9 Grid'!$D$8:$F$8,1,MATCH('Rekomendasi HAV'!I2,'9 Grid'!$D$2:$F$2,0)),"")</f>
        <v>(LT) More 2 - 3 year</v>
      </c>
      <c r="L2" s="146" t="str">
        <f>IF(ISNUMBER(SEARCH("EST",Assessment[[#This Row],[JOB TARGET]])),SUBSTITUTE(Assessment[[#This Row],[JOB TARGET]],"EST","DEV"),Assessment[[#This Row],[JOB TARGET]])</f>
        <v>FA_DEV</v>
      </c>
      <c r="M2" s="146" t="str" cm="1">
        <f t="array" aca="1" ref="M2" ca="1">IF(Assessment[[#This Row],[JOB TARGET]]="","Job Target Kosong",IF(COUNT(IF('Data Assessment'!$N2:$Z2-OFFSET(Standar!$B$2,MATCH(Assessment[[#This Row],[JOB TARGET
(DEV)]],Standar[NAMA JABATAN],0)-1,1,1,13)&lt;0,1,""))&lt;=3,'9 Grid'!$B$4,IF(COUNT(IF('Data Assessment'!$N2:$Z2-OFFSET(Standar!$B$2,MATCH(Assessment[[#This Row],[JOB TARGET
(DEV)]],Standar[NAMA JABATAN],0)-1,1,1,13)&lt;0,1,""))&gt;=7,'9 Grid'!$B$6,'9 Grid'!$B$5)))</f>
        <v>Not Competence Behavior Performance</v>
      </c>
      <c r="N2" s="146" t="str">
        <f>IFERROR(IF(Data_Assessment[[#This Row],[IPP (3 YEARS AVERAGE)]]="","(IPP Belum Ada)",IF(Data_Assessment[[#This Row],[IPP (3 YEARS AVERAGE)]]&lt;2,'9 Grid'!$F$2,IF(Data_Assessment[[#This Row],[IPP (3 YEARS AVERAGE)]]&gt;=4,'9 Grid'!$D$2,'9 Grid'!$E$2))),"")</f>
        <v>Contributor</v>
      </c>
      <c r="O2" s="146" t="str">
        <f ca="1">IFERROR(INDEX('9 Grid'!$D$4:$F$6,MATCH('Rekomendasi HAV'!M2,'9 Grid'!$B$4:$B$6,0),MATCH('Rekomendasi HAV'!N2,'9 Grid'!$D$2:$F$2,0)),"")</f>
        <v>(9) Mastery/Contributor</v>
      </c>
      <c r="P2" s="147" t="str">
        <f>IFERROR(INDEX('9 Grid'!$D$8:$F$8,1,MATCH('Rekomendasi HAV'!N2,'9 Grid'!$D$2:$F$2,0)),"")</f>
        <v>(LT) More 2 - 3 year</v>
      </c>
    </row>
    <row r="3" spans="1:16" ht="28.5">
      <c r="A3" s="67">
        <v>2</v>
      </c>
      <c r="B3" s="68" t="str">
        <f>INDEX(Data_Assessment[],MATCH('Rekomendasi HAV'!$A3,Data_Assessment[[INDEX]:[INDEX]],0),MATCH('Rekomendasi HAV'!B$1,Data_Assessment[#Headers],0))</f>
        <v>Adi Sumantri, Ir.</v>
      </c>
      <c r="C3" s="68" t="str">
        <f>INDEX(Data_Assessment[],MATCH('Rekomendasi HAV'!$A3,Data_Assessment[[INDEX]:[INDEX]],0),MATCH('Rekomendasi HAV'!C$1,Data_Assessment[#Headers],0))</f>
        <v>Medan</v>
      </c>
      <c r="D3" s="68" t="str">
        <f>INDEX(Data_Assessment[],MATCH('Rekomendasi HAV'!$A3,Data_Assessment[[INDEX]:[INDEX]],0),MATCH('Rekomendasi HAV'!D$1,Data_Assessment[#Headers],0))</f>
        <v>LSIP - RO Medan</v>
      </c>
      <c r="E3" s="68" t="str">
        <f>INDEX(Data_Assessment[],MATCH('Rekomendasi HAV'!$B3,Data_Assessment[[NAME]:[NAME]],0),MATCH('Rekomendasi HAV'!E$1,Data_Assessment[#Headers],0))</f>
        <v>AMA_EST</v>
      </c>
      <c r="F3" s="68" t="s">
        <v>68</v>
      </c>
      <c r="G3" s="68" t="str">
        <f>IF(ISNUMBER(SEARCH("DEV",Assessment[[#This Row],[JOB TARGET]])),SUBSTITUTE(Assessment[[#This Row],[JOB TARGET]],"DEV","EST"),Assessment[[#This Row],[JOB TARGET]])</f>
        <v>ME_EST</v>
      </c>
      <c r="H3" s="146" t="str" cm="1">
        <f t="array" aca="1" ref="H3" ca="1">IF(Assessment[[#This Row],[JOB TARGET]]="","Job Target Kosong",IF(COUNT(IF('Data Assessment'!$N3:$Z3-OFFSET(Standar!$B$2,MATCH(Assessment[[#This Row],[JOB TARGET
(EST)]],Standar[NAMA JABATAN],0)-1,1,1,13)&lt;0,1,""))&lt;=3,'9 Grid'!$B$4,IF(COUNT(IF('Data Assessment'!$N3:$Z3-OFFSET(Standar!$B$2,MATCH(Assessment[[#This Row],[JOB TARGET]],Standar[NAMA JABATAN],0)-1,1,1,13)&lt;0,1,""))&gt;=7,'9 Grid'!$B$6,'9 Grid'!$B$5)))</f>
        <v>Fully Competence Behavior Performance</v>
      </c>
      <c r="I3" s="146" t="str">
        <f>IFERROR(IF(Data_Assessment[[#This Row],[IPP (3 YEARS AVERAGE)]]="","(IPP Belum Ada)",IF(Data_Assessment[[#This Row],[IPP (3 YEARS AVERAGE)]]&lt;2,'9 Grid'!$F$2,IF(Data_Assessment[[#This Row],[IPP (3 YEARS AVERAGE)]]&gt;=4,'9 Grid'!$D$2,'9 Grid'!$E$2))),"")</f>
        <v>Fully Competence Performance</v>
      </c>
      <c r="J3" s="146" t="str">
        <f ca="1">IFERROR(INDEX('9 Grid'!$D$4:$F$6,MATCH('Rekomendasi HAV'!H3,'9 Grid'!$B$4:$B$6,0),MATCH('Rekomendasi HAV'!I3,'9 Grid'!$D$2:$F$2,0)),"")</f>
        <v>(3) Develop Performance</v>
      </c>
      <c r="K3" s="146" t="str">
        <f>IFERROR(INDEX('9 Grid'!$D$8:$F$8,1,MATCH('Rekomendasi HAV'!I3,'9 Grid'!$D$2:$F$2,0)),"")</f>
        <v>(ST) Within 12 - 18 month</v>
      </c>
      <c r="L3" s="146" t="str">
        <f>IF(ISNUMBER(SEARCH("EST",Assessment[[#This Row],[JOB TARGET]])),SUBSTITUTE(Assessment[[#This Row],[JOB TARGET]],"EST","DEV"),Assessment[[#This Row],[JOB TARGET]])</f>
        <v>ME_DEV</v>
      </c>
      <c r="M3" s="146" t="str" cm="1">
        <f t="array" aca="1" ref="M3" ca="1">IF(Assessment[[#This Row],[JOB TARGET]]="","Job Target Kosong",IF(COUNT(IF('Data Assessment'!$N3:$Z3-OFFSET(Standar!$B$2,MATCH(Assessment[[#This Row],[JOB TARGET
(DEV)]],Standar[NAMA JABATAN],0)-1,1,1,13)&lt;0,1,""))&lt;=3,'9 Grid'!$B$4,IF(COUNT(IF('Data Assessment'!$N3:$Z3-OFFSET(Standar!$B$2,MATCH(Assessment[[#This Row],[JOB TARGET
(DEV)]],Standar[NAMA JABATAN],0)-1,1,1,13)&lt;0,1,""))&gt;=7,'9 Grid'!$B$6,'9 Grid'!$B$5)))</f>
        <v>Fully Competence Behavior Performance</v>
      </c>
      <c r="N3" s="146" t="str">
        <f>IFERROR(IF(Data_Assessment[[#This Row],[IPP (3 YEARS AVERAGE)]]="","(IPP Belum Ada)",IF(Data_Assessment[[#This Row],[IPP (3 YEARS AVERAGE)]]&lt;2,'9 Grid'!$F$2,IF(Data_Assessment[[#This Row],[IPP (3 YEARS AVERAGE)]]&gt;=4,'9 Grid'!$D$2,'9 Grid'!$E$2))),"")</f>
        <v>Fully Competence Performance</v>
      </c>
      <c r="O3" s="146" t="str">
        <f ca="1">IFERROR(INDEX('9 Grid'!$D$4:$F$6,MATCH('Rekomendasi HAV'!M3,'9 Grid'!$B$4:$B$6,0),MATCH('Rekomendasi HAV'!N3,'9 Grid'!$D$2:$F$2,0)),"")</f>
        <v>(3) Develop Performance</v>
      </c>
      <c r="P3" s="147" t="str">
        <f>IFERROR(INDEX('9 Grid'!$D$8:$F$8,1,MATCH('Rekomendasi HAV'!N3,'9 Grid'!$D$2:$F$2,0)),"")</f>
        <v>(ST) Within 12 - 18 month</v>
      </c>
    </row>
    <row r="4" spans="1:16" ht="28.5">
      <c r="A4" s="67">
        <v>3</v>
      </c>
      <c r="B4" s="68" t="str">
        <f>INDEX(Data_Assessment[],MATCH('Rekomendasi HAV'!$A4,Data_Assessment[[INDEX]:[INDEX]],0),MATCH('Rekomendasi HAV'!B$1,Data_Assessment[#Headers],0))</f>
        <v>Danil Fahreza Pohan</v>
      </c>
      <c r="C4" s="68" t="str">
        <f>INDEX(Data_Assessment[],MATCH('Rekomendasi HAV'!$A4,Data_Assessment[[INDEX]:[INDEX]],0),MATCH('Rekomendasi HAV'!C$1,Data_Assessment[#Headers],0))</f>
        <v>Sumatera Utara</v>
      </c>
      <c r="D4" s="68" t="str">
        <f>INDEX(Data_Assessment[],MATCH('Rekomendasi HAV'!$A4,Data_Assessment[[INDEX]:[INDEX]],0),MATCH('Rekomendasi HAV'!D$1,Data_Assessment[#Headers],0))</f>
        <v>LSIP - Bungara Estate</v>
      </c>
      <c r="E4" s="68" t="str">
        <f>INDEX(Data_Assessment[],MATCH('Rekomendasi HAV'!$B4,Data_Assessment[[NAME]:[NAME]],0),MATCH('Rekomendasi HAV'!E$1,Data_Assessment[#Headers],0))</f>
        <v>FA_DEV</v>
      </c>
      <c r="F4" s="68" t="s">
        <v>52</v>
      </c>
      <c r="G4" s="68" t="str">
        <f>IF(ISNUMBER(SEARCH("DEV",Assessment[[#This Row],[JOB TARGET]])),SUBSTITUTE(Assessment[[#This Row],[JOB TARGET]],"DEV","EST"),Assessment[[#This Row],[JOB TARGET]])</f>
        <v>FA_EST</v>
      </c>
      <c r="H4" s="146" t="str" cm="1">
        <f t="array" aca="1" ref="H4" ca="1">IF(Assessment[[#This Row],[JOB TARGET]]="","Job Target Kosong",IF(COUNT(IF('Data Assessment'!$N4:$Z4-OFFSET(Standar!$B$2,MATCH(Assessment[[#This Row],[JOB TARGET
(EST)]],Standar[NAMA JABATAN],0)-1,1,1,13)&lt;0,1,""))&lt;=3,'9 Grid'!$B$4,IF(COUNT(IF('Data Assessment'!$N4:$Z4-OFFSET(Standar!$B$2,MATCH(Assessment[[#This Row],[JOB TARGET]],Standar[NAMA JABATAN],0)-1,1,1,13)&lt;0,1,""))&gt;=7,'9 Grid'!$B$6,'9 Grid'!$B$5)))</f>
        <v>Fully Competence Behavior Performance</v>
      </c>
      <c r="I4" s="146" t="str">
        <f>IFERROR(IF(Data_Assessment[[#This Row],[IPP (3 YEARS AVERAGE)]]="","(IPP Belum Ada)",IF(Data_Assessment[[#This Row],[IPP (3 YEARS AVERAGE)]]&lt;2,'9 Grid'!$F$2,IF(Data_Assessment[[#This Row],[IPP (3 YEARS AVERAGE)]]&gt;=4,'9 Grid'!$D$2,'9 Grid'!$E$2))),"")</f>
        <v>Contributor</v>
      </c>
      <c r="J4" s="146" t="str">
        <f ca="1">IFERROR(INDEX('9 Grid'!$D$4:$F$6,MATCH('Rekomendasi HAV'!H4,'9 Grid'!$B$4:$B$6,0),MATCH('Rekomendasi HAV'!I4,'9 Grid'!$D$2:$F$2,0)),"")</f>
        <v>(6) Recently Promoted (&lt;6 Month in Position)</v>
      </c>
      <c r="K4" s="146" t="str">
        <f>IFERROR(INDEX('9 Grid'!$D$8:$F$8,1,MATCH('Rekomendasi HAV'!I4,'9 Grid'!$D$2:$F$2,0)),"")</f>
        <v>(LT) More 2 - 3 year</v>
      </c>
      <c r="L4" s="146" t="str">
        <f>IF(ISNUMBER(SEARCH("EST",Assessment[[#This Row],[JOB TARGET]])),SUBSTITUTE(Assessment[[#This Row],[JOB TARGET]],"EST","DEV"),Assessment[[#This Row],[JOB TARGET]])</f>
        <v>FA_DEV</v>
      </c>
      <c r="M4" s="146" t="str" cm="1">
        <f t="array" aca="1" ref="M4" ca="1">IF(Assessment[[#This Row],[JOB TARGET]]="","Job Target Kosong",IF(COUNT(IF('Data Assessment'!$N4:$Z4-OFFSET(Standar!$B$2,MATCH(Assessment[[#This Row],[JOB TARGET
(DEV)]],Standar[NAMA JABATAN],0)-1,1,1,13)&lt;0,1,""))&lt;=3,'9 Grid'!$B$4,IF(COUNT(IF('Data Assessment'!$N4:$Z4-OFFSET(Standar!$B$2,MATCH(Assessment[[#This Row],[JOB TARGET
(DEV)]],Standar[NAMA JABATAN],0)-1,1,1,13)&lt;0,1,""))&gt;=7,'9 Grid'!$B$6,'9 Grid'!$B$5)))</f>
        <v>Fully Competence Behavior Performance</v>
      </c>
      <c r="N4" s="146" t="str">
        <f>IFERROR(IF(Data_Assessment[[#This Row],[IPP (3 YEARS AVERAGE)]]="","(IPP Belum Ada)",IF(Data_Assessment[[#This Row],[IPP (3 YEARS AVERAGE)]]&lt;2,'9 Grid'!$F$2,IF(Data_Assessment[[#This Row],[IPP (3 YEARS AVERAGE)]]&gt;=4,'9 Grid'!$D$2,'9 Grid'!$E$2))),"")</f>
        <v>Contributor</v>
      </c>
      <c r="O4" s="146" t="str">
        <f ca="1">IFERROR(INDEX('9 Grid'!$D$4:$F$6,MATCH('Rekomendasi HAV'!M4,'9 Grid'!$B$4:$B$6,0),MATCH('Rekomendasi HAV'!N4,'9 Grid'!$D$2:$F$2,0)),"")</f>
        <v>(6) Recently Promoted (&lt;6 Month in Position)</v>
      </c>
      <c r="P4" s="147" t="str">
        <f>IFERROR(INDEX('9 Grid'!$D$8:$F$8,1,MATCH('Rekomendasi HAV'!N4,'9 Grid'!$D$2:$F$2,0)),"")</f>
        <v>(LT) More 2 - 3 year</v>
      </c>
    </row>
    <row r="5" spans="1:16" ht="28.5">
      <c r="A5" s="67">
        <v>4</v>
      </c>
      <c r="B5" s="68" t="str">
        <f>INDEX(Data_Assessment[],MATCH('Rekomendasi HAV'!$A5,Data_Assessment[[INDEX]:[INDEX]],0),MATCH('Rekomendasi HAV'!B$1,Data_Assessment[#Headers],0))</f>
        <v>Arrayani Nasution</v>
      </c>
      <c r="C5" s="68" t="str">
        <f>INDEX(Data_Assessment[],MATCH('Rekomendasi HAV'!$A5,Data_Assessment[[INDEX]:[INDEX]],0),MATCH('Rekomendasi HAV'!C$1,Data_Assessment[#Headers],0))</f>
        <v>Medan</v>
      </c>
      <c r="D5" s="68" t="str">
        <f>INDEX(Data_Assessment[],MATCH('Rekomendasi HAV'!$A5,Data_Assessment[[INDEX]:[INDEX]],0),MATCH('Rekomendasi HAV'!D$1,Data_Assessment[#Headers],0))</f>
        <v>LSIP - RO Medan</v>
      </c>
      <c r="E5" s="68" t="str">
        <f>INDEX(Data_Assessment[],MATCH('Rekomendasi HAV'!$B5,Data_Assessment[[NAME]:[NAME]],0),MATCH('Rekomendasi HAV'!E$1,Data_Assessment[#Headers],0))</f>
        <v>HA_DEV</v>
      </c>
      <c r="F5" s="68" t="s">
        <v>1633</v>
      </c>
      <c r="G5" s="68" t="str">
        <f>IF(ISNUMBER(SEARCH("DEV",Assessment[[#This Row],[JOB TARGET]])),SUBSTITUTE(Assessment[[#This Row],[JOB TARGET]],"DEV","EST"),Assessment[[#This Row],[JOB TARGET]])</f>
        <v>Satpam</v>
      </c>
      <c r="H5" s="146" t="str" cm="1">
        <f t="array" aca="1" ref="H5" ca="1">IF(Assessment[[#This Row],[JOB TARGET]]="","Job Target Kosong",IF(COUNT(IF('Data Assessment'!$N5:$Z5-OFFSET(Standar!$B$2,MATCH(Assessment[[#This Row],[JOB TARGET
(EST)]],Standar[NAMA JABATAN],0)-1,1,1,13)&lt;0,1,""))&lt;=3,'9 Grid'!$B$4,IF(COUNT(IF('Data Assessment'!$N5:$Z5-OFFSET(Standar!$B$2,MATCH(Assessment[[#This Row],[JOB TARGET]],Standar[NAMA JABATAN],0)-1,1,1,13)&lt;0,1,""))&gt;=7,'9 Grid'!$B$6,'9 Grid'!$B$5)))</f>
        <v>Fully Competence Behavior Performance</v>
      </c>
      <c r="I5" s="146" t="str">
        <f>IFERROR(IF(Data_Assessment[[#This Row],[IPP (3 YEARS AVERAGE)]]="","(IPP Belum Ada)",IF(Data_Assessment[[#This Row],[IPP (3 YEARS AVERAGE)]]&lt;2,'9 Grid'!$F$2,IF(Data_Assessment[[#This Row],[IPP (3 YEARS AVERAGE)]]&gt;=4,'9 Grid'!$D$2,'9 Grid'!$E$2))),"")</f>
        <v>Fully Competence Performance</v>
      </c>
      <c r="J5" s="146" t="str">
        <f ca="1">IFERROR(INDEX('9 Grid'!$D$4:$F$6,MATCH('Rekomendasi HAV'!H5,'9 Grid'!$B$4:$B$6,0),MATCH('Rekomendasi HAV'!I5,'9 Grid'!$D$2:$F$2,0)),"")</f>
        <v>(3) Develop Performance</v>
      </c>
      <c r="K5" s="146" t="str">
        <f>IFERROR(INDEX('9 Grid'!$D$8:$F$8,1,MATCH('Rekomendasi HAV'!I5,'9 Grid'!$D$2:$F$2,0)),"")</f>
        <v>(ST) Within 12 - 18 month</v>
      </c>
      <c r="L5" s="146" t="str">
        <f>IF(ISNUMBER(SEARCH("EST",Assessment[[#This Row],[JOB TARGET]])),SUBSTITUTE(Assessment[[#This Row],[JOB TARGET]],"EST","DEV"),Assessment[[#This Row],[JOB TARGET]])</f>
        <v>Satpam</v>
      </c>
      <c r="M5" s="146" t="str" cm="1">
        <f t="array" aca="1" ref="M5" ca="1">IF(Assessment[[#This Row],[JOB TARGET]]="","Job Target Kosong",IF(COUNT(IF('Data Assessment'!$N5:$Z5-OFFSET(Standar!$B$2,MATCH(Assessment[[#This Row],[JOB TARGET
(DEV)]],Standar[NAMA JABATAN],0)-1,1,1,13)&lt;0,1,""))&lt;=3,'9 Grid'!$B$4,IF(COUNT(IF('Data Assessment'!$N5:$Z5-OFFSET(Standar!$B$2,MATCH(Assessment[[#This Row],[JOB TARGET
(DEV)]],Standar[NAMA JABATAN],0)-1,1,1,13)&lt;0,1,""))&gt;=7,'9 Grid'!$B$6,'9 Grid'!$B$5)))</f>
        <v>Fully Competence Behavior Performance</v>
      </c>
      <c r="N5" s="146" t="str">
        <f>IFERROR(IF(Data_Assessment[[#This Row],[IPP (3 YEARS AVERAGE)]]="","(IPP Belum Ada)",IF(Data_Assessment[[#This Row],[IPP (3 YEARS AVERAGE)]]&lt;2,'9 Grid'!$F$2,IF(Data_Assessment[[#This Row],[IPP (3 YEARS AVERAGE)]]&gt;=4,'9 Grid'!$D$2,'9 Grid'!$E$2))),"")</f>
        <v>Fully Competence Performance</v>
      </c>
      <c r="O5" s="146" t="str">
        <f ca="1">IFERROR(INDEX('9 Grid'!$D$4:$F$6,MATCH('Rekomendasi HAV'!M5,'9 Grid'!$B$4:$B$6,0),MATCH('Rekomendasi HAV'!N5,'9 Grid'!$D$2:$F$2,0)),"")</f>
        <v>(3) Develop Performance</v>
      </c>
      <c r="P5" s="147" t="str">
        <f>IFERROR(INDEX('9 Grid'!$D$8:$F$8,1,MATCH('Rekomendasi HAV'!N5,'9 Grid'!$D$2:$F$2,0)),"")</f>
        <v>(ST) Within 12 - 18 month</v>
      </c>
    </row>
    <row r="6" spans="1:16" ht="14.25">
      <c r="A6" s="67">
        <v>5</v>
      </c>
      <c r="B6" s="68" t="str">
        <f>INDEX(Data_Assessment[],MATCH('Rekomendasi HAV'!$A6,Data_Assessment[[INDEX]:[INDEX]],0),MATCH('Rekomendasi HAV'!B$1,Data_Assessment[#Headers],0))</f>
        <v>Ibnu Rhomadhon Sitompul</v>
      </c>
      <c r="C6" s="68" t="str">
        <f>INDEX(Data_Assessment[],MATCH('Rekomendasi HAV'!$A6,Data_Assessment[[INDEX]:[INDEX]],0),MATCH('Rekomendasi HAV'!C$1,Data_Assessment[#Headers],0))</f>
        <v>Sumatera Utara</v>
      </c>
      <c r="D6" s="68" t="str">
        <f>INDEX(Data_Assessment[],MATCH('Rekomendasi HAV'!$A6,Data_Assessment[[INDEX]:[INDEX]],0),MATCH('Rekomendasi HAV'!D$1,Data_Assessment[#Headers],0))</f>
        <v>LSIP - Bungara Estate</v>
      </c>
      <c r="E6" s="68" t="str">
        <f>INDEX(Data_Assessment[],MATCH('Rekomendasi HAV'!$B6,Data_Assessment[[NAME]:[NAME]],0),MATCH('Rekomendasi HAV'!E$1,Data_Assessment[#Headers],0))</f>
        <v>EM_DEV</v>
      </c>
      <c r="F6" s="68" t="s">
        <v>71</v>
      </c>
      <c r="G6" s="68" t="str">
        <f>IF(ISNUMBER(SEARCH("DEV",Assessment[[#This Row],[JOB TARGET]])),SUBSTITUTE(Assessment[[#This Row],[JOB TARGET]],"DEV","EST"),Assessment[[#This Row],[JOB TARGET]])</f>
        <v>Mill Manager_EST</v>
      </c>
      <c r="H6" s="146" t="str" cm="1">
        <f t="array" aca="1" ref="H6" ca="1">IF(Assessment[[#This Row],[JOB TARGET]]="","Job Target Kosong",IF(COUNT(IF('Data Assessment'!$N6:$Z6-OFFSET(Standar!$B$2,MATCH(Assessment[[#This Row],[JOB TARGET
(EST)]],Standar[NAMA JABATAN],0)-1,1,1,13)&lt;0,1,""))&lt;=3,'9 Grid'!$B$4,IF(COUNT(IF('Data Assessment'!$N6:$Z6-OFFSET(Standar!$B$2,MATCH(Assessment[[#This Row],[JOB TARGET]],Standar[NAMA JABATAN],0)-1,1,1,13)&lt;0,1,""))&gt;=7,'9 Grid'!$B$6,'9 Grid'!$B$5)))</f>
        <v>Not Competence Behavior Performance</v>
      </c>
      <c r="I6" s="146" t="str">
        <f>IFERROR(IF(Data_Assessment[[#This Row],[IPP (3 YEARS AVERAGE)]]="","(IPP Belum Ada)",IF(Data_Assessment[[#This Row],[IPP (3 YEARS AVERAGE)]]&lt;2,'9 Grid'!$F$2,IF(Data_Assessment[[#This Row],[IPP (3 YEARS AVERAGE)]]&gt;=4,'9 Grid'!$D$2,'9 Grid'!$E$2))),"")</f>
        <v>Contributor</v>
      </c>
      <c r="J6" s="146" t="str">
        <f ca="1">IFERROR(INDEX('9 Grid'!$D$4:$F$6,MATCH('Rekomendasi HAV'!H6,'9 Grid'!$B$4:$B$6,0),MATCH('Rekomendasi HAV'!I6,'9 Grid'!$D$2:$F$2,0)),"")</f>
        <v>(9) Mastery/Contributor</v>
      </c>
      <c r="K6" s="146" t="str">
        <f>IFERROR(INDEX('9 Grid'!$D$8:$F$8,1,MATCH('Rekomendasi HAV'!I6,'9 Grid'!$D$2:$F$2,0)),"")</f>
        <v>(LT) More 2 - 3 year</v>
      </c>
      <c r="L6" s="146" t="str">
        <f>IF(ISNUMBER(SEARCH("EST",Assessment[[#This Row],[JOB TARGET]])),SUBSTITUTE(Assessment[[#This Row],[JOB TARGET]],"EST","DEV"),Assessment[[#This Row],[JOB TARGET]])</f>
        <v>Mill Manager_DEV</v>
      </c>
      <c r="M6" s="146" t="str" cm="1">
        <f t="array" aca="1" ref="M6" ca="1">IF(Assessment[[#This Row],[JOB TARGET]]="","Job Target Kosong",IF(COUNT(IF('Data Assessment'!$N6:$Z6-OFFSET(Standar!$B$2,MATCH(Assessment[[#This Row],[JOB TARGET
(DEV)]],Standar[NAMA JABATAN],0)-1,1,1,13)&lt;0,1,""))&lt;=3,'9 Grid'!$B$4,IF(COUNT(IF('Data Assessment'!$N6:$Z6-OFFSET(Standar!$B$2,MATCH(Assessment[[#This Row],[JOB TARGET
(DEV)]],Standar[NAMA JABATAN],0)-1,1,1,13)&lt;0,1,""))&gt;=7,'9 Grid'!$B$6,'9 Grid'!$B$5)))</f>
        <v>Not Competence Behavior Performance</v>
      </c>
      <c r="N6" s="146" t="str">
        <f>IFERROR(IF(Data_Assessment[[#This Row],[IPP (3 YEARS AVERAGE)]]="","(IPP Belum Ada)",IF(Data_Assessment[[#This Row],[IPP (3 YEARS AVERAGE)]]&lt;2,'9 Grid'!$F$2,IF(Data_Assessment[[#This Row],[IPP (3 YEARS AVERAGE)]]&gt;=4,'9 Grid'!$D$2,'9 Grid'!$E$2))),"")</f>
        <v>Contributor</v>
      </c>
      <c r="O6" s="146" t="str">
        <f ca="1">IFERROR(INDEX('9 Grid'!$D$4:$F$6,MATCH('Rekomendasi HAV'!M6,'9 Grid'!$B$4:$B$6,0),MATCH('Rekomendasi HAV'!N6,'9 Grid'!$D$2:$F$2,0)),"")</f>
        <v>(9) Mastery/Contributor</v>
      </c>
      <c r="P6" s="147" t="str">
        <f>IFERROR(INDEX('9 Grid'!$D$8:$F$8,1,MATCH('Rekomendasi HAV'!N6,'9 Grid'!$D$2:$F$2,0)),"")</f>
        <v>(LT) More 2 - 3 year</v>
      </c>
    </row>
    <row r="7" spans="1:16" ht="28.5">
      <c r="A7" s="67">
        <v>6</v>
      </c>
      <c r="B7" s="68" t="str">
        <f>INDEX(Data_Assessment[],MATCH('Rekomendasi HAV'!$A7,Data_Assessment[[INDEX]:[INDEX]],0),MATCH('Rekomendasi HAV'!B$1,Data_Assessment[#Headers],0))</f>
        <v>Dede Suriadi</v>
      </c>
      <c r="C7" s="68" t="str">
        <f>INDEX(Data_Assessment[],MATCH('Rekomendasi HAV'!$A7,Data_Assessment[[INDEX]:[INDEX]],0),MATCH('Rekomendasi HAV'!C$1,Data_Assessment[#Headers],0))</f>
        <v>Medan</v>
      </c>
      <c r="D7" s="68" t="str">
        <f>INDEX(Data_Assessment[],MATCH('Rekomendasi HAV'!$A7,Data_Assessment[[INDEX]:[INDEX]],0),MATCH('Rekomendasi HAV'!D$1,Data_Assessment[#Headers],0))</f>
        <v>LSIP - RO Medan</v>
      </c>
      <c r="E7" s="68" t="str">
        <f>INDEX(Data_Assessment[],MATCH('Rekomendasi HAV'!$B7,Data_Assessment[[NAME]:[NAME]],0),MATCH('Rekomendasi HAV'!E$1,Data_Assessment[#Headers],0))</f>
        <v>OB</v>
      </c>
      <c r="F7" s="68"/>
      <c r="G7" s="68">
        <f>IF(ISNUMBER(SEARCH("DEV",Assessment[[#This Row],[JOB TARGET]])),SUBSTITUTE(Assessment[[#This Row],[JOB TARGET]],"DEV","EST"),Assessment[[#This Row],[JOB TARGET]])</f>
        <v>0</v>
      </c>
      <c r="H7" s="146" t="str" cm="1">
        <f t="array" aca="1" ref="H7" ca="1">IF(Assessment[[#This Row],[JOB TARGET]]="","Job Target Kosong",IF(COUNT(IF('Data Assessment'!$N7:$Z7-OFFSET(Standar!$B$2,MATCH(Assessment[[#This Row],[JOB TARGET
(EST)]],Standar[NAMA JABATAN],0)-1,1,1,13)&lt;0,1,""))&lt;=3,'9 Grid'!$B$4,IF(COUNT(IF('Data Assessment'!$N7:$Z7-OFFSET(Standar!$B$2,MATCH(Assessment[[#This Row],[JOB TARGET]],Standar[NAMA JABATAN],0)-1,1,1,13)&lt;0,1,""))&gt;=7,'9 Grid'!$B$6,'9 Grid'!$B$5)))</f>
        <v>Job Target Kosong</v>
      </c>
      <c r="I7" s="146" t="str">
        <f>IFERROR(IF(Data_Assessment[[#This Row],[IPP (3 YEARS AVERAGE)]]="","(IPP Belum Ada)",IF(Data_Assessment[[#This Row],[IPP (3 YEARS AVERAGE)]]&lt;2,'9 Grid'!$F$2,IF(Data_Assessment[[#This Row],[IPP (3 YEARS AVERAGE)]]&gt;=4,'9 Grid'!$D$2,'9 Grid'!$E$2))),"")</f>
        <v>Fully Competence Performance</v>
      </c>
      <c r="J7" s="146" t="str">
        <f ca="1">IFERROR(INDEX('9 Grid'!$D$4:$F$6,MATCH('Rekomendasi HAV'!H7,'9 Grid'!$B$4:$B$6,0),MATCH('Rekomendasi HAV'!I7,'9 Grid'!$D$2:$F$2,0)),"")</f>
        <v/>
      </c>
      <c r="K7" s="146" t="str">
        <f>IFERROR(INDEX('9 Grid'!$D$8:$F$8,1,MATCH('Rekomendasi HAV'!I7,'9 Grid'!$D$2:$F$2,0)),"")</f>
        <v>(ST) Within 12 - 18 month</v>
      </c>
      <c r="L7" s="146">
        <f>IF(ISNUMBER(SEARCH("EST",Assessment[[#This Row],[JOB TARGET]])),SUBSTITUTE(Assessment[[#This Row],[JOB TARGET]],"EST","DEV"),Assessment[[#This Row],[JOB TARGET]])</f>
        <v>0</v>
      </c>
      <c r="M7" s="146" t="str" cm="1">
        <f t="array" aca="1" ref="M7" ca="1">IF(Assessment[[#This Row],[JOB TARGET]]="","Job Target Kosong",IF(COUNT(IF('Data Assessment'!$N7:$Z7-OFFSET(Standar!$B$2,MATCH(Assessment[[#This Row],[JOB TARGET
(DEV)]],Standar[NAMA JABATAN],0)-1,1,1,13)&lt;0,1,""))&lt;=3,'9 Grid'!$B$4,IF(COUNT(IF('Data Assessment'!$N7:$Z7-OFFSET(Standar!$B$2,MATCH(Assessment[[#This Row],[JOB TARGET
(DEV)]],Standar[NAMA JABATAN],0)-1,1,1,13)&lt;0,1,""))&gt;=7,'9 Grid'!$B$6,'9 Grid'!$B$5)))</f>
        <v>Job Target Kosong</v>
      </c>
      <c r="N7" s="146" t="str">
        <f>IFERROR(IF(Data_Assessment[[#This Row],[IPP (3 YEARS AVERAGE)]]="","(IPP Belum Ada)",IF(Data_Assessment[[#This Row],[IPP (3 YEARS AVERAGE)]]&lt;2,'9 Grid'!$F$2,IF(Data_Assessment[[#This Row],[IPP (3 YEARS AVERAGE)]]&gt;=4,'9 Grid'!$D$2,'9 Grid'!$E$2))),"")</f>
        <v>Fully Competence Performance</v>
      </c>
      <c r="O7" s="146" t="str">
        <f ca="1">IFERROR(INDEX('9 Grid'!$D$4:$F$6,MATCH('Rekomendasi HAV'!M7,'9 Grid'!$B$4:$B$6,0),MATCH('Rekomendasi HAV'!N7,'9 Grid'!$D$2:$F$2,0)),"")</f>
        <v/>
      </c>
      <c r="P7" s="147" t="str">
        <f>IFERROR(INDEX('9 Grid'!$D$8:$F$8,1,MATCH('Rekomendasi HAV'!N7,'9 Grid'!$D$2:$F$2,0)),"")</f>
        <v>(ST) Within 12 - 18 month</v>
      </c>
    </row>
    <row r="8" spans="1:16" ht="14.25">
      <c r="A8" s="67">
        <v>7</v>
      </c>
      <c r="B8" s="68" t="str">
        <f>INDEX(Data_Assessment[],MATCH('Rekomendasi HAV'!$A8,Data_Assessment[[INDEX]:[INDEX]],0),MATCH('Rekomendasi HAV'!B$1,Data_Assessment[#Headers],0))</f>
        <v>Muhammad Akram Mudasyah</v>
      </c>
      <c r="C8" s="68" t="str">
        <f>INDEX(Data_Assessment[],MATCH('Rekomendasi HAV'!$A8,Data_Assessment[[INDEX]:[INDEX]],0),MATCH('Rekomendasi HAV'!C$1,Data_Assessment[#Headers],0))</f>
        <v>Sumatera Utara</v>
      </c>
      <c r="D8" s="68" t="str">
        <f>INDEX(Data_Assessment[],MATCH('Rekomendasi HAV'!$A8,Data_Assessment[[INDEX]:[INDEX]],0),MATCH('Rekomendasi HAV'!D$1,Data_Assessment[#Headers],0))</f>
        <v>LSIP - Begerpang Estate</v>
      </c>
      <c r="E8" s="68">
        <f>INDEX(Data_Assessment[],MATCH('Rekomendasi HAV'!$B8,Data_Assessment[[NAME]:[NAME]],0),MATCH('Rekomendasi HAV'!E$1,Data_Assessment[#Headers],0))</f>
        <v>0</v>
      </c>
      <c r="F8" s="68"/>
      <c r="G8" s="68">
        <f>IF(ISNUMBER(SEARCH("DEV",Assessment[[#This Row],[JOB TARGET]])),SUBSTITUTE(Assessment[[#This Row],[JOB TARGET]],"DEV","EST"),Assessment[[#This Row],[JOB TARGET]])</f>
        <v>0</v>
      </c>
      <c r="H8" s="146" t="str" cm="1">
        <f t="array" aca="1" ref="H8" ca="1">IF(Assessment[[#This Row],[JOB TARGET]]="","Job Target Kosong",IF(COUNT(IF('Data Assessment'!$N8:$Z8-OFFSET(Standar!$B$2,MATCH(Assessment[[#This Row],[JOB TARGET
(EST)]],Standar[NAMA JABATAN],0)-1,1,1,13)&lt;0,1,""))&lt;=3,'9 Grid'!$B$4,IF(COUNT(IF('Data Assessment'!$N8:$Z8-OFFSET(Standar!$B$2,MATCH(Assessment[[#This Row],[JOB TARGET]],Standar[NAMA JABATAN],0)-1,1,1,13)&lt;0,1,""))&gt;=7,'9 Grid'!$B$6,'9 Grid'!$B$5)))</f>
        <v>Job Target Kosong</v>
      </c>
      <c r="I8" s="146" t="str">
        <f>IFERROR(IF(Data_Assessment[[#This Row],[IPP (3 YEARS AVERAGE)]]="","(IPP Belum Ada)",IF(Data_Assessment[[#This Row],[IPP (3 YEARS AVERAGE)]]&lt;2,'9 Grid'!$F$2,IF(Data_Assessment[[#This Row],[IPP (3 YEARS AVERAGE)]]&gt;=4,'9 Grid'!$D$2,'9 Grid'!$E$2))),"")</f>
        <v>Contributor</v>
      </c>
      <c r="J8" s="146" t="str">
        <f ca="1">IFERROR(INDEX('9 Grid'!$D$4:$F$6,MATCH('Rekomendasi HAV'!H8,'9 Grid'!$B$4:$B$6,0),MATCH('Rekomendasi HAV'!I8,'9 Grid'!$D$2:$F$2,0)),"")</f>
        <v/>
      </c>
      <c r="K8" s="146" t="str">
        <f>IFERROR(INDEX('9 Grid'!$D$8:$F$8,1,MATCH('Rekomendasi HAV'!I8,'9 Grid'!$D$2:$F$2,0)),"")</f>
        <v>(LT) More 2 - 3 year</v>
      </c>
      <c r="L8" s="146">
        <f>IF(ISNUMBER(SEARCH("EST",Assessment[[#This Row],[JOB TARGET]])),SUBSTITUTE(Assessment[[#This Row],[JOB TARGET]],"EST","DEV"),Assessment[[#This Row],[JOB TARGET]])</f>
        <v>0</v>
      </c>
      <c r="M8" s="146" t="str" cm="1">
        <f t="array" aca="1" ref="M8" ca="1">IF(Assessment[[#This Row],[JOB TARGET]]="","Job Target Kosong",IF(COUNT(IF('Data Assessment'!$N8:$Z8-OFFSET(Standar!$B$2,MATCH(Assessment[[#This Row],[JOB TARGET
(DEV)]],Standar[NAMA JABATAN],0)-1,1,1,13)&lt;0,1,""))&lt;=3,'9 Grid'!$B$4,IF(COUNT(IF('Data Assessment'!$N8:$Z8-OFFSET(Standar!$B$2,MATCH(Assessment[[#This Row],[JOB TARGET
(DEV)]],Standar[NAMA JABATAN],0)-1,1,1,13)&lt;0,1,""))&gt;=7,'9 Grid'!$B$6,'9 Grid'!$B$5)))</f>
        <v>Job Target Kosong</v>
      </c>
      <c r="N8" s="146" t="str">
        <f>IFERROR(IF(Data_Assessment[[#This Row],[IPP (3 YEARS AVERAGE)]]="","(IPP Belum Ada)",IF(Data_Assessment[[#This Row],[IPP (3 YEARS AVERAGE)]]&lt;2,'9 Grid'!$F$2,IF(Data_Assessment[[#This Row],[IPP (3 YEARS AVERAGE)]]&gt;=4,'9 Grid'!$D$2,'9 Grid'!$E$2))),"")</f>
        <v>Contributor</v>
      </c>
      <c r="O8" s="146" t="str">
        <f ca="1">IFERROR(INDEX('9 Grid'!$D$4:$F$6,MATCH('Rekomendasi HAV'!M8,'9 Grid'!$B$4:$B$6,0),MATCH('Rekomendasi HAV'!N8,'9 Grid'!$D$2:$F$2,0)),"")</f>
        <v/>
      </c>
      <c r="P8" s="147" t="str">
        <f>IFERROR(INDEX('9 Grid'!$D$8:$F$8,1,MATCH('Rekomendasi HAV'!N8,'9 Grid'!$D$2:$F$2,0)),"")</f>
        <v>(LT) More 2 - 3 year</v>
      </c>
    </row>
    <row r="9" spans="1:16" ht="28.5">
      <c r="A9" s="67">
        <v>8</v>
      </c>
      <c r="B9" s="68" t="str">
        <f>INDEX(Data_Assessment[],MATCH('Rekomendasi HAV'!$A9,Data_Assessment[[INDEX]:[INDEX]],0),MATCH('Rekomendasi HAV'!B$1,Data_Assessment[#Headers],0))</f>
        <v>Endah Susanny, SE</v>
      </c>
      <c r="C9" s="68" t="str">
        <f>INDEX(Data_Assessment[],MATCH('Rekomendasi HAV'!$A9,Data_Assessment[[INDEX]:[INDEX]],0),MATCH('Rekomendasi HAV'!C$1,Data_Assessment[#Headers],0))</f>
        <v>Medan</v>
      </c>
      <c r="D9" s="68" t="str">
        <f>INDEX(Data_Assessment[],MATCH('Rekomendasi HAV'!$A9,Data_Assessment[[INDEX]:[INDEX]],0),MATCH('Rekomendasi HAV'!D$1,Data_Assessment[#Headers],0))</f>
        <v>LSIP - RO Medan</v>
      </c>
      <c r="E9" s="68">
        <f>INDEX(Data_Assessment[],MATCH('Rekomendasi HAV'!$B9,Data_Assessment[[NAME]:[NAME]],0),MATCH('Rekomendasi HAV'!E$1,Data_Assessment[#Headers],0))</f>
        <v>0</v>
      </c>
      <c r="F9" s="68"/>
      <c r="G9" s="68">
        <f>IF(ISNUMBER(SEARCH("DEV",Assessment[[#This Row],[JOB TARGET]])),SUBSTITUTE(Assessment[[#This Row],[JOB TARGET]],"DEV","EST"),Assessment[[#This Row],[JOB TARGET]])</f>
        <v>0</v>
      </c>
      <c r="H9" s="146" t="str" cm="1">
        <f t="array" aca="1" ref="H9" ca="1">IF(Assessment[[#This Row],[JOB TARGET]]="","Job Target Kosong",IF(COUNT(IF('Data Assessment'!$N9:$Z9-OFFSET(Standar!$B$2,MATCH(Assessment[[#This Row],[JOB TARGET
(EST)]],Standar[NAMA JABATAN],0)-1,1,1,13)&lt;0,1,""))&lt;=3,'9 Grid'!$B$4,IF(COUNT(IF('Data Assessment'!$N9:$Z9-OFFSET(Standar!$B$2,MATCH(Assessment[[#This Row],[JOB TARGET]],Standar[NAMA JABATAN],0)-1,1,1,13)&lt;0,1,""))&gt;=7,'9 Grid'!$B$6,'9 Grid'!$B$5)))</f>
        <v>Job Target Kosong</v>
      </c>
      <c r="I9" s="146" t="str">
        <f>IFERROR(IF(Data_Assessment[[#This Row],[IPP (3 YEARS AVERAGE)]]="","(IPP Belum Ada)",IF(Data_Assessment[[#This Row],[IPP (3 YEARS AVERAGE)]]&lt;2,'9 Grid'!$F$2,IF(Data_Assessment[[#This Row],[IPP (3 YEARS AVERAGE)]]&gt;=4,'9 Grid'!$D$2,'9 Grid'!$E$2))),"")</f>
        <v>Fully Competence Performance</v>
      </c>
      <c r="J9" s="146" t="str">
        <f ca="1">IFERROR(INDEX('9 Grid'!$D$4:$F$6,MATCH('Rekomendasi HAV'!H9,'9 Grid'!$B$4:$B$6,0),MATCH('Rekomendasi HAV'!I9,'9 Grid'!$D$2:$F$2,0)),"")</f>
        <v/>
      </c>
      <c r="K9" s="146" t="str">
        <f>IFERROR(INDEX('9 Grid'!$D$8:$F$8,1,MATCH('Rekomendasi HAV'!I9,'9 Grid'!$D$2:$F$2,0)),"")</f>
        <v>(ST) Within 12 - 18 month</v>
      </c>
      <c r="L9" s="146">
        <f>IF(ISNUMBER(SEARCH("EST",Assessment[[#This Row],[JOB TARGET]])),SUBSTITUTE(Assessment[[#This Row],[JOB TARGET]],"EST","DEV"),Assessment[[#This Row],[JOB TARGET]])</f>
        <v>0</v>
      </c>
      <c r="M9" s="146" t="str" cm="1">
        <f t="array" aca="1" ref="M9" ca="1">IF(Assessment[[#This Row],[JOB TARGET]]="","Job Target Kosong",IF(COUNT(IF('Data Assessment'!$N9:$Z9-OFFSET(Standar!$B$2,MATCH(Assessment[[#This Row],[JOB TARGET
(DEV)]],Standar[NAMA JABATAN],0)-1,1,1,13)&lt;0,1,""))&lt;=3,'9 Grid'!$B$4,IF(COUNT(IF('Data Assessment'!$N9:$Z9-OFFSET(Standar!$B$2,MATCH(Assessment[[#This Row],[JOB TARGET
(DEV)]],Standar[NAMA JABATAN],0)-1,1,1,13)&lt;0,1,""))&gt;=7,'9 Grid'!$B$6,'9 Grid'!$B$5)))</f>
        <v>Job Target Kosong</v>
      </c>
      <c r="N9" s="146" t="str">
        <f>IFERROR(IF(Data_Assessment[[#This Row],[IPP (3 YEARS AVERAGE)]]="","(IPP Belum Ada)",IF(Data_Assessment[[#This Row],[IPP (3 YEARS AVERAGE)]]&lt;2,'9 Grid'!$F$2,IF(Data_Assessment[[#This Row],[IPP (3 YEARS AVERAGE)]]&gt;=4,'9 Grid'!$D$2,'9 Grid'!$E$2))),"")</f>
        <v>Fully Competence Performance</v>
      </c>
      <c r="O9" s="146" t="str">
        <f ca="1">IFERROR(INDEX('9 Grid'!$D$4:$F$6,MATCH('Rekomendasi HAV'!M9,'9 Grid'!$B$4:$B$6,0),MATCH('Rekomendasi HAV'!N9,'9 Grid'!$D$2:$F$2,0)),"")</f>
        <v/>
      </c>
      <c r="P9" s="147" t="str">
        <f>IFERROR(INDEX('9 Grid'!$D$8:$F$8,1,MATCH('Rekomendasi HAV'!N9,'9 Grid'!$D$2:$F$2,0)),"")</f>
        <v>(ST) Within 12 - 18 month</v>
      </c>
    </row>
    <row r="10" spans="1:16" ht="14.25">
      <c r="A10" s="67">
        <v>9</v>
      </c>
      <c r="B10" s="68" t="str">
        <f>INDEX(Data_Assessment[],MATCH('Rekomendasi HAV'!$A10,Data_Assessment[[INDEX]:[INDEX]],0),MATCH('Rekomendasi HAV'!B$1,Data_Assessment[#Headers],0))</f>
        <v>Muhammad Rio Purnomo</v>
      </c>
      <c r="C10" s="68" t="str">
        <f>INDEX(Data_Assessment[],MATCH('Rekomendasi HAV'!$A10,Data_Assessment[[INDEX]:[INDEX]],0),MATCH('Rekomendasi HAV'!C$1,Data_Assessment[#Headers],0))</f>
        <v>Sumatera Utara</v>
      </c>
      <c r="D10" s="68" t="str">
        <f>INDEX(Data_Assessment[],MATCH('Rekomendasi HAV'!$A10,Data_Assessment[[INDEX]:[INDEX]],0),MATCH('Rekomendasi HAV'!D$1,Data_Assessment[#Headers],0))</f>
        <v>LSIP - Dolok Estate</v>
      </c>
      <c r="E10" s="68">
        <f>INDEX(Data_Assessment[],MATCH('Rekomendasi HAV'!$B10,Data_Assessment[[NAME]:[NAME]],0),MATCH('Rekomendasi HAV'!E$1,Data_Assessment[#Headers],0))</f>
        <v>0</v>
      </c>
      <c r="F10" s="68"/>
      <c r="G10" s="68">
        <f>IF(ISNUMBER(SEARCH("DEV",Assessment[[#This Row],[JOB TARGET]])),SUBSTITUTE(Assessment[[#This Row],[JOB TARGET]],"DEV","EST"),Assessment[[#This Row],[JOB TARGET]])</f>
        <v>0</v>
      </c>
      <c r="H10" s="146" t="str" cm="1">
        <f t="array" aca="1" ref="H10" ca="1">IF(Assessment[[#This Row],[JOB TARGET]]="","Job Target Kosong",IF(COUNT(IF('Data Assessment'!$N10:$Z10-OFFSET(Standar!$B$2,MATCH(Assessment[[#This Row],[JOB TARGET
(EST)]],Standar[NAMA JABATAN],0)-1,1,1,13)&lt;0,1,""))&lt;=3,'9 Grid'!$B$4,IF(COUNT(IF('Data Assessment'!$N10:$Z10-OFFSET(Standar!$B$2,MATCH(Assessment[[#This Row],[JOB TARGET]],Standar[NAMA JABATAN],0)-1,1,1,13)&lt;0,1,""))&gt;=7,'9 Grid'!$B$6,'9 Grid'!$B$5)))</f>
        <v>Job Target Kosong</v>
      </c>
      <c r="I10" s="146" t="str">
        <f>IFERROR(IF(Data_Assessment[[#This Row],[IPP (3 YEARS AVERAGE)]]="","(IPP Belum Ada)",IF(Data_Assessment[[#This Row],[IPP (3 YEARS AVERAGE)]]&lt;2,'9 Grid'!$F$2,IF(Data_Assessment[[#This Row],[IPP (3 YEARS AVERAGE)]]&gt;=4,'9 Grid'!$D$2,'9 Grid'!$E$2))),"")</f>
        <v>Contributor</v>
      </c>
      <c r="J10" s="146" t="str">
        <f ca="1">IFERROR(INDEX('9 Grid'!$D$4:$F$6,MATCH('Rekomendasi HAV'!H10,'9 Grid'!$B$4:$B$6,0),MATCH('Rekomendasi HAV'!I10,'9 Grid'!$D$2:$F$2,0)),"")</f>
        <v/>
      </c>
      <c r="K10" s="146" t="str">
        <f>IFERROR(INDEX('9 Grid'!$D$8:$F$8,1,MATCH('Rekomendasi HAV'!I10,'9 Grid'!$D$2:$F$2,0)),"")</f>
        <v>(LT) More 2 - 3 year</v>
      </c>
      <c r="L10" s="146">
        <f>IF(ISNUMBER(SEARCH("EST",Assessment[[#This Row],[JOB TARGET]])),SUBSTITUTE(Assessment[[#This Row],[JOB TARGET]],"EST","DEV"),Assessment[[#This Row],[JOB TARGET]])</f>
        <v>0</v>
      </c>
      <c r="M10" s="146" t="str" cm="1">
        <f t="array" aca="1" ref="M10" ca="1">IF(Assessment[[#This Row],[JOB TARGET]]="","Job Target Kosong",IF(COUNT(IF('Data Assessment'!$N10:$Z10-OFFSET(Standar!$B$2,MATCH(Assessment[[#This Row],[JOB TARGET
(DEV)]],Standar[NAMA JABATAN],0)-1,1,1,13)&lt;0,1,""))&lt;=3,'9 Grid'!$B$4,IF(COUNT(IF('Data Assessment'!$N10:$Z10-OFFSET(Standar!$B$2,MATCH(Assessment[[#This Row],[JOB TARGET
(DEV)]],Standar[NAMA JABATAN],0)-1,1,1,13)&lt;0,1,""))&gt;=7,'9 Grid'!$B$6,'9 Grid'!$B$5)))</f>
        <v>Job Target Kosong</v>
      </c>
      <c r="N10" s="146" t="str">
        <f>IFERROR(IF(Data_Assessment[[#This Row],[IPP (3 YEARS AVERAGE)]]="","(IPP Belum Ada)",IF(Data_Assessment[[#This Row],[IPP (3 YEARS AVERAGE)]]&lt;2,'9 Grid'!$F$2,IF(Data_Assessment[[#This Row],[IPP (3 YEARS AVERAGE)]]&gt;=4,'9 Grid'!$D$2,'9 Grid'!$E$2))),"")</f>
        <v>Contributor</v>
      </c>
      <c r="O10" s="146" t="str">
        <f ca="1">IFERROR(INDEX('9 Grid'!$D$4:$F$6,MATCH('Rekomendasi HAV'!M10,'9 Grid'!$B$4:$B$6,0),MATCH('Rekomendasi HAV'!N10,'9 Grid'!$D$2:$F$2,0)),"")</f>
        <v/>
      </c>
      <c r="P10" s="147" t="str">
        <f>IFERROR(INDEX('9 Grid'!$D$8:$F$8,1,MATCH('Rekomendasi HAV'!N10,'9 Grid'!$D$2:$F$2,0)),"")</f>
        <v>(LT) More 2 - 3 year</v>
      </c>
    </row>
    <row r="11" spans="1:16" ht="28.5">
      <c r="A11" s="67">
        <v>10</v>
      </c>
      <c r="B11" s="68" t="str">
        <f>INDEX(Data_Assessment[],MATCH('Rekomendasi HAV'!$A11,Data_Assessment[[INDEX]:[INDEX]],0),MATCH('Rekomendasi HAV'!B$1,Data_Assessment[#Headers],0))</f>
        <v>Elvidawaty</v>
      </c>
      <c r="C11" s="68" t="str">
        <f>INDEX(Data_Assessment[],MATCH('Rekomendasi HAV'!$A11,Data_Assessment[[INDEX]:[INDEX]],0),MATCH('Rekomendasi HAV'!C$1,Data_Assessment[#Headers],0))</f>
        <v>Medan</v>
      </c>
      <c r="D11" s="68" t="str">
        <f>INDEX(Data_Assessment[],MATCH('Rekomendasi HAV'!$A11,Data_Assessment[[INDEX]:[INDEX]],0),MATCH('Rekomendasi HAV'!D$1,Data_Assessment[#Headers],0))</f>
        <v>LSIP - RO Medan</v>
      </c>
      <c r="E11" s="68">
        <f>INDEX(Data_Assessment[],MATCH('Rekomendasi HAV'!$B11,Data_Assessment[[NAME]:[NAME]],0),MATCH('Rekomendasi HAV'!E$1,Data_Assessment[#Headers],0))</f>
        <v>0</v>
      </c>
      <c r="F11" s="68"/>
      <c r="G11" s="68">
        <f>IF(ISNUMBER(SEARCH("DEV",Assessment[[#This Row],[JOB TARGET]])),SUBSTITUTE(Assessment[[#This Row],[JOB TARGET]],"DEV","EST"),Assessment[[#This Row],[JOB TARGET]])</f>
        <v>0</v>
      </c>
      <c r="H11" s="146" t="str" cm="1">
        <f t="array" aca="1" ref="H11" ca="1">IF(Assessment[[#This Row],[JOB TARGET]]="","Job Target Kosong",IF(COUNT(IF('Data Assessment'!$N11:$Z11-OFFSET(Standar!$B$2,MATCH(Assessment[[#This Row],[JOB TARGET
(EST)]],Standar[NAMA JABATAN],0)-1,1,1,13)&lt;0,1,""))&lt;=3,'9 Grid'!$B$4,IF(COUNT(IF('Data Assessment'!$N11:$Z11-OFFSET(Standar!$B$2,MATCH(Assessment[[#This Row],[JOB TARGET]],Standar[NAMA JABATAN],0)-1,1,1,13)&lt;0,1,""))&gt;=7,'9 Grid'!$B$6,'9 Grid'!$B$5)))</f>
        <v>Job Target Kosong</v>
      </c>
      <c r="I11" s="146" t="str">
        <f>IFERROR(IF(Data_Assessment[[#This Row],[IPP (3 YEARS AVERAGE)]]="","(IPP Belum Ada)",IF(Data_Assessment[[#This Row],[IPP (3 YEARS AVERAGE)]]&lt;2,'9 Grid'!$F$2,IF(Data_Assessment[[#This Row],[IPP (3 YEARS AVERAGE)]]&gt;=4,'9 Grid'!$D$2,'9 Grid'!$E$2))),"")</f>
        <v>Fully Competence Performance</v>
      </c>
      <c r="J11" s="146" t="str">
        <f ca="1">IFERROR(INDEX('9 Grid'!$D$4:$F$6,MATCH('Rekomendasi HAV'!H11,'9 Grid'!$B$4:$B$6,0),MATCH('Rekomendasi HAV'!I11,'9 Grid'!$D$2:$F$2,0)),"")</f>
        <v/>
      </c>
      <c r="K11" s="146" t="str">
        <f>IFERROR(INDEX('9 Grid'!$D$8:$F$8,1,MATCH('Rekomendasi HAV'!I11,'9 Grid'!$D$2:$F$2,0)),"")</f>
        <v>(ST) Within 12 - 18 month</v>
      </c>
      <c r="L11" s="146">
        <f>IF(ISNUMBER(SEARCH("EST",Assessment[[#This Row],[JOB TARGET]])),SUBSTITUTE(Assessment[[#This Row],[JOB TARGET]],"EST","DEV"),Assessment[[#This Row],[JOB TARGET]])</f>
        <v>0</v>
      </c>
      <c r="M11" s="146" t="str" cm="1">
        <f t="array" aca="1" ref="M11" ca="1">IF(Assessment[[#This Row],[JOB TARGET]]="","Job Target Kosong",IF(COUNT(IF('Data Assessment'!$N11:$Z11-OFFSET(Standar!$B$2,MATCH(Assessment[[#This Row],[JOB TARGET
(DEV)]],Standar[NAMA JABATAN],0)-1,1,1,13)&lt;0,1,""))&lt;=3,'9 Grid'!$B$4,IF(COUNT(IF('Data Assessment'!$N11:$Z11-OFFSET(Standar!$B$2,MATCH(Assessment[[#This Row],[JOB TARGET
(DEV)]],Standar[NAMA JABATAN],0)-1,1,1,13)&lt;0,1,""))&gt;=7,'9 Grid'!$B$6,'9 Grid'!$B$5)))</f>
        <v>Job Target Kosong</v>
      </c>
      <c r="N11" s="146" t="str">
        <f>IFERROR(IF(Data_Assessment[[#This Row],[IPP (3 YEARS AVERAGE)]]="","(IPP Belum Ada)",IF(Data_Assessment[[#This Row],[IPP (3 YEARS AVERAGE)]]&lt;2,'9 Grid'!$F$2,IF(Data_Assessment[[#This Row],[IPP (3 YEARS AVERAGE)]]&gt;=4,'9 Grid'!$D$2,'9 Grid'!$E$2))),"")</f>
        <v>Fully Competence Performance</v>
      </c>
      <c r="O11" s="146" t="str">
        <f ca="1">IFERROR(INDEX('9 Grid'!$D$4:$F$6,MATCH('Rekomendasi HAV'!M11,'9 Grid'!$B$4:$B$6,0),MATCH('Rekomendasi HAV'!N11,'9 Grid'!$D$2:$F$2,0)),"")</f>
        <v/>
      </c>
      <c r="P11" s="147" t="str">
        <f>IFERROR(INDEX('9 Grid'!$D$8:$F$8,1,MATCH('Rekomendasi HAV'!N11,'9 Grid'!$D$2:$F$2,0)),"")</f>
        <v>(ST) Within 12 - 18 month</v>
      </c>
    </row>
    <row r="12" spans="1:16" ht="14.25">
      <c r="A12" s="67">
        <v>11</v>
      </c>
      <c r="B12" s="68" t="str">
        <f>INDEX(Data_Assessment[],MATCH('Rekomendasi HAV'!$A12,Data_Assessment[[INDEX]:[INDEX]],0),MATCH('Rekomendasi HAV'!B$1,Data_Assessment[#Headers],0))</f>
        <v>Wahyu Nurhadi</v>
      </c>
      <c r="C12" s="68" t="str">
        <f>INDEX(Data_Assessment[],MATCH('Rekomendasi HAV'!$A12,Data_Assessment[[INDEX]:[INDEX]],0),MATCH('Rekomendasi HAV'!C$1,Data_Assessment[#Headers],0))</f>
        <v>Sumatera Utara</v>
      </c>
      <c r="D12" s="68" t="str">
        <f>INDEX(Data_Assessment[],MATCH('Rekomendasi HAV'!$A12,Data_Assessment[[INDEX]:[INDEX]],0),MATCH('Rekomendasi HAV'!D$1,Data_Assessment[#Headers],0))</f>
        <v>LSIP - Gunung Malayu Estate</v>
      </c>
      <c r="E12" s="68">
        <f>INDEX(Data_Assessment[],MATCH('Rekomendasi HAV'!$B12,Data_Assessment[[NAME]:[NAME]],0),MATCH('Rekomendasi HAV'!E$1,Data_Assessment[#Headers],0))</f>
        <v>0</v>
      </c>
      <c r="F12" s="68"/>
      <c r="G12" s="68">
        <f>IF(ISNUMBER(SEARCH("DEV",Assessment[[#This Row],[JOB TARGET]])),SUBSTITUTE(Assessment[[#This Row],[JOB TARGET]],"DEV","EST"),Assessment[[#This Row],[JOB TARGET]])</f>
        <v>0</v>
      </c>
      <c r="H12" s="146" t="str" cm="1">
        <f t="array" aca="1" ref="H12" ca="1">IF(Assessment[[#This Row],[JOB TARGET]]="","Job Target Kosong",IF(COUNT(IF('Data Assessment'!$N12:$Z12-OFFSET(Standar!$B$2,MATCH(Assessment[[#This Row],[JOB TARGET
(EST)]],Standar[NAMA JABATAN],0)-1,1,1,13)&lt;0,1,""))&lt;=3,'9 Grid'!$B$4,IF(COUNT(IF('Data Assessment'!$N12:$Z12-OFFSET(Standar!$B$2,MATCH(Assessment[[#This Row],[JOB TARGET]],Standar[NAMA JABATAN],0)-1,1,1,13)&lt;0,1,""))&gt;=7,'9 Grid'!$B$6,'9 Grid'!$B$5)))</f>
        <v>Job Target Kosong</v>
      </c>
      <c r="I12" s="146" t="str">
        <f>IFERROR(IF(Data_Assessment[[#This Row],[IPP (3 YEARS AVERAGE)]]="","(IPP Belum Ada)",IF(Data_Assessment[[#This Row],[IPP (3 YEARS AVERAGE)]]&lt;2,'9 Grid'!$F$2,IF(Data_Assessment[[#This Row],[IPP (3 YEARS AVERAGE)]]&gt;=4,'9 Grid'!$D$2,'9 Grid'!$E$2))),"")</f>
        <v>Contributor</v>
      </c>
      <c r="J12" s="146" t="str">
        <f ca="1">IFERROR(INDEX('9 Grid'!$D$4:$F$6,MATCH('Rekomendasi HAV'!H12,'9 Grid'!$B$4:$B$6,0),MATCH('Rekomendasi HAV'!I12,'9 Grid'!$D$2:$F$2,0)),"")</f>
        <v/>
      </c>
      <c r="K12" s="146" t="str">
        <f>IFERROR(INDEX('9 Grid'!$D$8:$F$8,1,MATCH('Rekomendasi HAV'!I12,'9 Grid'!$D$2:$F$2,0)),"")</f>
        <v>(LT) More 2 - 3 year</v>
      </c>
      <c r="L12" s="146">
        <f>IF(ISNUMBER(SEARCH("EST",Assessment[[#This Row],[JOB TARGET]])),SUBSTITUTE(Assessment[[#This Row],[JOB TARGET]],"EST","DEV"),Assessment[[#This Row],[JOB TARGET]])</f>
        <v>0</v>
      </c>
      <c r="M12" s="146" t="str" cm="1">
        <f t="array" aca="1" ref="M12" ca="1">IF(Assessment[[#This Row],[JOB TARGET]]="","Job Target Kosong",IF(COUNT(IF('Data Assessment'!$N12:$Z12-OFFSET(Standar!$B$2,MATCH(Assessment[[#This Row],[JOB TARGET
(DEV)]],Standar[NAMA JABATAN],0)-1,1,1,13)&lt;0,1,""))&lt;=3,'9 Grid'!$B$4,IF(COUNT(IF('Data Assessment'!$N12:$Z12-OFFSET(Standar!$B$2,MATCH(Assessment[[#This Row],[JOB TARGET
(DEV)]],Standar[NAMA JABATAN],0)-1,1,1,13)&lt;0,1,""))&gt;=7,'9 Grid'!$B$6,'9 Grid'!$B$5)))</f>
        <v>Job Target Kosong</v>
      </c>
      <c r="N12" s="146" t="str">
        <f>IFERROR(IF(Data_Assessment[[#This Row],[IPP (3 YEARS AVERAGE)]]="","(IPP Belum Ada)",IF(Data_Assessment[[#This Row],[IPP (3 YEARS AVERAGE)]]&lt;2,'9 Grid'!$F$2,IF(Data_Assessment[[#This Row],[IPP (3 YEARS AVERAGE)]]&gt;=4,'9 Grid'!$D$2,'9 Grid'!$E$2))),"")</f>
        <v>Contributor</v>
      </c>
      <c r="O12" s="146" t="str">
        <f ca="1">IFERROR(INDEX('9 Grid'!$D$4:$F$6,MATCH('Rekomendasi HAV'!M12,'9 Grid'!$B$4:$B$6,0),MATCH('Rekomendasi HAV'!N12,'9 Grid'!$D$2:$F$2,0)),"")</f>
        <v/>
      </c>
      <c r="P12" s="147" t="str">
        <f>IFERROR(INDEX('9 Grid'!$D$8:$F$8,1,MATCH('Rekomendasi HAV'!N12,'9 Grid'!$D$2:$F$2,0)),"")</f>
        <v>(LT) More 2 - 3 year</v>
      </c>
    </row>
    <row r="13" spans="1:16" ht="28.5">
      <c r="A13" s="67">
        <v>12</v>
      </c>
      <c r="B13" s="68" t="str">
        <f>INDEX(Data_Assessment[],MATCH('Rekomendasi HAV'!$A13,Data_Assessment[[INDEX]:[INDEX]],0),MATCH('Rekomendasi HAV'!B$1,Data_Assessment[#Headers],0))</f>
        <v>Ainul Fahrin Siregar</v>
      </c>
      <c r="C13" s="68" t="str">
        <f>INDEX(Data_Assessment[],MATCH('Rekomendasi HAV'!$A13,Data_Assessment[[INDEX]:[INDEX]],0),MATCH('Rekomendasi HAV'!C$1,Data_Assessment[#Headers],0))</f>
        <v>Sumatera Utara</v>
      </c>
      <c r="D13" s="68" t="str">
        <f>INDEX(Data_Assessment[],MATCH('Rekomendasi HAV'!$A13,Data_Assessment[[INDEX]:[INDEX]],0),MATCH('Rekomendasi HAV'!D$1,Data_Assessment[#Headers],0))</f>
        <v>LSIP - RO Medan</v>
      </c>
      <c r="E13" s="68">
        <f>INDEX(Data_Assessment[],MATCH('Rekomendasi HAV'!$B13,Data_Assessment[[NAME]:[NAME]],0),MATCH('Rekomendasi HAV'!E$1,Data_Assessment[#Headers],0))</f>
        <v>0</v>
      </c>
      <c r="F13" s="68"/>
      <c r="G13" s="68">
        <f>IF(ISNUMBER(SEARCH("DEV",Assessment[[#This Row],[JOB TARGET]])),SUBSTITUTE(Assessment[[#This Row],[JOB TARGET]],"DEV","EST"),Assessment[[#This Row],[JOB TARGET]])</f>
        <v>0</v>
      </c>
      <c r="H13" s="146" t="str" cm="1">
        <f t="array" aca="1" ref="H13" ca="1">IF(Assessment[[#This Row],[JOB TARGET]]="","Job Target Kosong",IF(COUNT(IF('Data Assessment'!$N13:$Z13-OFFSET(Standar!$B$2,MATCH(Assessment[[#This Row],[JOB TARGET
(EST)]],Standar[NAMA JABATAN],0)-1,1,1,13)&lt;0,1,""))&lt;=3,'9 Grid'!$B$4,IF(COUNT(IF('Data Assessment'!$N13:$Z13-OFFSET(Standar!$B$2,MATCH(Assessment[[#This Row],[JOB TARGET]],Standar[NAMA JABATAN],0)-1,1,1,13)&lt;0,1,""))&gt;=7,'9 Grid'!$B$6,'9 Grid'!$B$5)))</f>
        <v>Job Target Kosong</v>
      </c>
      <c r="I13" s="146" t="str">
        <f>IFERROR(IF(Data_Assessment[[#This Row],[IPP (3 YEARS AVERAGE)]]="","(IPP Belum Ada)",IF(Data_Assessment[[#This Row],[IPP (3 YEARS AVERAGE)]]&lt;2,'9 Grid'!$F$2,IF(Data_Assessment[[#This Row],[IPP (3 YEARS AVERAGE)]]&gt;=4,'9 Grid'!$D$2,'9 Grid'!$E$2))),"")</f>
        <v>Fully Competence Performance</v>
      </c>
      <c r="J13" s="146" t="str">
        <f ca="1">IFERROR(INDEX('9 Grid'!$D$4:$F$6,MATCH('Rekomendasi HAV'!H13,'9 Grid'!$B$4:$B$6,0),MATCH('Rekomendasi HAV'!I13,'9 Grid'!$D$2:$F$2,0)),"")</f>
        <v/>
      </c>
      <c r="K13" s="146" t="str">
        <f>IFERROR(INDEX('9 Grid'!$D$8:$F$8,1,MATCH('Rekomendasi HAV'!I13,'9 Grid'!$D$2:$F$2,0)),"")</f>
        <v>(ST) Within 12 - 18 month</v>
      </c>
      <c r="L13" s="146">
        <f>IF(ISNUMBER(SEARCH("EST",Assessment[[#This Row],[JOB TARGET]])),SUBSTITUTE(Assessment[[#This Row],[JOB TARGET]],"EST","DEV"),Assessment[[#This Row],[JOB TARGET]])</f>
        <v>0</v>
      </c>
      <c r="M13" s="146" t="str" cm="1">
        <f t="array" aca="1" ref="M13" ca="1">IF(Assessment[[#This Row],[JOB TARGET]]="","Job Target Kosong",IF(COUNT(IF('Data Assessment'!$N13:$Z13-OFFSET(Standar!$B$2,MATCH(Assessment[[#This Row],[JOB TARGET
(DEV)]],Standar[NAMA JABATAN],0)-1,1,1,13)&lt;0,1,""))&lt;=3,'9 Grid'!$B$4,IF(COUNT(IF('Data Assessment'!$N13:$Z13-OFFSET(Standar!$B$2,MATCH(Assessment[[#This Row],[JOB TARGET
(DEV)]],Standar[NAMA JABATAN],0)-1,1,1,13)&lt;0,1,""))&gt;=7,'9 Grid'!$B$6,'9 Grid'!$B$5)))</f>
        <v>Job Target Kosong</v>
      </c>
      <c r="N13" s="146" t="str">
        <f>IFERROR(IF(Data_Assessment[[#This Row],[IPP (3 YEARS AVERAGE)]]="","(IPP Belum Ada)",IF(Data_Assessment[[#This Row],[IPP (3 YEARS AVERAGE)]]&lt;2,'9 Grid'!$F$2,IF(Data_Assessment[[#This Row],[IPP (3 YEARS AVERAGE)]]&gt;=4,'9 Grid'!$D$2,'9 Grid'!$E$2))),"")</f>
        <v>Fully Competence Performance</v>
      </c>
      <c r="O13" s="146" t="str">
        <f ca="1">IFERROR(INDEX('9 Grid'!$D$4:$F$6,MATCH('Rekomendasi HAV'!M13,'9 Grid'!$B$4:$B$6,0),MATCH('Rekomendasi HAV'!N13,'9 Grid'!$D$2:$F$2,0)),"")</f>
        <v/>
      </c>
      <c r="P13" s="147" t="str">
        <f>IFERROR(INDEX('9 Grid'!$D$8:$F$8,1,MATCH('Rekomendasi HAV'!N13,'9 Grid'!$D$2:$F$2,0)),"")</f>
        <v>(ST) Within 12 - 18 month</v>
      </c>
    </row>
    <row r="14" spans="1:16" ht="14.25">
      <c r="A14" s="67">
        <v>13</v>
      </c>
      <c r="B14" s="68" t="str">
        <f>INDEX(Data_Assessment[],MATCH('Rekomendasi HAV'!$A14,Data_Assessment[[INDEX]:[INDEX]],0),MATCH('Rekomendasi HAV'!B$1,Data_Assessment[#Headers],0))</f>
        <v>Sanggam Parulian Purba</v>
      </c>
      <c r="C14" s="68" t="str">
        <f>INDEX(Data_Assessment[],MATCH('Rekomendasi HAV'!$A14,Data_Assessment[[INDEX]:[INDEX]],0),MATCH('Rekomendasi HAV'!C$1,Data_Assessment[#Headers],0))</f>
        <v>Sumatera Utara</v>
      </c>
      <c r="D14" s="68" t="str">
        <f>INDEX(Data_Assessment[],MATCH('Rekomendasi HAV'!$A14,Data_Assessment[[INDEX]:[INDEX]],0),MATCH('Rekomendasi HAV'!D$1,Data_Assessment[#Headers],0))</f>
        <v>LSIP - Sei Rumbiya Estate</v>
      </c>
      <c r="E14" s="68">
        <f>INDEX(Data_Assessment[],MATCH('Rekomendasi HAV'!$B14,Data_Assessment[[NAME]:[NAME]],0),MATCH('Rekomendasi HAV'!E$1,Data_Assessment[#Headers],0))</f>
        <v>0</v>
      </c>
      <c r="F14" s="68"/>
      <c r="G14" s="68">
        <f>IF(ISNUMBER(SEARCH("DEV",Assessment[[#This Row],[JOB TARGET]])),SUBSTITUTE(Assessment[[#This Row],[JOB TARGET]],"DEV","EST"),Assessment[[#This Row],[JOB TARGET]])</f>
        <v>0</v>
      </c>
      <c r="H14" s="146" t="str" cm="1">
        <f t="array" aca="1" ref="H14" ca="1">IF(Assessment[[#This Row],[JOB TARGET]]="","Job Target Kosong",IF(COUNT(IF('Data Assessment'!$N14:$Z14-OFFSET(Standar!$B$2,MATCH(Assessment[[#This Row],[JOB TARGET
(EST)]],Standar[NAMA JABATAN],0)-1,1,1,13)&lt;0,1,""))&lt;=3,'9 Grid'!$B$4,IF(COUNT(IF('Data Assessment'!$N14:$Z14-OFFSET(Standar!$B$2,MATCH(Assessment[[#This Row],[JOB TARGET]],Standar[NAMA JABATAN],0)-1,1,1,13)&lt;0,1,""))&gt;=7,'9 Grid'!$B$6,'9 Grid'!$B$5)))</f>
        <v>Job Target Kosong</v>
      </c>
      <c r="I14" s="146" t="str">
        <f>IFERROR(IF(Data_Assessment[[#This Row],[IPP (3 YEARS AVERAGE)]]="","(IPP Belum Ada)",IF(Data_Assessment[[#This Row],[IPP (3 YEARS AVERAGE)]]&lt;2,'9 Grid'!$F$2,IF(Data_Assessment[[#This Row],[IPP (3 YEARS AVERAGE)]]&gt;=4,'9 Grid'!$D$2,'9 Grid'!$E$2))),"")</f>
        <v>Contributor</v>
      </c>
      <c r="J14" s="146" t="str">
        <f ca="1">IFERROR(INDEX('9 Grid'!$D$4:$F$6,MATCH('Rekomendasi HAV'!H14,'9 Grid'!$B$4:$B$6,0),MATCH('Rekomendasi HAV'!I14,'9 Grid'!$D$2:$F$2,0)),"")</f>
        <v/>
      </c>
      <c r="K14" s="146" t="str">
        <f>IFERROR(INDEX('9 Grid'!$D$8:$F$8,1,MATCH('Rekomendasi HAV'!I14,'9 Grid'!$D$2:$F$2,0)),"")</f>
        <v>(LT) More 2 - 3 year</v>
      </c>
      <c r="L14" s="146">
        <f>IF(ISNUMBER(SEARCH("EST",Assessment[[#This Row],[JOB TARGET]])),SUBSTITUTE(Assessment[[#This Row],[JOB TARGET]],"EST","DEV"),Assessment[[#This Row],[JOB TARGET]])</f>
        <v>0</v>
      </c>
      <c r="M14" s="146" t="str" cm="1">
        <f t="array" aca="1" ref="M14" ca="1">IF(Assessment[[#This Row],[JOB TARGET]]="","Job Target Kosong",IF(COUNT(IF('Data Assessment'!$N14:$Z14-OFFSET(Standar!$B$2,MATCH(Assessment[[#This Row],[JOB TARGET
(DEV)]],Standar[NAMA JABATAN],0)-1,1,1,13)&lt;0,1,""))&lt;=3,'9 Grid'!$B$4,IF(COUNT(IF('Data Assessment'!$N14:$Z14-OFFSET(Standar!$B$2,MATCH(Assessment[[#This Row],[JOB TARGET
(DEV)]],Standar[NAMA JABATAN],0)-1,1,1,13)&lt;0,1,""))&gt;=7,'9 Grid'!$B$6,'9 Grid'!$B$5)))</f>
        <v>Job Target Kosong</v>
      </c>
      <c r="N14" s="146" t="str">
        <f>IFERROR(IF(Data_Assessment[[#This Row],[IPP (3 YEARS AVERAGE)]]="","(IPP Belum Ada)",IF(Data_Assessment[[#This Row],[IPP (3 YEARS AVERAGE)]]&lt;2,'9 Grid'!$F$2,IF(Data_Assessment[[#This Row],[IPP (3 YEARS AVERAGE)]]&gt;=4,'9 Grid'!$D$2,'9 Grid'!$E$2))),"")</f>
        <v>Contributor</v>
      </c>
      <c r="O14" s="146" t="str">
        <f ca="1">IFERROR(INDEX('9 Grid'!$D$4:$F$6,MATCH('Rekomendasi HAV'!M14,'9 Grid'!$B$4:$B$6,0),MATCH('Rekomendasi HAV'!N14,'9 Grid'!$D$2:$F$2,0)),"")</f>
        <v/>
      </c>
      <c r="P14" s="147" t="str">
        <f>IFERROR(INDEX('9 Grid'!$D$8:$F$8,1,MATCH('Rekomendasi HAV'!N14,'9 Grid'!$D$2:$F$2,0)),"")</f>
        <v>(LT) More 2 - 3 year</v>
      </c>
    </row>
    <row r="15" spans="1:16" ht="28.5">
      <c r="A15" s="67">
        <v>14</v>
      </c>
      <c r="B15" s="68" t="str">
        <f>INDEX(Data_Assessment[],MATCH('Rekomendasi HAV'!$A15,Data_Assessment[[INDEX]:[INDEX]],0),MATCH('Rekomendasi HAV'!B$1,Data_Assessment[#Headers],0))</f>
        <v>Hamimah</v>
      </c>
      <c r="C15" s="68" t="str">
        <f>INDEX(Data_Assessment[],MATCH('Rekomendasi HAV'!$A15,Data_Assessment[[INDEX]:[INDEX]],0),MATCH('Rekomendasi HAV'!C$1,Data_Assessment[#Headers],0))</f>
        <v>Sumatera Utara</v>
      </c>
      <c r="D15" s="68" t="str">
        <f>INDEX(Data_Assessment[],MATCH('Rekomendasi HAV'!$A15,Data_Assessment[[INDEX]:[INDEX]],0),MATCH('Rekomendasi HAV'!D$1,Data_Assessment[#Headers],0))</f>
        <v>LSIP - RO Medan</v>
      </c>
      <c r="E15" s="68">
        <f>INDEX(Data_Assessment[],MATCH('Rekomendasi HAV'!$B15,Data_Assessment[[NAME]:[NAME]],0),MATCH('Rekomendasi HAV'!E$1,Data_Assessment[#Headers],0))</f>
        <v>0</v>
      </c>
      <c r="F15" s="68"/>
      <c r="G15" s="68">
        <f>IF(ISNUMBER(SEARCH("DEV",Assessment[[#This Row],[JOB TARGET]])),SUBSTITUTE(Assessment[[#This Row],[JOB TARGET]],"DEV","EST"),Assessment[[#This Row],[JOB TARGET]])</f>
        <v>0</v>
      </c>
      <c r="H15" s="146" t="str" cm="1">
        <f t="array" aca="1" ref="H15" ca="1">IF(Assessment[[#This Row],[JOB TARGET]]="","Job Target Kosong",IF(COUNT(IF('Data Assessment'!$N15:$Z15-OFFSET(Standar!$B$2,MATCH(Assessment[[#This Row],[JOB TARGET
(EST)]],Standar[NAMA JABATAN],0)-1,1,1,13)&lt;0,1,""))&lt;=3,'9 Grid'!$B$4,IF(COUNT(IF('Data Assessment'!$N15:$Z15-OFFSET(Standar!$B$2,MATCH(Assessment[[#This Row],[JOB TARGET]],Standar[NAMA JABATAN],0)-1,1,1,13)&lt;0,1,""))&gt;=7,'9 Grid'!$B$6,'9 Grid'!$B$5)))</f>
        <v>Job Target Kosong</v>
      </c>
      <c r="I15" s="146" t="str">
        <f>IFERROR(IF(Data_Assessment[[#This Row],[IPP (3 YEARS AVERAGE)]]="","(IPP Belum Ada)",IF(Data_Assessment[[#This Row],[IPP (3 YEARS AVERAGE)]]&lt;2,'9 Grid'!$F$2,IF(Data_Assessment[[#This Row],[IPP (3 YEARS AVERAGE)]]&gt;=4,'9 Grid'!$D$2,'9 Grid'!$E$2))),"")</f>
        <v>Fully Competence Performance</v>
      </c>
      <c r="J15" s="146" t="str">
        <f ca="1">IFERROR(INDEX('9 Grid'!$D$4:$F$6,MATCH('Rekomendasi HAV'!H15,'9 Grid'!$B$4:$B$6,0),MATCH('Rekomendasi HAV'!I15,'9 Grid'!$D$2:$F$2,0)),"")</f>
        <v/>
      </c>
      <c r="K15" s="146" t="str">
        <f>IFERROR(INDEX('9 Grid'!$D$8:$F$8,1,MATCH('Rekomendasi HAV'!I15,'9 Grid'!$D$2:$F$2,0)),"")</f>
        <v>(ST) Within 12 - 18 month</v>
      </c>
      <c r="L15" s="146">
        <f>IF(ISNUMBER(SEARCH("EST",Assessment[[#This Row],[JOB TARGET]])),SUBSTITUTE(Assessment[[#This Row],[JOB TARGET]],"EST","DEV"),Assessment[[#This Row],[JOB TARGET]])</f>
        <v>0</v>
      </c>
      <c r="M15" s="146" t="str" cm="1">
        <f t="array" aca="1" ref="M15" ca="1">IF(Assessment[[#This Row],[JOB TARGET]]="","Job Target Kosong",IF(COUNT(IF('Data Assessment'!$N15:$Z15-OFFSET(Standar!$B$2,MATCH(Assessment[[#This Row],[JOB TARGET
(DEV)]],Standar[NAMA JABATAN],0)-1,1,1,13)&lt;0,1,""))&lt;=3,'9 Grid'!$B$4,IF(COUNT(IF('Data Assessment'!$N15:$Z15-OFFSET(Standar!$B$2,MATCH(Assessment[[#This Row],[JOB TARGET
(DEV)]],Standar[NAMA JABATAN],0)-1,1,1,13)&lt;0,1,""))&gt;=7,'9 Grid'!$B$6,'9 Grid'!$B$5)))</f>
        <v>Job Target Kosong</v>
      </c>
      <c r="N15" s="146" t="str">
        <f>IFERROR(IF(Data_Assessment[[#This Row],[IPP (3 YEARS AVERAGE)]]="","(IPP Belum Ada)",IF(Data_Assessment[[#This Row],[IPP (3 YEARS AVERAGE)]]&lt;2,'9 Grid'!$F$2,IF(Data_Assessment[[#This Row],[IPP (3 YEARS AVERAGE)]]&gt;=4,'9 Grid'!$D$2,'9 Grid'!$E$2))),"")</f>
        <v>Fully Competence Performance</v>
      </c>
      <c r="O15" s="146" t="str">
        <f ca="1">IFERROR(INDEX('9 Grid'!$D$4:$F$6,MATCH('Rekomendasi HAV'!M15,'9 Grid'!$B$4:$B$6,0),MATCH('Rekomendasi HAV'!N15,'9 Grid'!$D$2:$F$2,0)),"")</f>
        <v/>
      </c>
      <c r="P15" s="147" t="str">
        <f>IFERROR(INDEX('9 Grid'!$D$8:$F$8,1,MATCH('Rekomendasi HAV'!N15,'9 Grid'!$D$2:$F$2,0)),"")</f>
        <v>(ST) Within 12 - 18 month</v>
      </c>
    </row>
    <row r="16" spans="1:16" ht="14.25">
      <c r="A16" s="67">
        <v>15</v>
      </c>
      <c r="B16" s="68" t="str">
        <f>INDEX(Data_Assessment[],MATCH('Rekomendasi HAV'!$A16,Data_Assessment[[INDEX]:[INDEX]],0),MATCH('Rekomendasi HAV'!B$1,Data_Assessment[#Headers],0))</f>
        <v>Rahmat Sulaiman Hasayangan</v>
      </c>
      <c r="C16" s="68" t="str">
        <f>INDEX(Data_Assessment[],MATCH('Rekomendasi HAV'!$A16,Data_Assessment[[INDEX]:[INDEX]],0),MATCH('Rekomendasi HAV'!C$1,Data_Assessment[#Headers],0))</f>
        <v>Sumatera Utara</v>
      </c>
      <c r="D16" s="68" t="str">
        <f>INDEX(Data_Assessment[],MATCH('Rekomendasi HAV'!$A16,Data_Assessment[[INDEX]:[INDEX]],0),MATCH('Rekomendasi HAV'!D$1,Data_Assessment[#Headers],0))</f>
        <v>LSIP - Sei Rumbiya Estate</v>
      </c>
      <c r="E16" s="68">
        <f>INDEX(Data_Assessment[],MATCH('Rekomendasi HAV'!$B16,Data_Assessment[[NAME]:[NAME]],0),MATCH('Rekomendasi HAV'!E$1,Data_Assessment[#Headers],0))</f>
        <v>0</v>
      </c>
      <c r="F16" s="68"/>
      <c r="G16" s="68">
        <f>IF(ISNUMBER(SEARCH("DEV",Assessment[[#This Row],[JOB TARGET]])),SUBSTITUTE(Assessment[[#This Row],[JOB TARGET]],"DEV","EST"),Assessment[[#This Row],[JOB TARGET]])</f>
        <v>0</v>
      </c>
      <c r="H16" s="146" t="str" cm="1">
        <f t="array" aca="1" ref="H16" ca="1">IF(Assessment[[#This Row],[JOB TARGET]]="","Job Target Kosong",IF(COUNT(IF('Data Assessment'!$N16:$Z16-OFFSET(Standar!$B$2,MATCH(Assessment[[#This Row],[JOB TARGET
(EST)]],Standar[NAMA JABATAN],0)-1,1,1,13)&lt;0,1,""))&lt;=3,'9 Grid'!$B$4,IF(COUNT(IF('Data Assessment'!$N16:$Z16-OFFSET(Standar!$B$2,MATCH(Assessment[[#This Row],[JOB TARGET]],Standar[NAMA JABATAN],0)-1,1,1,13)&lt;0,1,""))&gt;=7,'9 Grid'!$B$6,'9 Grid'!$B$5)))</f>
        <v>Job Target Kosong</v>
      </c>
      <c r="I16" s="146" t="str">
        <f>IFERROR(IF(Data_Assessment[[#This Row],[IPP (3 YEARS AVERAGE)]]="","(IPP Belum Ada)",IF(Data_Assessment[[#This Row],[IPP (3 YEARS AVERAGE)]]&lt;2,'9 Grid'!$F$2,IF(Data_Assessment[[#This Row],[IPP (3 YEARS AVERAGE)]]&gt;=4,'9 Grid'!$D$2,'9 Grid'!$E$2))),"")</f>
        <v>Contributor</v>
      </c>
      <c r="J16" s="146" t="str">
        <f ca="1">IFERROR(INDEX('9 Grid'!$D$4:$F$6,MATCH('Rekomendasi HAV'!H16,'9 Grid'!$B$4:$B$6,0),MATCH('Rekomendasi HAV'!I16,'9 Grid'!$D$2:$F$2,0)),"")</f>
        <v/>
      </c>
      <c r="K16" s="146" t="str">
        <f>IFERROR(INDEX('9 Grid'!$D$8:$F$8,1,MATCH('Rekomendasi HAV'!I16,'9 Grid'!$D$2:$F$2,0)),"")</f>
        <v>(LT) More 2 - 3 year</v>
      </c>
      <c r="L16" s="146">
        <f>IF(ISNUMBER(SEARCH("EST",Assessment[[#This Row],[JOB TARGET]])),SUBSTITUTE(Assessment[[#This Row],[JOB TARGET]],"EST","DEV"),Assessment[[#This Row],[JOB TARGET]])</f>
        <v>0</v>
      </c>
      <c r="M16" s="146" t="str" cm="1">
        <f t="array" aca="1" ref="M16" ca="1">IF(Assessment[[#This Row],[JOB TARGET]]="","Job Target Kosong",IF(COUNT(IF('Data Assessment'!$N16:$Z16-OFFSET(Standar!$B$2,MATCH(Assessment[[#This Row],[JOB TARGET
(DEV)]],Standar[NAMA JABATAN],0)-1,1,1,13)&lt;0,1,""))&lt;=3,'9 Grid'!$B$4,IF(COUNT(IF('Data Assessment'!$N16:$Z16-OFFSET(Standar!$B$2,MATCH(Assessment[[#This Row],[JOB TARGET
(DEV)]],Standar[NAMA JABATAN],0)-1,1,1,13)&lt;0,1,""))&gt;=7,'9 Grid'!$B$6,'9 Grid'!$B$5)))</f>
        <v>Job Target Kosong</v>
      </c>
      <c r="N16" s="146" t="str">
        <f>IFERROR(IF(Data_Assessment[[#This Row],[IPP (3 YEARS AVERAGE)]]="","(IPP Belum Ada)",IF(Data_Assessment[[#This Row],[IPP (3 YEARS AVERAGE)]]&lt;2,'9 Grid'!$F$2,IF(Data_Assessment[[#This Row],[IPP (3 YEARS AVERAGE)]]&gt;=4,'9 Grid'!$D$2,'9 Grid'!$E$2))),"")</f>
        <v>Contributor</v>
      </c>
      <c r="O16" s="146" t="str">
        <f ca="1">IFERROR(INDEX('9 Grid'!$D$4:$F$6,MATCH('Rekomendasi HAV'!M16,'9 Grid'!$B$4:$B$6,0),MATCH('Rekomendasi HAV'!N16,'9 Grid'!$D$2:$F$2,0)),"")</f>
        <v/>
      </c>
      <c r="P16" s="147" t="str">
        <f>IFERROR(INDEX('9 Grid'!$D$8:$F$8,1,MATCH('Rekomendasi HAV'!N16,'9 Grid'!$D$2:$F$2,0)),"")</f>
        <v>(LT) More 2 - 3 year</v>
      </c>
    </row>
    <row r="17" spans="1:16" ht="14.25">
      <c r="A17" s="67">
        <v>16</v>
      </c>
      <c r="B17" s="68" t="str">
        <f>INDEX(Data_Assessment[],MATCH('Rekomendasi HAV'!$A17,Data_Assessment[[INDEX]:[INDEX]],0),MATCH('Rekomendasi HAV'!B$1,Data_Assessment[#Headers],0))</f>
        <v>Jetro Saragih</v>
      </c>
      <c r="C17" s="68" t="str">
        <f>INDEX(Data_Assessment[],MATCH('Rekomendasi HAV'!$A17,Data_Assessment[[INDEX]:[INDEX]],0),MATCH('Rekomendasi HAV'!C$1,Data_Assessment[#Headers],0))</f>
        <v>Sumatera Utara</v>
      </c>
      <c r="D17" s="68" t="str">
        <f>INDEX(Data_Assessment[],MATCH('Rekomendasi HAV'!$A17,Data_Assessment[[INDEX]:[INDEX]],0),MATCH('Rekomendasi HAV'!D$1,Data_Assessment[#Headers],0))</f>
        <v>LSIP - RO Medan</v>
      </c>
      <c r="E17" s="68">
        <f>INDEX(Data_Assessment[],MATCH('Rekomendasi HAV'!$B17,Data_Assessment[[NAME]:[NAME]],0),MATCH('Rekomendasi HAV'!E$1,Data_Assessment[#Headers],0))</f>
        <v>0</v>
      </c>
      <c r="F17" s="68"/>
      <c r="G17" s="68">
        <f>IF(ISNUMBER(SEARCH("DEV",Assessment[[#This Row],[JOB TARGET]])),SUBSTITUTE(Assessment[[#This Row],[JOB TARGET]],"DEV","EST"),Assessment[[#This Row],[JOB TARGET]])</f>
        <v>0</v>
      </c>
      <c r="H17" s="146" t="str" cm="1">
        <f t="array" aca="1" ref="H17" ca="1">IF(Assessment[[#This Row],[JOB TARGET]]="","Job Target Kosong",IF(COUNT(IF('Data Assessment'!$N17:$Z17-OFFSET(Standar!$B$2,MATCH(Assessment[[#This Row],[JOB TARGET
(EST)]],Standar[NAMA JABATAN],0)-1,1,1,13)&lt;0,1,""))&lt;=3,'9 Grid'!$B$4,IF(COUNT(IF('Data Assessment'!$N17:$Z17-OFFSET(Standar!$B$2,MATCH(Assessment[[#This Row],[JOB TARGET]],Standar[NAMA JABATAN],0)-1,1,1,13)&lt;0,1,""))&gt;=7,'9 Grid'!$B$6,'9 Grid'!$B$5)))</f>
        <v>Job Target Kosong</v>
      </c>
      <c r="I17" s="146" t="str">
        <f>IFERROR(IF(Data_Assessment[[#This Row],[IPP (3 YEARS AVERAGE)]]="","(IPP Belum Ada)",IF(Data_Assessment[[#This Row],[IPP (3 YEARS AVERAGE)]]&lt;2,'9 Grid'!$F$2,IF(Data_Assessment[[#This Row],[IPP (3 YEARS AVERAGE)]]&gt;=4,'9 Grid'!$D$2,'9 Grid'!$E$2))),"")</f>
        <v>Contributor</v>
      </c>
      <c r="J17" s="146" t="str">
        <f ca="1">IFERROR(INDEX('9 Grid'!$D$4:$F$6,MATCH('Rekomendasi HAV'!H17,'9 Grid'!$B$4:$B$6,0),MATCH('Rekomendasi HAV'!I17,'9 Grid'!$D$2:$F$2,0)),"")</f>
        <v/>
      </c>
      <c r="K17" s="146" t="str">
        <f>IFERROR(INDEX('9 Grid'!$D$8:$F$8,1,MATCH('Rekomendasi HAV'!I17,'9 Grid'!$D$2:$F$2,0)),"")</f>
        <v>(LT) More 2 - 3 year</v>
      </c>
      <c r="L17" s="146">
        <f>IF(ISNUMBER(SEARCH("EST",Assessment[[#This Row],[JOB TARGET]])),SUBSTITUTE(Assessment[[#This Row],[JOB TARGET]],"EST","DEV"),Assessment[[#This Row],[JOB TARGET]])</f>
        <v>0</v>
      </c>
      <c r="M17" s="146" t="str" cm="1">
        <f t="array" aca="1" ref="M17" ca="1">IF(Assessment[[#This Row],[JOB TARGET]]="","Job Target Kosong",IF(COUNT(IF('Data Assessment'!$N17:$Z17-OFFSET(Standar!$B$2,MATCH(Assessment[[#This Row],[JOB TARGET
(DEV)]],Standar[NAMA JABATAN],0)-1,1,1,13)&lt;0,1,""))&lt;=3,'9 Grid'!$B$4,IF(COUNT(IF('Data Assessment'!$N17:$Z17-OFFSET(Standar!$B$2,MATCH(Assessment[[#This Row],[JOB TARGET
(DEV)]],Standar[NAMA JABATAN],0)-1,1,1,13)&lt;0,1,""))&gt;=7,'9 Grid'!$B$6,'9 Grid'!$B$5)))</f>
        <v>Job Target Kosong</v>
      </c>
      <c r="N17" s="146" t="str">
        <f>IFERROR(IF(Data_Assessment[[#This Row],[IPP (3 YEARS AVERAGE)]]="","(IPP Belum Ada)",IF(Data_Assessment[[#This Row],[IPP (3 YEARS AVERAGE)]]&lt;2,'9 Grid'!$F$2,IF(Data_Assessment[[#This Row],[IPP (3 YEARS AVERAGE)]]&gt;=4,'9 Grid'!$D$2,'9 Grid'!$E$2))),"")</f>
        <v>Contributor</v>
      </c>
      <c r="O17" s="146" t="str">
        <f ca="1">IFERROR(INDEX('9 Grid'!$D$4:$F$6,MATCH('Rekomendasi HAV'!M17,'9 Grid'!$B$4:$B$6,0),MATCH('Rekomendasi HAV'!N17,'9 Grid'!$D$2:$F$2,0)),"")</f>
        <v/>
      </c>
      <c r="P17" s="147" t="str">
        <f>IFERROR(INDEX('9 Grid'!$D$8:$F$8,1,MATCH('Rekomendasi HAV'!N17,'9 Grid'!$D$2:$F$2,0)),"")</f>
        <v>(LT) More 2 - 3 year</v>
      </c>
    </row>
    <row r="18" spans="1:16" ht="14.25">
      <c r="A18" s="67">
        <v>17</v>
      </c>
      <c r="B18" s="68" t="str">
        <f>INDEX(Data_Assessment[],MATCH('Rekomendasi HAV'!$A18,Data_Assessment[[INDEX]:[INDEX]],0),MATCH('Rekomendasi HAV'!B$1,Data_Assessment[#Headers],0))</f>
        <v>Rimsa Budi Arjuna</v>
      </c>
      <c r="C18" s="68" t="str">
        <f>INDEX(Data_Assessment[],MATCH('Rekomendasi HAV'!$A18,Data_Assessment[[INDEX]:[INDEX]],0),MATCH('Rekomendasi HAV'!C$1,Data_Assessment[#Headers],0))</f>
        <v>Sumatera Selatan</v>
      </c>
      <c r="D18" s="68" t="str">
        <f>INDEX(Data_Assessment[],MATCH('Rekomendasi HAV'!$A18,Data_Assessment[[INDEX]:[INDEX]],0),MATCH('Rekomendasi HAV'!D$1,Data_Assessment[#Headers],0))</f>
        <v>LSIP - Belani Elok Palm Oil Mill</v>
      </c>
      <c r="E18" s="68">
        <f>INDEX(Data_Assessment[],MATCH('Rekomendasi HAV'!$B18,Data_Assessment[[NAME]:[NAME]],0),MATCH('Rekomendasi HAV'!E$1,Data_Assessment[#Headers],0))</f>
        <v>0</v>
      </c>
      <c r="F18" s="68"/>
      <c r="G18" s="68">
        <f>IF(ISNUMBER(SEARCH("DEV",Assessment[[#This Row],[JOB TARGET]])),SUBSTITUTE(Assessment[[#This Row],[JOB TARGET]],"DEV","EST"),Assessment[[#This Row],[JOB TARGET]])</f>
        <v>0</v>
      </c>
      <c r="H18" s="146" t="str" cm="1">
        <f t="array" aca="1" ref="H18" ca="1">IF(Assessment[[#This Row],[JOB TARGET]]="","Job Target Kosong",IF(COUNT(IF('Data Assessment'!$N18:$Z18-OFFSET(Standar!$B$2,MATCH(Assessment[[#This Row],[JOB TARGET
(EST)]],Standar[NAMA JABATAN],0)-1,1,1,13)&lt;0,1,""))&lt;=3,'9 Grid'!$B$4,IF(COUNT(IF('Data Assessment'!$N18:$Z18-OFFSET(Standar!$B$2,MATCH(Assessment[[#This Row],[JOB TARGET]],Standar[NAMA JABATAN],0)-1,1,1,13)&lt;0,1,""))&gt;=7,'9 Grid'!$B$6,'9 Grid'!$B$5)))</f>
        <v>Job Target Kosong</v>
      </c>
      <c r="I18" s="146" t="str">
        <f>IFERROR(IF(Data_Assessment[[#This Row],[IPP (3 YEARS AVERAGE)]]="","(IPP Belum Ada)",IF(Data_Assessment[[#This Row],[IPP (3 YEARS AVERAGE)]]&lt;2,'9 Grid'!$F$2,IF(Data_Assessment[[#This Row],[IPP (3 YEARS AVERAGE)]]&gt;=4,'9 Grid'!$D$2,'9 Grid'!$E$2))),"")</f>
        <v>Contributor</v>
      </c>
      <c r="J18" s="146" t="str">
        <f ca="1">IFERROR(INDEX('9 Grid'!$D$4:$F$6,MATCH('Rekomendasi HAV'!H18,'9 Grid'!$B$4:$B$6,0),MATCH('Rekomendasi HAV'!I18,'9 Grid'!$D$2:$F$2,0)),"")</f>
        <v/>
      </c>
      <c r="K18" s="146" t="str">
        <f>IFERROR(INDEX('9 Grid'!$D$8:$F$8,1,MATCH('Rekomendasi HAV'!I18,'9 Grid'!$D$2:$F$2,0)),"")</f>
        <v>(LT) More 2 - 3 year</v>
      </c>
      <c r="L18" s="146">
        <f>IF(ISNUMBER(SEARCH("EST",Assessment[[#This Row],[JOB TARGET]])),SUBSTITUTE(Assessment[[#This Row],[JOB TARGET]],"EST","DEV"),Assessment[[#This Row],[JOB TARGET]])</f>
        <v>0</v>
      </c>
      <c r="M18" s="146" t="str" cm="1">
        <f t="array" aca="1" ref="M18" ca="1">IF(Assessment[[#This Row],[JOB TARGET]]="","Job Target Kosong",IF(COUNT(IF('Data Assessment'!$N18:$Z18-OFFSET(Standar!$B$2,MATCH(Assessment[[#This Row],[JOB TARGET
(DEV)]],Standar[NAMA JABATAN],0)-1,1,1,13)&lt;0,1,""))&lt;=3,'9 Grid'!$B$4,IF(COUNT(IF('Data Assessment'!$N18:$Z18-OFFSET(Standar!$B$2,MATCH(Assessment[[#This Row],[JOB TARGET
(DEV)]],Standar[NAMA JABATAN],0)-1,1,1,13)&lt;0,1,""))&gt;=7,'9 Grid'!$B$6,'9 Grid'!$B$5)))</f>
        <v>Job Target Kosong</v>
      </c>
      <c r="N18" s="146" t="str">
        <f>IFERROR(IF(Data_Assessment[[#This Row],[IPP (3 YEARS AVERAGE)]]="","(IPP Belum Ada)",IF(Data_Assessment[[#This Row],[IPP (3 YEARS AVERAGE)]]&lt;2,'9 Grid'!$F$2,IF(Data_Assessment[[#This Row],[IPP (3 YEARS AVERAGE)]]&gt;=4,'9 Grid'!$D$2,'9 Grid'!$E$2))),"")</f>
        <v>Contributor</v>
      </c>
      <c r="O18" s="146" t="str">
        <f ca="1">IFERROR(INDEX('9 Grid'!$D$4:$F$6,MATCH('Rekomendasi HAV'!M18,'9 Grid'!$B$4:$B$6,0),MATCH('Rekomendasi HAV'!N18,'9 Grid'!$D$2:$F$2,0)),"")</f>
        <v/>
      </c>
      <c r="P18" s="147" t="str">
        <f>IFERROR(INDEX('9 Grid'!$D$8:$F$8,1,MATCH('Rekomendasi HAV'!N18,'9 Grid'!$D$2:$F$2,0)),"")</f>
        <v>(LT) More 2 - 3 year</v>
      </c>
    </row>
    <row r="19" spans="1:16" ht="14.25">
      <c r="A19" s="67">
        <v>18</v>
      </c>
      <c r="B19" s="68" t="str">
        <f>INDEX(Data_Assessment[],MATCH('Rekomendasi HAV'!$A19,Data_Assessment[[INDEX]:[INDEX]],0),MATCH('Rekomendasi HAV'!B$1,Data_Assessment[#Headers],0))</f>
        <v>Andiliani Rinaldo Pasaribu</v>
      </c>
      <c r="C19" s="68" t="str">
        <f>INDEX(Data_Assessment[],MATCH('Rekomendasi HAV'!$A19,Data_Assessment[[INDEX]:[INDEX]],0),MATCH('Rekomendasi HAV'!C$1,Data_Assessment[#Headers],0))</f>
        <v>Sumatera Utara</v>
      </c>
      <c r="D19" s="68" t="str">
        <f>INDEX(Data_Assessment[],MATCH('Rekomendasi HAV'!$A19,Data_Assessment[[INDEX]:[INDEX]],0),MATCH('Rekomendasi HAV'!D$1,Data_Assessment[#Headers],0))</f>
        <v>LSIP - RO Medan</v>
      </c>
      <c r="E19" s="68">
        <f>INDEX(Data_Assessment[],MATCH('Rekomendasi HAV'!$B19,Data_Assessment[[NAME]:[NAME]],0),MATCH('Rekomendasi HAV'!E$1,Data_Assessment[#Headers],0))</f>
        <v>0</v>
      </c>
      <c r="F19" s="68"/>
      <c r="G19" s="68">
        <f>IF(ISNUMBER(SEARCH("DEV",Assessment[[#This Row],[JOB TARGET]])),SUBSTITUTE(Assessment[[#This Row],[JOB TARGET]],"DEV","EST"),Assessment[[#This Row],[JOB TARGET]])</f>
        <v>0</v>
      </c>
      <c r="H19" s="146" t="str" cm="1">
        <f t="array" aca="1" ref="H19" ca="1">IF(Assessment[[#This Row],[JOB TARGET]]="","Job Target Kosong",IF(COUNT(IF('Data Assessment'!$N19:$Z19-OFFSET(Standar!$B$2,MATCH(Assessment[[#This Row],[JOB TARGET
(EST)]],Standar[NAMA JABATAN],0)-1,1,1,13)&lt;0,1,""))&lt;=3,'9 Grid'!$B$4,IF(COUNT(IF('Data Assessment'!$N19:$Z19-OFFSET(Standar!$B$2,MATCH(Assessment[[#This Row],[JOB TARGET]],Standar[NAMA JABATAN],0)-1,1,1,13)&lt;0,1,""))&gt;=7,'9 Grid'!$B$6,'9 Grid'!$B$5)))</f>
        <v>Job Target Kosong</v>
      </c>
      <c r="I19" s="146" t="str">
        <f>IFERROR(IF(Data_Assessment[[#This Row],[IPP (3 YEARS AVERAGE)]]="","(IPP Belum Ada)",IF(Data_Assessment[[#This Row],[IPP (3 YEARS AVERAGE)]]&lt;2,'9 Grid'!$F$2,IF(Data_Assessment[[#This Row],[IPP (3 YEARS AVERAGE)]]&gt;=4,'9 Grid'!$D$2,'9 Grid'!$E$2))),"")</f>
        <v>Contributor</v>
      </c>
      <c r="J19" s="146" t="str">
        <f ca="1">IFERROR(INDEX('9 Grid'!$D$4:$F$6,MATCH('Rekomendasi HAV'!H19,'9 Grid'!$B$4:$B$6,0),MATCH('Rekomendasi HAV'!I19,'9 Grid'!$D$2:$F$2,0)),"")</f>
        <v/>
      </c>
      <c r="K19" s="146" t="str">
        <f>IFERROR(INDEX('9 Grid'!$D$8:$F$8,1,MATCH('Rekomendasi HAV'!I19,'9 Grid'!$D$2:$F$2,0)),"")</f>
        <v>(LT) More 2 - 3 year</v>
      </c>
      <c r="L19" s="146">
        <f>IF(ISNUMBER(SEARCH("EST",Assessment[[#This Row],[JOB TARGET]])),SUBSTITUTE(Assessment[[#This Row],[JOB TARGET]],"EST","DEV"),Assessment[[#This Row],[JOB TARGET]])</f>
        <v>0</v>
      </c>
      <c r="M19" s="146" t="str" cm="1">
        <f t="array" aca="1" ref="M19" ca="1">IF(Assessment[[#This Row],[JOB TARGET]]="","Job Target Kosong",IF(COUNT(IF('Data Assessment'!$N19:$Z19-OFFSET(Standar!$B$2,MATCH(Assessment[[#This Row],[JOB TARGET
(DEV)]],Standar[NAMA JABATAN],0)-1,1,1,13)&lt;0,1,""))&lt;=3,'9 Grid'!$B$4,IF(COUNT(IF('Data Assessment'!$N19:$Z19-OFFSET(Standar!$B$2,MATCH(Assessment[[#This Row],[JOB TARGET
(DEV)]],Standar[NAMA JABATAN],0)-1,1,1,13)&lt;0,1,""))&gt;=7,'9 Grid'!$B$6,'9 Grid'!$B$5)))</f>
        <v>Job Target Kosong</v>
      </c>
      <c r="N19" s="146" t="str">
        <f>IFERROR(IF(Data_Assessment[[#This Row],[IPP (3 YEARS AVERAGE)]]="","(IPP Belum Ada)",IF(Data_Assessment[[#This Row],[IPP (3 YEARS AVERAGE)]]&lt;2,'9 Grid'!$F$2,IF(Data_Assessment[[#This Row],[IPP (3 YEARS AVERAGE)]]&gt;=4,'9 Grid'!$D$2,'9 Grid'!$E$2))),"")</f>
        <v>Contributor</v>
      </c>
      <c r="O19" s="146" t="str">
        <f ca="1">IFERROR(INDEX('9 Grid'!$D$4:$F$6,MATCH('Rekomendasi HAV'!M19,'9 Grid'!$B$4:$B$6,0),MATCH('Rekomendasi HAV'!N19,'9 Grid'!$D$2:$F$2,0)),"")</f>
        <v/>
      </c>
      <c r="P19" s="147" t="str">
        <f>IFERROR(INDEX('9 Grid'!$D$8:$F$8,1,MATCH('Rekomendasi HAV'!N19,'9 Grid'!$D$2:$F$2,0)),"")</f>
        <v>(LT) More 2 - 3 year</v>
      </c>
    </row>
    <row r="20" spans="1:16" ht="14.25">
      <c r="A20" s="67">
        <v>19</v>
      </c>
      <c r="B20" s="68" t="str">
        <f>INDEX(Data_Assessment[],MATCH('Rekomendasi HAV'!$A20,Data_Assessment[[INDEX]:[INDEX]],0),MATCH('Rekomendasi HAV'!B$1,Data_Assessment[#Headers],0))</f>
        <v>Muhammad Kennedy</v>
      </c>
      <c r="C20" s="68" t="str">
        <f>INDEX(Data_Assessment[],MATCH('Rekomendasi HAV'!$A20,Data_Assessment[[INDEX]:[INDEX]],0),MATCH('Rekomendasi HAV'!C$1,Data_Assessment[#Headers],0))</f>
        <v>Sumatera Selatan</v>
      </c>
      <c r="D20" s="68" t="str">
        <f>INDEX(Data_Assessment[],MATCH('Rekomendasi HAV'!$A20,Data_Assessment[[INDEX]:[INDEX]],0),MATCH('Rekomendasi HAV'!D$1,Data_Assessment[#Headers],0))</f>
        <v>LSIP - Sei Lakitan Palm Oil Mill</v>
      </c>
      <c r="E20" s="68">
        <f>INDEX(Data_Assessment[],MATCH('Rekomendasi HAV'!$B20,Data_Assessment[[NAME]:[NAME]],0),MATCH('Rekomendasi HAV'!E$1,Data_Assessment[#Headers],0))</f>
        <v>0</v>
      </c>
      <c r="F20" s="68"/>
      <c r="G20" s="68">
        <f>IF(ISNUMBER(SEARCH("DEV",Assessment[[#This Row],[JOB TARGET]])),SUBSTITUTE(Assessment[[#This Row],[JOB TARGET]],"DEV","EST"),Assessment[[#This Row],[JOB TARGET]])</f>
        <v>0</v>
      </c>
      <c r="H20" s="146" t="str" cm="1">
        <f t="array" aca="1" ref="H20" ca="1">IF(Assessment[[#This Row],[JOB TARGET]]="","Job Target Kosong",IF(COUNT(IF('Data Assessment'!$N20:$Z20-OFFSET(Standar!$B$2,MATCH(Assessment[[#This Row],[JOB TARGET
(EST)]],Standar[NAMA JABATAN],0)-1,1,1,13)&lt;0,1,""))&lt;=3,'9 Grid'!$B$4,IF(COUNT(IF('Data Assessment'!$N20:$Z20-OFFSET(Standar!$B$2,MATCH(Assessment[[#This Row],[JOB TARGET]],Standar[NAMA JABATAN],0)-1,1,1,13)&lt;0,1,""))&gt;=7,'9 Grid'!$B$6,'9 Grid'!$B$5)))</f>
        <v>Job Target Kosong</v>
      </c>
      <c r="I20" s="146" t="str">
        <f>IFERROR(IF(Data_Assessment[[#This Row],[IPP (3 YEARS AVERAGE)]]="","(IPP Belum Ada)",IF(Data_Assessment[[#This Row],[IPP (3 YEARS AVERAGE)]]&lt;2,'9 Grid'!$F$2,IF(Data_Assessment[[#This Row],[IPP (3 YEARS AVERAGE)]]&gt;=4,'9 Grid'!$D$2,'9 Grid'!$E$2))),"")</f>
        <v>Contributor</v>
      </c>
      <c r="J20" s="146" t="str">
        <f ca="1">IFERROR(INDEX('9 Grid'!$D$4:$F$6,MATCH('Rekomendasi HAV'!H20,'9 Grid'!$B$4:$B$6,0),MATCH('Rekomendasi HAV'!I20,'9 Grid'!$D$2:$F$2,0)),"")</f>
        <v/>
      </c>
      <c r="K20" s="146" t="str">
        <f>IFERROR(INDEX('9 Grid'!$D$8:$F$8,1,MATCH('Rekomendasi HAV'!I20,'9 Grid'!$D$2:$F$2,0)),"")</f>
        <v>(LT) More 2 - 3 year</v>
      </c>
      <c r="L20" s="146">
        <f>IF(ISNUMBER(SEARCH("EST",Assessment[[#This Row],[JOB TARGET]])),SUBSTITUTE(Assessment[[#This Row],[JOB TARGET]],"EST","DEV"),Assessment[[#This Row],[JOB TARGET]])</f>
        <v>0</v>
      </c>
      <c r="M20" s="146" t="str" cm="1">
        <f t="array" aca="1" ref="M20" ca="1">IF(Assessment[[#This Row],[JOB TARGET]]="","Job Target Kosong",IF(COUNT(IF('Data Assessment'!$N20:$Z20-OFFSET(Standar!$B$2,MATCH(Assessment[[#This Row],[JOB TARGET
(DEV)]],Standar[NAMA JABATAN],0)-1,1,1,13)&lt;0,1,""))&lt;=3,'9 Grid'!$B$4,IF(COUNT(IF('Data Assessment'!$N20:$Z20-OFFSET(Standar!$B$2,MATCH(Assessment[[#This Row],[JOB TARGET
(DEV)]],Standar[NAMA JABATAN],0)-1,1,1,13)&lt;0,1,""))&gt;=7,'9 Grid'!$B$6,'9 Grid'!$B$5)))</f>
        <v>Job Target Kosong</v>
      </c>
      <c r="N20" s="146" t="str">
        <f>IFERROR(IF(Data_Assessment[[#This Row],[IPP (3 YEARS AVERAGE)]]="","(IPP Belum Ada)",IF(Data_Assessment[[#This Row],[IPP (3 YEARS AVERAGE)]]&lt;2,'9 Grid'!$F$2,IF(Data_Assessment[[#This Row],[IPP (3 YEARS AVERAGE)]]&gt;=4,'9 Grid'!$D$2,'9 Grid'!$E$2))),"")</f>
        <v>Contributor</v>
      </c>
      <c r="O20" s="146" t="str">
        <f ca="1">IFERROR(INDEX('9 Grid'!$D$4:$F$6,MATCH('Rekomendasi HAV'!M20,'9 Grid'!$B$4:$B$6,0),MATCH('Rekomendasi HAV'!N20,'9 Grid'!$D$2:$F$2,0)),"")</f>
        <v/>
      </c>
      <c r="P20" s="147" t="str">
        <f>IFERROR(INDEX('9 Grid'!$D$8:$F$8,1,MATCH('Rekomendasi HAV'!N20,'9 Grid'!$D$2:$F$2,0)),"")</f>
        <v>(LT) More 2 - 3 year</v>
      </c>
    </row>
    <row r="21" spans="1:16" ht="14.25">
      <c r="A21" s="67">
        <v>20</v>
      </c>
      <c r="B21" s="68" t="str">
        <f>INDEX(Data_Assessment[],MATCH('Rekomendasi HAV'!$A21,Data_Assessment[[INDEX]:[INDEX]],0),MATCH('Rekomendasi HAV'!B$1,Data_Assessment[#Headers],0))</f>
        <v>Dimas Putera Pangestu</v>
      </c>
      <c r="C21" s="68" t="str">
        <f>INDEX(Data_Assessment[],MATCH('Rekomendasi HAV'!$A21,Data_Assessment[[INDEX]:[INDEX]],0),MATCH('Rekomendasi HAV'!C$1,Data_Assessment[#Headers],0))</f>
        <v>Sumatera Utara</v>
      </c>
      <c r="D21" s="68" t="str">
        <f>INDEX(Data_Assessment[],MATCH('Rekomendasi HAV'!$A21,Data_Assessment[[INDEX]:[INDEX]],0),MATCH('Rekomendasi HAV'!D$1,Data_Assessment[#Headers],0))</f>
        <v>LSIP - RO Medan</v>
      </c>
      <c r="E21" s="68">
        <f>INDEX(Data_Assessment[],MATCH('Rekomendasi HAV'!$B21,Data_Assessment[[NAME]:[NAME]],0),MATCH('Rekomendasi HAV'!E$1,Data_Assessment[#Headers],0))</f>
        <v>0</v>
      </c>
      <c r="F21" s="68"/>
      <c r="G21" s="68">
        <f>IF(ISNUMBER(SEARCH("DEV",Assessment[[#This Row],[JOB TARGET]])),SUBSTITUTE(Assessment[[#This Row],[JOB TARGET]],"DEV","EST"),Assessment[[#This Row],[JOB TARGET]])</f>
        <v>0</v>
      </c>
      <c r="H21" s="146" t="str" cm="1">
        <f t="array" aca="1" ref="H21" ca="1">IF(Assessment[[#This Row],[JOB TARGET]]="","Job Target Kosong",IF(COUNT(IF('Data Assessment'!$N21:$Z21-OFFSET(Standar!$B$2,MATCH(Assessment[[#This Row],[JOB TARGET
(EST)]],Standar[NAMA JABATAN],0)-1,1,1,13)&lt;0,1,""))&lt;=3,'9 Grid'!$B$4,IF(COUNT(IF('Data Assessment'!$N21:$Z21-OFFSET(Standar!$B$2,MATCH(Assessment[[#This Row],[JOB TARGET]],Standar[NAMA JABATAN],0)-1,1,1,13)&lt;0,1,""))&gt;=7,'9 Grid'!$B$6,'9 Grid'!$B$5)))</f>
        <v>Job Target Kosong</v>
      </c>
      <c r="I21" s="146" t="str">
        <f>IFERROR(IF(Data_Assessment[[#This Row],[IPP (3 YEARS AVERAGE)]]="","(IPP Belum Ada)",IF(Data_Assessment[[#This Row],[IPP (3 YEARS AVERAGE)]]&lt;2,'9 Grid'!$F$2,IF(Data_Assessment[[#This Row],[IPP (3 YEARS AVERAGE)]]&gt;=4,'9 Grid'!$D$2,'9 Grid'!$E$2))),"")</f>
        <v>Contributor</v>
      </c>
      <c r="J21" s="146" t="str">
        <f ca="1">IFERROR(INDEX('9 Grid'!$D$4:$F$6,MATCH('Rekomendasi HAV'!H21,'9 Grid'!$B$4:$B$6,0),MATCH('Rekomendasi HAV'!I21,'9 Grid'!$D$2:$F$2,0)),"")</f>
        <v/>
      </c>
      <c r="K21" s="146" t="str">
        <f>IFERROR(INDEX('9 Grid'!$D$8:$F$8,1,MATCH('Rekomendasi HAV'!I21,'9 Grid'!$D$2:$F$2,0)),"")</f>
        <v>(LT) More 2 - 3 year</v>
      </c>
      <c r="L21" s="146">
        <f>IF(ISNUMBER(SEARCH("EST",Assessment[[#This Row],[JOB TARGET]])),SUBSTITUTE(Assessment[[#This Row],[JOB TARGET]],"EST","DEV"),Assessment[[#This Row],[JOB TARGET]])</f>
        <v>0</v>
      </c>
      <c r="M21" s="146" t="str" cm="1">
        <f t="array" aca="1" ref="M21" ca="1">IF(Assessment[[#This Row],[JOB TARGET]]="","Job Target Kosong",IF(COUNT(IF('Data Assessment'!$N21:$Z21-OFFSET(Standar!$B$2,MATCH(Assessment[[#This Row],[JOB TARGET
(DEV)]],Standar[NAMA JABATAN],0)-1,1,1,13)&lt;0,1,""))&lt;=3,'9 Grid'!$B$4,IF(COUNT(IF('Data Assessment'!$N21:$Z21-OFFSET(Standar!$B$2,MATCH(Assessment[[#This Row],[JOB TARGET
(DEV)]],Standar[NAMA JABATAN],0)-1,1,1,13)&lt;0,1,""))&gt;=7,'9 Grid'!$B$6,'9 Grid'!$B$5)))</f>
        <v>Job Target Kosong</v>
      </c>
      <c r="N21" s="146" t="str">
        <f>IFERROR(IF(Data_Assessment[[#This Row],[IPP (3 YEARS AVERAGE)]]="","(IPP Belum Ada)",IF(Data_Assessment[[#This Row],[IPP (3 YEARS AVERAGE)]]&lt;2,'9 Grid'!$F$2,IF(Data_Assessment[[#This Row],[IPP (3 YEARS AVERAGE)]]&gt;=4,'9 Grid'!$D$2,'9 Grid'!$E$2))),"")</f>
        <v>Contributor</v>
      </c>
      <c r="O21" s="146" t="str">
        <f ca="1">IFERROR(INDEX('9 Grid'!$D$4:$F$6,MATCH('Rekomendasi HAV'!M21,'9 Grid'!$B$4:$B$6,0),MATCH('Rekomendasi HAV'!N21,'9 Grid'!$D$2:$F$2,0)),"")</f>
        <v/>
      </c>
      <c r="P21" s="147" t="str">
        <f>IFERROR(INDEX('9 Grid'!$D$8:$F$8,1,MATCH('Rekomendasi HAV'!N21,'9 Grid'!$D$2:$F$2,0)),"")</f>
        <v>(LT) More 2 - 3 year</v>
      </c>
    </row>
    <row r="22" spans="1:16" ht="14.25">
      <c r="A22" s="67">
        <v>21</v>
      </c>
      <c r="B22" s="68" t="str">
        <f>INDEX(Data_Assessment[],MATCH('Rekomendasi HAV'!$A22,Data_Assessment[[INDEX]:[INDEX]],0),MATCH('Rekomendasi HAV'!B$1,Data_Assessment[#Headers],0))</f>
        <v>Imam Taufik Siregar</v>
      </c>
      <c r="C22" s="68" t="str">
        <f>INDEX(Data_Assessment[],MATCH('Rekomendasi HAV'!$A22,Data_Assessment[[INDEX]:[INDEX]],0),MATCH('Rekomendasi HAV'!C$1,Data_Assessment[#Headers],0))</f>
        <v>Sulawesi Selatan</v>
      </c>
      <c r="D22" s="68" t="str">
        <f>INDEX(Data_Assessment[],MATCH('Rekomendasi HAV'!$A22,Data_Assessment[[INDEX]:[INDEX]],0),MATCH('Rekomendasi HAV'!D$1,Data_Assessment[#Headers],0))</f>
        <v>LSIP - PalangIsang Estate</v>
      </c>
      <c r="E22" s="68">
        <f>INDEX(Data_Assessment[],MATCH('Rekomendasi HAV'!$B22,Data_Assessment[[NAME]:[NAME]],0),MATCH('Rekomendasi HAV'!E$1,Data_Assessment[#Headers],0))</f>
        <v>0</v>
      </c>
      <c r="F22" s="68"/>
      <c r="G22" s="68">
        <f>IF(ISNUMBER(SEARCH("DEV",Assessment[[#This Row],[JOB TARGET]])),SUBSTITUTE(Assessment[[#This Row],[JOB TARGET]],"DEV","EST"),Assessment[[#This Row],[JOB TARGET]])</f>
        <v>0</v>
      </c>
      <c r="H22" s="146" t="str" cm="1">
        <f t="array" aca="1" ref="H22" ca="1">IF(Assessment[[#This Row],[JOB TARGET]]="","Job Target Kosong",IF(COUNT(IF('Data Assessment'!$N22:$Z22-OFFSET(Standar!$B$2,MATCH(Assessment[[#This Row],[JOB TARGET
(EST)]],Standar[NAMA JABATAN],0)-1,1,1,13)&lt;0,1,""))&lt;=3,'9 Grid'!$B$4,IF(COUNT(IF('Data Assessment'!$N22:$Z22-OFFSET(Standar!$B$2,MATCH(Assessment[[#This Row],[JOB TARGET]],Standar[NAMA JABATAN],0)-1,1,1,13)&lt;0,1,""))&gt;=7,'9 Grid'!$B$6,'9 Grid'!$B$5)))</f>
        <v>Job Target Kosong</v>
      </c>
      <c r="I22" s="146" t="str">
        <f>IFERROR(IF(Data_Assessment[[#This Row],[IPP (3 YEARS AVERAGE)]]="","(IPP Belum Ada)",IF(Data_Assessment[[#This Row],[IPP (3 YEARS AVERAGE)]]&lt;2,'9 Grid'!$F$2,IF(Data_Assessment[[#This Row],[IPP (3 YEARS AVERAGE)]]&gt;=4,'9 Grid'!$D$2,'9 Grid'!$E$2))),"")</f>
        <v>Contributor</v>
      </c>
      <c r="J22" s="146" t="str">
        <f ca="1">IFERROR(INDEX('9 Grid'!$D$4:$F$6,MATCH('Rekomendasi HAV'!H22,'9 Grid'!$B$4:$B$6,0),MATCH('Rekomendasi HAV'!I22,'9 Grid'!$D$2:$F$2,0)),"")</f>
        <v/>
      </c>
      <c r="K22" s="146" t="str">
        <f>IFERROR(INDEX('9 Grid'!$D$8:$F$8,1,MATCH('Rekomendasi HAV'!I22,'9 Grid'!$D$2:$F$2,0)),"")</f>
        <v>(LT) More 2 - 3 year</v>
      </c>
      <c r="L22" s="146">
        <f>IF(ISNUMBER(SEARCH("EST",Assessment[[#This Row],[JOB TARGET]])),SUBSTITUTE(Assessment[[#This Row],[JOB TARGET]],"EST","DEV"),Assessment[[#This Row],[JOB TARGET]])</f>
        <v>0</v>
      </c>
      <c r="M22" s="146" t="str" cm="1">
        <f t="array" aca="1" ref="M22" ca="1">IF(Assessment[[#This Row],[JOB TARGET]]="","Job Target Kosong",IF(COUNT(IF('Data Assessment'!$N22:$Z22-OFFSET(Standar!$B$2,MATCH(Assessment[[#This Row],[JOB TARGET
(DEV)]],Standar[NAMA JABATAN],0)-1,1,1,13)&lt;0,1,""))&lt;=3,'9 Grid'!$B$4,IF(COUNT(IF('Data Assessment'!$N22:$Z22-OFFSET(Standar!$B$2,MATCH(Assessment[[#This Row],[JOB TARGET
(DEV)]],Standar[NAMA JABATAN],0)-1,1,1,13)&lt;0,1,""))&gt;=7,'9 Grid'!$B$6,'9 Grid'!$B$5)))</f>
        <v>Job Target Kosong</v>
      </c>
      <c r="N22" s="146" t="str">
        <f>IFERROR(IF(Data_Assessment[[#This Row],[IPP (3 YEARS AVERAGE)]]="","(IPP Belum Ada)",IF(Data_Assessment[[#This Row],[IPP (3 YEARS AVERAGE)]]&lt;2,'9 Grid'!$F$2,IF(Data_Assessment[[#This Row],[IPP (3 YEARS AVERAGE)]]&gt;=4,'9 Grid'!$D$2,'9 Grid'!$E$2))),"")</f>
        <v>Contributor</v>
      </c>
      <c r="O22" s="146" t="str">
        <f ca="1">IFERROR(INDEX('9 Grid'!$D$4:$F$6,MATCH('Rekomendasi HAV'!M22,'9 Grid'!$B$4:$B$6,0),MATCH('Rekomendasi HAV'!N22,'9 Grid'!$D$2:$F$2,0)),"")</f>
        <v/>
      </c>
      <c r="P22" s="147" t="str">
        <f>IFERROR(INDEX('9 Grid'!$D$8:$F$8,1,MATCH('Rekomendasi HAV'!N22,'9 Grid'!$D$2:$F$2,0)),"")</f>
        <v>(LT) More 2 - 3 year</v>
      </c>
    </row>
    <row r="23" spans="1:16" ht="28.5">
      <c r="A23" s="67">
        <v>22</v>
      </c>
      <c r="B23" s="68" t="str">
        <f>INDEX(Data_Assessment[],MATCH('Rekomendasi HAV'!$A23,Data_Assessment[[INDEX]:[INDEX]],0),MATCH('Rekomendasi HAV'!B$1,Data_Assessment[#Headers],0))</f>
        <v>Yogi Pranata</v>
      </c>
      <c r="C23" s="68" t="str">
        <f>INDEX(Data_Assessment[],MATCH('Rekomendasi HAV'!$A23,Data_Assessment[[INDEX]:[INDEX]],0),MATCH('Rekomendasi HAV'!C$1,Data_Assessment[#Headers],0))</f>
        <v>Sumatera Utara</v>
      </c>
      <c r="D23" s="68" t="str">
        <f>INDEX(Data_Assessment[],MATCH('Rekomendasi HAV'!$A23,Data_Assessment[[INDEX]:[INDEX]],0),MATCH('Rekomendasi HAV'!D$1,Data_Assessment[#Headers],0))</f>
        <v>LSIP - RO Medan</v>
      </c>
      <c r="E23" s="68">
        <f>INDEX(Data_Assessment[],MATCH('Rekomendasi HAV'!$B23,Data_Assessment[[NAME]:[NAME]],0),MATCH('Rekomendasi HAV'!E$1,Data_Assessment[#Headers],0))</f>
        <v>0</v>
      </c>
      <c r="F23" s="68"/>
      <c r="G23" s="68">
        <f>IF(ISNUMBER(SEARCH("DEV",Assessment[[#This Row],[JOB TARGET]])),SUBSTITUTE(Assessment[[#This Row],[JOB TARGET]],"DEV","EST"),Assessment[[#This Row],[JOB TARGET]])</f>
        <v>0</v>
      </c>
      <c r="H23" s="146" t="str" cm="1">
        <f t="array" aca="1" ref="H23" ca="1">IF(Assessment[[#This Row],[JOB TARGET]]="","Job Target Kosong",IF(COUNT(IF('Data Assessment'!$N23:$Z23-OFFSET(Standar!$B$2,MATCH(Assessment[[#This Row],[JOB TARGET
(EST)]],Standar[NAMA JABATAN],0)-1,1,1,13)&lt;0,1,""))&lt;=3,'9 Grid'!$B$4,IF(COUNT(IF('Data Assessment'!$N23:$Z23-OFFSET(Standar!$B$2,MATCH(Assessment[[#This Row],[JOB TARGET]],Standar[NAMA JABATAN],0)-1,1,1,13)&lt;0,1,""))&gt;=7,'9 Grid'!$B$6,'9 Grid'!$B$5)))</f>
        <v>Job Target Kosong</v>
      </c>
      <c r="I23" s="146" t="str">
        <f>IFERROR(IF(Data_Assessment[[#This Row],[IPP (3 YEARS AVERAGE)]]="","(IPP Belum Ada)",IF(Data_Assessment[[#This Row],[IPP (3 YEARS AVERAGE)]]&lt;2,'9 Grid'!$F$2,IF(Data_Assessment[[#This Row],[IPP (3 YEARS AVERAGE)]]&gt;=4,'9 Grid'!$D$2,'9 Grid'!$E$2))),"")</f>
        <v>Contributor</v>
      </c>
      <c r="J23" s="146" t="str">
        <f ca="1">IFERROR(INDEX('9 Grid'!$D$4:$F$6,MATCH('Rekomendasi HAV'!H23,'9 Grid'!$B$4:$B$6,0),MATCH('Rekomendasi HAV'!I23,'9 Grid'!$D$2:$F$2,0)),"")</f>
        <v/>
      </c>
      <c r="K23" s="146" t="str">
        <f>IFERROR(INDEX('9 Grid'!$D$8:$F$8,1,MATCH('Rekomendasi HAV'!I23,'9 Grid'!$D$2:$F$2,0)),"")</f>
        <v>(LT) More 2 - 3 year</v>
      </c>
      <c r="L23" s="146">
        <f>IF(ISNUMBER(SEARCH("EST",Assessment[[#This Row],[JOB TARGET]])),SUBSTITUTE(Assessment[[#This Row],[JOB TARGET]],"EST","DEV"),Assessment[[#This Row],[JOB TARGET]])</f>
        <v>0</v>
      </c>
      <c r="M23" s="146" t="str" cm="1">
        <f t="array" aca="1" ref="M23" ca="1">IF(Assessment[[#This Row],[JOB TARGET]]="","Job Target Kosong",IF(COUNT(IF('Data Assessment'!$N23:$Z23-OFFSET(Standar!$B$2,MATCH(Assessment[[#This Row],[JOB TARGET
(DEV)]],Standar[NAMA JABATAN],0)-1,1,1,13)&lt;0,1,""))&lt;=3,'9 Grid'!$B$4,IF(COUNT(IF('Data Assessment'!$N23:$Z23-OFFSET(Standar!$B$2,MATCH(Assessment[[#This Row],[JOB TARGET
(DEV)]],Standar[NAMA JABATAN],0)-1,1,1,13)&lt;0,1,""))&gt;=7,'9 Grid'!$B$6,'9 Grid'!$B$5)))</f>
        <v>Job Target Kosong</v>
      </c>
      <c r="N23" s="146" t="str">
        <f>IFERROR(IF(Data_Assessment[[#This Row],[IPP (3 YEARS AVERAGE)]]="","(IPP Belum Ada)",IF(Data_Assessment[[#This Row],[IPP (3 YEARS AVERAGE)]]&lt;2,'9 Grid'!$F$2,IF(Data_Assessment[[#This Row],[IPP (3 YEARS AVERAGE)]]&gt;=4,'9 Grid'!$D$2,'9 Grid'!$E$2))),"")</f>
        <v>Contributor</v>
      </c>
      <c r="O23" s="146" t="str">
        <f ca="1">IFERROR(INDEX('9 Grid'!$D$4:$F$6,MATCH('Rekomendasi HAV'!M23,'9 Grid'!$B$4:$B$6,0),MATCH('Rekomendasi HAV'!N23,'9 Grid'!$D$2:$F$2,0)),"")</f>
        <v/>
      </c>
      <c r="P23" s="147" t="str">
        <f>IFERROR(INDEX('9 Grid'!$D$8:$F$8,1,MATCH('Rekomendasi HAV'!N23,'9 Grid'!$D$2:$F$2,0)),"")</f>
        <v>(LT) More 2 - 3 year</v>
      </c>
    </row>
    <row r="24" spans="1:16" ht="28.5">
      <c r="A24" s="67">
        <v>23</v>
      </c>
      <c r="B24" s="68" t="str">
        <f>INDEX(Data_Assessment[],MATCH('Rekomendasi HAV'!$A24,Data_Assessment[[INDEX]:[INDEX]],0),MATCH('Rekomendasi HAV'!B$1,Data_Assessment[#Headers],0))</f>
        <v>Muhammad Prayogi</v>
      </c>
      <c r="C24" s="68" t="str">
        <f>INDEX(Data_Assessment[],MATCH('Rekomendasi HAV'!$A24,Data_Assessment[[INDEX]:[INDEX]],0),MATCH('Rekomendasi HAV'!C$1,Data_Assessment[#Headers],0))</f>
        <v>Sumatera Utara</v>
      </c>
      <c r="D24" s="68" t="str">
        <f>INDEX(Data_Assessment[],MATCH('Rekomendasi HAV'!$A24,Data_Assessment[[INDEX]:[INDEX]],0),MATCH('Rekomendasi HAV'!D$1,Data_Assessment[#Headers],0))</f>
        <v>LSIP - Pulo Rambong Estate</v>
      </c>
      <c r="E24" s="68">
        <f>INDEX(Data_Assessment[],MATCH('Rekomendasi HAV'!$B24,Data_Assessment[[NAME]:[NAME]],0),MATCH('Rekomendasi HAV'!E$1,Data_Assessment[#Headers],0))</f>
        <v>0</v>
      </c>
      <c r="F24" s="68"/>
      <c r="G24" s="68">
        <f>IF(ISNUMBER(SEARCH("DEV",Assessment[[#This Row],[JOB TARGET]])),SUBSTITUTE(Assessment[[#This Row],[JOB TARGET]],"DEV","EST"),Assessment[[#This Row],[JOB TARGET]])</f>
        <v>0</v>
      </c>
      <c r="H24" s="146" t="str" cm="1">
        <f t="array" aca="1" ref="H24" ca="1">IF(Assessment[[#This Row],[JOB TARGET]]="","Job Target Kosong",IF(COUNT(IF('Data Assessment'!$N24:$Z24-OFFSET(Standar!$B$2,MATCH(Assessment[[#This Row],[JOB TARGET
(EST)]],Standar[NAMA JABATAN],0)-1,1,1,13)&lt;0,1,""))&lt;=3,'9 Grid'!$B$4,IF(COUNT(IF('Data Assessment'!$N24:$Z24-OFFSET(Standar!$B$2,MATCH(Assessment[[#This Row],[JOB TARGET]],Standar[NAMA JABATAN],0)-1,1,1,13)&lt;0,1,""))&gt;=7,'9 Grid'!$B$6,'9 Grid'!$B$5)))</f>
        <v>Job Target Kosong</v>
      </c>
      <c r="I24" s="146" t="str">
        <f>IFERROR(IF(Data_Assessment[[#This Row],[IPP (3 YEARS AVERAGE)]]="","(IPP Belum Ada)",IF(Data_Assessment[[#This Row],[IPP (3 YEARS AVERAGE)]]&lt;2,'9 Grid'!$F$2,IF(Data_Assessment[[#This Row],[IPP (3 YEARS AVERAGE)]]&gt;=4,'9 Grid'!$D$2,'9 Grid'!$E$2))),"")</f>
        <v>Contributor</v>
      </c>
      <c r="J24" s="146" t="str">
        <f ca="1">IFERROR(INDEX('9 Grid'!$D$4:$F$6,MATCH('Rekomendasi HAV'!H24,'9 Grid'!$B$4:$B$6,0),MATCH('Rekomendasi HAV'!I24,'9 Grid'!$D$2:$F$2,0)),"")</f>
        <v/>
      </c>
      <c r="K24" s="146" t="str">
        <f>IFERROR(INDEX('9 Grid'!$D$8:$F$8,1,MATCH('Rekomendasi HAV'!I24,'9 Grid'!$D$2:$F$2,0)),"")</f>
        <v>(LT) More 2 - 3 year</v>
      </c>
      <c r="L24" s="146">
        <f>IF(ISNUMBER(SEARCH("EST",Assessment[[#This Row],[JOB TARGET]])),SUBSTITUTE(Assessment[[#This Row],[JOB TARGET]],"EST","DEV"),Assessment[[#This Row],[JOB TARGET]])</f>
        <v>0</v>
      </c>
      <c r="M24" s="146" t="str" cm="1">
        <f t="array" aca="1" ref="M24" ca="1">IF(Assessment[[#This Row],[JOB TARGET]]="","Job Target Kosong",IF(COUNT(IF('Data Assessment'!$N24:$Z24-OFFSET(Standar!$B$2,MATCH(Assessment[[#This Row],[JOB TARGET
(DEV)]],Standar[NAMA JABATAN],0)-1,1,1,13)&lt;0,1,""))&lt;=3,'9 Grid'!$B$4,IF(COUNT(IF('Data Assessment'!$N24:$Z24-OFFSET(Standar!$B$2,MATCH(Assessment[[#This Row],[JOB TARGET
(DEV)]],Standar[NAMA JABATAN],0)-1,1,1,13)&lt;0,1,""))&gt;=7,'9 Grid'!$B$6,'9 Grid'!$B$5)))</f>
        <v>Job Target Kosong</v>
      </c>
      <c r="N24" s="146" t="str">
        <f>IFERROR(IF(Data_Assessment[[#This Row],[IPP (3 YEARS AVERAGE)]]="","(IPP Belum Ada)",IF(Data_Assessment[[#This Row],[IPP (3 YEARS AVERAGE)]]&lt;2,'9 Grid'!$F$2,IF(Data_Assessment[[#This Row],[IPP (3 YEARS AVERAGE)]]&gt;=4,'9 Grid'!$D$2,'9 Grid'!$E$2))),"")</f>
        <v>Contributor</v>
      </c>
      <c r="O24" s="146" t="str">
        <f ca="1">IFERROR(INDEX('9 Grid'!$D$4:$F$6,MATCH('Rekomendasi HAV'!M24,'9 Grid'!$B$4:$B$6,0),MATCH('Rekomendasi HAV'!N24,'9 Grid'!$D$2:$F$2,0)),"")</f>
        <v/>
      </c>
      <c r="P24" s="147" t="str">
        <f>IFERROR(INDEX('9 Grid'!$D$8:$F$8,1,MATCH('Rekomendasi HAV'!N24,'9 Grid'!$D$2:$F$2,0)),"")</f>
        <v>(LT) More 2 - 3 year</v>
      </c>
    </row>
    <row r="25" spans="1:16" ht="28.5">
      <c r="A25" s="67">
        <v>24</v>
      </c>
      <c r="B25" s="68" t="str">
        <f>INDEX(Data_Assessment[],MATCH('Rekomendasi HAV'!$A25,Data_Assessment[[INDEX]:[INDEX]],0),MATCH('Rekomendasi HAV'!B$1,Data_Assessment[#Headers],0))</f>
        <v>Joseph Osvaldo Ardiles Tambun</v>
      </c>
      <c r="C25" s="68" t="str">
        <f>INDEX(Data_Assessment[],MATCH('Rekomendasi HAV'!$A25,Data_Assessment[[INDEX]:[INDEX]],0),MATCH('Rekomendasi HAV'!C$1,Data_Assessment[#Headers],0))</f>
        <v>Sumatera Utara</v>
      </c>
      <c r="D25" s="68" t="str">
        <f>INDEX(Data_Assessment[],MATCH('Rekomendasi HAV'!$A25,Data_Assessment[[INDEX]:[INDEX]],0),MATCH('Rekomendasi HAV'!D$1,Data_Assessment[#Headers],0))</f>
        <v>LSIP - RO Medan</v>
      </c>
      <c r="E25" s="68">
        <f>INDEX(Data_Assessment[],MATCH('Rekomendasi HAV'!$B25,Data_Assessment[[NAME]:[NAME]],0),MATCH('Rekomendasi HAV'!E$1,Data_Assessment[#Headers],0))</f>
        <v>0</v>
      </c>
      <c r="F25" s="68"/>
      <c r="G25" s="68">
        <f>IF(ISNUMBER(SEARCH("DEV",Assessment[[#This Row],[JOB TARGET]])),SUBSTITUTE(Assessment[[#This Row],[JOB TARGET]],"DEV","EST"),Assessment[[#This Row],[JOB TARGET]])</f>
        <v>0</v>
      </c>
      <c r="H25" s="146" t="str" cm="1">
        <f t="array" aca="1" ref="H25" ca="1">IF(Assessment[[#This Row],[JOB TARGET]]="","Job Target Kosong",IF(COUNT(IF('Data Assessment'!$N25:$Z25-OFFSET(Standar!$B$2,MATCH(Assessment[[#This Row],[JOB TARGET
(EST)]],Standar[NAMA JABATAN],0)-1,1,1,13)&lt;0,1,""))&lt;=3,'9 Grid'!$B$4,IF(COUNT(IF('Data Assessment'!$N25:$Z25-OFFSET(Standar!$B$2,MATCH(Assessment[[#This Row],[JOB TARGET]],Standar[NAMA JABATAN],0)-1,1,1,13)&lt;0,1,""))&gt;=7,'9 Grid'!$B$6,'9 Grid'!$B$5)))</f>
        <v>Job Target Kosong</v>
      </c>
      <c r="I25" s="146" t="str">
        <f>IFERROR(IF(Data_Assessment[[#This Row],[IPP (3 YEARS AVERAGE)]]="","(IPP Belum Ada)",IF(Data_Assessment[[#This Row],[IPP (3 YEARS AVERAGE)]]&lt;2,'9 Grid'!$F$2,IF(Data_Assessment[[#This Row],[IPP (3 YEARS AVERAGE)]]&gt;=4,'9 Grid'!$D$2,'9 Grid'!$E$2))),"")</f>
        <v>Contributor</v>
      </c>
      <c r="J25" s="146" t="str">
        <f ca="1">IFERROR(INDEX('9 Grid'!$D$4:$F$6,MATCH('Rekomendasi HAV'!H25,'9 Grid'!$B$4:$B$6,0),MATCH('Rekomendasi HAV'!I25,'9 Grid'!$D$2:$F$2,0)),"")</f>
        <v/>
      </c>
      <c r="K25" s="146" t="str">
        <f>IFERROR(INDEX('9 Grid'!$D$8:$F$8,1,MATCH('Rekomendasi HAV'!I25,'9 Grid'!$D$2:$F$2,0)),"")</f>
        <v>(LT) More 2 - 3 year</v>
      </c>
      <c r="L25" s="146">
        <f>IF(ISNUMBER(SEARCH("EST",Assessment[[#This Row],[JOB TARGET]])),SUBSTITUTE(Assessment[[#This Row],[JOB TARGET]],"EST","DEV"),Assessment[[#This Row],[JOB TARGET]])</f>
        <v>0</v>
      </c>
      <c r="M25" s="146" t="str" cm="1">
        <f t="array" aca="1" ref="M25" ca="1">IF(Assessment[[#This Row],[JOB TARGET]]="","Job Target Kosong",IF(COUNT(IF('Data Assessment'!$N25:$Z25-OFFSET(Standar!$B$2,MATCH(Assessment[[#This Row],[JOB TARGET
(DEV)]],Standar[NAMA JABATAN],0)-1,1,1,13)&lt;0,1,""))&lt;=3,'9 Grid'!$B$4,IF(COUNT(IF('Data Assessment'!$N25:$Z25-OFFSET(Standar!$B$2,MATCH(Assessment[[#This Row],[JOB TARGET
(DEV)]],Standar[NAMA JABATAN],0)-1,1,1,13)&lt;0,1,""))&gt;=7,'9 Grid'!$B$6,'9 Grid'!$B$5)))</f>
        <v>Job Target Kosong</v>
      </c>
      <c r="N25" s="146" t="str">
        <f>IFERROR(IF(Data_Assessment[[#This Row],[IPP (3 YEARS AVERAGE)]]="","(IPP Belum Ada)",IF(Data_Assessment[[#This Row],[IPP (3 YEARS AVERAGE)]]&lt;2,'9 Grid'!$F$2,IF(Data_Assessment[[#This Row],[IPP (3 YEARS AVERAGE)]]&gt;=4,'9 Grid'!$D$2,'9 Grid'!$E$2))),"")</f>
        <v>Contributor</v>
      </c>
      <c r="O25" s="146" t="str">
        <f ca="1">IFERROR(INDEX('9 Grid'!$D$4:$F$6,MATCH('Rekomendasi HAV'!M25,'9 Grid'!$B$4:$B$6,0),MATCH('Rekomendasi HAV'!N25,'9 Grid'!$D$2:$F$2,0)),"")</f>
        <v/>
      </c>
      <c r="P25" s="147" t="str">
        <f>IFERROR(INDEX('9 Grid'!$D$8:$F$8,1,MATCH('Rekomendasi HAV'!N25,'9 Grid'!$D$2:$F$2,0)),"")</f>
        <v>(LT) More 2 - 3 year</v>
      </c>
    </row>
    <row r="26" spans="1:16" ht="28.5">
      <c r="A26" s="67">
        <v>25</v>
      </c>
      <c r="B26" s="68" t="str">
        <f>INDEX(Data_Assessment[],MATCH('Rekomendasi HAV'!$A26,Data_Assessment[[INDEX]:[INDEX]],0),MATCH('Rekomendasi HAV'!B$1,Data_Assessment[#Headers],0))</f>
        <v>Ramses Fernando</v>
      </c>
      <c r="C26" s="68" t="str">
        <f>INDEX(Data_Assessment[],MATCH('Rekomendasi HAV'!$A26,Data_Assessment[[INDEX]:[INDEX]],0),MATCH('Rekomendasi HAV'!C$1,Data_Assessment[#Headers],0))</f>
        <v>Sumatera Utara</v>
      </c>
      <c r="D26" s="68" t="str">
        <f>INDEX(Data_Assessment[],MATCH('Rekomendasi HAV'!$A26,Data_Assessment[[INDEX]:[INDEX]],0),MATCH('Rekomendasi HAV'!D$1,Data_Assessment[#Headers],0))</f>
        <v>LSIP - Bah Lias Estate</v>
      </c>
      <c r="E26" s="68">
        <f>INDEX(Data_Assessment[],MATCH('Rekomendasi HAV'!$B26,Data_Assessment[[NAME]:[NAME]],0),MATCH('Rekomendasi HAV'!E$1,Data_Assessment[#Headers],0))</f>
        <v>0</v>
      </c>
      <c r="F26" s="68"/>
      <c r="G26" s="68">
        <f>IF(ISNUMBER(SEARCH("DEV",Assessment[[#This Row],[JOB TARGET]])),SUBSTITUTE(Assessment[[#This Row],[JOB TARGET]],"DEV","EST"),Assessment[[#This Row],[JOB TARGET]])</f>
        <v>0</v>
      </c>
      <c r="H26" s="146" t="str" cm="1">
        <f t="array" aca="1" ref="H26" ca="1">IF(Assessment[[#This Row],[JOB TARGET]]="","Job Target Kosong",IF(COUNT(IF('Data Assessment'!$N26:$Z26-OFFSET(Standar!$B$2,MATCH(Assessment[[#This Row],[JOB TARGET
(EST)]],Standar[NAMA JABATAN],0)-1,1,1,13)&lt;0,1,""))&lt;=3,'9 Grid'!$B$4,IF(COUNT(IF('Data Assessment'!$N26:$Z26-OFFSET(Standar!$B$2,MATCH(Assessment[[#This Row],[JOB TARGET]],Standar[NAMA JABATAN],0)-1,1,1,13)&lt;0,1,""))&gt;=7,'9 Grid'!$B$6,'9 Grid'!$B$5)))</f>
        <v>Job Target Kosong</v>
      </c>
      <c r="I26" s="146" t="str">
        <f>IFERROR(IF(Data_Assessment[[#This Row],[IPP (3 YEARS AVERAGE)]]="","(IPP Belum Ada)",IF(Data_Assessment[[#This Row],[IPP (3 YEARS AVERAGE)]]&lt;2,'9 Grid'!$F$2,IF(Data_Assessment[[#This Row],[IPP (3 YEARS AVERAGE)]]&gt;=4,'9 Grid'!$D$2,'9 Grid'!$E$2))),"")</f>
        <v>Contributor</v>
      </c>
      <c r="J26" s="146" t="str">
        <f ca="1">IFERROR(INDEX('9 Grid'!$D$4:$F$6,MATCH('Rekomendasi HAV'!H26,'9 Grid'!$B$4:$B$6,0),MATCH('Rekomendasi HAV'!I26,'9 Grid'!$D$2:$F$2,0)),"")</f>
        <v/>
      </c>
      <c r="K26" s="146" t="str">
        <f>IFERROR(INDEX('9 Grid'!$D$8:$F$8,1,MATCH('Rekomendasi HAV'!I26,'9 Grid'!$D$2:$F$2,0)),"")</f>
        <v>(LT) More 2 - 3 year</v>
      </c>
      <c r="L26" s="146">
        <f>IF(ISNUMBER(SEARCH("EST",Assessment[[#This Row],[JOB TARGET]])),SUBSTITUTE(Assessment[[#This Row],[JOB TARGET]],"EST","DEV"),Assessment[[#This Row],[JOB TARGET]])</f>
        <v>0</v>
      </c>
      <c r="M26" s="146" t="str" cm="1">
        <f t="array" aca="1" ref="M26" ca="1">IF(Assessment[[#This Row],[JOB TARGET]]="","Job Target Kosong",IF(COUNT(IF('Data Assessment'!$N26:$Z26-OFFSET(Standar!$B$2,MATCH(Assessment[[#This Row],[JOB TARGET
(DEV)]],Standar[NAMA JABATAN],0)-1,1,1,13)&lt;0,1,""))&lt;=3,'9 Grid'!$B$4,IF(COUNT(IF('Data Assessment'!$N26:$Z26-OFFSET(Standar!$B$2,MATCH(Assessment[[#This Row],[JOB TARGET
(DEV)]],Standar[NAMA JABATAN],0)-1,1,1,13)&lt;0,1,""))&gt;=7,'9 Grid'!$B$6,'9 Grid'!$B$5)))</f>
        <v>Job Target Kosong</v>
      </c>
      <c r="N26" s="146" t="str">
        <f>IFERROR(IF(Data_Assessment[[#This Row],[IPP (3 YEARS AVERAGE)]]="","(IPP Belum Ada)",IF(Data_Assessment[[#This Row],[IPP (3 YEARS AVERAGE)]]&lt;2,'9 Grid'!$F$2,IF(Data_Assessment[[#This Row],[IPP (3 YEARS AVERAGE)]]&gt;=4,'9 Grid'!$D$2,'9 Grid'!$E$2))),"")</f>
        <v>Contributor</v>
      </c>
      <c r="O26" s="146" t="str">
        <f ca="1">IFERROR(INDEX('9 Grid'!$D$4:$F$6,MATCH('Rekomendasi HAV'!M26,'9 Grid'!$B$4:$B$6,0),MATCH('Rekomendasi HAV'!N26,'9 Grid'!$D$2:$F$2,0)),"")</f>
        <v/>
      </c>
      <c r="P26" s="147" t="str">
        <f>IFERROR(INDEX('9 Grid'!$D$8:$F$8,1,MATCH('Rekomendasi HAV'!N26,'9 Grid'!$D$2:$F$2,0)),"")</f>
        <v>(LT) More 2 - 3 year</v>
      </c>
    </row>
    <row r="27" spans="1:16" ht="28.5">
      <c r="A27" s="67">
        <v>26</v>
      </c>
      <c r="B27" s="68" t="str">
        <f>INDEX(Data_Assessment[],MATCH('Rekomendasi HAV'!$A27,Data_Assessment[[INDEX]:[INDEX]],0),MATCH('Rekomendasi HAV'!B$1,Data_Assessment[#Headers],0))</f>
        <v>Paulus Ronaldo B. Sihotang</v>
      </c>
      <c r="C27" s="68" t="str">
        <f>INDEX(Data_Assessment[],MATCH('Rekomendasi HAV'!$A27,Data_Assessment[[INDEX]:[INDEX]],0),MATCH('Rekomendasi HAV'!C$1,Data_Assessment[#Headers],0))</f>
        <v>Sumatera Utara</v>
      </c>
      <c r="D27" s="68" t="str">
        <f>INDEX(Data_Assessment[],MATCH('Rekomendasi HAV'!$A27,Data_Assessment[[INDEX]:[INDEX]],0),MATCH('Rekomendasi HAV'!D$1,Data_Assessment[#Headers],0))</f>
        <v>LSIP - RO Medan</v>
      </c>
      <c r="E27" s="68">
        <f>INDEX(Data_Assessment[],MATCH('Rekomendasi HAV'!$B27,Data_Assessment[[NAME]:[NAME]],0),MATCH('Rekomendasi HAV'!E$1,Data_Assessment[#Headers],0))</f>
        <v>0</v>
      </c>
      <c r="F27" s="68"/>
      <c r="G27" s="68">
        <f>IF(ISNUMBER(SEARCH("DEV",Assessment[[#This Row],[JOB TARGET]])),SUBSTITUTE(Assessment[[#This Row],[JOB TARGET]],"DEV","EST"),Assessment[[#This Row],[JOB TARGET]])</f>
        <v>0</v>
      </c>
      <c r="H27" s="146" t="str" cm="1">
        <f t="array" aca="1" ref="H27" ca="1">IF(Assessment[[#This Row],[JOB TARGET]]="","Job Target Kosong",IF(COUNT(IF('Data Assessment'!$N27:$Z27-OFFSET(Standar!$B$2,MATCH(Assessment[[#This Row],[JOB TARGET
(EST)]],Standar[NAMA JABATAN],0)-1,1,1,13)&lt;0,1,""))&lt;=3,'9 Grid'!$B$4,IF(COUNT(IF('Data Assessment'!$N27:$Z27-OFFSET(Standar!$B$2,MATCH(Assessment[[#This Row],[JOB TARGET]],Standar[NAMA JABATAN],0)-1,1,1,13)&lt;0,1,""))&gt;=7,'9 Grid'!$B$6,'9 Grid'!$B$5)))</f>
        <v>Job Target Kosong</v>
      </c>
      <c r="I27" s="146" t="str">
        <f>IFERROR(IF(Data_Assessment[[#This Row],[IPP (3 YEARS AVERAGE)]]="","(IPP Belum Ada)",IF(Data_Assessment[[#This Row],[IPP (3 YEARS AVERAGE)]]&lt;2,'9 Grid'!$F$2,IF(Data_Assessment[[#This Row],[IPP (3 YEARS AVERAGE)]]&gt;=4,'9 Grid'!$D$2,'9 Grid'!$E$2))),"")</f>
        <v>Contributor</v>
      </c>
      <c r="J27" s="146" t="str">
        <f ca="1">IFERROR(INDEX('9 Grid'!$D$4:$F$6,MATCH('Rekomendasi HAV'!H27,'9 Grid'!$B$4:$B$6,0),MATCH('Rekomendasi HAV'!I27,'9 Grid'!$D$2:$F$2,0)),"")</f>
        <v/>
      </c>
      <c r="K27" s="146" t="str">
        <f>IFERROR(INDEX('9 Grid'!$D$8:$F$8,1,MATCH('Rekomendasi HAV'!I27,'9 Grid'!$D$2:$F$2,0)),"")</f>
        <v>(LT) More 2 - 3 year</v>
      </c>
      <c r="L27" s="146">
        <f>IF(ISNUMBER(SEARCH("EST",Assessment[[#This Row],[JOB TARGET]])),SUBSTITUTE(Assessment[[#This Row],[JOB TARGET]],"EST","DEV"),Assessment[[#This Row],[JOB TARGET]])</f>
        <v>0</v>
      </c>
      <c r="M27" s="146" t="str" cm="1">
        <f t="array" aca="1" ref="M27" ca="1">IF(Assessment[[#This Row],[JOB TARGET]]="","Job Target Kosong",IF(COUNT(IF('Data Assessment'!$N27:$Z27-OFFSET(Standar!$B$2,MATCH(Assessment[[#This Row],[JOB TARGET
(DEV)]],Standar[NAMA JABATAN],0)-1,1,1,13)&lt;0,1,""))&lt;=3,'9 Grid'!$B$4,IF(COUNT(IF('Data Assessment'!$N27:$Z27-OFFSET(Standar!$B$2,MATCH(Assessment[[#This Row],[JOB TARGET
(DEV)]],Standar[NAMA JABATAN],0)-1,1,1,13)&lt;0,1,""))&gt;=7,'9 Grid'!$B$6,'9 Grid'!$B$5)))</f>
        <v>Job Target Kosong</v>
      </c>
      <c r="N27" s="146" t="str">
        <f>IFERROR(IF(Data_Assessment[[#This Row],[IPP (3 YEARS AVERAGE)]]="","(IPP Belum Ada)",IF(Data_Assessment[[#This Row],[IPP (3 YEARS AVERAGE)]]&lt;2,'9 Grid'!$F$2,IF(Data_Assessment[[#This Row],[IPP (3 YEARS AVERAGE)]]&gt;=4,'9 Grid'!$D$2,'9 Grid'!$E$2))),"")</f>
        <v>Contributor</v>
      </c>
      <c r="O27" s="146" t="str">
        <f ca="1">IFERROR(INDEX('9 Grid'!$D$4:$F$6,MATCH('Rekomendasi HAV'!M27,'9 Grid'!$B$4:$B$6,0),MATCH('Rekomendasi HAV'!N27,'9 Grid'!$D$2:$F$2,0)),"")</f>
        <v/>
      </c>
      <c r="P27" s="147" t="str">
        <f>IFERROR(INDEX('9 Grid'!$D$8:$F$8,1,MATCH('Rekomendasi HAV'!N27,'9 Grid'!$D$2:$F$2,0)),"")</f>
        <v>(LT) More 2 - 3 year</v>
      </c>
    </row>
    <row r="28" spans="1:16" ht="28.5">
      <c r="A28" s="67">
        <v>27</v>
      </c>
      <c r="B28" s="68" t="str">
        <f>INDEX(Data_Assessment[],MATCH('Rekomendasi HAV'!$A28,Data_Assessment[[INDEX]:[INDEX]],0),MATCH('Rekomendasi HAV'!B$1,Data_Assessment[#Headers],0))</f>
        <v>Akhmed Azharul Fikar Alinur</v>
      </c>
      <c r="C28" s="68" t="str">
        <f>INDEX(Data_Assessment[],MATCH('Rekomendasi HAV'!$A28,Data_Assessment[[INDEX]:[INDEX]],0),MATCH('Rekomendasi HAV'!C$1,Data_Assessment[#Headers],0))</f>
        <v>Jawa Timur</v>
      </c>
      <c r="D28" s="68" t="str">
        <f>INDEX(Data_Assessment[],MATCH('Rekomendasi HAV'!$A28,Data_Assessment[[INDEX]:[INDEX]],0),MATCH('Rekomendasi HAV'!D$1,Data_Assessment[#Headers],0))</f>
        <v>LSIP - Treblasala Estate</v>
      </c>
      <c r="E28" s="68">
        <f>INDEX(Data_Assessment[],MATCH('Rekomendasi HAV'!$B28,Data_Assessment[[NAME]:[NAME]],0),MATCH('Rekomendasi HAV'!E$1,Data_Assessment[#Headers],0))</f>
        <v>0</v>
      </c>
      <c r="F28" s="68"/>
      <c r="G28" s="68">
        <f>IF(ISNUMBER(SEARCH("DEV",Assessment[[#This Row],[JOB TARGET]])),SUBSTITUTE(Assessment[[#This Row],[JOB TARGET]],"DEV","EST"),Assessment[[#This Row],[JOB TARGET]])</f>
        <v>0</v>
      </c>
      <c r="H28" s="146" t="str" cm="1">
        <f t="array" aca="1" ref="H28" ca="1">IF(Assessment[[#This Row],[JOB TARGET]]="","Job Target Kosong",IF(COUNT(IF('Data Assessment'!$N28:$Z28-OFFSET(Standar!$B$2,MATCH(Assessment[[#This Row],[JOB TARGET
(EST)]],Standar[NAMA JABATAN],0)-1,1,1,13)&lt;0,1,""))&lt;=3,'9 Grid'!$B$4,IF(COUNT(IF('Data Assessment'!$N28:$Z28-OFFSET(Standar!$B$2,MATCH(Assessment[[#This Row],[JOB TARGET]],Standar[NAMA JABATAN],0)-1,1,1,13)&lt;0,1,""))&gt;=7,'9 Grid'!$B$6,'9 Grid'!$B$5)))</f>
        <v>Job Target Kosong</v>
      </c>
      <c r="I28" s="146" t="str">
        <f>IFERROR(IF(Data_Assessment[[#This Row],[IPP (3 YEARS AVERAGE)]]="","(IPP Belum Ada)",IF(Data_Assessment[[#This Row],[IPP (3 YEARS AVERAGE)]]&lt;2,'9 Grid'!$F$2,IF(Data_Assessment[[#This Row],[IPP (3 YEARS AVERAGE)]]&gt;=4,'9 Grid'!$D$2,'9 Grid'!$E$2))),"")</f>
        <v>Contributor</v>
      </c>
      <c r="J28" s="146" t="str">
        <f ca="1">IFERROR(INDEX('9 Grid'!$D$4:$F$6,MATCH('Rekomendasi HAV'!H28,'9 Grid'!$B$4:$B$6,0),MATCH('Rekomendasi HAV'!I28,'9 Grid'!$D$2:$F$2,0)),"")</f>
        <v/>
      </c>
      <c r="K28" s="146" t="str">
        <f>IFERROR(INDEX('9 Grid'!$D$8:$F$8,1,MATCH('Rekomendasi HAV'!I28,'9 Grid'!$D$2:$F$2,0)),"")</f>
        <v>(LT) More 2 - 3 year</v>
      </c>
      <c r="L28" s="146">
        <f>IF(ISNUMBER(SEARCH("EST",Assessment[[#This Row],[JOB TARGET]])),SUBSTITUTE(Assessment[[#This Row],[JOB TARGET]],"EST","DEV"),Assessment[[#This Row],[JOB TARGET]])</f>
        <v>0</v>
      </c>
      <c r="M28" s="146" t="str" cm="1">
        <f t="array" aca="1" ref="M28" ca="1">IF(Assessment[[#This Row],[JOB TARGET]]="","Job Target Kosong",IF(COUNT(IF('Data Assessment'!$N28:$Z28-OFFSET(Standar!$B$2,MATCH(Assessment[[#This Row],[JOB TARGET
(DEV)]],Standar[NAMA JABATAN],0)-1,1,1,13)&lt;0,1,""))&lt;=3,'9 Grid'!$B$4,IF(COUNT(IF('Data Assessment'!$N28:$Z28-OFFSET(Standar!$B$2,MATCH(Assessment[[#This Row],[JOB TARGET
(DEV)]],Standar[NAMA JABATAN],0)-1,1,1,13)&lt;0,1,""))&gt;=7,'9 Grid'!$B$6,'9 Grid'!$B$5)))</f>
        <v>Job Target Kosong</v>
      </c>
      <c r="N28" s="146" t="str">
        <f>IFERROR(IF(Data_Assessment[[#This Row],[IPP (3 YEARS AVERAGE)]]="","(IPP Belum Ada)",IF(Data_Assessment[[#This Row],[IPP (3 YEARS AVERAGE)]]&lt;2,'9 Grid'!$F$2,IF(Data_Assessment[[#This Row],[IPP (3 YEARS AVERAGE)]]&gt;=4,'9 Grid'!$D$2,'9 Grid'!$E$2))),"")</f>
        <v>Contributor</v>
      </c>
      <c r="O28" s="146" t="str">
        <f ca="1">IFERROR(INDEX('9 Grid'!$D$4:$F$6,MATCH('Rekomendasi HAV'!M28,'9 Grid'!$B$4:$B$6,0),MATCH('Rekomendasi HAV'!N28,'9 Grid'!$D$2:$F$2,0)),"")</f>
        <v/>
      </c>
      <c r="P28" s="147" t="str">
        <f>IFERROR(INDEX('9 Grid'!$D$8:$F$8,1,MATCH('Rekomendasi HAV'!N28,'9 Grid'!$D$2:$F$2,0)),"")</f>
        <v>(LT) More 2 - 3 year</v>
      </c>
    </row>
    <row r="29" spans="1:16" ht="28.5">
      <c r="A29" s="67">
        <v>28</v>
      </c>
      <c r="B29" s="68" t="str">
        <f>INDEX(Data_Assessment[],MATCH('Rekomendasi HAV'!$A29,Data_Assessment[[INDEX]:[INDEX]],0),MATCH('Rekomendasi HAV'!B$1,Data_Assessment[#Headers],0))</f>
        <v>Frans Nico Pratama N</v>
      </c>
      <c r="C29" s="68" t="str">
        <f>INDEX(Data_Assessment[],MATCH('Rekomendasi HAV'!$A29,Data_Assessment[[INDEX]:[INDEX]],0),MATCH('Rekomendasi HAV'!C$1,Data_Assessment[#Headers],0))</f>
        <v>Sumatera Utara</v>
      </c>
      <c r="D29" s="68" t="str">
        <f>INDEX(Data_Assessment[],MATCH('Rekomendasi HAV'!$A29,Data_Assessment[[INDEX]:[INDEX]],0),MATCH('Rekomendasi HAV'!D$1,Data_Assessment[#Headers],0))</f>
        <v>LSIP - RO Medan</v>
      </c>
      <c r="E29" s="68">
        <f>INDEX(Data_Assessment[],MATCH('Rekomendasi HAV'!$B29,Data_Assessment[[NAME]:[NAME]],0),MATCH('Rekomendasi HAV'!E$1,Data_Assessment[#Headers],0))</f>
        <v>0</v>
      </c>
      <c r="F29" s="68"/>
      <c r="G29" s="68">
        <f>IF(ISNUMBER(SEARCH("DEV",Assessment[[#This Row],[JOB TARGET]])),SUBSTITUTE(Assessment[[#This Row],[JOB TARGET]],"DEV","EST"),Assessment[[#This Row],[JOB TARGET]])</f>
        <v>0</v>
      </c>
      <c r="H29" s="146" t="str" cm="1">
        <f t="array" aca="1" ref="H29" ca="1">IF(Assessment[[#This Row],[JOB TARGET]]="","Job Target Kosong",IF(COUNT(IF('Data Assessment'!$N29:$Z29-OFFSET(Standar!$B$2,MATCH(Assessment[[#This Row],[JOB TARGET
(EST)]],Standar[NAMA JABATAN],0)-1,1,1,13)&lt;0,1,""))&lt;=3,'9 Grid'!$B$4,IF(COUNT(IF('Data Assessment'!$N29:$Z29-OFFSET(Standar!$B$2,MATCH(Assessment[[#This Row],[JOB TARGET]],Standar[NAMA JABATAN],0)-1,1,1,13)&lt;0,1,""))&gt;=7,'9 Grid'!$B$6,'9 Grid'!$B$5)))</f>
        <v>Job Target Kosong</v>
      </c>
      <c r="I29" s="146" t="str">
        <f>IFERROR(IF(Data_Assessment[[#This Row],[IPP (3 YEARS AVERAGE)]]="","(IPP Belum Ada)",IF(Data_Assessment[[#This Row],[IPP (3 YEARS AVERAGE)]]&lt;2,'9 Grid'!$F$2,IF(Data_Assessment[[#This Row],[IPP (3 YEARS AVERAGE)]]&gt;=4,'9 Grid'!$D$2,'9 Grid'!$E$2))),"")</f>
        <v>Contributor</v>
      </c>
      <c r="J29" s="146" t="str">
        <f ca="1">IFERROR(INDEX('9 Grid'!$D$4:$F$6,MATCH('Rekomendasi HAV'!H29,'9 Grid'!$B$4:$B$6,0),MATCH('Rekomendasi HAV'!I29,'9 Grid'!$D$2:$F$2,0)),"")</f>
        <v/>
      </c>
      <c r="K29" s="146" t="str">
        <f>IFERROR(INDEX('9 Grid'!$D$8:$F$8,1,MATCH('Rekomendasi HAV'!I29,'9 Grid'!$D$2:$F$2,0)),"")</f>
        <v>(LT) More 2 - 3 year</v>
      </c>
      <c r="L29" s="146">
        <f>IF(ISNUMBER(SEARCH("EST",Assessment[[#This Row],[JOB TARGET]])),SUBSTITUTE(Assessment[[#This Row],[JOB TARGET]],"EST","DEV"),Assessment[[#This Row],[JOB TARGET]])</f>
        <v>0</v>
      </c>
      <c r="M29" s="146" t="str" cm="1">
        <f t="array" aca="1" ref="M29" ca="1">IF(Assessment[[#This Row],[JOB TARGET]]="","Job Target Kosong",IF(COUNT(IF('Data Assessment'!$N29:$Z29-OFFSET(Standar!$B$2,MATCH(Assessment[[#This Row],[JOB TARGET
(DEV)]],Standar[NAMA JABATAN],0)-1,1,1,13)&lt;0,1,""))&lt;=3,'9 Grid'!$B$4,IF(COUNT(IF('Data Assessment'!$N29:$Z29-OFFSET(Standar!$B$2,MATCH(Assessment[[#This Row],[JOB TARGET
(DEV)]],Standar[NAMA JABATAN],0)-1,1,1,13)&lt;0,1,""))&gt;=7,'9 Grid'!$B$6,'9 Grid'!$B$5)))</f>
        <v>Job Target Kosong</v>
      </c>
      <c r="N29" s="146" t="str">
        <f>IFERROR(IF(Data_Assessment[[#This Row],[IPP (3 YEARS AVERAGE)]]="","(IPP Belum Ada)",IF(Data_Assessment[[#This Row],[IPP (3 YEARS AVERAGE)]]&lt;2,'9 Grid'!$F$2,IF(Data_Assessment[[#This Row],[IPP (3 YEARS AVERAGE)]]&gt;=4,'9 Grid'!$D$2,'9 Grid'!$E$2))),"")</f>
        <v>Contributor</v>
      </c>
      <c r="O29" s="146" t="str">
        <f ca="1">IFERROR(INDEX('9 Grid'!$D$4:$F$6,MATCH('Rekomendasi HAV'!M29,'9 Grid'!$B$4:$B$6,0),MATCH('Rekomendasi HAV'!N29,'9 Grid'!$D$2:$F$2,0)),"")</f>
        <v/>
      </c>
      <c r="P29" s="147" t="str">
        <f>IFERROR(INDEX('9 Grid'!$D$8:$F$8,1,MATCH('Rekomendasi HAV'!N29,'9 Grid'!$D$2:$F$2,0)),"")</f>
        <v>(LT) More 2 - 3 year</v>
      </c>
    </row>
    <row r="30" spans="1:16" ht="28.5">
      <c r="A30" s="67">
        <v>29</v>
      </c>
      <c r="B30" s="68" t="str">
        <f>INDEX(Data_Assessment[],MATCH('Rekomendasi HAV'!$A30,Data_Assessment[[INDEX]:[INDEX]],0),MATCH('Rekomendasi HAV'!B$1,Data_Assessment[#Headers],0))</f>
        <v>A. Syaukaniy Riandi</v>
      </c>
      <c r="C30" s="68" t="str">
        <f>INDEX(Data_Assessment[],MATCH('Rekomendasi HAV'!$A30,Data_Assessment[[INDEX]:[INDEX]],0),MATCH('Rekomendasi HAV'!C$1,Data_Assessment[#Headers],0))</f>
        <v>Jawa Timur</v>
      </c>
      <c r="D30" s="68" t="str">
        <f>INDEX(Data_Assessment[],MATCH('Rekomendasi HAV'!$A30,Data_Assessment[[INDEX]:[INDEX]],0),MATCH('Rekomendasi HAV'!D$1,Data_Assessment[#Headers],0))</f>
        <v>LSIP - Treblasala Estate</v>
      </c>
      <c r="E30" s="68">
        <f>INDEX(Data_Assessment[],MATCH('Rekomendasi HAV'!$B30,Data_Assessment[[NAME]:[NAME]],0),MATCH('Rekomendasi HAV'!E$1,Data_Assessment[#Headers],0))</f>
        <v>0</v>
      </c>
      <c r="F30" s="68"/>
      <c r="G30" s="68">
        <f>IF(ISNUMBER(SEARCH("DEV",Assessment[[#This Row],[JOB TARGET]])),SUBSTITUTE(Assessment[[#This Row],[JOB TARGET]],"DEV","EST"),Assessment[[#This Row],[JOB TARGET]])</f>
        <v>0</v>
      </c>
      <c r="H30" s="146" t="str" cm="1">
        <f t="array" aca="1" ref="H30" ca="1">IF(Assessment[[#This Row],[JOB TARGET]]="","Job Target Kosong",IF(COUNT(IF('Data Assessment'!$N30:$Z30-OFFSET(Standar!$B$2,MATCH(Assessment[[#This Row],[JOB TARGET
(EST)]],Standar[NAMA JABATAN],0)-1,1,1,13)&lt;0,1,""))&lt;=3,'9 Grid'!$B$4,IF(COUNT(IF('Data Assessment'!$N30:$Z30-OFFSET(Standar!$B$2,MATCH(Assessment[[#This Row],[JOB TARGET]],Standar[NAMA JABATAN],0)-1,1,1,13)&lt;0,1,""))&gt;=7,'9 Grid'!$B$6,'9 Grid'!$B$5)))</f>
        <v>Job Target Kosong</v>
      </c>
      <c r="I30" s="146" t="str">
        <f>IFERROR(IF(Data_Assessment[[#This Row],[IPP (3 YEARS AVERAGE)]]="","(IPP Belum Ada)",IF(Data_Assessment[[#This Row],[IPP (3 YEARS AVERAGE)]]&lt;2,'9 Grid'!$F$2,IF(Data_Assessment[[#This Row],[IPP (3 YEARS AVERAGE)]]&gt;=4,'9 Grid'!$D$2,'9 Grid'!$E$2))),"")</f>
        <v>Contributor</v>
      </c>
      <c r="J30" s="146" t="str">
        <f ca="1">IFERROR(INDEX('9 Grid'!$D$4:$F$6,MATCH('Rekomendasi HAV'!H30,'9 Grid'!$B$4:$B$6,0),MATCH('Rekomendasi HAV'!I30,'9 Grid'!$D$2:$F$2,0)),"")</f>
        <v/>
      </c>
      <c r="K30" s="146" t="str">
        <f>IFERROR(INDEX('9 Grid'!$D$8:$F$8,1,MATCH('Rekomendasi HAV'!I30,'9 Grid'!$D$2:$F$2,0)),"")</f>
        <v>(LT) More 2 - 3 year</v>
      </c>
      <c r="L30" s="146">
        <f>IF(ISNUMBER(SEARCH("EST",Assessment[[#This Row],[JOB TARGET]])),SUBSTITUTE(Assessment[[#This Row],[JOB TARGET]],"EST","DEV"),Assessment[[#This Row],[JOB TARGET]])</f>
        <v>0</v>
      </c>
      <c r="M30" s="146" t="str" cm="1">
        <f t="array" aca="1" ref="M30" ca="1">IF(Assessment[[#This Row],[JOB TARGET]]="","Job Target Kosong",IF(COUNT(IF('Data Assessment'!$N30:$Z30-OFFSET(Standar!$B$2,MATCH(Assessment[[#This Row],[JOB TARGET
(DEV)]],Standar[NAMA JABATAN],0)-1,1,1,13)&lt;0,1,""))&lt;=3,'9 Grid'!$B$4,IF(COUNT(IF('Data Assessment'!$N30:$Z30-OFFSET(Standar!$B$2,MATCH(Assessment[[#This Row],[JOB TARGET
(DEV)]],Standar[NAMA JABATAN],0)-1,1,1,13)&lt;0,1,""))&gt;=7,'9 Grid'!$B$6,'9 Grid'!$B$5)))</f>
        <v>Job Target Kosong</v>
      </c>
      <c r="N30" s="146" t="str">
        <f>IFERROR(IF(Data_Assessment[[#This Row],[IPP (3 YEARS AVERAGE)]]="","(IPP Belum Ada)",IF(Data_Assessment[[#This Row],[IPP (3 YEARS AVERAGE)]]&lt;2,'9 Grid'!$F$2,IF(Data_Assessment[[#This Row],[IPP (3 YEARS AVERAGE)]]&gt;=4,'9 Grid'!$D$2,'9 Grid'!$E$2))),"")</f>
        <v>Contributor</v>
      </c>
      <c r="O30" s="146" t="str">
        <f ca="1">IFERROR(INDEX('9 Grid'!$D$4:$F$6,MATCH('Rekomendasi HAV'!M30,'9 Grid'!$B$4:$B$6,0),MATCH('Rekomendasi HAV'!N30,'9 Grid'!$D$2:$F$2,0)),"")</f>
        <v/>
      </c>
      <c r="P30" s="147" t="str">
        <f>IFERROR(INDEX('9 Grid'!$D$8:$F$8,1,MATCH('Rekomendasi HAV'!N30,'9 Grid'!$D$2:$F$2,0)),"")</f>
        <v>(LT) More 2 - 3 year</v>
      </c>
    </row>
    <row r="31" spans="1:16" ht="28.5">
      <c r="A31" s="67">
        <v>30</v>
      </c>
      <c r="B31" s="68" t="str">
        <f>INDEX(Data_Assessment[],MATCH('Rekomendasi HAV'!$A31,Data_Assessment[[INDEX]:[INDEX]],0),MATCH('Rekomendasi HAV'!B$1,Data_Assessment[#Headers],0))</f>
        <v>Lukman Hakim</v>
      </c>
      <c r="C31" s="68" t="str">
        <f>INDEX(Data_Assessment[],MATCH('Rekomendasi HAV'!$A31,Data_Assessment[[INDEX]:[INDEX]],0),MATCH('Rekomendasi HAV'!C$1,Data_Assessment[#Headers],0))</f>
        <v>Sumatera Utara</v>
      </c>
      <c r="D31" s="68" t="str">
        <f>INDEX(Data_Assessment[],MATCH('Rekomendasi HAV'!$A31,Data_Assessment[[INDEX]:[INDEX]],0),MATCH('Rekomendasi HAV'!D$1,Data_Assessment[#Headers],0))</f>
        <v>LSIP - RO Medan</v>
      </c>
      <c r="E31" s="68">
        <f>INDEX(Data_Assessment[],MATCH('Rekomendasi HAV'!$B31,Data_Assessment[[NAME]:[NAME]],0),MATCH('Rekomendasi HAV'!E$1,Data_Assessment[#Headers],0))</f>
        <v>0</v>
      </c>
      <c r="F31" s="68"/>
      <c r="G31" s="68">
        <f>IF(ISNUMBER(SEARCH("DEV",Assessment[[#This Row],[JOB TARGET]])),SUBSTITUTE(Assessment[[#This Row],[JOB TARGET]],"DEV","EST"),Assessment[[#This Row],[JOB TARGET]])</f>
        <v>0</v>
      </c>
      <c r="H31" s="146" t="str" cm="1">
        <f t="array" aca="1" ref="H31" ca="1">IF(Assessment[[#This Row],[JOB TARGET]]="","Job Target Kosong",IF(COUNT(IF('Data Assessment'!$N31:$Z31-OFFSET(Standar!$B$2,MATCH(Assessment[[#This Row],[JOB TARGET
(EST)]],Standar[NAMA JABATAN],0)-1,1,1,13)&lt;0,1,""))&lt;=3,'9 Grid'!$B$4,IF(COUNT(IF('Data Assessment'!$N31:$Z31-OFFSET(Standar!$B$2,MATCH(Assessment[[#This Row],[JOB TARGET]],Standar[NAMA JABATAN],0)-1,1,1,13)&lt;0,1,""))&gt;=7,'9 Grid'!$B$6,'9 Grid'!$B$5)))</f>
        <v>Job Target Kosong</v>
      </c>
      <c r="I31" s="146" t="str">
        <f>IFERROR(IF(Data_Assessment[[#This Row],[IPP (3 YEARS AVERAGE)]]="","(IPP Belum Ada)",IF(Data_Assessment[[#This Row],[IPP (3 YEARS AVERAGE)]]&lt;2,'9 Grid'!$F$2,IF(Data_Assessment[[#This Row],[IPP (3 YEARS AVERAGE)]]&gt;=4,'9 Grid'!$D$2,'9 Grid'!$E$2))),"")</f>
        <v>Contributor</v>
      </c>
      <c r="J31" s="146" t="str">
        <f ca="1">IFERROR(INDEX('9 Grid'!$D$4:$F$6,MATCH('Rekomendasi HAV'!H31,'9 Grid'!$B$4:$B$6,0),MATCH('Rekomendasi HAV'!I31,'9 Grid'!$D$2:$F$2,0)),"")</f>
        <v/>
      </c>
      <c r="K31" s="146" t="str">
        <f>IFERROR(INDEX('9 Grid'!$D$8:$F$8,1,MATCH('Rekomendasi HAV'!I31,'9 Grid'!$D$2:$F$2,0)),"")</f>
        <v>(LT) More 2 - 3 year</v>
      </c>
      <c r="L31" s="146">
        <f>IF(ISNUMBER(SEARCH("EST",Assessment[[#This Row],[JOB TARGET]])),SUBSTITUTE(Assessment[[#This Row],[JOB TARGET]],"EST","DEV"),Assessment[[#This Row],[JOB TARGET]])</f>
        <v>0</v>
      </c>
      <c r="M31" s="146" t="str" cm="1">
        <f t="array" aca="1" ref="M31" ca="1">IF(Assessment[[#This Row],[JOB TARGET]]="","Job Target Kosong",IF(COUNT(IF('Data Assessment'!$N31:$Z31-OFFSET(Standar!$B$2,MATCH(Assessment[[#This Row],[JOB TARGET
(DEV)]],Standar[NAMA JABATAN],0)-1,1,1,13)&lt;0,1,""))&lt;=3,'9 Grid'!$B$4,IF(COUNT(IF('Data Assessment'!$N31:$Z31-OFFSET(Standar!$B$2,MATCH(Assessment[[#This Row],[JOB TARGET
(DEV)]],Standar[NAMA JABATAN],0)-1,1,1,13)&lt;0,1,""))&gt;=7,'9 Grid'!$B$6,'9 Grid'!$B$5)))</f>
        <v>Job Target Kosong</v>
      </c>
      <c r="N31" s="146" t="str">
        <f>IFERROR(IF(Data_Assessment[[#This Row],[IPP (3 YEARS AVERAGE)]]="","(IPP Belum Ada)",IF(Data_Assessment[[#This Row],[IPP (3 YEARS AVERAGE)]]&lt;2,'9 Grid'!$F$2,IF(Data_Assessment[[#This Row],[IPP (3 YEARS AVERAGE)]]&gt;=4,'9 Grid'!$D$2,'9 Grid'!$E$2))),"")</f>
        <v>Contributor</v>
      </c>
      <c r="O31" s="146" t="str">
        <f ca="1">IFERROR(INDEX('9 Grid'!$D$4:$F$6,MATCH('Rekomendasi HAV'!M31,'9 Grid'!$B$4:$B$6,0),MATCH('Rekomendasi HAV'!N31,'9 Grid'!$D$2:$F$2,0)),"")</f>
        <v/>
      </c>
      <c r="P31" s="147" t="str">
        <f>IFERROR(INDEX('9 Grid'!$D$8:$F$8,1,MATCH('Rekomendasi HAV'!N31,'9 Grid'!$D$2:$F$2,0)),"")</f>
        <v>(LT) More 2 - 3 year</v>
      </c>
    </row>
    <row r="32" spans="1:16" ht="28.5">
      <c r="A32" s="67">
        <v>31</v>
      </c>
      <c r="B32" s="68" t="str">
        <f>INDEX(Data_Assessment[],MATCH('Rekomendasi HAV'!$A32,Data_Assessment[[INDEX]:[INDEX]],0),MATCH('Rekomendasi HAV'!B$1,Data_Assessment[#Headers],0))</f>
        <v>Ahmad Sofyan</v>
      </c>
      <c r="C32" s="68" t="str">
        <f>INDEX(Data_Assessment[],MATCH('Rekomendasi HAV'!$A32,Data_Assessment[[INDEX]:[INDEX]],0),MATCH('Rekomendasi HAV'!C$1,Data_Assessment[#Headers],0))</f>
        <v>Kalimantan Timur</v>
      </c>
      <c r="D32" s="68" t="str">
        <f>INDEX(Data_Assessment[],MATCH('Rekomendasi HAV'!$A32,Data_Assessment[[INDEX]:[INDEX]],0),MATCH('Rekomendasi HAV'!D$1,Data_Assessment[#Headers],0))</f>
        <v>LSIP - Pahu Makmur Estate</v>
      </c>
      <c r="E32" s="68">
        <f>INDEX(Data_Assessment[],MATCH('Rekomendasi HAV'!$B32,Data_Assessment[[NAME]:[NAME]],0),MATCH('Rekomendasi HAV'!E$1,Data_Assessment[#Headers],0))</f>
        <v>0</v>
      </c>
      <c r="F32" s="68"/>
      <c r="G32" s="68">
        <f>IF(ISNUMBER(SEARCH("DEV",Assessment[[#This Row],[JOB TARGET]])),SUBSTITUTE(Assessment[[#This Row],[JOB TARGET]],"DEV","EST"),Assessment[[#This Row],[JOB TARGET]])</f>
        <v>0</v>
      </c>
      <c r="H32" s="146" t="str" cm="1">
        <f t="array" aca="1" ref="H32" ca="1">IF(Assessment[[#This Row],[JOB TARGET]]="","Job Target Kosong",IF(COUNT(IF('Data Assessment'!$N32:$Z32-OFFSET(Standar!$B$2,MATCH(Assessment[[#This Row],[JOB TARGET
(EST)]],Standar[NAMA JABATAN],0)-1,1,1,13)&lt;0,1,""))&lt;=3,'9 Grid'!$B$4,IF(COUNT(IF('Data Assessment'!$N32:$Z32-OFFSET(Standar!$B$2,MATCH(Assessment[[#This Row],[JOB TARGET]],Standar[NAMA JABATAN],0)-1,1,1,13)&lt;0,1,""))&gt;=7,'9 Grid'!$B$6,'9 Grid'!$B$5)))</f>
        <v>Job Target Kosong</v>
      </c>
      <c r="I32" s="146" t="str">
        <f>IFERROR(IF(Data_Assessment[[#This Row],[IPP (3 YEARS AVERAGE)]]="","(IPP Belum Ada)",IF(Data_Assessment[[#This Row],[IPP (3 YEARS AVERAGE)]]&lt;2,'9 Grid'!$F$2,IF(Data_Assessment[[#This Row],[IPP (3 YEARS AVERAGE)]]&gt;=4,'9 Grid'!$D$2,'9 Grid'!$E$2))),"")</f>
        <v>Contributor</v>
      </c>
      <c r="J32" s="146" t="str">
        <f ca="1">IFERROR(INDEX('9 Grid'!$D$4:$F$6,MATCH('Rekomendasi HAV'!H32,'9 Grid'!$B$4:$B$6,0),MATCH('Rekomendasi HAV'!I32,'9 Grid'!$D$2:$F$2,0)),"")</f>
        <v/>
      </c>
      <c r="K32" s="146" t="str">
        <f>IFERROR(INDEX('9 Grid'!$D$8:$F$8,1,MATCH('Rekomendasi HAV'!I32,'9 Grid'!$D$2:$F$2,0)),"")</f>
        <v>(LT) More 2 - 3 year</v>
      </c>
      <c r="L32" s="146">
        <f>IF(ISNUMBER(SEARCH("EST",Assessment[[#This Row],[JOB TARGET]])),SUBSTITUTE(Assessment[[#This Row],[JOB TARGET]],"EST","DEV"),Assessment[[#This Row],[JOB TARGET]])</f>
        <v>0</v>
      </c>
      <c r="M32" s="146" t="str" cm="1">
        <f t="array" aca="1" ref="M32" ca="1">IF(Assessment[[#This Row],[JOB TARGET]]="","Job Target Kosong",IF(COUNT(IF('Data Assessment'!$N32:$Z32-OFFSET(Standar!$B$2,MATCH(Assessment[[#This Row],[JOB TARGET
(DEV)]],Standar[NAMA JABATAN],0)-1,1,1,13)&lt;0,1,""))&lt;=3,'9 Grid'!$B$4,IF(COUNT(IF('Data Assessment'!$N32:$Z32-OFFSET(Standar!$B$2,MATCH(Assessment[[#This Row],[JOB TARGET
(DEV)]],Standar[NAMA JABATAN],0)-1,1,1,13)&lt;0,1,""))&gt;=7,'9 Grid'!$B$6,'9 Grid'!$B$5)))</f>
        <v>Job Target Kosong</v>
      </c>
      <c r="N32" s="146" t="str">
        <f>IFERROR(IF(Data_Assessment[[#This Row],[IPP (3 YEARS AVERAGE)]]="","(IPP Belum Ada)",IF(Data_Assessment[[#This Row],[IPP (3 YEARS AVERAGE)]]&lt;2,'9 Grid'!$F$2,IF(Data_Assessment[[#This Row],[IPP (3 YEARS AVERAGE)]]&gt;=4,'9 Grid'!$D$2,'9 Grid'!$E$2))),"")</f>
        <v>Contributor</v>
      </c>
      <c r="O32" s="146" t="str">
        <f ca="1">IFERROR(INDEX('9 Grid'!$D$4:$F$6,MATCH('Rekomendasi HAV'!M32,'9 Grid'!$B$4:$B$6,0),MATCH('Rekomendasi HAV'!N32,'9 Grid'!$D$2:$F$2,0)),"")</f>
        <v/>
      </c>
      <c r="P32" s="147" t="str">
        <f>IFERROR(INDEX('9 Grid'!$D$8:$F$8,1,MATCH('Rekomendasi HAV'!N32,'9 Grid'!$D$2:$F$2,0)),"")</f>
        <v>(LT) More 2 - 3 year</v>
      </c>
    </row>
    <row r="33" spans="1:16" ht="28.5">
      <c r="A33" s="67">
        <v>32</v>
      </c>
      <c r="B33" s="68" t="str">
        <f>INDEX(Data_Assessment[],MATCH('Rekomendasi HAV'!$A33,Data_Assessment[[INDEX]:[INDEX]],0),MATCH('Rekomendasi HAV'!B$1,Data_Assessment[#Headers],0))</f>
        <v>Lewobsus Simamora</v>
      </c>
      <c r="C33" s="68" t="str">
        <f>INDEX(Data_Assessment[],MATCH('Rekomendasi HAV'!$A33,Data_Assessment[[INDEX]:[INDEX]],0),MATCH('Rekomendasi HAV'!C$1,Data_Assessment[#Headers],0))</f>
        <v>Sumatera Utara</v>
      </c>
      <c r="D33" s="68" t="str">
        <f>INDEX(Data_Assessment[],MATCH('Rekomendasi HAV'!$A33,Data_Assessment[[INDEX]:[INDEX]],0),MATCH('Rekomendasi HAV'!D$1,Data_Assessment[#Headers],0))</f>
        <v>LSIP - RO Medan</v>
      </c>
      <c r="E33" s="68">
        <f>INDEX(Data_Assessment[],MATCH('Rekomendasi HAV'!$B33,Data_Assessment[[NAME]:[NAME]],0),MATCH('Rekomendasi HAV'!E$1,Data_Assessment[#Headers],0))</f>
        <v>0</v>
      </c>
      <c r="F33" s="68"/>
      <c r="G33" s="68">
        <f>IF(ISNUMBER(SEARCH("DEV",Assessment[[#This Row],[JOB TARGET]])),SUBSTITUTE(Assessment[[#This Row],[JOB TARGET]],"DEV","EST"),Assessment[[#This Row],[JOB TARGET]])</f>
        <v>0</v>
      </c>
      <c r="H33" s="146" t="str" cm="1">
        <f t="array" aca="1" ref="H33" ca="1">IF(Assessment[[#This Row],[JOB TARGET]]="","Job Target Kosong",IF(COUNT(IF('Data Assessment'!$N33:$Z33-OFFSET(Standar!$B$2,MATCH(Assessment[[#This Row],[JOB TARGET
(EST)]],Standar[NAMA JABATAN],0)-1,1,1,13)&lt;0,1,""))&lt;=3,'9 Grid'!$B$4,IF(COUNT(IF('Data Assessment'!$N33:$Z33-OFFSET(Standar!$B$2,MATCH(Assessment[[#This Row],[JOB TARGET]],Standar[NAMA JABATAN],0)-1,1,1,13)&lt;0,1,""))&gt;=7,'9 Grid'!$B$6,'9 Grid'!$B$5)))</f>
        <v>Job Target Kosong</v>
      </c>
      <c r="I33" s="146" t="str">
        <f>IFERROR(IF(Data_Assessment[[#This Row],[IPP (3 YEARS AVERAGE)]]="","(IPP Belum Ada)",IF(Data_Assessment[[#This Row],[IPP (3 YEARS AVERAGE)]]&lt;2,'9 Grid'!$F$2,IF(Data_Assessment[[#This Row],[IPP (3 YEARS AVERAGE)]]&gt;=4,'9 Grid'!$D$2,'9 Grid'!$E$2))),"")</f>
        <v>Contributor</v>
      </c>
      <c r="J33" s="146" t="str">
        <f ca="1">IFERROR(INDEX('9 Grid'!$D$4:$F$6,MATCH('Rekomendasi HAV'!H33,'9 Grid'!$B$4:$B$6,0),MATCH('Rekomendasi HAV'!I33,'9 Grid'!$D$2:$F$2,0)),"")</f>
        <v/>
      </c>
      <c r="K33" s="146" t="str">
        <f>IFERROR(INDEX('9 Grid'!$D$8:$F$8,1,MATCH('Rekomendasi HAV'!I33,'9 Grid'!$D$2:$F$2,0)),"")</f>
        <v>(LT) More 2 - 3 year</v>
      </c>
      <c r="L33" s="146">
        <f>IF(ISNUMBER(SEARCH("EST",Assessment[[#This Row],[JOB TARGET]])),SUBSTITUTE(Assessment[[#This Row],[JOB TARGET]],"EST","DEV"),Assessment[[#This Row],[JOB TARGET]])</f>
        <v>0</v>
      </c>
      <c r="M33" s="146" t="str" cm="1">
        <f t="array" aca="1" ref="M33" ca="1">IF(Assessment[[#This Row],[JOB TARGET]]="","Job Target Kosong",IF(COUNT(IF('Data Assessment'!$N33:$Z33-OFFSET(Standar!$B$2,MATCH(Assessment[[#This Row],[JOB TARGET
(DEV)]],Standar[NAMA JABATAN],0)-1,1,1,13)&lt;0,1,""))&lt;=3,'9 Grid'!$B$4,IF(COUNT(IF('Data Assessment'!$N33:$Z33-OFFSET(Standar!$B$2,MATCH(Assessment[[#This Row],[JOB TARGET
(DEV)]],Standar[NAMA JABATAN],0)-1,1,1,13)&lt;0,1,""))&gt;=7,'9 Grid'!$B$6,'9 Grid'!$B$5)))</f>
        <v>Job Target Kosong</v>
      </c>
      <c r="N33" s="146" t="str">
        <f>IFERROR(IF(Data_Assessment[[#This Row],[IPP (3 YEARS AVERAGE)]]="","(IPP Belum Ada)",IF(Data_Assessment[[#This Row],[IPP (3 YEARS AVERAGE)]]&lt;2,'9 Grid'!$F$2,IF(Data_Assessment[[#This Row],[IPP (3 YEARS AVERAGE)]]&gt;=4,'9 Grid'!$D$2,'9 Grid'!$E$2))),"")</f>
        <v>Contributor</v>
      </c>
      <c r="O33" s="146" t="str">
        <f ca="1">IFERROR(INDEX('9 Grid'!$D$4:$F$6,MATCH('Rekomendasi HAV'!M33,'9 Grid'!$B$4:$B$6,0),MATCH('Rekomendasi HAV'!N33,'9 Grid'!$D$2:$F$2,0)),"")</f>
        <v/>
      </c>
      <c r="P33" s="147" t="str">
        <f>IFERROR(INDEX('9 Grid'!$D$8:$F$8,1,MATCH('Rekomendasi HAV'!N33,'9 Grid'!$D$2:$F$2,0)),"")</f>
        <v>(LT) More 2 - 3 year</v>
      </c>
    </row>
    <row r="34" spans="1:16" ht="28.5">
      <c r="A34" s="67">
        <v>33</v>
      </c>
      <c r="B34" s="68" t="str">
        <f>INDEX(Data_Assessment[],MATCH('Rekomendasi HAV'!$A34,Data_Assessment[[INDEX]:[INDEX]],0),MATCH('Rekomendasi HAV'!B$1,Data_Assessment[#Headers],0))</f>
        <v>Joseph Bintang Siregar</v>
      </c>
      <c r="C34" s="68" t="str">
        <f>INDEX(Data_Assessment[],MATCH('Rekomendasi HAV'!$A34,Data_Assessment[[INDEX]:[INDEX]],0),MATCH('Rekomendasi HAV'!C$1,Data_Assessment[#Headers],0))</f>
        <v>Kalimantan Timur</v>
      </c>
      <c r="D34" s="68" t="str">
        <f>INDEX(Data_Assessment[],MATCH('Rekomendasi HAV'!$A34,Data_Assessment[[INDEX]:[INDEX]],0),MATCH('Rekomendasi HAV'!D$1,Data_Assessment[#Headers],0))</f>
        <v>LSIP - Jelau Makmur Estate</v>
      </c>
      <c r="E34" s="68">
        <f>INDEX(Data_Assessment[],MATCH('Rekomendasi HAV'!$B34,Data_Assessment[[NAME]:[NAME]],0),MATCH('Rekomendasi HAV'!E$1,Data_Assessment[#Headers],0))</f>
        <v>0</v>
      </c>
      <c r="F34" s="68"/>
      <c r="G34" s="68">
        <f>IF(ISNUMBER(SEARCH("DEV",Assessment[[#This Row],[JOB TARGET]])),SUBSTITUTE(Assessment[[#This Row],[JOB TARGET]],"DEV","EST"),Assessment[[#This Row],[JOB TARGET]])</f>
        <v>0</v>
      </c>
      <c r="H34" s="146" t="str" cm="1">
        <f t="array" aca="1" ref="H34" ca="1">IF(Assessment[[#This Row],[JOB TARGET]]="","Job Target Kosong",IF(COUNT(IF('Data Assessment'!$N34:$Z34-OFFSET(Standar!$B$2,MATCH(Assessment[[#This Row],[JOB TARGET
(EST)]],Standar[NAMA JABATAN],0)-1,1,1,13)&lt;0,1,""))&lt;=3,'9 Grid'!$B$4,IF(COUNT(IF('Data Assessment'!$N34:$Z34-OFFSET(Standar!$B$2,MATCH(Assessment[[#This Row],[JOB TARGET]],Standar[NAMA JABATAN],0)-1,1,1,13)&lt;0,1,""))&gt;=7,'9 Grid'!$B$6,'9 Grid'!$B$5)))</f>
        <v>Job Target Kosong</v>
      </c>
      <c r="I34" s="146" t="str">
        <f>IFERROR(IF(Data_Assessment[[#This Row],[IPP (3 YEARS AVERAGE)]]="","(IPP Belum Ada)",IF(Data_Assessment[[#This Row],[IPP (3 YEARS AVERAGE)]]&lt;2,'9 Grid'!$F$2,IF(Data_Assessment[[#This Row],[IPP (3 YEARS AVERAGE)]]&gt;=4,'9 Grid'!$D$2,'9 Grid'!$E$2))),"")</f>
        <v>Contributor</v>
      </c>
      <c r="J34" s="146" t="str">
        <f ca="1">IFERROR(INDEX('9 Grid'!$D$4:$F$6,MATCH('Rekomendasi HAV'!H34,'9 Grid'!$B$4:$B$6,0),MATCH('Rekomendasi HAV'!I34,'9 Grid'!$D$2:$F$2,0)),"")</f>
        <v/>
      </c>
      <c r="K34" s="146" t="str">
        <f>IFERROR(INDEX('9 Grid'!$D$8:$F$8,1,MATCH('Rekomendasi HAV'!I34,'9 Grid'!$D$2:$F$2,0)),"")</f>
        <v>(LT) More 2 - 3 year</v>
      </c>
      <c r="L34" s="146">
        <f>IF(ISNUMBER(SEARCH("EST",Assessment[[#This Row],[JOB TARGET]])),SUBSTITUTE(Assessment[[#This Row],[JOB TARGET]],"EST","DEV"),Assessment[[#This Row],[JOB TARGET]])</f>
        <v>0</v>
      </c>
      <c r="M34" s="146" t="str" cm="1">
        <f t="array" aca="1" ref="M34" ca="1">IF(Assessment[[#This Row],[JOB TARGET]]="","Job Target Kosong",IF(COUNT(IF('Data Assessment'!$N34:$Z34-OFFSET(Standar!$B$2,MATCH(Assessment[[#This Row],[JOB TARGET
(DEV)]],Standar[NAMA JABATAN],0)-1,1,1,13)&lt;0,1,""))&lt;=3,'9 Grid'!$B$4,IF(COUNT(IF('Data Assessment'!$N34:$Z34-OFFSET(Standar!$B$2,MATCH(Assessment[[#This Row],[JOB TARGET
(DEV)]],Standar[NAMA JABATAN],0)-1,1,1,13)&lt;0,1,""))&gt;=7,'9 Grid'!$B$6,'9 Grid'!$B$5)))</f>
        <v>Job Target Kosong</v>
      </c>
      <c r="N34" s="146" t="str">
        <f>IFERROR(IF(Data_Assessment[[#This Row],[IPP (3 YEARS AVERAGE)]]="","(IPP Belum Ada)",IF(Data_Assessment[[#This Row],[IPP (3 YEARS AVERAGE)]]&lt;2,'9 Grid'!$F$2,IF(Data_Assessment[[#This Row],[IPP (3 YEARS AVERAGE)]]&gt;=4,'9 Grid'!$D$2,'9 Grid'!$E$2))),"")</f>
        <v>Contributor</v>
      </c>
      <c r="O34" s="146" t="str">
        <f ca="1">IFERROR(INDEX('9 Grid'!$D$4:$F$6,MATCH('Rekomendasi HAV'!M34,'9 Grid'!$B$4:$B$6,0),MATCH('Rekomendasi HAV'!N34,'9 Grid'!$D$2:$F$2,0)),"")</f>
        <v/>
      </c>
      <c r="P34" s="147" t="str">
        <f>IFERROR(INDEX('9 Grid'!$D$8:$F$8,1,MATCH('Rekomendasi HAV'!N34,'9 Grid'!$D$2:$F$2,0)),"")</f>
        <v>(LT) More 2 - 3 year</v>
      </c>
    </row>
    <row r="35" spans="1:16" ht="28.5">
      <c r="A35" s="67">
        <v>34</v>
      </c>
      <c r="B35" s="68" t="str">
        <f>INDEX(Data_Assessment[],MATCH('Rekomendasi HAV'!$A35,Data_Assessment[[INDEX]:[INDEX]],0),MATCH('Rekomendasi HAV'!B$1,Data_Assessment[#Headers],0))</f>
        <v>Agung Jabar Nur</v>
      </c>
      <c r="C35" s="68" t="str">
        <f>INDEX(Data_Assessment[],MATCH('Rekomendasi HAV'!$A35,Data_Assessment[[INDEX]:[INDEX]],0),MATCH('Rekomendasi HAV'!C$1,Data_Assessment[#Headers],0))</f>
        <v>Sumatera Utara</v>
      </c>
      <c r="D35" s="68" t="str">
        <f>INDEX(Data_Assessment[],MATCH('Rekomendasi HAV'!$A35,Data_Assessment[[INDEX]:[INDEX]],0),MATCH('Rekomendasi HAV'!D$1,Data_Assessment[#Headers],0))</f>
        <v>LSIP - RO Medan</v>
      </c>
      <c r="E35" s="68">
        <f>INDEX(Data_Assessment[],MATCH('Rekomendasi HAV'!$B35,Data_Assessment[[NAME]:[NAME]],0),MATCH('Rekomendasi HAV'!E$1,Data_Assessment[#Headers],0))</f>
        <v>0</v>
      </c>
      <c r="F35" s="68"/>
      <c r="G35" s="68">
        <f>IF(ISNUMBER(SEARCH("DEV",Assessment[[#This Row],[JOB TARGET]])),SUBSTITUTE(Assessment[[#This Row],[JOB TARGET]],"DEV","EST"),Assessment[[#This Row],[JOB TARGET]])</f>
        <v>0</v>
      </c>
      <c r="H35" s="146" t="str" cm="1">
        <f t="array" aca="1" ref="H35" ca="1">IF(Assessment[[#This Row],[JOB TARGET]]="","Job Target Kosong",IF(COUNT(IF('Data Assessment'!$N35:$Z35-OFFSET(Standar!$B$2,MATCH(Assessment[[#This Row],[JOB TARGET
(EST)]],Standar[NAMA JABATAN],0)-1,1,1,13)&lt;0,1,""))&lt;=3,'9 Grid'!$B$4,IF(COUNT(IF('Data Assessment'!$N35:$Z35-OFFSET(Standar!$B$2,MATCH(Assessment[[#This Row],[JOB TARGET]],Standar[NAMA JABATAN],0)-1,1,1,13)&lt;0,1,""))&gt;=7,'9 Grid'!$B$6,'9 Grid'!$B$5)))</f>
        <v>Job Target Kosong</v>
      </c>
      <c r="I35" s="146" t="str">
        <f>IFERROR(IF(Data_Assessment[[#This Row],[IPP (3 YEARS AVERAGE)]]="","(IPP Belum Ada)",IF(Data_Assessment[[#This Row],[IPP (3 YEARS AVERAGE)]]&lt;2,'9 Grid'!$F$2,IF(Data_Assessment[[#This Row],[IPP (3 YEARS AVERAGE)]]&gt;=4,'9 Grid'!$D$2,'9 Grid'!$E$2))),"")</f>
        <v>Contributor</v>
      </c>
      <c r="J35" s="146" t="str">
        <f ca="1">IFERROR(INDEX('9 Grid'!$D$4:$F$6,MATCH('Rekomendasi HAV'!H35,'9 Grid'!$B$4:$B$6,0),MATCH('Rekomendasi HAV'!I35,'9 Grid'!$D$2:$F$2,0)),"")</f>
        <v/>
      </c>
      <c r="K35" s="146" t="str">
        <f>IFERROR(INDEX('9 Grid'!$D$8:$F$8,1,MATCH('Rekomendasi HAV'!I35,'9 Grid'!$D$2:$F$2,0)),"")</f>
        <v>(LT) More 2 - 3 year</v>
      </c>
      <c r="L35" s="146">
        <f>IF(ISNUMBER(SEARCH("EST",Assessment[[#This Row],[JOB TARGET]])),SUBSTITUTE(Assessment[[#This Row],[JOB TARGET]],"EST","DEV"),Assessment[[#This Row],[JOB TARGET]])</f>
        <v>0</v>
      </c>
      <c r="M35" s="146" t="str" cm="1">
        <f t="array" aca="1" ref="M35" ca="1">IF(Assessment[[#This Row],[JOB TARGET]]="","Job Target Kosong",IF(COUNT(IF('Data Assessment'!$N35:$Z35-OFFSET(Standar!$B$2,MATCH(Assessment[[#This Row],[JOB TARGET
(DEV)]],Standar[NAMA JABATAN],0)-1,1,1,13)&lt;0,1,""))&lt;=3,'9 Grid'!$B$4,IF(COUNT(IF('Data Assessment'!$N35:$Z35-OFFSET(Standar!$B$2,MATCH(Assessment[[#This Row],[JOB TARGET
(DEV)]],Standar[NAMA JABATAN],0)-1,1,1,13)&lt;0,1,""))&gt;=7,'9 Grid'!$B$6,'9 Grid'!$B$5)))</f>
        <v>Job Target Kosong</v>
      </c>
      <c r="N35" s="146" t="str">
        <f>IFERROR(IF(Data_Assessment[[#This Row],[IPP (3 YEARS AVERAGE)]]="","(IPP Belum Ada)",IF(Data_Assessment[[#This Row],[IPP (3 YEARS AVERAGE)]]&lt;2,'9 Grid'!$F$2,IF(Data_Assessment[[#This Row],[IPP (3 YEARS AVERAGE)]]&gt;=4,'9 Grid'!$D$2,'9 Grid'!$E$2))),"")</f>
        <v>Contributor</v>
      </c>
      <c r="O35" s="146" t="str">
        <f ca="1">IFERROR(INDEX('9 Grid'!$D$4:$F$6,MATCH('Rekomendasi HAV'!M35,'9 Grid'!$B$4:$B$6,0),MATCH('Rekomendasi HAV'!N35,'9 Grid'!$D$2:$F$2,0)),"")</f>
        <v/>
      </c>
      <c r="P35" s="147" t="str">
        <f>IFERROR(INDEX('9 Grid'!$D$8:$F$8,1,MATCH('Rekomendasi HAV'!N35,'9 Grid'!$D$2:$F$2,0)),"")</f>
        <v>(LT) More 2 - 3 year</v>
      </c>
    </row>
    <row r="36" spans="1:16" ht="28.5">
      <c r="A36" s="67">
        <v>35</v>
      </c>
      <c r="B36" s="68" t="str">
        <f>INDEX(Data_Assessment[],MATCH('Rekomendasi HAV'!$A36,Data_Assessment[[INDEX]:[INDEX]],0),MATCH('Rekomendasi HAV'!B$1,Data_Assessment[#Headers],0))</f>
        <v>Yudha Palastra</v>
      </c>
      <c r="C36" s="68" t="str">
        <f>INDEX(Data_Assessment[],MATCH('Rekomendasi HAV'!$A36,Data_Assessment[[INDEX]:[INDEX]],0),MATCH('Rekomendasi HAV'!C$1,Data_Assessment[#Headers],0))</f>
        <v>Sumatera Selatan</v>
      </c>
      <c r="D36" s="68" t="str">
        <f>INDEX(Data_Assessment[],MATCH('Rekomendasi HAV'!$A36,Data_Assessment[[INDEX]:[INDEX]],0),MATCH('Rekomendasi HAV'!D$1,Data_Assessment[#Headers],0))</f>
        <v>LSIP - Kencana Sari Palm Oil Mill</v>
      </c>
      <c r="E36" s="68">
        <f>INDEX(Data_Assessment[],MATCH('Rekomendasi HAV'!$B36,Data_Assessment[[NAME]:[NAME]],0),MATCH('Rekomendasi HAV'!E$1,Data_Assessment[#Headers],0))</f>
        <v>0</v>
      </c>
      <c r="F36" s="68"/>
      <c r="G36" s="68">
        <f>IF(ISNUMBER(SEARCH("DEV",Assessment[[#This Row],[JOB TARGET]])),SUBSTITUTE(Assessment[[#This Row],[JOB TARGET]],"DEV","EST"),Assessment[[#This Row],[JOB TARGET]])</f>
        <v>0</v>
      </c>
      <c r="H36" s="146" t="str" cm="1">
        <f t="array" aca="1" ref="H36" ca="1">IF(Assessment[[#This Row],[JOB TARGET]]="","Job Target Kosong",IF(COUNT(IF('Data Assessment'!$N36:$Z36-OFFSET(Standar!$B$2,MATCH(Assessment[[#This Row],[JOB TARGET
(EST)]],Standar[NAMA JABATAN],0)-1,1,1,13)&lt;0,1,""))&lt;=3,'9 Grid'!$B$4,IF(COUNT(IF('Data Assessment'!$N36:$Z36-OFFSET(Standar!$B$2,MATCH(Assessment[[#This Row],[JOB TARGET]],Standar[NAMA JABATAN],0)-1,1,1,13)&lt;0,1,""))&gt;=7,'9 Grid'!$B$6,'9 Grid'!$B$5)))</f>
        <v>Job Target Kosong</v>
      </c>
      <c r="I36" s="146" t="str">
        <f>IFERROR(IF(Data_Assessment[[#This Row],[IPP (3 YEARS AVERAGE)]]="","(IPP Belum Ada)",IF(Data_Assessment[[#This Row],[IPP (3 YEARS AVERAGE)]]&lt;2,'9 Grid'!$F$2,IF(Data_Assessment[[#This Row],[IPP (3 YEARS AVERAGE)]]&gt;=4,'9 Grid'!$D$2,'9 Grid'!$E$2))),"")</f>
        <v>Contributor</v>
      </c>
      <c r="J36" s="146" t="str">
        <f ca="1">IFERROR(INDEX('9 Grid'!$D$4:$F$6,MATCH('Rekomendasi HAV'!H36,'9 Grid'!$B$4:$B$6,0),MATCH('Rekomendasi HAV'!I36,'9 Grid'!$D$2:$F$2,0)),"")</f>
        <v/>
      </c>
      <c r="K36" s="146" t="str">
        <f>IFERROR(INDEX('9 Grid'!$D$8:$F$8,1,MATCH('Rekomendasi HAV'!I36,'9 Grid'!$D$2:$F$2,0)),"")</f>
        <v>(LT) More 2 - 3 year</v>
      </c>
      <c r="L36" s="146">
        <f>IF(ISNUMBER(SEARCH("EST",Assessment[[#This Row],[JOB TARGET]])),SUBSTITUTE(Assessment[[#This Row],[JOB TARGET]],"EST","DEV"),Assessment[[#This Row],[JOB TARGET]])</f>
        <v>0</v>
      </c>
      <c r="M36" s="146" t="str" cm="1">
        <f t="array" aca="1" ref="M36" ca="1">IF(Assessment[[#This Row],[JOB TARGET]]="","Job Target Kosong",IF(COUNT(IF('Data Assessment'!$N36:$Z36-OFFSET(Standar!$B$2,MATCH(Assessment[[#This Row],[JOB TARGET
(DEV)]],Standar[NAMA JABATAN],0)-1,1,1,13)&lt;0,1,""))&lt;=3,'9 Grid'!$B$4,IF(COUNT(IF('Data Assessment'!$N36:$Z36-OFFSET(Standar!$B$2,MATCH(Assessment[[#This Row],[JOB TARGET
(DEV)]],Standar[NAMA JABATAN],0)-1,1,1,13)&lt;0,1,""))&gt;=7,'9 Grid'!$B$6,'9 Grid'!$B$5)))</f>
        <v>Job Target Kosong</v>
      </c>
      <c r="N36" s="146" t="str">
        <f>IFERROR(IF(Data_Assessment[[#This Row],[IPP (3 YEARS AVERAGE)]]="","(IPP Belum Ada)",IF(Data_Assessment[[#This Row],[IPP (3 YEARS AVERAGE)]]&lt;2,'9 Grid'!$F$2,IF(Data_Assessment[[#This Row],[IPP (3 YEARS AVERAGE)]]&gt;=4,'9 Grid'!$D$2,'9 Grid'!$E$2))),"")</f>
        <v>Contributor</v>
      </c>
      <c r="O36" s="146" t="str">
        <f ca="1">IFERROR(INDEX('9 Grid'!$D$4:$F$6,MATCH('Rekomendasi HAV'!M36,'9 Grid'!$B$4:$B$6,0),MATCH('Rekomendasi HAV'!N36,'9 Grid'!$D$2:$F$2,0)),"")</f>
        <v/>
      </c>
      <c r="P36" s="147" t="str">
        <f>IFERROR(INDEX('9 Grid'!$D$8:$F$8,1,MATCH('Rekomendasi HAV'!N36,'9 Grid'!$D$2:$F$2,0)),"")</f>
        <v>(LT) More 2 - 3 year</v>
      </c>
    </row>
    <row r="37" spans="1:16" ht="28.5">
      <c r="A37" s="67">
        <v>36</v>
      </c>
      <c r="B37" s="68" t="str">
        <f>INDEX(Data_Assessment[],MATCH('Rekomendasi HAV'!$A37,Data_Assessment[[INDEX]:[INDEX]],0),MATCH('Rekomendasi HAV'!B$1,Data_Assessment[#Headers],0))</f>
        <v>Muhammad Faishal Sitorus</v>
      </c>
      <c r="C37" s="68" t="str">
        <f>INDEX(Data_Assessment[],MATCH('Rekomendasi HAV'!$A37,Data_Assessment[[INDEX]:[INDEX]],0),MATCH('Rekomendasi HAV'!C$1,Data_Assessment[#Headers],0))</f>
        <v>Sumatera Utara</v>
      </c>
      <c r="D37" s="68" t="str">
        <f>INDEX(Data_Assessment[],MATCH('Rekomendasi HAV'!$A37,Data_Assessment[[INDEX]:[INDEX]],0),MATCH('Rekomendasi HAV'!D$1,Data_Assessment[#Headers],0))</f>
        <v>LSIP - RO Medan</v>
      </c>
      <c r="E37" s="68">
        <f>INDEX(Data_Assessment[],MATCH('Rekomendasi HAV'!$B37,Data_Assessment[[NAME]:[NAME]],0),MATCH('Rekomendasi HAV'!E$1,Data_Assessment[#Headers],0))</f>
        <v>0</v>
      </c>
      <c r="F37" s="68"/>
      <c r="G37" s="68">
        <f>IF(ISNUMBER(SEARCH("DEV",Assessment[[#This Row],[JOB TARGET]])),SUBSTITUTE(Assessment[[#This Row],[JOB TARGET]],"DEV","EST"),Assessment[[#This Row],[JOB TARGET]])</f>
        <v>0</v>
      </c>
      <c r="H37" s="146" t="str" cm="1">
        <f t="array" aca="1" ref="H37" ca="1">IF(Assessment[[#This Row],[JOB TARGET]]="","Job Target Kosong",IF(COUNT(IF('Data Assessment'!$N37:$Z37-OFFSET(Standar!$B$2,MATCH(Assessment[[#This Row],[JOB TARGET
(EST)]],Standar[NAMA JABATAN],0)-1,1,1,13)&lt;0,1,""))&lt;=3,'9 Grid'!$B$4,IF(COUNT(IF('Data Assessment'!$N37:$Z37-OFFSET(Standar!$B$2,MATCH(Assessment[[#This Row],[JOB TARGET]],Standar[NAMA JABATAN],0)-1,1,1,13)&lt;0,1,""))&gt;=7,'9 Grid'!$B$6,'9 Grid'!$B$5)))</f>
        <v>Job Target Kosong</v>
      </c>
      <c r="I37" s="146" t="str">
        <f>IFERROR(IF(Data_Assessment[[#This Row],[IPP (3 YEARS AVERAGE)]]="","(IPP Belum Ada)",IF(Data_Assessment[[#This Row],[IPP (3 YEARS AVERAGE)]]&lt;2,'9 Grid'!$F$2,IF(Data_Assessment[[#This Row],[IPP (3 YEARS AVERAGE)]]&gt;=4,'9 Grid'!$D$2,'9 Grid'!$E$2))),"")</f>
        <v>Contributor</v>
      </c>
      <c r="J37" s="146" t="str">
        <f ca="1">IFERROR(INDEX('9 Grid'!$D$4:$F$6,MATCH('Rekomendasi HAV'!H37,'9 Grid'!$B$4:$B$6,0),MATCH('Rekomendasi HAV'!I37,'9 Grid'!$D$2:$F$2,0)),"")</f>
        <v/>
      </c>
      <c r="K37" s="146" t="str">
        <f>IFERROR(INDEX('9 Grid'!$D$8:$F$8,1,MATCH('Rekomendasi HAV'!I37,'9 Grid'!$D$2:$F$2,0)),"")</f>
        <v>(LT) More 2 - 3 year</v>
      </c>
      <c r="L37" s="146">
        <f>IF(ISNUMBER(SEARCH("EST",Assessment[[#This Row],[JOB TARGET]])),SUBSTITUTE(Assessment[[#This Row],[JOB TARGET]],"EST","DEV"),Assessment[[#This Row],[JOB TARGET]])</f>
        <v>0</v>
      </c>
      <c r="M37" s="146" t="str" cm="1">
        <f t="array" aca="1" ref="M37" ca="1">IF(Assessment[[#This Row],[JOB TARGET]]="","Job Target Kosong",IF(COUNT(IF('Data Assessment'!$N37:$Z37-OFFSET(Standar!$B$2,MATCH(Assessment[[#This Row],[JOB TARGET
(DEV)]],Standar[NAMA JABATAN],0)-1,1,1,13)&lt;0,1,""))&lt;=3,'9 Grid'!$B$4,IF(COUNT(IF('Data Assessment'!$N37:$Z37-OFFSET(Standar!$B$2,MATCH(Assessment[[#This Row],[JOB TARGET
(DEV)]],Standar[NAMA JABATAN],0)-1,1,1,13)&lt;0,1,""))&gt;=7,'9 Grid'!$B$6,'9 Grid'!$B$5)))</f>
        <v>Job Target Kosong</v>
      </c>
      <c r="N37" s="146" t="str">
        <f>IFERROR(IF(Data_Assessment[[#This Row],[IPP (3 YEARS AVERAGE)]]="","(IPP Belum Ada)",IF(Data_Assessment[[#This Row],[IPP (3 YEARS AVERAGE)]]&lt;2,'9 Grid'!$F$2,IF(Data_Assessment[[#This Row],[IPP (3 YEARS AVERAGE)]]&gt;=4,'9 Grid'!$D$2,'9 Grid'!$E$2))),"")</f>
        <v>Contributor</v>
      </c>
      <c r="O37" s="146" t="str">
        <f ca="1">IFERROR(INDEX('9 Grid'!$D$4:$F$6,MATCH('Rekomendasi HAV'!M37,'9 Grid'!$B$4:$B$6,0),MATCH('Rekomendasi HAV'!N37,'9 Grid'!$D$2:$F$2,0)),"")</f>
        <v/>
      </c>
      <c r="P37" s="147" t="str">
        <f>IFERROR(INDEX('9 Grid'!$D$8:$F$8,1,MATCH('Rekomendasi HAV'!N37,'9 Grid'!$D$2:$F$2,0)),"")</f>
        <v>(LT) More 2 - 3 year</v>
      </c>
    </row>
    <row r="38" spans="1:16" ht="28.5">
      <c r="A38" s="67">
        <v>37</v>
      </c>
      <c r="B38" s="68" t="str">
        <f>INDEX(Data_Assessment[],MATCH('Rekomendasi HAV'!$A38,Data_Assessment[[INDEX]:[INDEX]],0),MATCH('Rekomendasi HAV'!B$1,Data_Assessment[#Headers],0))</f>
        <v>Vicky Purba</v>
      </c>
      <c r="C38" s="68" t="str">
        <f>INDEX(Data_Assessment[],MATCH('Rekomendasi HAV'!$A38,Data_Assessment[[INDEX]:[INDEX]],0),MATCH('Rekomendasi HAV'!C$1,Data_Assessment[#Headers],0))</f>
        <v>Sumatera Selatan</v>
      </c>
      <c r="D38" s="68" t="str">
        <f>INDEX(Data_Assessment[],MATCH('Rekomendasi HAV'!$A38,Data_Assessment[[INDEX]:[INDEX]],0),MATCH('Rekomendasi HAV'!D$1,Data_Assessment[#Headers],0))</f>
        <v>LSIP - Suka Damai Estate</v>
      </c>
      <c r="E38" s="68">
        <f>INDEX(Data_Assessment[],MATCH('Rekomendasi HAV'!$B38,Data_Assessment[[NAME]:[NAME]],0),MATCH('Rekomendasi HAV'!E$1,Data_Assessment[#Headers],0))</f>
        <v>0</v>
      </c>
      <c r="F38" s="68"/>
      <c r="G38" s="68">
        <f>IF(ISNUMBER(SEARCH("DEV",Assessment[[#This Row],[JOB TARGET]])),SUBSTITUTE(Assessment[[#This Row],[JOB TARGET]],"DEV","EST"),Assessment[[#This Row],[JOB TARGET]])</f>
        <v>0</v>
      </c>
      <c r="H38" s="146" t="str" cm="1">
        <f t="array" aca="1" ref="H38" ca="1">IF(Assessment[[#This Row],[JOB TARGET]]="","Job Target Kosong",IF(COUNT(IF('Data Assessment'!$N38:$Z38-OFFSET(Standar!$B$2,MATCH(Assessment[[#This Row],[JOB TARGET
(EST)]],Standar[NAMA JABATAN],0)-1,1,1,13)&lt;0,1,""))&lt;=3,'9 Grid'!$B$4,IF(COUNT(IF('Data Assessment'!$N38:$Z38-OFFSET(Standar!$B$2,MATCH(Assessment[[#This Row],[JOB TARGET]],Standar[NAMA JABATAN],0)-1,1,1,13)&lt;0,1,""))&gt;=7,'9 Grid'!$B$6,'9 Grid'!$B$5)))</f>
        <v>Job Target Kosong</v>
      </c>
      <c r="I38" s="146" t="str">
        <f>IFERROR(IF(Data_Assessment[[#This Row],[IPP (3 YEARS AVERAGE)]]="","(IPP Belum Ada)",IF(Data_Assessment[[#This Row],[IPP (3 YEARS AVERAGE)]]&lt;2,'9 Grid'!$F$2,IF(Data_Assessment[[#This Row],[IPP (3 YEARS AVERAGE)]]&gt;=4,'9 Grid'!$D$2,'9 Grid'!$E$2))),"")</f>
        <v>Contributor</v>
      </c>
      <c r="J38" s="146" t="str">
        <f ca="1">IFERROR(INDEX('9 Grid'!$D$4:$F$6,MATCH('Rekomendasi HAV'!H38,'9 Grid'!$B$4:$B$6,0),MATCH('Rekomendasi HAV'!I38,'9 Grid'!$D$2:$F$2,0)),"")</f>
        <v/>
      </c>
      <c r="K38" s="146" t="str">
        <f>IFERROR(INDEX('9 Grid'!$D$8:$F$8,1,MATCH('Rekomendasi HAV'!I38,'9 Grid'!$D$2:$F$2,0)),"")</f>
        <v>(LT) More 2 - 3 year</v>
      </c>
      <c r="L38" s="146">
        <f>IF(ISNUMBER(SEARCH("EST",Assessment[[#This Row],[JOB TARGET]])),SUBSTITUTE(Assessment[[#This Row],[JOB TARGET]],"EST","DEV"),Assessment[[#This Row],[JOB TARGET]])</f>
        <v>0</v>
      </c>
      <c r="M38" s="146" t="str" cm="1">
        <f t="array" aca="1" ref="M38" ca="1">IF(Assessment[[#This Row],[JOB TARGET]]="","Job Target Kosong",IF(COUNT(IF('Data Assessment'!$N38:$Z38-OFFSET(Standar!$B$2,MATCH(Assessment[[#This Row],[JOB TARGET
(DEV)]],Standar[NAMA JABATAN],0)-1,1,1,13)&lt;0,1,""))&lt;=3,'9 Grid'!$B$4,IF(COUNT(IF('Data Assessment'!$N38:$Z38-OFFSET(Standar!$B$2,MATCH(Assessment[[#This Row],[JOB TARGET
(DEV)]],Standar[NAMA JABATAN],0)-1,1,1,13)&lt;0,1,""))&gt;=7,'9 Grid'!$B$6,'9 Grid'!$B$5)))</f>
        <v>Job Target Kosong</v>
      </c>
      <c r="N38" s="146" t="str">
        <f>IFERROR(IF(Data_Assessment[[#This Row],[IPP (3 YEARS AVERAGE)]]="","(IPP Belum Ada)",IF(Data_Assessment[[#This Row],[IPP (3 YEARS AVERAGE)]]&lt;2,'9 Grid'!$F$2,IF(Data_Assessment[[#This Row],[IPP (3 YEARS AVERAGE)]]&gt;=4,'9 Grid'!$D$2,'9 Grid'!$E$2))),"")</f>
        <v>Contributor</v>
      </c>
      <c r="O38" s="146" t="str">
        <f ca="1">IFERROR(INDEX('9 Grid'!$D$4:$F$6,MATCH('Rekomendasi HAV'!M38,'9 Grid'!$B$4:$B$6,0),MATCH('Rekomendasi HAV'!N38,'9 Grid'!$D$2:$F$2,0)),"")</f>
        <v/>
      </c>
      <c r="P38" s="147" t="str">
        <f>IFERROR(INDEX('9 Grid'!$D$8:$F$8,1,MATCH('Rekomendasi HAV'!N38,'9 Grid'!$D$2:$F$2,0)),"")</f>
        <v>(LT) More 2 - 3 year</v>
      </c>
    </row>
    <row r="39" spans="1:16" ht="28.5">
      <c r="A39" s="67">
        <v>38</v>
      </c>
      <c r="B39" s="68" t="str">
        <f>INDEX(Data_Assessment[],MATCH('Rekomendasi HAV'!$A39,Data_Assessment[[INDEX]:[INDEX]],0),MATCH('Rekomendasi HAV'!B$1,Data_Assessment[#Headers],0))</f>
        <v>Vivi Ayu Yuliana</v>
      </c>
      <c r="C39" s="68" t="str">
        <f>INDEX(Data_Assessment[],MATCH('Rekomendasi HAV'!$A39,Data_Assessment[[INDEX]:[INDEX]],0),MATCH('Rekomendasi HAV'!C$1,Data_Assessment[#Headers],0))</f>
        <v>Sumatera Utara</v>
      </c>
      <c r="D39" s="68" t="str">
        <f>INDEX(Data_Assessment[],MATCH('Rekomendasi HAV'!$A39,Data_Assessment[[INDEX]:[INDEX]],0),MATCH('Rekomendasi HAV'!D$1,Data_Assessment[#Headers],0))</f>
        <v>LSIP - RO Medan</v>
      </c>
      <c r="E39" s="68">
        <f>INDEX(Data_Assessment[],MATCH('Rekomendasi HAV'!$B39,Data_Assessment[[NAME]:[NAME]],0),MATCH('Rekomendasi HAV'!E$1,Data_Assessment[#Headers],0))</f>
        <v>0</v>
      </c>
      <c r="F39" s="68"/>
      <c r="G39" s="68">
        <f>IF(ISNUMBER(SEARCH("DEV",Assessment[[#This Row],[JOB TARGET]])),SUBSTITUTE(Assessment[[#This Row],[JOB TARGET]],"DEV","EST"),Assessment[[#This Row],[JOB TARGET]])</f>
        <v>0</v>
      </c>
      <c r="H39" s="146" t="str" cm="1">
        <f t="array" aca="1" ref="H39" ca="1">IF(Assessment[[#This Row],[JOB TARGET]]="","Job Target Kosong",IF(COUNT(IF('Data Assessment'!$N39:$Z39-OFFSET(Standar!$B$2,MATCH(Assessment[[#This Row],[JOB TARGET
(EST)]],Standar[NAMA JABATAN],0)-1,1,1,13)&lt;0,1,""))&lt;=3,'9 Grid'!$B$4,IF(COUNT(IF('Data Assessment'!$N39:$Z39-OFFSET(Standar!$B$2,MATCH(Assessment[[#This Row],[JOB TARGET]],Standar[NAMA JABATAN],0)-1,1,1,13)&lt;0,1,""))&gt;=7,'9 Grid'!$B$6,'9 Grid'!$B$5)))</f>
        <v>Job Target Kosong</v>
      </c>
      <c r="I39" s="146" t="str">
        <f>IFERROR(IF(Data_Assessment[[#This Row],[IPP (3 YEARS AVERAGE)]]="","(IPP Belum Ada)",IF(Data_Assessment[[#This Row],[IPP (3 YEARS AVERAGE)]]&lt;2,'9 Grid'!$F$2,IF(Data_Assessment[[#This Row],[IPP (3 YEARS AVERAGE)]]&gt;=4,'9 Grid'!$D$2,'9 Grid'!$E$2))),"")</f>
        <v>Contributor</v>
      </c>
      <c r="J39" s="146" t="str">
        <f ca="1">IFERROR(INDEX('9 Grid'!$D$4:$F$6,MATCH('Rekomendasi HAV'!H39,'9 Grid'!$B$4:$B$6,0),MATCH('Rekomendasi HAV'!I39,'9 Grid'!$D$2:$F$2,0)),"")</f>
        <v/>
      </c>
      <c r="K39" s="146" t="str">
        <f>IFERROR(INDEX('9 Grid'!$D$8:$F$8,1,MATCH('Rekomendasi HAV'!I39,'9 Grid'!$D$2:$F$2,0)),"")</f>
        <v>(LT) More 2 - 3 year</v>
      </c>
      <c r="L39" s="146">
        <f>IF(ISNUMBER(SEARCH("EST",Assessment[[#This Row],[JOB TARGET]])),SUBSTITUTE(Assessment[[#This Row],[JOB TARGET]],"EST","DEV"),Assessment[[#This Row],[JOB TARGET]])</f>
        <v>0</v>
      </c>
      <c r="M39" s="146" t="str" cm="1">
        <f t="array" aca="1" ref="M39" ca="1">IF(Assessment[[#This Row],[JOB TARGET]]="","Job Target Kosong",IF(COUNT(IF('Data Assessment'!$N39:$Z39-OFFSET(Standar!$B$2,MATCH(Assessment[[#This Row],[JOB TARGET
(DEV)]],Standar[NAMA JABATAN],0)-1,1,1,13)&lt;0,1,""))&lt;=3,'9 Grid'!$B$4,IF(COUNT(IF('Data Assessment'!$N39:$Z39-OFFSET(Standar!$B$2,MATCH(Assessment[[#This Row],[JOB TARGET
(DEV)]],Standar[NAMA JABATAN],0)-1,1,1,13)&lt;0,1,""))&gt;=7,'9 Grid'!$B$6,'9 Grid'!$B$5)))</f>
        <v>Job Target Kosong</v>
      </c>
      <c r="N39" s="146" t="str">
        <f>IFERROR(IF(Data_Assessment[[#This Row],[IPP (3 YEARS AVERAGE)]]="","(IPP Belum Ada)",IF(Data_Assessment[[#This Row],[IPP (3 YEARS AVERAGE)]]&lt;2,'9 Grid'!$F$2,IF(Data_Assessment[[#This Row],[IPP (3 YEARS AVERAGE)]]&gt;=4,'9 Grid'!$D$2,'9 Grid'!$E$2))),"")</f>
        <v>Contributor</v>
      </c>
      <c r="O39" s="146" t="str">
        <f ca="1">IFERROR(INDEX('9 Grid'!$D$4:$F$6,MATCH('Rekomendasi HAV'!M39,'9 Grid'!$B$4:$B$6,0),MATCH('Rekomendasi HAV'!N39,'9 Grid'!$D$2:$F$2,0)),"")</f>
        <v/>
      </c>
      <c r="P39" s="147" t="str">
        <f>IFERROR(INDEX('9 Grid'!$D$8:$F$8,1,MATCH('Rekomendasi HAV'!N39,'9 Grid'!$D$2:$F$2,0)),"")</f>
        <v>(LT) More 2 - 3 year</v>
      </c>
    </row>
    <row r="40" spans="1:16" ht="28.5">
      <c r="A40" s="67">
        <v>39</v>
      </c>
      <c r="B40" s="68" t="str">
        <f>INDEX(Data_Assessment[],MATCH('Rekomendasi HAV'!$A40,Data_Assessment[[INDEX]:[INDEX]],0),MATCH('Rekomendasi HAV'!B$1,Data_Assessment[#Headers],0))</f>
        <v>Suprandi Restua S.</v>
      </c>
      <c r="C40" s="68" t="str">
        <f>INDEX(Data_Assessment[],MATCH('Rekomendasi HAV'!$A40,Data_Assessment[[INDEX]:[INDEX]],0),MATCH('Rekomendasi HAV'!C$1,Data_Assessment[#Headers],0))</f>
        <v>Sumatera Selatan</v>
      </c>
      <c r="D40" s="68" t="str">
        <f>INDEX(Data_Assessment[],MATCH('Rekomendasi HAV'!$A40,Data_Assessment[[INDEX]:[INDEX]],0),MATCH('Rekomendasi HAV'!D$1,Data_Assessment[#Headers],0))</f>
        <v>LSIP - Suka Damai Estate</v>
      </c>
      <c r="E40" s="68">
        <f>INDEX(Data_Assessment[],MATCH('Rekomendasi HAV'!$B40,Data_Assessment[[NAME]:[NAME]],0),MATCH('Rekomendasi HAV'!E$1,Data_Assessment[#Headers],0))</f>
        <v>0</v>
      </c>
      <c r="F40" s="68"/>
      <c r="G40" s="68">
        <f>IF(ISNUMBER(SEARCH("DEV",Assessment[[#This Row],[JOB TARGET]])),SUBSTITUTE(Assessment[[#This Row],[JOB TARGET]],"DEV","EST"),Assessment[[#This Row],[JOB TARGET]])</f>
        <v>0</v>
      </c>
      <c r="H40" s="146" t="str" cm="1">
        <f t="array" aca="1" ref="H40" ca="1">IF(Assessment[[#This Row],[JOB TARGET]]="","Job Target Kosong",IF(COUNT(IF('Data Assessment'!$N40:$Z40-OFFSET(Standar!$B$2,MATCH(Assessment[[#This Row],[JOB TARGET
(EST)]],Standar[NAMA JABATAN],0)-1,1,1,13)&lt;0,1,""))&lt;=3,'9 Grid'!$B$4,IF(COUNT(IF('Data Assessment'!$N40:$Z40-OFFSET(Standar!$B$2,MATCH(Assessment[[#This Row],[JOB TARGET]],Standar[NAMA JABATAN],0)-1,1,1,13)&lt;0,1,""))&gt;=7,'9 Grid'!$B$6,'9 Grid'!$B$5)))</f>
        <v>Job Target Kosong</v>
      </c>
      <c r="I40" s="146" t="str">
        <f>IFERROR(IF(Data_Assessment[[#This Row],[IPP (3 YEARS AVERAGE)]]="","(IPP Belum Ada)",IF(Data_Assessment[[#This Row],[IPP (3 YEARS AVERAGE)]]&lt;2,'9 Grid'!$F$2,IF(Data_Assessment[[#This Row],[IPP (3 YEARS AVERAGE)]]&gt;=4,'9 Grid'!$D$2,'9 Grid'!$E$2))),"")</f>
        <v>Contributor</v>
      </c>
      <c r="J40" s="146" t="str">
        <f ca="1">IFERROR(INDEX('9 Grid'!$D$4:$F$6,MATCH('Rekomendasi HAV'!H40,'9 Grid'!$B$4:$B$6,0),MATCH('Rekomendasi HAV'!I40,'9 Grid'!$D$2:$F$2,0)),"")</f>
        <v/>
      </c>
      <c r="K40" s="146" t="str">
        <f>IFERROR(INDEX('9 Grid'!$D$8:$F$8,1,MATCH('Rekomendasi HAV'!I40,'9 Grid'!$D$2:$F$2,0)),"")</f>
        <v>(LT) More 2 - 3 year</v>
      </c>
      <c r="L40" s="146">
        <f>IF(ISNUMBER(SEARCH("EST",Assessment[[#This Row],[JOB TARGET]])),SUBSTITUTE(Assessment[[#This Row],[JOB TARGET]],"EST","DEV"),Assessment[[#This Row],[JOB TARGET]])</f>
        <v>0</v>
      </c>
      <c r="M40" s="146" t="str" cm="1">
        <f t="array" aca="1" ref="M40" ca="1">IF(Assessment[[#This Row],[JOB TARGET]]="","Job Target Kosong",IF(COUNT(IF('Data Assessment'!$N40:$Z40-OFFSET(Standar!$B$2,MATCH(Assessment[[#This Row],[JOB TARGET
(DEV)]],Standar[NAMA JABATAN],0)-1,1,1,13)&lt;0,1,""))&lt;=3,'9 Grid'!$B$4,IF(COUNT(IF('Data Assessment'!$N40:$Z40-OFFSET(Standar!$B$2,MATCH(Assessment[[#This Row],[JOB TARGET
(DEV)]],Standar[NAMA JABATAN],0)-1,1,1,13)&lt;0,1,""))&gt;=7,'9 Grid'!$B$6,'9 Grid'!$B$5)))</f>
        <v>Job Target Kosong</v>
      </c>
      <c r="N40" s="146" t="str">
        <f>IFERROR(IF(Data_Assessment[[#This Row],[IPP (3 YEARS AVERAGE)]]="","(IPP Belum Ada)",IF(Data_Assessment[[#This Row],[IPP (3 YEARS AVERAGE)]]&lt;2,'9 Grid'!$F$2,IF(Data_Assessment[[#This Row],[IPP (3 YEARS AVERAGE)]]&gt;=4,'9 Grid'!$D$2,'9 Grid'!$E$2))),"")</f>
        <v>Contributor</v>
      </c>
      <c r="O40" s="146" t="str">
        <f ca="1">IFERROR(INDEX('9 Grid'!$D$4:$F$6,MATCH('Rekomendasi HAV'!M40,'9 Grid'!$B$4:$B$6,0),MATCH('Rekomendasi HAV'!N40,'9 Grid'!$D$2:$F$2,0)),"")</f>
        <v/>
      </c>
      <c r="P40" s="147" t="str">
        <f>IFERROR(INDEX('9 Grid'!$D$8:$F$8,1,MATCH('Rekomendasi HAV'!N40,'9 Grid'!$D$2:$F$2,0)),"")</f>
        <v>(LT) More 2 - 3 year</v>
      </c>
    </row>
    <row r="41" spans="1:16" ht="28.5">
      <c r="A41" s="67">
        <v>40</v>
      </c>
      <c r="B41" s="68" t="str">
        <f>INDEX(Data_Assessment[],MATCH('Rekomendasi HAV'!$A41,Data_Assessment[[INDEX]:[INDEX]],0),MATCH('Rekomendasi HAV'!B$1,Data_Assessment[#Headers],0))</f>
        <v>Nadya Arfani</v>
      </c>
      <c r="C41" s="68" t="str">
        <f>INDEX(Data_Assessment[],MATCH('Rekomendasi HAV'!$A41,Data_Assessment[[INDEX]:[INDEX]],0),MATCH('Rekomendasi HAV'!C$1,Data_Assessment[#Headers],0))</f>
        <v>Sumatera Utara</v>
      </c>
      <c r="D41" s="68" t="str">
        <f>INDEX(Data_Assessment[],MATCH('Rekomendasi HAV'!$A41,Data_Assessment[[INDEX]:[INDEX]],0),MATCH('Rekomendasi HAV'!D$1,Data_Assessment[#Headers],0))</f>
        <v>LSIP - RO Medan</v>
      </c>
      <c r="E41" s="68">
        <f>INDEX(Data_Assessment[],MATCH('Rekomendasi HAV'!$B41,Data_Assessment[[NAME]:[NAME]],0),MATCH('Rekomendasi HAV'!E$1,Data_Assessment[#Headers],0))</f>
        <v>0</v>
      </c>
      <c r="F41" s="68"/>
      <c r="G41" s="68">
        <f>IF(ISNUMBER(SEARCH("DEV",Assessment[[#This Row],[JOB TARGET]])),SUBSTITUTE(Assessment[[#This Row],[JOB TARGET]],"DEV","EST"),Assessment[[#This Row],[JOB TARGET]])</f>
        <v>0</v>
      </c>
      <c r="H41" s="146" t="str" cm="1">
        <f t="array" aca="1" ref="H41" ca="1">IF(Assessment[[#This Row],[JOB TARGET]]="","Job Target Kosong",IF(COUNT(IF('Data Assessment'!$N41:$Z41-OFFSET(Standar!$B$2,MATCH(Assessment[[#This Row],[JOB TARGET
(EST)]],Standar[NAMA JABATAN],0)-1,1,1,13)&lt;0,1,""))&lt;=3,'9 Grid'!$B$4,IF(COUNT(IF('Data Assessment'!$N41:$Z41-OFFSET(Standar!$B$2,MATCH(Assessment[[#This Row],[JOB TARGET]],Standar[NAMA JABATAN],0)-1,1,1,13)&lt;0,1,""))&gt;=7,'9 Grid'!$B$6,'9 Grid'!$B$5)))</f>
        <v>Job Target Kosong</v>
      </c>
      <c r="I41" s="146" t="str">
        <f>IFERROR(IF(Data_Assessment[[#This Row],[IPP (3 YEARS AVERAGE)]]="","(IPP Belum Ada)",IF(Data_Assessment[[#This Row],[IPP (3 YEARS AVERAGE)]]&lt;2,'9 Grid'!$F$2,IF(Data_Assessment[[#This Row],[IPP (3 YEARS AVERAGE)]]&gt;=4,'9 Grid'!$D$2,'9 Grid'!$E$2))),"")</f>
        <v>Contributor</v>
      </c>
      <c r="J41" s="146" t="str">
        <f ca="1">IFERROR(INDEX('9 Grid'!$D$4:$F$6,MATCH('Rekomendasi HAV'!H41,'9 Grid'!$B$4:$B$6,0),MATCH('Rekomendasi HAV'!I41,'9 Grid'!$D$2:$F$2,0)),"")</f>
        <v/>
      </c>
      <c r="K41" s="146" t="str">
        <f>IFERROR(INDEX('9 Grid'!$D$8:$F$8,1,MATCH('Rekomendasi HAV'!I41,'9 Grid'!$D$2:$F$2,0)),"")</f>
        <v>(LT) More 2 - 3 year</v>
      </c>
      <c r="L41" s="146">
        <f>IF(ISNUMBER(SEARCH("EST",Assessment[[#This Row],[JOB TARGET]])),SUBSTITUTE(Assessment[[#This Row],[JOB TARGET]],"EST","DEV"),Assessment[[#This Row],[JOB TARGET]])</f>
        <v>0</v>
      </c>
      <c r="M41" s="146" t="str" cm="1">
        <f t="array" aca="1" ref="M41" ca="1">IF(Assessment[[#This Row],[JOB TARGET]]="","Job Target Kosong",IF(COUNT(IF('Data Assessment'!$N41:$Z41-OFFSET(Standar!$B$2,MATCH(Assessment[[#This Row],[JOB TARGET
(DEV)]],Standar[NAMA JABATAN],0)-1,1,1,13)&lt;0,1,""))&lt;=3,'9 Grid'!$B$4,IF(COUNT(IF('Data Assessment'!$N41:$Z41-OFFSET(Standar!$B$2,MATCH(Assessment[[#This Row],[JOB TARGET
(DEV)]],Standar[NAMA JABATAN],0)-1,1,1,13)&lt;0,1,""))&gt;=7,'9 Grid'!$B$6,'9 Grid'!$B$5)))</f>
        <v>Job Target Kosong</v>
      </c>
      <c r="N41" s="146" t="str">
        <f>IFERROR(IF(Data_Assessment[[#This Row],[IPP (3 YEARS AVERAGE)]]="","(IPP Belum Ada)",IF(Data_Assessment[[#This Row],[IPP (3 YEARS AVERAGE)]]&lt;2,'9 Grid'!$F$2,IF(Data_Assessment[[#This Row],[IPP (3 YEARS AVERAGE)]]&gt;=4,'9 Grid'!$D$2,'9 Grid'!$E$2))),"")</f>
        <v>Contributor</v>
      </c>
      <c r="O41" s="146" t="str">
        <f ca="1">IFERROR(INDEX('9 Grid'!$D$4:$F$6,MATCH('Rekomendasi HAV'!M41,'9 Grid'!$B$4:$B$6,0),MATCH('Rekomendasi HAV'!N41,'9 Grid'!$D$2:$F$2,0)),"")</f>
        <v/>
      </c>
      <c r="P41" s="147" t="str">
        <f>IFERROR(INDEX('9 Grid'!$D$8:$F$8,1,MATCH('Rekomendasi HAV'!N41,'9 Grid'!$D$2:$F$2,0)),"")</f>
        <v>(LT) More 2 - 3 year</v>
      </c>
    </row>
    <row r="42" spans="1:16" ht="28.5">
      <c r="A42" s="67">
        <v>41</v>
      </c>
      <c r="B42" s="68" t="str">
        <f>INDEX(Data_Assessment[],MATCH('Rekomendasi HAV'!$A42,Data_Assessment[[INDEX]:[INDEX]],0),MATCH('Rekomendasi HAV'!B$1,Data_Assessment[#Headers],0))</f>
        <v>Sulviawan Ramadhan</v>
      </c>
      <c r="C42" s="68" t="str">
        <f>INDEX(Data_Assessment[],MATCH('Rekomendasi HAV'!$A42,Data_Assessment[[INDEX]:[INDEX]],0),MATCH('Rekomendasi HAV'!C$1,Data_Assessment[#Headers],0))</f>
        <v>Sumatera Utara</v>
      </c>
      <c r="D42" s="68" t="str">
        <f>INDEX(Data_Assessment[],MATCH('Rekomendasi HAV'!$A42,Data_Assessment[[INDEX]:[INDEX]],0),MATCH('Rekomendasi HAV'!D$1,Data_Assessment[#Headers],0))</f>
        <v>LSIP - Sei Rumbiya Rubber Factory</v>
      </c>
      <c r="E42" s="68">
        <f>INDEX(Data_Assessment[],MATCH('Rekomendasi HAV'!$B42,Data_Assessment[[NAME]:[NAME]],0),MATCH('Rekomendasi HAV'!E$1,Data_Assessment[#Headers],0))</f>
        <v>0</v>
      </c>
      <c r="F42" s="68"/>
      <c r="G42" s="68">
        <f>IF(ISNUMBER(SEARCH("DEV",Assessment[[#This Row],[JOB TARGET]])),SUBSTITUTE(Assessment[[#This Row],[JOB TARGET]],"DEV","EST"),Assessment[[#This Row],[JOB TARGET]])</f>
        <v>0</v>
      </c>
      <c r="H42" s="146" t="str" cm="1">
        <f t="array" aca="1" ref="H42" ca="1">IF(Assessment[[#This Row],[JOB TARGET]]="","Job Target Kosong",IF(COUNT(IF('Data Assessment'!$N42:$Z42-OFFSET(Standar!$B$2,MATCH(Assessment[[#This Row],[JOB TARGET
(EST)]],Standar[NAMA JABATAN],0)-1,1,1,13)&lt;0,1,""))&lt;=3,'9 Grid'!$B$4,IF(COUNT(IF('Data Assessment'!$N42:$Z42-OFFSET(Standar!$B$2,MATCH(Assessment[[#This Row],[JOB TARGET]],Standar[NAMA JABATAN],0)-1,1,1,13)&lt;0,1,""))&gt;=7,'9 Grid'!$B$6,'9 Grid'!$B$5)))</f>
        <v>Job Target Kosong</v>
      </c>
      <c r="I42" s="146" t="str">
        <f>IFERROR(IF(Data_Assessment[[#This Row],[IPP (3 YEARS AVERAGE)]]="","(IPP Belum Ada)",IF(Data_Assessment[[#This Row],[IPP (3 YEARS AVERAGE)]]&lt;2,'9 Grid'!$F$2,IF(Data_Assessment[[#This Row],[IPP (3 YEARS AVERAGE)]]&gt;=4,'9 Grid'!$D$2,'9 Grid'!$E$2))),"")</f>
        <v>Contributor</v>
      </c>
      <c r="J42" s="146" t="str">
        <f ca="1">IFERROR(INDEX('9 Grid'!$D$4:$F$6,MATCH('Rekomendasi HAV'!H42,'9 Grid'!$B$4:$B$6,0),MATCH('Rekomendasi HAV'!I42,'9 Grid'!$D$2:$F$2,0)),"")</f>
        <v/>
      </c>
      <c r="K42" s="146" t="str">
        <f>IFERROR(INDEX('9 Grid'!$D$8:$F$8,1,MATCH('Rekomendasi HAV'!I42,'9 Grid'!$D$2:$F$2,0)),"")</f>
        <v>(LT) More 2 - 3 year</v>
      </c>
      <c r="L42" s="146">
        <f>IF(ISNUMBER(SEARCH("EST",Assessment[[#This Row],[JOB TARGET]])),SUBSTITUTE(Assessment[[#This Row],[JOB TARGET]],"EST","DEV"),Assessment[[#This Row],[JOB TARGET]])</f>
        <v>0</v>
      </c>
      <c r="M42" s="146" t="str" cm="1">
        <f t="array" aca="1" ref="M42" ca="1">IF(Assessment[[#This Row],[JOB TARGET]]="","Job Target Kosong",IF(COUNT(IF('Data Assessment'!$N42:$Z42-OFFSET(Standar!$B$2,MATCH(Assessment[[#This Row],[JOB TARGET
(DEV)]],Standar[NAMA JABATAN],0)-1,1,1,13)&lt;0,1,""))&lt;=3,'9 Grid'!$B$4,IF(COUNT(IF('Data Assessment'!$N42:$Z42-OFFSET(Standar!$B$2,MATCH(Assessment[[#This Row],[JOB TARGET
(DEV)]],Standar[NAMA JABATAN],0)-1,1,1,13)&lt;0,1,""))&gt;=7,'9 Grid'!$B$6,'9 Grid'!$B$5)))</f>
        <v>Job Target Kosong</v>
      </c>
      <c r="N42" s="146" t="str">
        <f>IFERROR(IF(Data_Assessment[[#This Row],[IPP (3 YEARS AVERAGE)]]="","(IPP Belum Ada)",IF(Data_Assessment[[#This Row],[IPP (3 YEARS AVERAGE)]]&lt;2,'9 Grid'!$F$2,IF(Data_Assessment[[#This Row],[IPP (3 YEARS AVERAGE)]]&gt;=4,'9 Grid'!$D$2,'9 Grid'!$E$2))),"")</f>
        <v>Contributor</v>
      </c>
      <c r="O42" s="146" t="str">
        <f ca="1">IFERROR(INDEX('9 Grid'!$D$4:$F$6,MATCH('Rekomendasi HAV'!M42,'9 Grid'!$B$4:$B$6,0),MATCH('Rekomendasi HAV'!N42,'9 Grid'!$D$2:$F$2,0)),"")</f>
        <v/>
      </c>
      <c r="P42" s="147" t="str">
        <f>IFERROR(INDEX('9 Grid'!$D$8:$F$8,1,MATCH('Rekomendasi HAV'!N42,'9 Grid'!$D$2:$F$2,0)),"")</f>
        <v>(LT) More 2 - 3 year</v>
      </c>
    </row>
    <row r="43" spans="1:16" ht="28.5">
      <c r="A43" s="67">
        <v>42</v>
      </c>
      <c r="B43" s="68" t="str">
        <f>INDEX(Data_Assessment[],MATCH('Rekomendasi HAV'!$A43,Data_Assessment[[INDEX]:[INDEX]],0),MATCH('Rekomendasi HAV'!B$1,Data_Assessment[#Headers],0))</f>
        <v>M. Wahyudi Amin</v>
      </c>
      <c r="C43" s="68" t="str">
        <f>INDEX(Data_Assessment[],MATCH('Rekomendasi HAV'!$A43,Data_Assessment[[INDEX]:[INDEX]],0),MATCH('Rekomendasi HAV'!C$1,Data_Assessment[#Headers],0))</f>
        <v>Sumatera Utara</v>
      </c>
      <c r="D43" s="68" t="str">
        <f>INDEX(Data_Assessment[],MATCH('Rekomendasi HAV'!$A43,Data_Assessment[[INDEX]:[INDEX]],0),MATCH('Rekomendasi HAV'!D$1,Data_Assessment[#Headers],0))</f>
        <v>LSIP - RO Medan</v>
      </c>
      <c r="E43" s="68">
        <f>INDEX(Data_Assessment[],MATCH('Rekomendasi HAV'!$B43,Data_Assessment[[NAME]:[NAME]],0),MATCH('Rekomendasi HAV'!E$1,Data_Assessment[#Headers],0))</f>
        <v>0</v>
      </c>
      <c r="F43" s="68"/>
      <c r="G43" s="68">
        <f>IF(ISNUMBER(SEARCH("DEV",Assessment[[#This Row],[JOB TARGET]])),SUBSTITUTE(Assessment[[#This Row],[JOB TARGET]],"DEV","EST"),Assessment[[#This Row],[JOB TARGET]])</f>
        <v>0</v>
      </c>
      <c r="H43" s="146" t="str" cm="1">
        <f t="array" aca="1" ref="H43" ca="1">IF(Assessment[[#This Row],[JOB TARGET]]="","Job Target Kosong",IF(COUNT(IF('Data Assessment'!$N43:$Z43-OFFSET(Standar!$B$2,MATCH(Assessment[[#This Row],[JOB TARGET
(EST)]],Standar[NAMA JABATAN],0)-1,1,1,13)&lt;0,1,""))&lt;=3,'9 Grid'!$B$4,IF(COUNT(IF('Data Assessment'!$N43:$Z43-OFFSET(Standar!$B$2,MATCH(Assessment[[#This Row],[JOB TARGET]],Standar[NAMA JABATAN],0)-1,1,1,13)&lt;0,1,""))&gt;=7,'9 Grid'!$B$6,'9 Grid'!$B$5)))</f>
        <v>Job Target Kosong</v>
      </c>
      <c r="I43" s="146" t="str">
        <f>IFERROR(IF(Data_Assessment[[#This Row],[IPP (3 YEARS AVERAGE)]]="","(IPP Belum Ada)",IF(Data_Assessment[[#This Row],[IPP (3 YEARS AVERAGE)]]&lt;2,'9 Grid'!$F$2,IF(Data_Assessment[[#This Row],[IPP (3 YEARS AVERAGE)]]&gt;=4,'9 Grid'!$D$2,'9 Grid'!$E$2))),"")</f>
        <v>Contributor</v>
      </c>
      <c r="J43" s="146" t="str">
        <f ca="1">IFERROR(INDEX('9 Grid'!$D$4:$F$6,MATCH('Rekomendasi HAV'!H43,'9 Grid'!$B$4:$B$6,0),MATCH('Rekomendasi HAV'!I43,'9 Grid'!$D$2:$F$2,0)),"")</f>
        <v/>
      </c>
      <c r="K43" s="146" t="str">
        <f>IFERROR(INDEX('9 Grid'!$D$8:$F$8,1,MATCH('Rekomendasi HAV'!I43,'9 Grid'!$D$2:$F$2,0)),"")</f>
        <v>(LT) More 2 - 3 year</v>
      </c>
      <c r="L43" s="146">
        <f>IF(ISNUMBER(SEARCH("EST",Assessment[[#This Row],[JOB TARGET]])),SUBSTITUTE(Assessment[[#This Row],[JOB TARGET]],"EST","DEV"),Assessment[[#This Row],[JOB TARGET]])</f>
        <v>0</v>
      </c>
      <c r="M43" s="146" t="str" cm="1">
        <f t="array" aca="1" ref="M43" ca="1">IF(Assessment[[#This Row],[JOB TARGET]]="","Job Target Kosong",IF(COUNT(IF('Data Assessment'!$N43:$Z43-OFFSET(Standar!$B$2,MATCH(Assessment[[#This Row],[JOB TARGET
(DEV)]],Standar[NAMA JABATAN],0)-1,1,1,13)&lt;0,1,""))&lt;=3,'9 Grid'!$B$4,IF(COUNT(IF('Data Assessment'!$N43:$Z43-OFFSET(Standar!$B$2,MATCH(Assessment[[#This Row],[JOB TARGET
(DEV)]],Standar[NAMA JABATAN],0)-1,1,1,13)&lt;0,1,""))&gt;=7,'9 Grid'!$B$6,'9 Grid'!$B$5)))</f>
        <v>Job Target Kosong</v>
      </c>
      <c r="N43" s="146" t="str">
        <f>IFERROR(IF(Data_Assessment[[#This Row],[IPP (3 YEARS AVERAGE)]]="","(IPP Belum Ada)",IF(Data_Assessment[[#This Row],[IPP (3 YEARS AVERAGE)]]&lt;2,'9 Grid'!$F$2,IF(Data_Assessment[[#This Row],[IPP (3 YEARS AVERAGE)]]&gt;=4,'9 Grid'!$D$2,'9 Grid'!$E$2))),"")</f>
        <v>Contributor</v>
      </c>
      <c r="O43" s="146" t="str">
        <f ca="1">IFERROR(INDEX('9 Grid'!$D$4:$F$6,MATCH('Rekomendasi HAV'!M43,'9 Grid'!$B$4:$B$6,0),MATCH('Rekomendasi HAV'!N43,'9 Grid'!$D$2:$F$2,0)),"")</f>
        <v/>
      </c>
      <c r="P43" s="147" t="str">
        <f>IFERROR(INDEX('9 Grid'!$D$8:$F$8,1,MATCH('Rekomendasi HAV'!N43,'9 Grid'!$D$2:$F$2,0)),"")</f>
        <v>(LT) More 2 - 3 year</v>
      </c>
    </row>
    <row r="44" spans="1:16" ht="28.5">
      <c r="A44" s="67">
        <v>43</v>
      </c>
      <c r="B44" s="68" t="str">
        <f>INDEX(Data_Assessment[],MATCH('Rekomendasi HAV'!$A44,Data_Assessment[[INDEX]:[INDEX]],0),MATCH('Rekomendasi HAV'!B$1,Data_Assessment[#Headers],0))</f>
        <v>Muhammad Yusuf, ST</v>
      </c>
      <c r="C44" s="68" t="str">
        <f>INDEX(Data_Assessment[],MATCH('Rekomendasi HAV'!$A44,Data_Assessment[[INDEX]:[INDEX]],0),MATCH('Rekomendasi HAV'!C$1,Data_Assessment[#Headers],0))</f>
        <v>Sumatera Selatan</v>
      </c>
      <c r="D44" s="68" t="str">
        <f>INDEX(Data_Assessment[],MATCH('Rekomendasi HAV'!$A44,Data_Assessment[[INDEX]:[INDEX]],0),MATCH('Rekomendasi HAV'!D$1,Data_Assessment[#Headers],0))</f>
        <v>LSIP - Kencana Sari Estate</v>
      </c>
      <c r="E44" s="68">
        <f>INDEX(Data_Assessment[],MATCH('Rekomendasi HAV'!$B44,Data_Assessment[[NAME]:[NAME]],0),MATCH('Rekomendasi HAV'!E$1,Data_Assessment[#Headers],0))</f>
        <v>0</v>
      </c>
      <c r="F44" s="68"/>
      <c r="G44" s="68">
        <f>IF(ISNUMBER(SEARCH("DEV",Assessment[[#This Row],[JOB TARGET]])),SUBSTITUTE(Assessment[[#This Row],[JOB TARGET]],"DEV","EST"),Assessment[[#This Row],[JOB TARGET]])</f>
        <v>0</v>
      </c>
      <c r="H44" s="146" t="str" cm="1">
        <f t="array" aca="1" ref="H44" ca="1">IF(Assessment[[#This Row],[JOB TARGET]]="","Job Target Kosong",IF(COUNT(IF('Data Assessment'!$N44:$Z44-OFFSET(Standar!$B$2,MATCH(Assessment[[#This Row],[JOB TARGET
(EST)]],Standar[NAMA JABATAN],0)-1,1,1,13)&lt;0,1,""))&lt;=3,'9 Grid'!$B$4,IF(COUNT(IF('Data Assessment'!$N44:$Z44-OFFSET(Standar!$B$2,MATCH(Assessment[[#This Row],[JOB TARGET]],Standar[NAMA JABATAN],0)-1,1,1,13)&lt;0,1,""))&gt;=7,'9 Grid'!$B$6,'9 Grid'!$B$5)))</f>
        <v>Job Target Kosong</v>
      </c>
      <c r="I44" s="146" t="str">
        <f>IFERROR(IF(Data_Assessment[[#This Row],[IPP (3 YEARS AVERAGE)]]="","(IPP Belum Ada)",IF(Data_Assessment[[#This Row],[IPP (3 YEARS AVERAGE)]]&lt;2,'9 Grid'!$F$2,IF(Data_Assessment[[#This Row],[IPP (3 YEARS AVERAGE)]]&gt;=4,'9 Grid'!$D$2,'9 Grid'!$E$2))),"")</f>
        <v>Contributor</v>
      </c>
      <c r="J44" s="146" t="str">
        <f ca="1">IFERROR(INDEX('9 Grid'!$D$4:$F$6,MATCH('Rekomendasi HAV'!H44,'9 Grid'!$B$4:$B$6,0),MATCH('Rekomendasi HAV'!I44,'9 Grid'!$D$2:$F$2,0)),"")</f>
        <v/>
      </c>
      <c r="K44" s="146" t="str">
        <f>IFERROR(INDEX('9 Grid'!$D$8:$F$8,1,MATCH('Rekomendasi HAV'!I44,'9 Grid'!$D$2:$F$2,0)),"")</f>
        <v>(LT) More 2 - 3 year</v>
      </c>
      <c r="L44" s="146">
        <f>IF(ISNUMBER(SEARCH("EST",Assessment[[#This Row],[JOB TARGET]])),SUBSTITUTE(Assessment[[#This Row],[JOB TARGET]],"EST","DEV"),Assessment[[#This Row],[JOB TARGET]])</f>
        <v>0</v>
      </c>
      <c r="M44" s="146" t="str" cm="1">
        <f t="array" aca="1" ref="M44" ca="1">IF(Assessment[[#This Row],[JOB TARGET]]="","Job Target Kosong",IF(COUNT(IF('Data Assessment'!$N44:$Z44-OFFSET(Standar!$B$2,MATCH(Assessment[[#This Row],[JOB TARGET
(DEV)]],Standar[NAMA JABATAN],0)-1,1,1,13)&lt;0,1,""))&lt;=3,'9 Grid'!$B$4,IF(COUNT(IF('Data Assessment'!$N44:$Z44-OFFSET(Standar!$B$2,MATCH(Assessment[[#This Row],[JOB TARGET
(DEV)]],Standar[NAMA JABATAN],0)-1,1,1,13)&lt;0,1,""))&gt;=7,'9 Grid'!$B$6,'9 Grid'!$B$5)))</f>
        <v>Job Target Kosong</v>
      </c>
      <c r="N44" s="146" t="str">
        <f>IFERROR(IF(Data_Assessment[[#This Row],[IPP (3 YEARS AVERAGE)]]="","(IPP Belum Ada)",IF(Data_Assessment[[#This Row],[IPP (3 YEARS AVERAGE)]]&lt;2,'9 Grid'!$F$2,IF(Data_Assessment[[#This Row],[IPP (3 YEARS AVERAGE)]]&gt;=4,'9 Grid'!$D$2,'9 Grid'!$E$2))),"")</f>
        <v>Contributor</v>
      </c>
      <c r="O44" s="146" t="str">
        <f ca="1">IFERROR(INDEX('9 Grid'!$D$4:$F$6,MATCH('Rekomendasi HAV'!M44,'9 Grid'!$B$4:$B$6,0),MATCH('Rekomendasi HAV'!N44,'9 Grid'!$D$2:$F$2,0)),"")</f>
        <v/>
      </c>
      <c r="P44" s="147" t="str">
        <f>IFERROR(INDEX('9 Grid'!$D$8:$F$8,1,MATCH('Rekomendasi HAV'!N44,'9 Grid'!$D$2:$F$2,0)),"")</f>
        <v>(LT) More 2 - 3 year</v>
      </c>
    </row>
    <row r="45" spans="1:16" ht="28.5">
      <c r="A45" s="67">
        <v>44</v>
      </c>
      <c r="B45" s="68" t="str">
        <f>INDEX(Data_Assessment[],MATCH('Rekomendasi HAV'!$A45,Data_Assessment[[INDEX]:[INDEX]],0),MATCH('Rekomendasi HAV'!B$1,Data_Assessment[#Headers],0))</f>
        <v>Yudha Fareza</v>
      </c>
      <c r="C45" s="68" t="str">
        <f>INDEX(Data_Assessment[],MATCH('Rekomendasi HAV'!$A45,Data_Assessment[[INDEX]:[INDEX]],0),MATCH('Rekomendasi HAV'!C$1,Data_Assessment[#Headers],0))</f>
        <v>Sumatera Utara</v>
      </c>
      <c r="D45" s="68" t="str">
        <f>INDEX(Data_Assessment[],MATCH('Rekomendasi HAV'!$A45,Data_Assessment[[INDEX]:[INDEX]],0),MATCH('Rekomendasi HAV'!D$1,Data_Assessment[#Headers],0))</f>
        <v>LSIP - RO Medan</v>
      </c>
      <c r="E45" s="68">
        <f>INDEX(Data_Assessment[],MATCH('Rekomendasi HAV'!$B45,Data_Assessment[[NAME]:[NAME]],0),MATCH('Rekomendasi HAV'!E$1,Data_Assessment[#Headers],0))</f>
        <v>0</v>
      </c>
      <c r="F45" s="68"/>
      <c r="G45" s="68">
        <f>IF(ISNUMBER(SEARCH("DEV",Assessment[[#This Row],[JOB TARGET]])),SUBSTITUTE(Assessment[[#This Row],[JOB TARGET]],"DEV","EST"),Assessment[[#This Row],[JOB TARGET]])</f>
        <v>0</v>
      </c>
      <c r="H45" s="146" t="str" cm="1">
        <f t="array" aca="1" ref="H45" ca="1">IF(Assessment[[#This Row],[JOB TARGET]]="","Job Target Kosong",IF(COUNT(IF('Data Assessment'!$N45:$Z45-OFFSET(Standar!$B$2,MATCH(Assessment[[#This Row],[JOB TARGET
(EST)]],Standar[NAMA JABATAN],0)-1,1,1,13)&lt;0,1,""))&lt;=3,'9 Grid'!$B$4,IF(COUNT(IF('Data Assessment'!$N45:$Z45-OFFSET(Standar!$B$2,MATCH(Assessment[[#This Row],[JOB TARGET]],Standar[NAMA JABATAN],0)-1,1,1,13)&lt;0,1,""))&gt;=7,'9 Grid'!$B$6,'9 Grid'!$B$5)))</f>
        <v>Job Target Kosong</v>
      </c>
      <c r="I45" s="146" t="str">
        <f>IFERROR(IF(Data_Assessment[[#This Row],[IPP (3 YEARS AVERAGE)]]="","(IPP Belum Ada)",IF(Data_Assessment[[#This Row],[IPP (3 YEARS AVERAGE)]]&lt;2,'9 Grid'!$F$2,IF(Data_Assessment[[#This Row],[IPP (3 YEARS AVERAGE)]]&gt;=4,'9 Grid'!$D$2,'9 Grid'!$E$2))),"")</f>
        <v>Contributor</v>
      </c>
      <c r="J45" s="146" t="str">
        <f ca="1">IFERROR(INDEX('9 Grid'!$D$4:$F$6,MATCH('Rekomendasi HAV'!H45,'9 Grid'!$B$4:$B$6,0),MATCH('Rekomendasi HAV'!I45,'9 Grid'!$D$2:$F$2,0)),"")</f>
        <v/>
      </c>
      <c r="K45" s="146" t="str">
        <f>IFERROR(INDEX('9 Grid'!$D$8:$F$8,1,MATCH('Rekomendasi HAV'!I45,'9 Grid'!$D$2:$F$2,0)),"")</f>
        <v>(LT) More 2 - 3 year</v>
      </c>
      <c r="L45" s="146">
        <f>IF(ISNUMBER(SEARCH("EST",Assessment[[#This Row],[JOB TARGET]])),SUBSTITUTE(Assessment[[#This Row],[JOB TARGET]],"EST","DEV"),Assessment[[#This Row],[JOB TARGET]])</f>
        <v>0</v>
      </c>
      <c r="M45" s="146" t="str" cm="1">
        <f t="array" aca="1" ref="M45" ca="1">IF(Assessment[[#This Row],[JOB TARGET]]="","Job Target Kosong",IF(COUNT(IF('Data Assessment'!$N45:$Z45-OFFSET(Standar!$B$2,MATCH(Assessment[[#This Row],[JOB TARGET
(DEV)]],Standar[NAMA JABATAN],0)-1,1,1,13)&lt;0,1,""))&lt;=3,'9 Grid'!$B$4,IF(COUNT(IF('Data Assessment'!$N45:$Z45-OFFSET(Standar!$B$2,MATCH(Assessment[[#This Row],[JOB TARGET
(DEV)]],Standar[NAMA JABATAN],0)-1,1,1,13)&lt;0,1,""))&gt;=7,'9 Grid'!$B$6,'9 Grid'!$B$5)))</f>
        <v>Job Target Kosong</v>
      </c>
      <c r="N45" s="146" t="str">
        <f>IFERROR(IF(Data_Assessment[[#This Row],[IPP (3 YEARS AVERAGE)]]="","(IPP Belum Ada)",IF(Data_Assessment[[#This Row],[IPP (3 YEARS AVERAGE)]]&lt;2,'9 Grid'!$F$2,IF(Data_Assessment[[#This Row],[IPP (3 YEARS AVERAGE)]]&gt;=4,'9 Grid'!$D$2,'9 Grid'!$E$2))),"")</f>
        <v>Contributor</v>
      </c>
      <c r="O45" s="146" t="str">
        <f ca="1">IFERROR(INDEX('9 Grid'!$D$4:$F$6,MATCH('Rekomendasi HAV'!M45,'9 Grid'!$B$4:$B$6,0),MATCH('Rekomendasi HAV'!N45,'9 Grid'!$D$2:$F$2,0)),"")</f>
        <v/>
      </c>
      <c r="P45" s="147" t="str">
        <f>IFERROR(INDEX('9 Grid'!$D$8:$F$8,1,MATCH('Rekomendasi HAV'!N45,'9 Grid'!$D$2:$F$2,0)),"")</f>
        <v>(LT) More 2 - 3 year</v>
      </c>
    </row>
    <row r="46" spans="1:16" ht="28.5">
      <c r="A46" s="67">
        <v>45</v>
      </c>
      <c r="B46" s="68" t="str">
        <f>INDEX(Data_Assessment[],MATCH('Rekomendasi HAV'!$A46,Data_Assessment[[INDEX]:[INDEX]],0),MATCH('Rekomendasi HAV'!B$1,Data_Assessment[#Headers],0))</f>
        <v>Mhd. Rizky Azhari Nasution</v>
      </c>
      <c r="C46" s="68" t="str">
        <f>INDEX(Data_Assessment[],MATCH('Rekomendasi HAV'!$A46,Data_Assessment[[INDEX]:[INDEX]],0),MATCH('Rekomendasi HAV'!C$1,Data_Assessment[#Headers],0))</f>
        <v>Medan</v>
      </c>
      <c r="D46" s="68" t="str">
        <f>INDEX(Data_Assessment[],MATCH('Rekomendasi HAV'!$A46,Data_Assessment[[INDEX]:[INDEX]],0),MATCH('Rekomendasi HAV'!D$1,Data_Assessment[#Headers],0))</f>
        <v>LSIP - RO Medan</v>
      </c>
      <c r="E46" s="68">
        <f>INDEX(Data_Assessment[],MATCH('Rekomendasi HAV'!$B46,Data_Assessment[[NAME]:[NAME]],0),MATCH('Rekomendasi HAV'!E$1,Data_Assessment[#Headers],0))</f>
        <v>0</v>
      </c>
      <c r="F46" s="68"/>
      <c r="G46" s="68">
        <f>IF(ISNUMBER(SEARCH("DEV",Assessment[[#This Row],[JOB TARGET]])),SUBSTITUTE(Assessment[[#This Row],[JOB TARGET]],"DEV","EST"),Assessment[[#This Row],[JOB TARGET]])</f>
        <v>0</v>
      </c>
      <c r="H46" s="146" t="str" cm="1">
        <f t="array" aca="1" ref="H46" ca="1">IF(Assessment[[#This Row],[JOB TARGET]]="","Job Target Kosong",IF(COUNT(IF('Data Assessment'!$N46:$Z46-OFFSET(Standar!$B$2,MATCH(Assessment[[#This Row],[JOB TARGET
(EST)]],Standar[NAMA JABATAN],0)-1,1,1,13)&lt;0,1,""))&lt;=3,'9 Grid'!$B$4,IF(COUNT(IF('Data Assessment'!$N46:$Z46-OFFSET(Standar!$B$2,MATCH(Assessment[[#This Row],[JOB TARGET]],Standar[NAMA JABATAN],0)-1,1,1,13)&lt;0,1,""))&gt;=7,'9 Grid'!$B$6,'9 Grid'!$B$5)))</f>
        <v>Job Target Kosong</v>
      </c>
      <c r="I46" s="146" t="str">
        <f>IFERROR(IF(Data_Assessment[[#This Row],[IPP (3 YEARS AVERAGE)]]="","(IPP Belum Ada)",IF(Data_Assessment[[#This Row],[IPP (3 YEARS AVERAGE)]]&lt;2,'9 Grid'!$F$2,IF(Data_Assessment[[#This Row],[IPP (3 YEARS AVERAGE)]]&gt;=4,'9 Grid'!$D$2,'9 Grid'!$E$2))),"")</f>
        <v>Fully Competence Performance</v>
      </c>
      <c r="J46" s="146" t="str">
        <f ca="1">IFERROR(INDEX('9 Grid'!$D$4:$F$6,MATCH('Rekomendasi HAV'!H46,'9 Grid'!$B$4:$B$6,0),MATCH('Rekomendasi HAV'!I46,'9 Grid'!$D$2:$F$2,0)),"")</f>
        <v/>
      </c>
      <c r="K46" s="146" t="str">
        <f>IFERROR(INDEX('9 Grid'!$D$8:$F$8,1,MATCH('Rekomendasi HAV'!I46,'9 Grid'!$D$2:$F$2,0)),"")</f>
        <v>(ST) Within 12 - 18 month</v>
      </c>
      <c r="L46" s="146">
        <f>IF(ISNUMBER(SEARCH("EST",Assessment[[#This Row],[JOB TARGET]])),SUBSTITUTE(Assessment[[#This Row],[JOB TARGET]],"EST","DEV"),Assessment[[#This Row],[JOB TARGET]])</f>
        <v>0</v>
      </c>
      <c r="M46" s="146" t="str" cm="1">
        <f t="array" aca="1" ref="M46" ca="1">IF(Assessment[[#This Row],[JOB TARGET]]="","Job Target Kosong",IF(COUNT(IF('Data Assessment'!$N46:$Z46-OFFSET(Standar!$B$2,MATCH(Assessment[[#This Row],[JOB TARGET
(DEV)]],Standar[NAMA JABATAN],0)-1,1,1,13)&lt;0,1,""))&lt;=3,'9 Grid'!$B$4,IF(COUNT(IF('Data Assessment'!$N46:$Z46-OFFSET(Standar!$B$2,MATCH(Assessment[[#This Row],[JOB TARGET
(DEV)]],Standar[NAMA JABATAN],0)-1,1,1,13)&lt;0,1,""))&gt;=7,'9 Grid'!$B$6,'9 Grid'!$B$5)))</f>
        <v>Job Target Kosong</v>
      </c>
      <c r="N46" s="146" t="str">
        <f>IFERROR(IF(Data_Assessment[[#This Row],[IPP (3 YEARS AVERAGE)]]="","(IPP Belum Ada)",IF(Data_Assessment[[#This Row],[IPP (3 YEARS AVERAGE)]]&lt;2,'9 Grid'!$F$2,IF(Data_Assessment[[#This Row],[IPP (3 YEARS AVERAGE)]]&gt;=4,'9 Grid'!$D$2,'9 Grid'!$E$2))),"")</f>
        <v>Fully Competence Performance</v>
      </c>
      <c r="O46" s="146" t="str">
        <f ca="1">IFERROR(INDEX('9 Grid'!$D$4:$F$6,MATCH('Rekomendasi HAV'!M46,'9 Grid'!$B$4:$B$6,0),MATCH('Rekomendasi HAV'!N46,'9 Grid'!$D$2:$F$2,0)),"")</f>
        <v/>
      </c>
      <c r="P46" s="147" t="str">
        <f>IFERROR(INDEX('9 Grid'!$D$8:$F$8,1,MATCH('Rekomendasi HAV'!N46,'9 Grid'!$D$2:$F$2,0)),"")</f>
        <v>(ST) Within 12 - 18 month</v>
      </c>
    </row>
    <row r="47" spans="1:16" ht="28.5">
      <c r="A47" s="67">
        <v>46</v>
      </c>
      <c r="B47" s="68" t="str">
        <f>INDEX(Data_Assessment[],MATCH('Rekomendasi HAV'!$A47,Data_Assessment[[INDEX]:[INDEX]],0),MATCH('Rekomendasi HAV'!B$1,Data_Assessment[#Headers],0))</f>
        <v>Ria Puspa Sari</v>
      </c>
      <c r="C47" s="68" t="str">
        <f>INDEX(Data_Assessment[],MATCH('Rekomendasi HAV'!$A47,Data_Assessment[[INDEX]:[INDEX]],0),MATCH('Rekomendasi HAV'!C$1,Data_Assessment[#Headers],0))</f>
        <v>Sumatera Utara</v>
      </c>
      <c r="D47" s="68" t="str">
        <f>INDEX(Data_Assessment[],MATCH('Rekomendasi HAV'!$A47,Data_Assessment[[INDEX]:[INDEX]],0),MATCH('Rekomendasi HAV'!D$1,Data_Assessment[#Headers],0))</f>
        <v>LSIP - RO Medan</v>
      </c>
      <c r="E47" s="68">
        <f>INDEX(Data_Assessment[],MATCH('Rekomendasi HAV'!$B47,Data_Assessment[[NAME]:[NAME]],0),MATCH('Rekomendasi HAV'!E$1,Data_Assessment[#Headers],0))</f>
        <v>0</v>
      </c>
      <c r="F47" s="68"/>
      <c r="G47" s="68">
        <f>IF(ISNUMBER(SEARCH("DEV",Assessment[[#This Row],[JOB TARGET]])),SUBSTITUTE(Assessment[[#This Row],[JOB TARGET]],"DEV","EST"),Assessment[[#This Row],[JOB TARGET]])</f>
        <v>0</v>
      </c>
      <c r="H47" s="146" t="str" cm="1">
        <f t="array" aca="1" ref="H47" ca="1">IF(Assessment[[#This Row],[JOB TARGET]]="","Job Target Kosong",IF(COUNT(IF('Data Assessment'!$N47:$Z47-OFFSET(Standar!$B$2,MATCH(Assessment[[#This Row],[JOB TARGET
(EST)]],Standar[NAMA JABATAN],0)-1,1,1,13)&lt;0,1,""))&lt;=3,'9 Grid'!$B$4,IF(COUNT(IF('Data Assessment'!$N47:$Z47-OFFSET(Standar!$B$2,MATCH(Assessment[[#This Row],[JOB TARGET]],Standar[NAMA JABATAN],0)-1,1,1,13)&lt;0,1,""))&gt;=7,'9 Grid'!$B$6,'9 Grid'!$B$5)))</f>
        <v>Job Target Kosong</v>
      </c>
      <c r="I47" s="146" t="str">
        <f>IFERROR(IF(Data_Assessment[[#This Row],[IPP (3 YEARS AVERAGE)]]="","(IPP Belum Ada)",IF(Data_Assessment[[#This Row],[IPP (3 YEARS AVERAGE)]]&lt;2,'9 Grid'!$F$2,IF(Data_Assessment[[#This Row],[IPP (3 YEARS AVERAGE)]]&gt;=4,'9 Grid'!$D$2,'9 Grid'!$E$2))),"")</f>
        <v>Contributor</v>
      </c>
      <c r="J47" s="146" t="str">
        <f ca="1">IFERROR(INDEX('9 Grid'!$D$4:$F$6,MATCH('Rekomendasi HAV'!H47,'9 Grid'!$B$4:$B$6,0),MATCH('Rekomendasi HAV'!I47,'9 Grid'!$D$2:$F$2,0)),"")</f>
        <v/>
      </c>
      <c r="K47" s="146" t="str">
        <f>IFERROR(INDEX('9 Grid'!$D$8:$F$8,1,MATCH('Rekomendasi HAV'!I47,'9 Grid'!$D$2:$F$2,0)),"")</f>
        <v>(LT) More 2 - 3 year</v>
      </c>
      <c r="L47" s="146">
        <f>IF(ISNUMBER(SEARCH("EST",Assessment[[#This Row],[JOB TARGET]])),SUBSTITUTE(Assessment[[#This Row],[JOB TARGET]],"EST","DEV"),Assessment[[#This Row],[JOB TARGET]])</f>
        <v>0</v>
      </c>
      <c r="M47" s="146" t="str" cm="1">
        <f t="array" aca="1" ref="M47" ca="1">IF(Assessment[[#This Row],[JOB TARGET]]="","Job Target Kosong",IF(COUNT(IF('Data Assessment'!$N47:$Z47-OFFSET(Standar!$B$2,MATCH(Assessment[[#This Row],[JOB TARGET
(DEV)]],Standar[NAMA JABATAN],0)-1,1,1,13)&lt;0,1,""))&lt;=3,'9 Grid'!$B$4,IF(COUNT(IF('Data Assessment'!$N47:$Z47-OFFSET(Standar!$B$2,MATCH(Assessment[[#This Row],[JOB TARGET
(DEV)]],Standar[NAMA JABATAN],0)-1,1,1,13)&lt;0,1,""))&gt;=7,'9 Grid'!$B$6,'9 Grid'!$B$5)))</f>
        <v>Job Target Kosong</v>
      </c>
      <c r="N47" s="146" t="str">
        <f>IFERROR(IF(Data_Assessment[[#This Row],[IPP (3 YEARS AVERAGE)]]="","(IPP Belum Ada)",IF(Data_Assessment[[#This Row],[IPP (3 YEARS AVERAGE)]]&lt;2,'9 Grid'!$F$2,IF(Data_Assessment[[#This Row],[IPP (3 YEARS AVERAGE)]]&gt;=4,'9 Grid'!$D$2,'9 Grid'!$E$2))),"")</f>
        <v>Contributor</v>
      </c>
      <c r="O47" s="146" t="str">
        <f ca="1">IFERROR(INDEX('9 Grid'!$D$4:$F$6,MATCH('Rekomendasi HAV'!M47,'9 Grid'!$B$4:$B$6,0),MATCH('Rekomendasi HAV'!N47,'9 Grid'!$D$2:$F$2,0)),"")</f>
        <v/>
      </c>
      <c r="P47" s="147" t="str">
        <f>IFERROR(INDEX('9 Grid'!$D$8:$F$8,1,MATCH('Rekomendasi HAV'!N47,'9 Grid'!$D$2:$F$2,0)),"")</f>
        <v>(LT) More 2 - 3 year</v>
      </c>
    </row>
    <row r="48" spans="1:16" ht="28.5">
      <c r="A48" s="67">
        <v>47</v>
      </c>
      <c r="B48" s="68" t="str">
        <f>INDEX(Data_Assessment[],MATCH('Rekomendasi HAV'!$A48,Data_Assessment[[INDEX]:[INDEX]],0),MATCH('Rekomendasi HAV'!B$1,Data_Assessment[#Headers],0))</f>
        <v>Ade Arham Kurniawan</v>
      </c>
      <c r="C48" s="68" t="str">
        <f>INDEX(Data_Assessment[],MATCH('Rekomendasi HAV'!$A48,Data_Assessment[[INDEX]:[INDEX]],0),MATCH('Rekomendasi HAV'!C$1,Data_Assessment[#Headers],0))</f>
        <v>Sumatera Utara</v>
      </c>
      <c r="D48" s="68" t="str">
        <f>INDEX(Data_Assessment[],MATCH('Rekomendasi HAV'!$A48,Data_Assessment[[INDEX]:[INDEX]],0),MATCH('Rekomendasi HAV'!D$1,Data_Assessment[#Headers],0))</f>
        <v>LSIP - RO Medan</v>
      </c>
      <c r="E48" s="68">
        <f>INDEX(Data_Assessment[],MATCH('Rekomendasi HAV'!$B48,Data_Assessment[[NAME]:[NAME]],0),MATCH('Rekomendasi HAV'!E$1,Data_Assessment[#Headers],0))</f>
        <v>0</v>
      </c>
      <c r="F48" s="68"/>
      <c r="G48" s="68">
        <f>IF(ISNUMBER(SEARCH("DEV",Assessment[[#This Row],[JOB TARGET]])),SUBSTITUTE(Assessment[[#This Row],[JOB TARGET]],"DEV","EST"),Assessment[[#This Row],[JOB TARGET]])</f>
        <v>0</v>
      </c>
      <c r="H48" s="146" t="str" cm="1">
        <f t="array" aca="1" ref="H48" ca="1">IF(Assessment[[#This Row],[JOB TARGET]]="","Job Target Kosong",IF(COUNT(IF('Data Assessment'!$N48:$Z48-OFFSET(Standar!$B$2,MATCH(Assessment[[#This Row],[JOB TARGET
(EST)]],Standar[NAMA JABATAN],0)-1,1,1,13)&lt;0,1,""))&lt;=3,'9 Grid'!$B$4,IF(COUNT(IF('Data Assessment'!$N48:$Z48-OFFSET(Standar!$B$2,MATCH(Assessment[[#This Row],[JOB TARGET]],Standar[NAMA JABATAN],0)-1,1,1,13)&lt;0,1,""))&gt;=7,'9 Grid'!$B$6,'9 Grid'!$B$5)))</f>
        <v>Job Target Kosong</v>
      </c>
      <c r="I48" s="146" t="str">
        <f>IFERROR(IF(Data_Assessment[[#This Row],[IPP (3 YEARS AVERAGE)]]="","(IPP Belum Ada)",IF(Data_Assessment[[#This Row],[IPP (3 YEARS AVERAGE)]]&lt;2,'9 Grid'!$F$2,IF(Data_Assessment[[#This Row],[IPP (3 YEARS AVERAGE)]]&gt;=4,'9 Grid'!$D$2,'9 Grid'!$E$2))),"")</f>
        <v>Contributor</v>
      </c>
      <c r="J48" s="146" t="str">
        <f ca="1">IFERROR(INDEX('9 Grid'!$D$4:$F$6,MATCH('Rekomendasi HAV'!H48,'9 Grid'!$B$4:$B$6,0),MATCH('Rekomendasi HAV'!I48,'9 Grid'!$D$2:$F$2,0)),"")</f>
        <v/>
      </c>
      <c r="K48" s="146" t="str">
        <f>IFERROR(INDEX('9 Grid'!$D$8:$F$8,1,MATCH('Rekomendasi HAV'!I48,'9 Grid'!$D$2:$F$2,0)),"")</f>
        <v>(LT) More 2 - 3 year</v>
      </c>
      <c r="L48" s="146">
        <f>IF(ISNUMBER(SEARCH("EST",Assessment[[#This Row],[JOB TARGET]])),SUBSTITUTE(Assessment[[#This Row],[JOB TARGET]],"EST","DEV"),Assessment[[#This Row],[JOB TARGET]])</f>
        <v>0</v>
      </c>
      <c r="M48" s="146" t="str" cm="1">
        <f t="array" aca="1" ref="M48" ca="1">IF(Assessment[[#This Row],[JOB TARGET]]="","Job Target Kosong",IF(COUNT(IF('Data Assessment'!$N48:$Z48-OFFSET(Standar!$B$2,MATCH(Assessment[[#This Row],[JOB TARGET
(DEV)]],Standar[NAMA JABATAN],0)-1,1,1,13)&lt;0,1,""))&lt;=3,'9 Grid'!$B$4,IF(COUNT(IF('Data Assessment'!$N48:$Z48-OFFSET(Standar!$B$2,MATCH(Assessment[[#This Row],[JOB TARGET
(DEV)]],Standar[NAMA JABATAN],0)-1,1,1,13)&lt;0,1,""))&gt;=7,'9 Grid'!$B$6,'9 Grid'!$B$5)))</f>
        <v>Job Target Kosong</v>
      </c>
      <c r="N48" s="146" t="str">
        <f>IFERROR(IF(Data_Assessment[[#This Row],[IPP (3 YEARS AVERAGE)]]="","(IPP Belum Ada)",IF(Data_Assessment[[#This Row],[IPP (3 YEARS AVERAGE)]]&lt;2,'9 Grid'!$F$2,IF(Data_Assessment[[#This Row],[IPP (3 YEARS AVERAGE)]]&gt;=4,'9 Grid'!$D$2,'9 Grid'!$E$2))),"")</f>
        <v>Contributor</v>
      </c>
      <c r="O48" s="146" t="str">
        <f ca="1">IFERROR(INDEX('9 Grid'!$D$4:$F$6,MATCH('Rekomendasi HAV'!M48,'9 Grid'!$B$4:$B$6,0),MATCH('Rekomendasi HAV'!N48,'9 Grid'!$D$2:$F$2,0)),"")</f>
        <v/>
      </c>
      <c r="P48" s="147" t="str">
        <f>IFERROR(INDEX('9 Grid'!$D$8:$F$8,1,MATCH('Rekomendasi HAV'!N48,'9 Grid'!$D$2:$F$2,0)),"")</f>
        <v>(LT) More 2 - 3 year</v>
      </c>
    </row>
    <row r="49" spans="1:16" ht="28.5">
      <c r="A49" s="67">
        <v>48</v>
      </c>
      <c r="B49" s="68" t="str">
        <f>INDEX(Data_Assessment[],MATCH('Rekomendasi HAV'!$A49,Data_Assessment[[INDEX]:[INDEX]],0),MATCH('Rekomendasi HAV'!B$1,Data_Assessment[#Headers],0))</f>
        <v>Alpino Setyawan</v>
      </c>
      <c r="C49" s="68" t="str">
        <f>INDEX(Data_Assessment[],MATCH('Rekomendasi HAV'!$A49,Data_Assessment[[INDEX]:[INDEX]],0),MATCH('Rekomendasi HAV'!C$1,Data_Assessment[#Headers],0))</f>
        <v>Sumatera Utara</v>
      </c>
      <c r="D49" s="68" t="str">
        <f>INDEX(Data_Assessment[],MATCH('Rekomendasi HAV'!$A49,Data_Assessment[[INDEX]:[INDEX]],0),MATCH('Rekomendasi HAV'!D$1,Data_Assessment[#Headers],0))</f>
        <v>LSIP - RO Medan</v>
      </c>
      <c r="E49" s="68">
        <f>INDEX(Data_Assessment[],MATCH('Rekomendasi HAV'!$B49,Data_Assessment[[NAME]:[NAME]],0),MATCH('Rekomendasi HAV'!E$1,Data_Assessment[#Headers],0))</f>
        <v>0</v>
      </c>
      <c r="F49" s="68"/>
      <c r="G49" s="68">
        <f>IF(ISNUMBER(SEARCH("DEV",Assessment[[#This Row],[JOB TARGET]])),SUBSTITUTE(Assessment[[#This Row],[JOB TARGET]],"DEV","EST"),Assessment[[#This Row],[JOB TARGET]])</f>
        <v>0</v>
      </c>
      <c r="H49" s="146" t="str" cm="1">
        <f t="array" aca="1" ref="H49" ca="1">IF(Assessment[[#This Row],[JOB TARGET]]="","Job Target Kosong",IF(COUNT(IF('Data Assessment'!$N49:$Z49-OFFSET(Standar!$B$2,MATCH(Assessment[[#This Row],[JOB TARGET
(EST)]],Standar[NAMA JABATAN],0)-1,1,1,13)&lt;0,1,""))&lt;=3,'9 Grid'!$B$4,IF(COUNT(IF('Data Assessment'!$N49:$Z49-OFFSET(Standar!$B$2,MATCH(Assessment[[#This Row],[JOB TARGET]],Standar[NAMA JABATAN],0)-1,1,1,13)&lt;0,1,""))&gt;=7,'9 Grid'!$B$6,'9 Grid'!$B$5)))</f>
        <v>Job Target Kosong</v>
      </c>
      <c r="I49" s="146" t="str">
        <f>IFERROR(IF(Data_Assessment[[#This Row],[IPP (3 YEARS AVERAGE)]]="","(IPP Belum Ada)",IF(Data_Assessment[[#This Row],[IPP (3 YEARS AVERAGE)]]&lt;2,'9 Grid'!$F$2,IF(Data_Assessment[[#This Row],[IPP (3 YEARS AVERAGE)]]&gt;=4,'9 Grid'!$D$2,'9 Grid'!$E$2))),"")</f>
        <v>Contributor</v>
      </c>
      <c r="J49" s="146" t="str">
        <f ca="1">IFERROR(INDEX('9 Grid'!$D$4:$F$6,MATCH('Rekomendasi HAV'!H49,'9 Grid'!$B$4:$B$6,0),MATCH('Rekomendasi HAV'!I49,'9 Grid'!$D$2:$F$2,0)),"")</f>
        <v/>
      </c>
      <c r="K49" s="146" t="str">
        <f>IFERROR(INDEX('9 Grid'!$D$8:$F$8,1,MATCH('Rekomendasi HAV'!I49,'9 Grid'!$D$2:$F$2,0)),"")</f>
        <v>(LT) More 2 - 3 year</v>
      </c>
      <c r="L49" s="146">
        <f>IF(ISNUMBER(SEARCH("EST",Assessment[[#This Row],[JOB TARGET]])),SUBSTITUTE(Assessment[[#This Row],[JOB TARGET]],"EST","DEV"),Assessment[[#This Row],[JOB TARGET]])</f>
        <v>0</v>
      </c>
      <c r="M49" s="146" t="str" cm="1">
        <f t="array" aca="1" ref="M49" ca="1">IF(Assessment[[#This Row],[JOB TARGET]]="","Job Target Kosong",IF(COUNT(IF('Data Assessment'!$N49:$Z49-OFFSET(Standar!$B$2,MATCH(Assessment[[#This Row],[JOB TARGET
(DEV)]],Standar[NAMA JABATAN],0)-1,1,1,13)&lt;0,1,""))&lt;=3,'9 Grid'!$B$4,IF(COUNT(IF('Data Assessment'!$N49:$Z49-OFFSET(Standar!$B$2,MATCH(Assessment[[#This Row],[JOB TARGET
(DEV)]],Standar[NAMA JABATAN],0)-1,1,1,13)&lt;0,1,""))&gt;=7,'9 Grid'!$B$6,'9 Grid'!$B$5)))</f>
        <v>Job Target Kosong</v>
      </c>
      <c r="N49" s="146" t="str">
        <f>IFERROR(IF(Data_Assessment[[#This Row],[IPP (3 YEARS AVERAGE)]]="","(IPP Belum Ada)",IF(Data_Assessment[[#This Row],[IPP (3 YEARS AVERAGE)]]&lt;2,'9 Grid'!$F$2,IF(Data_Assessment[[#This Row],[IPP (3 YEARS AVERAGE)]]&gt;=4,'9 Grid'!$D$2,'9 Grid'!$E$2))),"")</f>
        <v>Contributor</v>
      </c>
      <c r="O49" s="146" t="str">
        <f ca="1">IFERROR(INDEX('9 Grid'!$D$4:$F$6,MATCH('Rekomendasi HAV'!M49,'9 Grid'!$B$4:$B$6,0),MATCH('Rekomendasi HAV'!N49,'9 Grid'!$D$2:$F$2,0)),"")</f>
        <v/>
      </c>
      <c r="P49" s="147" t="str">
        <f>IFERROR(INDEX('9 Grid'!$D$8:$F$8,1,MATCH('Rekomendasi HAV'!N49,'9 Grid'!$D$2:$F$2,0)),"")</f>
        <v>(LT) More 2 - 3 year</v>
      </c>
    </row>
    <row r="50" spans="1:16" ht="28.5">
      <c r="A50" s="67">
        <v>49</v>
      </c>
      <c r="B50" s="68" t="str">
        <f>INDEX(Data_Assessment[],MATCH('Rekomendasi HAV'!$A50,Data_Assessment[[INDEX]:[INDEX]],0),MATCH('Rekomendasi HAV'!B$1,Data_Assessment[#Headers],0))</f>
        <v>David Jimmi Panggabean</v>
      </c>
      <c r="C50" s="68" t="str">
        <f>INDEX(Data_Assessment[],MATCH('Rekomendasi HAV'!$A50,Data_Assessment[[INDEX]:[INDEX]],0),MATCH('Rekomendasi HAV'!C$1,Data_Assessment[#Headers],0))</f>
        <v>Sumatera Utara</v>
      </c>
      <c r="D50" s="68" t="str">
        <f>INDEX(Data_Assessment[],MATCH('Rekomendasi HAV'!$A50,Data_Assessment[[INDEX]:[INDEX]],0),MATCH('Rekomendasi HAV'!D$1,Data_Assessment[#Headers],0))</f>
        <v>LSIP - RO Medan</v>
      </c>
      <c r="E50" s="68">
        <f>INDEX(Data_Assessment[],MATCH('Rekomendasi HAV'!$B50,Data_Assessment[[NAME]:[NAME]],0),MATCH('Rekomendasi HAV'!E$1,Data_Assessment[#Headers],0))</f>
        <v>0</v>
      </c>
      <c r="F50" s="68"/>
      <c r="G50" s="68">
        <f>IF(ISNUMBER(SEARCH("DEV",Assessment[[#This Row],[JOB TARGET]])),SUBSTITUTE(Assessment[[#This Row],[JOB TARGET]],"DEV","EST"),Assessment[[#This Row],[JOB TARGET]])</f>
        <v>0</v>
      </c>
      <c r="H50" s="146" t="str" cm="1">
        <f t="array" aca="1" ref="H50" ca="1">IF(Assessment[[#This Row],[JOB TARGET]]="","Job Target Kosong",IF(COUNT(IF('Data Assessment'!$N50:$Z50-OFFSET(Standar!$B$2,MATCH(Assessment[[#This Row],[JOB TARGET
(EST)]],Standar[NAMA JABATAN],0)-1,1,1,13)&lt;0,1,""))&lt;=3,'9 Grid'!$B$4,IF(COUNT(IF('Data Assessment'!$N50:$Z50-OFFSET(Standar!$B$2,MATCH(Assessment[[#This Row],[JOB TARGET]],Standar[NAMA JABATAN],0)-1,1,1,13)&lt;0,1,""))&gt;=7,'9 Grid'!$B$6,'9 Grid'!$B$5)))</f>
        <v>Job Target Kosong</v>
      </c>
      <c r="I50" s="146" t="str">
        <f>IFERROR(IF(Data_Assessment[[#This Row],[IPP (3 YEARS AVERAGE)]]="","(IPP Belum Ada)",IF(Data_Assessment[[#This Row],[IPP (3 YEARS AVERAGE)]]&lt;2,'9 Grid'!$F$2,IF(Data_Assessment[[#This Row],[IPP (3 YEARS AVERAGE)]]&gt;=4,'9 Grid'!$D$2,'9 Grid'!$E$2))),"")</f>
        <v>Contributor</v>
      </c>
      <c r="J50" s="146" t="str">
        <f ca="1">IFERROR(INDEX('9 Grid'!$D$4:$F$6,MATCH('Rekomendasi HAV'!H50,'9 Grid'!$B$4:$B$6,0),MATCH('Rekomendasi HAV'!I50,'9 Grid'!$D$2:$F$2,0)),"")</f>
        <v/>
      </c>
      <c r="K50" s="146" t="str">
        <f>IFERROR(INDEX('9 Grid'!$D$8:$F$8,1,MATCH('Rekomendasi HAV'!I50,'9 Grid'!$D$2:$F$2,0)),"")</f>
        <v>(LT) More 2 - 3 year</v>
      </c>
      <c r="L50" s="146">
        <f>IF(ISNUMBER(SEARCH("EST",Assessment[[#This Row],[JOB TARGET]])),SUBSTITUTE(Assessment[[#This Row],[JOB TARGET]],"EST","DEV"),Assessment[[#This Row],[JOB TARGET]])</f>
        <v>0</v>
      </c>
      <c r="M50" s="146" t="str" cm="1">
        <f t="array" aca="1" ref="M50" ca="1">IF(Assessment[[#This Row],[JOB TARGET]]="","Job Target Kosong",IF(COUNT(IF('Data Assessment'!$N50:$Z50-OFFSET(Standar!$B$2,MATCH(Assessment[[#This Row],[JOB TARGET
(DEV)]],Standar[NAMA JABATAN],0)-1,1,1,13)&lt;0,1,""))&lt;=3,'9 Grid'!$B$4,IF(COUNT(IF('Data Assessment'!$N50:$Z50-OFFSET(Standar!$B$2,MATCH(Assessment[[#This Row],[JOB TARGET
(DEV)]],Standar[NAMA JABATAN],0)-1,1,1,13)&lt;0,1,""))&gt;=7,'9 Grid'!$B$6,'9 Grid'!$B$5)))</f>
        <v>Job Target Kosong</v>
      </c>
      <c r="N50" s="146" t="str">
        <f>IFERROR(IF(Data_Assessment[[#This Row],[IPP (3 YEARS AVERAGE)]]="","(IPP Belum Ada)",IF(Data_Assessment[[#This Row],[IPP (3 YEARS AVERAGE)]]&lt;2,'9 Grid'!$F$2,IF(Data_Assessment[[#This Row],[IPP (3 YEARS AVERAGE)]]&gt;=4,'9 Grid'!$D$2,'9 Grid'!$E$2))),"")</f>
        <v>Contributor</v>
      </c>
      <c r="O50" s="146" t="str">
        <f ca="1">IFERROR(INDEX('9 Grid'!$D$4:$F$6,MATCH('Rekomendasi HAV'!M50,'9 Grid'!$B$4:$B$6,0),MATCH('Rekomendasi HAV'!N50,'9 Grid'!$D$2:$F$2,0)),"")</f>
        <v/>
      </c>
      <c r="P50" s="147" t="str">
        <f>IFERROR(INDEX('9 Grid'!$D$8:$F$8,1,MATCH('Rekomendasi HAV'!N50,'9 Grid'!$D$2:$F$2,0)),"")</f>
        <v>(LT) More 2 - 3 year</v>
      </c>
    </row>
    <row r="51" spans="1:16" ht="28.5">
      <c r="A51" s="67">
        <v>50</v>
      </c>
      <c r="B51" s="68" t="str">
        <f>INDEX(Data_Assessment[],MATCH('Rekomendasi HAV'!$A51,Data_Assessment[[INDEX]:[INDEX]],0),MATCH('Rekomendasi HAV'!B$1,Data_Assessment[#Headers],0))</f>
        <v>Muhamad Irfan Hamid</v>
      </c>
      <c r="C51" s="68" t="str">
        <f>INDEX(Data_Assessment[],MATCH('Rekomendasi HAV'!$A51,Data_Assessment[[INDEX]:[INDEX]],0),MATCH('Rekomendasi HAV'!C$1,Data_Assessment[#Headers],0))</f>
        <v>Sumatera Utara</v>
      </c>
      <c r="D51" s="68" t="str">
        <f>INDEX(Data_Assessment[],MATCH('Rekomendasi HAV'!$A51,Data_Assessment[[INDEX]:[INDEX]],0),MATCH('Rekomendasi HAV'!D$1,Data_Assessment[#Headers],0))</f>
        <v>LSIP - RO Medan</v>
      </c>
      <c r="E51" s="68">
        <f>INDEX(Data_Assessment[],MATCH('Rekomendasi HAV'!$B51,Data_Assessment[[NAME]:[NAME]],0),MATCH('Rekomendasi HAV'!E$1,Data_Assessment[#Headers],0))</f>
        <v>0</v>
      </c>
      <c r="F51" s="68"/>
      <c r="G51" s="68">
        <f>IF(ISNUMBER(SEARCH("DEV",Assessment[[#This Row],[JOB TARGET]])),SUBSTITUTE(Assessment[[#This Row],[JOB TARGET]],"DEV","EST"),Assessment[[#This Row],[JOB TARGET]])</f>
        <v>0</v>
      </c>
      <c r="H51" s="146" t="str" cm="1">
        <f t="array" aca="1" ref="H51" ca="1">IF(Assessment[[#This Row],[JOB TARGET]]="","Job Target Kosong",IF(COUNT(IF('Data Assessment'!$N51:$Z51-OFFSET(Standar!$B$2,MATCH(Assessment[[#This Row],[JOB TARGET
(EST)]],Standar[NAMA JABATAN],0)-1,1,1,13)&lt;0,1,""))&lt;=3,'9 Grid'!$B$4,IF(COUNT(IF('Data Assessment'!$N51:$Z51-OFFSET(Standar!$B$2,MATCH(Assessment[[#This Row],[JOB TARGET]],Standar[NAMA JABATAN],0)-1,1,1,13)&lt;0,1,""))&gt;=7,'9 Grid'!$B$6,'9 Grid'!$B$5)))</f>
        <v>Job Target Kosong</v>
      </c>
      <c r="I51" s="146" t="str">
        <f>IFERROR(IF(Data_Assessment[[#This Row],[IPP (3 YEARS AVERAGE)]]="","(IPP Belum Ada)",IF(Data_Assessment[[#This Row],[IPP (3 YEARS AVERAGE)]]&lt;2,'9 Grid'!$F$2,IF(Data_Assessment[[#This Row],[IPP (3 YEARS AVERAGE)]]&gt;=4,'9 Grid'!$D$2,'9 Grid'!$E$2))),"")</f>
        <v>Contributor</v>
      </c>
      <c r="J51" s="146" t="str">
        <f ca="1">IFERROR(INDEX('9 Grid'!$D$4:$F$6,MATCH('Rekomendasi HAV'!H51,'9 Grid'!$B$4:$B$6,0),MATCH('Rekomendasi HAV'!I51,'9 Grid'!$D$2:$F$2,0)),"")</f>
        <v/>
      </c>
      <c r="K51" s="146" t="str">
        <f>IFERROR(INDEX('9 Grid'!$D$8:$F$8,1,MATCH('Rekomendasi HAV'!I51,'9 Grid'!$D$2:$F$2,0)),"")</f>
        <v>(LT) More 2 - 3 year</v>
      </c>
      <c r="L51" s="146">
        <f>IF(ISNUMBER(SEARCH("EST",Assessment[[#This Row],[JOB TARGET]])),SUBSTITUTE(Assessment[[#This Row],[JOB TARGET]],"EST","DEV"),Assessment[[#This Row],[JOB TARGET]])</f>
        <v>0</v>
      </c>
      <c r="M51" s="146" t="str" cm="1">
        <f t="array" aca="1" ref="M51" ca="1">IF(Assessment[[#This Row],[JOB TARGET]]="","Job Target Kosong",IF(COUNT(IF('Data Assessment'!$N51:$Z51-OFFSET(Standar!$B$2,MATCH(Assessment[[#This Row],[JOB TARGET
(DEV)]],Standar[NAMA JABATAN],0)-1,1,1,13)&lt;0,1,""))&lt;=3,'9 Grid'!$B$4,IF(COUNT(IF('Data Assessment'!$N51:$Z51-OFFSET(Standar!$B$2,MATCH(Assessment[[#This Row],[JOB TARGET
(DEV)]],Standar[NAMA JABATAN],0)-1,1,1,13)&lt;0,1,""))&gt;=7,'9 Grid'!$B$6,'9 Grid'!$B$5)))</f>
        <v>Job Target Kosong</v>
      </c>
      <c r="N51" s="146" t="str">
        <f>IFERROR(IF(Data_Assessment[[#This Row],[IPP (3 YEARS AVERAGE)]]="","(IPP Belum Ada)",IF(Data_Assessment[[#This Row],[IPP (3 YEARS AVERAGE)]]&lt;2,'9 Grid'!$F$2,IF(Data_Assessment[[#This Row],[IPP (3 YEARS AVERAGE)]]&gt;=4,'9 Grid'!$D$2,'9 Grid'!$E$2))),"")</f>
        <v>Contributor</v>
      </c>
      <c r="O51" s="146" t="str">
        <f ca="1">IFERROR(INDEX('9 Grid'!$D$4:$F$6,MATCH('Rekomendasi HAV'!M51,'9 Grid'!$B$4:$B$6,0),MATCH('Rekomendasi HAV'!N51,'9 Grid'!$D$2:$F$2,0)),"")</f>
        <v/>
      </c>
      <c r="P51" s="147" t="str">
        <f>IFERROR(INDEX('9 Grid'!$D$8:$F$8,1,MATCH('Rekomendasi HAV'!N51,'9 Grid'!$D$2:$F$2,0)),"")</f>
        <v>(LT) More 2 - 3 year</v>
      </c>
    </row>
    <row r="52" spans="1:16" ht="28.5">
      <c r="A52" s="67">
        <v>51</v>
      </c>
      <c r="B52" s="68" t="str">
        <f>INDEX(Data_Assessment[],MATCH('Rekomendasi HAV'!$A52,Data_Assessment[[INDEX]:[INDEX]],0),MATCH('Rekomendasi HAV'!B$1,Data_Assessment[#Headers],0))</f>
        <v>Randi Satria</v>
      </c>
      <c r="C52" s="68" t="str">
        <f>INDEX(Data_Assessment[],MATCH('Rekomendasi HAV'!$A52,Data_Assessment[[INDEX]:[INDEX]],0),MATCH('Rekomendasi HAV'!C$1,Data_Assessment[#Headers],0))</f>
        <v>Sumatera Utara</v>
      </c>
      <c r="D52" s="68" t="str">
        <f>INDEX(Data_Assessment[],MATCH('Rekomendasi HAV'!$A52,Data_Assessment[[INDEX]:[INDEX]],0),MATCH('Rekomendasi HAV'!D$1,Data_Assessment[#Headers],0))</f>
        <v>LSIP - RO Medan</v>
      </c>
      <c r="E52" s="68">
        <f>INDEX(Data_Assessment[],MATCH('Rekomendasi HAV'!$B52,Data_Assessment[[NAME]:[NAME]],0),MATCH('Rekomendasi HAV'!E$1,Data_Assessment[#Headers],0))</f>
        <v>0</v>
      </c>
      <c r="F52" s="68"/>
      <c r="G52" s="68">
        <f>IF(ISNUMBER(SEARCH("DEV",Assessment[[#This Row],[JOB TARGET]])),SUBSTITUTE(Assessment[[#This Row],[JOB TARGET]],"DEV","EST"),Assessment[[#This Row],[JOB TARGET]])</f>
        <v>0</v>
      </c>
      <c r="H52" s="146" t="str" cm="1">
        <f t="array" aca="1" ref="H52" ca="1">IF(Assessment[[#This Row],[JOB TARGET]]="","Job Target Kosong",IF(COUNT(IF('Data Assessment'!$N52:$Z52-OFFSET(Standar!$B$2,MATCH(Assessment[[#This Row],[JOB TARGET
(EST)]],Standar[NAMA JABATAN],0)-1,1,1,13)&lt;0,1,""))&lt;=3,'9 Grid'!$B$4,IF(COUNT(IF('Data Assessment'!$N52:$Z52-OFFSET(Standar!$B$2,MATCH(Assessment[[#This Row],[JOB TARGET]],Standar[NAMA JABATAN],0)-1,1,1,13)&lt;0,1,""))&gt;=7,'9 Grid'!$B$6,'9 Grid'!$B$5)))</f>
        <v>Job Target Kosong</v>
      </c>
      <c r="I52" s="146" t="str">
        <f>IFERROR(IF(Data_Assessment[[#This Row],[IPP (3 YEARS AVERAGE)]]="","(IPP Belum Ada)",IF(Data_Assessment[[#This Row],[IPP (3 YEARS AVERAGE)]]&lt;2,'9 Grid'!$F$2,IF(Data_Assessment[[#This Row],[IPP (3 YEARS AVERAGE)]]&gt;=4,'9 Grid'!$D$2,'9 Grid'!$E$2))),"")</f>
        <v>Contributor</v>
      </c>
      <c r="J52" s="146" t="str">
        <f ca="1">IFERROR(INDEX('9 Grid'!$D$4:$F$6,MATCH('Rekomendasi HAV'!H52,'9 Grid'!$B$4:$B$6,0),MATCH('Rekomendasi HAV'!I52,'9 Grid'!$D$2:$F$2,0)),"")</f>
        <v/>
      </c>
      <c r="K52" s="146" t="str">
        <f>IFERROR(INDEX('9 Grid'!$D$8:$F$8,1,MATCH('Rekomendasi HAV'!I52,'9 Grid'!$D$2:$F$2,0)),"")</f>
        <v>(LT) More 2 - 3 year</v>
      </c>
      <c r="L52" s="146">
        <f>IF(ISNUMBER(SEARCH("EST",Assessment[[#This Row],[JOB TARGET]])),SUBSTITUTE(Assessment[[#This Row],[JOB TARGET]],"EST","DEV"),Assessment[[#This Row],[JOB TARGET]])</f>
        <v>0</v>
      </c>
      <c r="M52" s="146" t="str" cm="1">
        <f t="array" aca="1" ref="M52" ca="1">IF(Assessment[[#This Row],[JOB TARGET]]="","Job Target Kosong",IF(COUNT(IF('Data Assessment'!$N52:$Z52-OFFSET(Standar!$B$2,MATCH(Assessment[[#This Row],[JOB TARGET
(DEV)]],Standar[NAMA JABATAN],0)-1,1,1,13)&lt;0,1,""))&lt;=3,'9 Grid'!$B$4,IF(COUNT(IF('Data Assessment'!$N52:$Z52-OFFSET(Standar!$B$2,MATCH(Assessment[[#This Row],[JOB TARGET
(DEV)]],Standar[NAMA JABATAN],0)-1,1,1,13)&lt;0,1,""))&gt;=7,'9 Grid'!$B$6,'9 Grid'!$B$5)))</f>
        <v>Job Target Kosong</v>
      </c>
      <c r="N52" s="146" t="str">
        <f>IFERROR(IF(Data_Assessment[[#This Row],[IPP (3 YEARS AVERAGE)]]="","(IPP Belum Ada)",IF(Data_Assessment[[#This Row],[IPP (3 YEARS AVERAGE)]]&lt;2,'9 Grid'!$F$2,IF(Data_Assessment[[#This Row],[IPP (3 YEARS AVERAGE)]]&gt;=4,'9 Grid'!$D$2,'9 Grid'!$E$2))),"")</f>
        <v>Contributor</v>
      </c>
      <c r="O52" s="146" t="str">
        <f ca="1">IFERROR(INDEX('9 Grid'!$D$4:$F$6,MATCH('Rekomendasi HAV'!M52,'9 Grid'!$B$4:$B$6,0),MATCH('Rekomendasi HAV'!N52,'9 Grid'!$D$2:$F$2,0)),"")</f>
        <v/>
      </c>
      <c r="P52" s="147" t="str">
        <f>IFERROR(INDEX('9 Grid'!$D$8:$F$8,1,MATCH('Rekomendasi HAV'!N52,'9 Grid'!$D$2:$F$2,0)),"")</f>
        <v>(LT) More 2 - 3 year</v>
      </c>
    </row>
    <row r="53" spans="1:16" ht="28.5">
      <c r="A53" s="67">
        <v>52</v>
      </c>
      <c r="B53" s="68" t="str">
        <f>INDEX(Data_Assessment[],MATCH('Rekomendasi HAV'!$A53,Data_Assessment[[INDEX]:[INDEX]],0),MATCH('Rekomendasi HAV'!B$1,Data_Assessment[#Headers],0))</f>
        <v>Muhammad Idam Khalid</v>
      </c>
      <c r="C53" s="68" t="str">
        <f>INDEX(Data_Assessment[],MATCH('Rekomendasi HAV'!$A53,Data_Assessment[[INDEX]:[INDEX]],0),MATCH('Rekomendasi HAV'!C$1,Data_Assessment[#Headers],0))</f>
        <v>Sumatera Utara</v>
      </c>
      <c r="D53" s="68" t="str">
        <f>INDEX(Data_Assessment[],MATCH('Rekomendasi HAV'!$A53,Data_Assessment[[INDEX]:[INDEX]],0),MATCH('Rekomendasi HAV'!D$1,Data_Assessment[#Headers],0))</f>
        <v>LSIP - RO Medan</v>
      </c>
      <c r="E53" s="68">
        <f>INDEX(Data_Assessment[],MATCH('Rekomendasi HAV'!$B53,Data_Assessment[[NAME]:[NAME]],0),MATCH('Rekomendasi HAV'!E$1,Data_Assessment[#Headers],0))</f>
        <v>0</v>
      </c>
      <c r="F53" s="68"/>
      <c r="G53" s="68">
        <f>IF(ISNUMBER(SEARCH("DEV",Assessment[[#This Row],[JOB TARGET]])),SUBSTITUTE(Assessment[[#This Row],[JOB TARGET]],"DEV","EST"),Assessment[[#This Row],[JOB TARGET]])</f>
        <v>0</v>
      </c>
      <c r="H53" s="146" t="str" cm="1">
        <f t="array" aca="1" ref="H53" ca="1">IF(Assessment[[#This Row],[JOB TARGET]]="","Job Target Kosong",IF(COUNT(IF('Data Assessment'!$N53:$Z53-OFFSET(Standar!$B$2,MATCH(Assessment[[#This Row],[JOB TARGET
(EST)]],Standar[NAMA JABATAN],0)-1,1,1,13)&lt;0,1,""))&lt;=3,'9 Grid'!$B$4,IF(COUNT(IF('Data Assessment'!$N53:$Z53-OFFSET(Standar!$B$2,MATCH(Assessment[[#This Row],[JOB TARGET]],Standar[NAMA JABATAN],0)-1,1,1,13)&lt;0,1,""))&gt;=7,'9 Grid'!$B$6,'9 Grid'!$B$5)))</f>
        <v>Job Target Kosong</v>
      </c>
      <c r="I53" s="146" t="str">
        <f>IFERROR(IF(Data_Assessment[[#This Row],[IPP (3 YEARS AVERAGE)]]="","(IPP Belum Ada)",IF(Data_Assessment[[#This Row],[IPP (3 YEARS AVERAGE)]]&lt;2,'9 Grid'!$F$2,IF(Data_Assessment[[#This Row],[IPP (3 YEARS AVERAGE)]]&gt;=4,'9 Grid'!$D$2,'9 Grid'!$E$2))),"")</f>
        <v>Contributor</v>
      </c>
      <c r="J53" s="146" t="str">
        <f ca="1">IFERROR(INDEX('9 Grid'!$D$4:$F$6,MATCH('Rekomendasi HAV'!H53,'9 Grid'!$B$4:$B$6,0),MATCH('Rekomendasi HAV'!I53,'9 Grid'!$D$2:$F$2,0)),"")</f>
        <v/>
      </c>
      <c r="K53" s="146" t="str">
        <f>IFERROR(INDEX('9 Grid'!$D$8:$F$8,1,MATCH('Rekomendasi HAV'!I53,'9 Grid'!$D$2:$F$2,0)),"")</f>
        <v>(LT) More 2 - 3 year</v>
      </c>
      <c r="L53" s="146">
        <f>IF(ISNUMBER(SEARCH("EST",Assessment[[#This Row],[JOB TARGET]])),SUBSTITUTE(Assessment[[#This Row],[JOB TARGET]],"EST","DEV"),Assessment[[#This Row],[JOB TARGET]])</f>
        <v>0</v>
      </c>
      <c r="M53" s="146" t="str" cm="1">
        <f t="array" aca="1" ref="M53" ca="1">IF(Assessment[[#This Row],[JOB TARGET]]="","Job Target Kosong",IF(COUNT(IF('Data Assessment'!$N53:$Z53-OFFSET(Standar!$B$2,MATCH(Assessment[[#This Row],[JOB TARGET
(DEV)]],Standar[NAMA JABATAN],0)-1,1,1,13)&lt;0,1,""))&lt;=3,'9 Grid'!$B$4,IF(COUNT(IF('Data Assessment'!$N53:$Z53-OFFSET(Standar!$B$2,MATCH(Assessment[[#This Row],[JOB TARGET
(DEV)]],Standar[NAMA JABATAN],0)-1,1,1,13)&lt;0,1,""))&gt;=7,'9 Grid'!$B$6,'9 Grid'!$B$5)))</f>
        <v>Job Target Kosong</v>
      </c>
      <c r="N53" s="146" t="str">
        <f>IFERROR(IF(Data_Assessment[[#This Row],[IPP (3 YEARS AVERAGE)]]="","(IPP Belum Ada)",IF(Data_Assessment[[#This Row],[IPP (3 YEARS AVERAGE)]]&lt;2,'9 Grid'!$F$2,IF(Data_Assessment[[#This Row],[IPP (3 YEARS AVERAGE)]]&gt;=4,'9 Grid'!$D$2,'9 Grid'!$E$2))),"")</f>
        <v>Contributor</v>
      </c>
      <c r="O53" s="146" t="str">
        <f ca="1">IFERROR(INDEX('9 Grid'!$D$4:$F$6,MATCH('Rekomendasi HAV'!M53,'9 Grid'!$B$4:$B$6,0),MATCH('Rekomendasi HAV'!N53,'9 Grid'!$D$2:$F$2,0)),"")</f>
        <v/>
      </c>
      <c r="P53" s="147" t="str">
        <f>IFERROR(INDEX('9 Grid'!$D$8:$F$8,1,MATCH('Rekomendasi HAV'!N53,'9 Grid'!$D$2:$F$2,0)),"")</f>
        <v>(LT) More 2 - 3 year</v>
      </c>
    </row>
    <row r="54" spans="1:16" ht="28.5">
      <c r="A54" s="67">
        <v>53</v>
      </c>
      <c r="B54" s="68" t="str">
        <f>INDEX(Data_Assessment[],MATCH('Rekomendasi HAV'!$A54,Data_Assessment[[INDEX]:[INDEX]],0),MATCH('Rekomendasi HAV'!B$1,Data_Assessment[#Headers],0))</f>
        <v>Muktamar Haris Astar Rambe</v>
      </c>
      <c r="C54" s="68" t="str">
        <f>INDEX(Data_Assessment[],MATCH('Rekomendasi HAV'!$A54,Data_Assessment[[INDEX]:[INDEX]],0),MATCH('Rekomendasi HAV'!C$1,Data_Assessment[#Headers],0))</f>
        <v>Sumatera Utara</v>
      </c>
      <c r="D54" s="68" t="str">
        <f>INDEX(Data_Assessment[],MATCH('Rekomendasi HAV'!$A54,Data_Assessment[[INDEX]:[INDEX]],0),MATCH('Rekomendasi HAV'!D$1,Data_Assessment[#Headers],0))</f>
        <v>LSIP - RO Medan</v>
      </c>
      <c r="E54" s="68">
        <f>INDEX(Data_Assessment[],MATCH('Rekomendasi HAV'!$B54,Data_Assessment[[NAME]:[NAME]],0),MATCH('Rekomendasi HAV'!E$1,Data_Assessment[#Headers],0))</f>
        <v>0</v>
      </c>
      <c r="F54" s="68"/>
      <c r="G54" s="68">
        <f>IF(ISNUMBER(SEARCH("DEV",Assessment[[#This Row],[JOB TARGET]])),SUBSTITUTE(Assessment[[#This Row],[JOB TARGET]],"DEV","EST"),Assessment[[#This Row],[JOB TARGET]])</f>
        <v>0</v>
      </c>
      <c r="H54" s="146" t="str" cm="1">
        <f t="array" aca="1" ref="H54" ca="1">IF(Assessment[[#This Row],[JOB TARGET]]="","Job Target Kosong",IF(COUNT(IF('Data Assessment'!$N54:$Z54-OFFSET(Standar!$B$2,MATCH(Assessment[[#This Row],[JOB TARGET
(EST)]],Standar[NAMA JABATAN],0)-1,1,1,13)&lt;0,1,""))&lt;=3,'9 Grid'!$B$4,IF(COUNT(IF('Data Assessment'!$N54:$Z54-OFFSET(Standar!$B$2,MATCH(Assessment[[#This Row],[JOB TARGET]],Standar[NAMA JABATAN],0)-1,1,1,13)&lt;0,1,""))&gt;=7,'9 Grid'!$B$6,'9 Grid'!$B$5)))</f>
        <v>Job Target Kosong</v>
      </c>
      <c r="I54" s="146" t="str">
        <f>IFERROR(IF(Data_Assessment[[#This Row],[IPP (3 YEARS AVERAGE)]]="","(IPP Belum Ada)",IF(Data_Assessment[[#This Row],[IPP (3 YEARS AVERAGE)]]&lt;2,'9 Grid'!$F$2,IF(Data_Assessment[[#This Row],[IPP (3 YEARS AVERAGE)]]&gt;=4,'9 Grid'!$D$2,'9 Grid'!$E$2))),"")</f>
        <v>Contributor</v>
      </c>
      <c r="J54" s="146" t="str">
        <f ca="1">IFERROR(INDEX('9 Grid'!$D$4:$F$6,MATCH('Rekomendasi HAV'!H54,'9 Grid'!$B$4:$B$6,0),MATCH('Rekomendasi HAV'!I54,'9 Grid'!$D$2:$F$2,0)),"")</f>
        <v/>
      </c>
      <c r="K54" s="146" t="str">
        <f>IFERROR(INDEX('9 Grid'!$D$8:$F$8,1,MATCH('Rekomendasi HAV'!I54,'9 Grid'!$D$2:$F$2,0)),"")</f>
        <v>(LT) More 2 - 3 year</v>
      </c>
      <c r="L54" s="146">
        <f>IF(ISNUMBER(SEARCH("EST",Assessment[[#This Row],[JOB TARGET]])),SUBSTITUTE(Assessment[[#This Row],[JOB TARGET]],"EST","DEV"),Assessment[[#This Row],[JOB TARGET]])</f>
        <v>0</v>
      </c>
      <c r="M54" s="146" t="str" cm="1">
        <f t="array" aca="1" ref="M54" ca="1">IF(Assessment[[#This Row],[JOB TARGET]]="","Job Target Kosong",IF(COUNT(IF('Data Assessment'!$N54:$Z54-OFFSET(Standar!$B$2,MATCH(Assessment[[#This Row],[JOB TARGET
(DEV)]],Standar[NAMA JABATAN],0)-1,1,1,13)&lt;0,1,""))&lt;=3,'9 Grid'!$B$4,IF(COUNT(IF('Data Assessment'!$N54:$Z54-OFFSET(Standar!$B$2,MATCH(Assessment[[#This Row],[JOB TARGET
(DEV)]],Standar[NAMA JABATAN],0)-1,1,1,13)&lt;0,1,""))&gt;=7,'9 Grid'!$B$6,'9 Grid'!$B$5)))</f>
        <v>Job Target Kosong</v>
      </c>
      <c r="N54" s="146" t="str">
        <f>IFERROR(IF(Data_Assessment[[#This Row],[IPP (3 YEARS AVERAGE)]]="","(IPP Belum Ada)",IF(Data_Assessment[[#This Row],[IPP (3 YEARS AVERAGE)]]&lt;2,'9 Grid'!$F$2,IF(Data_Assessment[[#This Row],[IPP (3 YEARS AVERAGE)]]&gt;=4,'9 Grid'!$D$2,'9 Grid'!$E$2))),"")</f>
        <v>Contributor</v>
      </c>
      <c r="O54" s="146" t="str">
        <f ca="1">IFERROR(INDEX('9 Grid'!$D$4:$F$6,MATCH('Rekomendasi HAV'!M54,'9 Grid'!$B$4:$B$6,0),MATCH('Rekomendasi HAV'!N54,'9 Grid'!$D$2:$F$2,0)),"")</f>
        <v/>
      </c>
      <c r="P54" s="147" t="str">
        <f>IFERROR(INDEX('9 Grid'!$D$8:$F$8,1,MATCH('Rekomendasi HAV'!N54,'9 Grid'!$D$2:$F$2,0)),"")</f>
        <v>(LT) More 2 - 3 year</v>
      </c>
    </row>
    <row r="55" spans="1:16" ht="28.5">
      <c r="A55" s="67">
        <v>54</v>
      </c>
      <c r="B55" s="68" t="str">
        <f>INDEX(Data_Assessment[],MATCH('Rekomendasi HAV'!$A55,Data_Assessment[[INDEX]:[INDEX]],0),MATCH('Rekomendasi HAV'!B$1,Data_Assessment[#Headers],0))</f>
        <v>Indra Sayto Halawa</v>
      </c>
      <c r="C55" s="68" t="str">
        <f>INDEX(Data_Assessment[],MATCH('Rekomendasi HAV'!$A55,Data_Assessment[[INDEX]:[INDEX]],0),MATCH('Rekomendasi HAV'!C$1,Data_Assessment[#Headers],0))</f>
        <v>Sumatera Utara</v>
      </c>
      <c r="D55" s="68" t="str">
        <f>INDEX(Data_Assessment[],MATCH('Rekomendasi HAV'!$A55,Data_Assessment[[INDEX]:[INDEX]],0),MATCH('Rekomendasi HAV'!D$1,Data_Assessment[#Headers],0))</f>
        <v>LSIP - RO Medan</v>
      </c>
      <c r="E55" s="68">
        <f>INDEX(Data_Assessment[],MATCH('Rekomendasi HAV'!$B55,Data_Assessment[[NAME]:[NAME]],0),MATCH('Rekomendasi HAV'!E$1,Data_Assessment[#Headers],0))</f>
        <v>0</v>
      </c>
      <c r="F55" s="68"/>
      <c r="G55" s="68">
        <f>IF(ISNUMBER(SEARCH("DEV",Assessment[[#This Row],[JOB TARGET]])),SUBSTITUTE(Assessment[[#This Row],[JOB TARGET]],"DEV","EST"),Assessment[[#This Row],[JOB TARGET]])</f>
        <v>0</v>
      </c>
      <c r="H55" s="146" t="str" cm="1">
        <f t="array" aca="1" ref="H55" ca="1">IF(Assessment[[#This Row],[JOB TARGET]]="","Job Target Kosong",IF(COUNT(IF('Data Assessment'!$N55:$Z55-OFFSET(Standar!$B$2,MATCH(Assessment[[#This Row],[JOB TARGET
(EST)]],Standar[NAMA JABATAN],0)-1,1,1,13)&lt;0,1,""))&lt;=3,'9 Grid'!$B$4,IF(COUNT(IF('Data Assessment'!$N55:$Z55-OFFSET(Standar!$B$2,MATCH(Assessment[[#This Row],[JOB TARGET]],Standar[NAMA JABATAN],0)-1,1,1,13)&lt;0,1,""))&gt;=7,'9 Grid'!$B$6,'9 Grid'!$B$5)))</f>
        <v>Job Target Kosong</v>
      </c>
      <c r="I55" s="146" t="str">
        <f>IFERROR(IF(Data_Assessment[[#This Row],[IPP (3 YEARS AVERAGE)]]="","(IPP Belum Ada)",IF(Data_Assessment[[#This Row],[IPP (3 YEARS AVERAGE)]]&lt;2,'9 Grid'!$F$2,IF(Data_Assessment[[#This Row],[IPP (3 YEARS AVERAGE)]]&gt;=4,'9 Grid'!$D$2,'9 Grid'!$E$2))),"")</f>
        <v>Contributor</v>
      </c>
      <c r="J55" s="146" t="str">
        <f ca="1">IFERROR(INDEX('9 Grid'!$D$4:$F$6,MATCH('Rekomendasi HAV'!H55,'9 Grid'!$B$4:$B$6,0),MATCH('Rekomendasi HAV'!I55,'9 Grid'!$D$2:$F$2,0)),"")</f>
        <v/>
      </c>
      <c r="K55" s="146" t="str">
        <f>IFERROR(INDEX('9 Grid'!$D$8:$F$8,1,MATCH('Rekomendasi HAV'!I55,'9 Grid'!$D$2:$F$2,0)),"")</f>
        <v>(LT) More 2 - 3 year</v>
      </c>
      <c r="L55" s="146">
        <f>IF(ISNUMBER(SEARCH("EST",Assessment[[#This Row],[JOB TARGET]])),SUBSTITUTE(Assessment[[#This Row],[JOB TARGET]],"EST","DEV"),Assessment[[#This Row],[JOB TARGET]])</f>
        <v>0</v>
      </c>
      <c r="M55" s="146" t="str" cm="1">
        <f t="array" aca="1" ref="M55" ca="1">IF(Assessment[[#This Row],[JOB TARGET]]="","Job Target Kosong",IF(COUNT(IF('Data Assessment'!$N55:$Z55-OFFSET(Standar!$B$2,MATCH(Assessment[[#This Row],[JOB TARGET
(DEV)]],Standar[NAMA JABATAN],0)-1,1,1,13)&lt;0,1,""))&lt;=3,'9 Grid'!$B$4,IF(COUNT(IF('Data Assessment'!$N55:$Z55-OFFSET(Standar!$B$2,MATCH(Assessment[[#This Row],[JOB TARGET
(DEV)]],Standar[NAMA JABATAN],0)-1,1,1,13)&lt;0,1,""))&gt;=7,'9 Grid'!$B$6,'9 Grid'!$B$5)))</f>
        <v>Job Target Kosong</v>
      </c>
      <c r="N55" s="146" t="str">
        <f>IFERROR(IF(Data_Assessment[[#This Row],[IPP (3 YEARS AVERAGE)]]="","(IPP Belum Ada)",IF(Data_Assessment[[#This Row],[IPP (3 YEARS AVERAGE)]]&lt;2,'9 Grid'!$F$2,IF(Data_Assessment[[#This Row],[IPP (3 YEARS AVERAGE)]]&gt;=4,'9 Grid'!$D$2,'9 Grid'!$E$2))),"")</f>
        <v>Contributor</v>
      </c>
      <c r="O55" s="146" t="str">
        <f ca="1">IFERROR(INDEX('9 Grid'!$D$4:$F$6,MATCH('Rekomendasi HAV'!M55,'9 Grid'!$B$4:$B$6,0),MATCH('Rekomendasi HAV'!N55,'9 Grid'!$D$2:$F$2,0)),"")</f>
        <v/>
      </c>
      <c r="P55" s="147" t="str">
        <f>IFERROR(INDEX('9 Grid'!$D$8:$F$8,1,MATCH('Rekomendasi HAV'!N55,'9 Grid'!$D$2:$F$2,0)),"")</f>
        <v>(LT) More 2 - 3 year</v>
      </c>
    </row>
    <row r="56" spans="1:16" ht="28.5">
      <c r="A56" s="67">
        <v>55</v>
      </c>
      <c r="B56" s="68" t="str">
        <f>INDEX(Data_Assessment[],MATCH('Rekomendasi HAV'!$A56,Data_Assessment[[INDEX]:[INDEX]],0),MATCH('Rekomendasi HAV'!B$1,Data_Assessment[#Headers],0))</f>
        <v>Abdul Hamid</v>
      </c>
      <c r="C56" s="68" t="str">
        <f>INDEX(Data_Assessment[],MATCH('Rekomendasi HAV'!$A56,Data_Assessment[[INDEX]:[INDEX]],0),MATCH('Rekomendasi HAV'!C$1,Data_Assessment[#Headers],0))</f>
        <v>Sumatera Utara</v>
      </c>
      <c r="D56" s="68" t="str">
        <f>INDEX(Data_Assessment[],MATCH('Rekomendasi HAV'!$A56,Data_Assessment[[INDEX]:[INDEX]],0),MATCH('Rekomendasi HAV'!D$1,Data_Assessment[#Headers],0))</f>
        <v>LSIP - RO Medan</v>
      </c>
      <c r="E56" s="68">
        <f>INDEX(Data_Assessment[],MATCH('Rekomendasi HAV'!$B56,Data_Assessment[[NAME]:[NAME]],0),MATCH('Rekomendasi HAV'!E$1,Data_Assessment[#Headers],0))</f>
        <v>0</v>
      </c>
      <c r="F56" s="68"/>
      <c r="G56" s="68">
        <f>IF(ISNUMBER(SEARCH("DEV",Assessment[[#This Row],[JOB TARGET]])),SUBSTITUTE(Assessment[[#This Row],[JOB TARGET]],"DEV","EST"),Assessment[[#This Row],[JOB TARGET]])</f>
        <v>0</v>
      </c>
      <c r="H56" s="146" t="str" cm="1">
        <f t="array" aca="1" ref="H56" ca="1">IF(Assessment[[#This Row],[JOB TARGET]]="","Job Target Kosong",IF(COUNT(IF('Data Assessment'!$N56:$Z56-OFFSET(Standar!$B$2,MATCH(Assessment[[#This Row],[JOB TARGET
(EST)]],Standar[NAMA JABATAN],0)-1,1,1,13)&lt;0,1,""))&lt;=3,'9 Grid'!$B$4,IF(COUNT(IF('Data Assessment'!$N56:$Z56-OFFSET(Standar!$B$2,MATCH(Assessment[[#This Row],[JOB TARGET]],Standar[NAMA JABATAN],0)-1,1,1,13)&lt;0,1,""))&gt;=7,'9 Grid'!$B$6,'9 Grid'!$B$5)))</f>
        <v>Job Target Kosong</v>
      </c>
      <c r="I56" s="146" t="str">
        <f>IFERROR(IF(Data_Assessment[[#This Row],[IPP (3 YEARS AVERAGE)]]="","(IPP Belum Ada)",IF(Data_Assessment[[#This Row],[IPP (3 YEARS AVERAGE)]]&lt;2,'9 Grid'!$F$2,IF(Data_Assessment[[#This Row],[IPP (3 YEARS AVERAGE)]]&gt;=4,'9 Grid'!$D$2,'9 Grid'!$E$2))),"")</f>
        <v>Contributor</v>
      </c>
      <c r="J56" s="146" t="str">
        <f ca="1">IFERROR(INDEX('9 Grid'!$D$4:$F$6,MATCH('Rekomendasi HAV'!H56,'9 Grid'!$B$4:$B$6,0),MATCH('Rekomendasi HAV'!I56,'9 Grid'!$D$2:$F$2,0)),"")</f>
        <v/>
      </c>
      <c r="K56" s="146" t="str">
        <f>IFERROR(INDEX('9 Grid'!$D$8:$F$8,1,MATCH('Rekomendasi HAV'!I56,'9 Grid'!$D$2:$F$2,0)),"")</f>
        <v>(LT) More 2 - 3 year</v>
      </c>
      <c r="L56" s="146">
        <f>IF(ISNUMBER(SEARCH("EST",Assessment[[#This Row],[JOB TARGET]])),SUBSTITUTE(Assessment[[#This Row],[JOB TARGET]],"EST","DEV"),Assessment[[#This Row],[JOB TARGET]])</f>
        <v>0</v>
      </c>
      <c r="M56" s="146" t="str" cm="1">
        <f t="array" aca="1" ref="M56" ca="1">IF(Assessment[[#This Row],[JOB TARGET]]="","Job Target Kosong",IF(COUNT(IF('Data Assessment'!$N56:$Z56-OFFSET(Standar!$B$2,MATCH(Assessment[[#This Row],[JOB TARGET
(DEV)]],Standar[NAMA JABATAN],0)-1,1,1,13)&lt;0,1,""))&lt;=3,'9 Grid'!$B$4,IF(COUNT(IF('Data Assessment'!$N56:$Z56-OFFSET(Standar!$B$2,MATCH(Assessment[[#This Row],[JOB TARGET
(DEV)]],Standar[NAMA JABATAN],0)-1,1,1,13)&lt;0,1,""))&gt;=7,'9 Grid'!$B$6,'9 Grid'!$B$5)))</f>
        <v>Job Target Kosong</v>
      </c>
      <c r="N56" s="146" t="str">
        <f>IFERROR(IF(Data_Assessment[[#This Row],[IPP (3 YEARS AVERAGE)]]="","(IPP Belum Ada)",IF(Data_Assessment[[#This Row],[IPP (3 YEARS AVERAGE)]]&lt;2,'9 Grid'!$F$2,IF(Data_Assessment[[#This Row],[IPP (3 YEARS AVERAGE)]]&gt;=4,'9 Grid'!$D$2,'9 Grid'!$E$2))),"")</f>
        <v>Contributor</v>
      </c>
      <c r="O56" s="146" t="str">
        <f ca="1">IFERROR(INDEX('9 Grid'!$D$4:$F$6,MATCH('Rekomendasi HAV'!M56,'9 Grid'!$B$4:$B$6,0),MATCH('Rekomendasi HAV'!N56,'9 Grid'!$D$2:$F$2,0)),"")</f>
        <v/>
      </c>
      <c r="P56" s="147" t="str">
        <f>IFERROR(INDEX('9 Grid'!$D$8:$F$8,1,MATCH('Rekomendasi HAV'!N56,'9 Grid'!$D$2:$F$2,0)),"")</f>
        <v>(LT) More 2 - 3 year</v>
      </c>
    </row>
    <row r="57" spans="1:16" ht="28.5">
      <c r="A57" s="67">
        <v>56</v>
      </c>
      <c r="B57" s="68" t="str">
        <f>INDEX(Data_Assessment[],MATCH('Rekomendasi HAV'!$A57,Data_Assessment[[INDEX]:[INDEX]],0),MATCH('Rekomendasi HAV'!B$1,Data_Assessment[#Headers],0))</f>
        <v>Jhosua Saragih</v>
      </c>
      <c r="C57" s="68" t="str">
        <f>INDEX(Data_Assessment[],MATCH('Rekomendasi HAV'!$A57,Data_Assessment[[INDEX]:[INDEX]],0),MATCH('Rekomendasi HAV'!C$1,Data_Assessment[#Headers],0))</f>
        <v>Sumatera Utara</v>
      </c>
      <c r="D57" s="68" t="str">
        <f>INDEX(Data_Assessment[],MATCH('Rekomendasi HAV'!$A57,Data_Assessment[[INDEX]:[INDEX]],0),MATCH('Rekomendasi HAV'!D$1,Data_Assessment[#Headers],0))</f>
        <v>LSIP - RO Medan</v>
      </c>
      <c r="E57" s="68">
        <f>INDEX(Data_Assessment[],MATCH('Rekomendasi HAV'!$B57,Data_Assessment[[NAME]:[NAME]],0),MATCH('Rekomendasi HAV'!E$1,Data_Assessment[#Headers],0))</f>
        <v>0</v>
      </c>
      <c r="F57" s="68"/>
      <c r="G57" s="68">
        <f>IF(ISNUMBER(SEARCH("DEV",Assessment[[#This Row],[JOB TARGET]])),SUBSTITUTE(Assessment[[#This Row],[JOB TARGET]],"DEV","EST"),Assessment[[#This Row],[JOB TARGET]])</f>
        <v>0</v>
      </c>
      <c r="H57" s="146" t="str" cm="1">
        <f t="array" aca="1" ref="H57" ca="1">IF(Assessment[[#This Row],[JOB TARGET]]="","Job Target Kosong",IF(COUNT(IF('Data Assessment'!$N57:$Z57-OFFSET(Standar!$B$2,MATCH(Assessment[[#This Row],[JOB TARGET
(EST)]],Standar[NAMA JABATAN],0)-1,1,1,13)&lt;0,1,""))&lt;=3,'9 Grid'!$B$4,IF(COUNT(IF('Data Assessment'!$N57:$Z57-OFFSET(Standar!$B$2,MATCH(Assessment[[#This Row],[JOB TARGET]],Standar[NAMA JABATAN],0)-1,1,1,13)&lt;0,1,""))&gt;=7,'9 Grid'!$B$6,'9 Grid'!$B$5)))</f>
        <v>Job Target Kosong</v>
      </c>
      <c r="I57" s="146" t="str">
        <f>IFERROR(IF(Data_Assessment[[#This Row],[IPP (3 YEARS AVERAGE)]]="","(IPP Belum Ada)",IF(Data_Assessment[[#This Row],[IPP (3 YEARS AVERAGE)]]&lt;2,'9 Grid'!$F$2,IF(Data_Assessment[[#This Row],[IPP (3 YEARS AVERAGE)]]&gt;=4,'9 Grid'!$D$2,'9 Grid'!$E$2))),"")</f>
        <v>Contributor</v>
      </c>
      <c r="J57" s="146" t="str">
        <f ca="1">IFERROR(INDEX('9 Grid'!$D$4:$F$6,MATCH('Rekomendasi HAV'!H57,'9 Grid'!$B$4:$B$6,0),MATCH('Rekomendasi HAV'!I57,'9 Grid'!$D$2:$F$2,0)),"")</f>
        <v/>
      </c>
      <c r="K57" s="146" t="str">
        <f>IFERROR(INDEX('9 Grid'!$D$8:$F$8,1,MATCH('Rekomendasi HAV'!I57,'9 Grid'!$D$2:$F$2,0)),"")</f>
        <v>(LT) More 2 - 3 year</v>
      </c>
      <c r="L57" s="146">
        <f>IF(ISNUMBER(SEARCH("EST",Assessment[[#This Row],[JOB TARGET]])),SUBSTITUTE(Assessment[[#This Row],[JOB TARGET]],"EST","DEV"),Assessment[[#This Row],[JOB TARGET]])</f>
        <v>0</v>
      </c>
      <c r="M57" s="146" t="str" cm="1">
        <f t="array" aca="1" ref="M57" ca="1">IF(Assessment[[#This Row],[JOB TARGET]]="","Job Target Kosong",IF(COUNT(IF('Data Assessment'!$N57:$Z57-OFFSET(Standar!$B$2,MATCH(Assessment[[#This Row],[JOB TARGET
(DEV)]],Standar[NAMA JABATAN],0)-1,1,1,13)&lt;0,1,""))&lt;=3,'9 Grid'!$B$4,IF(COUNT(IF('Data Assessment'!$N57:$Z57-OFFSET(Standar!$B$2,MATCH(Assessment[[#This Row],[JOB TARGET
(DEV)]],Standar[NAMA JABATAN],0)-1,1,1,13)&lt;0,1,""))&gt;=7,'9 Grid'!$B$6,'9 Grid'!$B$5)))</f>
        <v>Job Target Kosong</v>
      </c>
      <c r="N57" s="146" t="str">
        <f>IFERROR(IF(Data_Assessment[[#This Row],[IPP (3 YEARS AVERAGE)]]="","(IPP Belum Ada)",IF(Data_Assessment[[#This Row],[IPP (3 YEARS AVERAGE)]]&lt;2,'9 Grid'!$F$2,IF(Data_Assessment[[#This Row],[IPP (3 YEARS AVERAGE)]]&gt;=4,'9 Grid'!$D$2,'9 Grid'!$E$2))),"")</f>
        <v>Contributor</v>
      </c>
      <c r="O57" s="146" t="str">
        <f ca="1">IFERROR(INDEX('9 Grid'!$D$4:$F$6,MATCH('Rekomendasi HAV'!M57,'9 Grid'!$B$4:$B$6,0),MATCH('Rekomendasi HAV'!N57,'9 Grid'!$D$2:$F$2,0)),"")</f>
        <v/>
      </c>
      <c r="P57" s="147" t="str">
        <f>IFERROR(INDEX('9 Grid'!$D$8:$F$8,1,MATCH('Rekomendasi HAV'!N57,'9 Grid'!$D$2:$F$2,0)),"")</f>
        <v>(LT) More 2 - 3 year</v>
      </c>
    </row>
    <row r="58" spans="1:16" ht="28.5">
      <c r="A58" s="67">
        <v>57</v>
      </c>
      <c r="B58" s="68" t="str">
        <f>INDEX(Data_Assessment[],MATCH('Rekomendasi HAV'!$A58,Data_Assessment[[INDEX]:[INDEX]],0),MATCH('Rekomendasi HAV'!B$1,Data_Assessment[#Headers],0))</f>
        <v>Rikki Frima Jaya Manurung</v>
      </c>
      <c r="C58" s="68" t="str">
        <f>INDEX(Data_Assessment[],MATCH('Rekomendasi HAV'!$A58,Data_Assessment[[INDEX]:[INDEX]],0),MATCH('Rekomendasi HAV'!C$1,Data_Assessment[#Headers],0))</f>
        <v>Sumatera Utara</v>
      </c>
      <c r="D58" s="68" t="str">
        <f>INDEX(Data_Assessment[],MATCH('Rekomendasi HAV'!$A58,Data_Assessment[[INDEX]:[INDEX]],0),MATCH('Rekomendasi HAV'!D$1,Data_Assessment[#Headers],0))</f>
        <v>LSIP - RO Medan</v>
      </c>
      <c r="E58" s="68">
        <f>INDEX(Data_Assessment[],MATCH('Rekomendasi HAV'!$B58,Data_Assessment[[NAME]:[NAME]],0),MATCH('Rekomendasi HAV'!E$1,Data_Assessment[#Headers],0))</f>
        <v>0</v>
      </c>
      <c r="F58" s="68"/>
      <c r="G58" s="68">
        <f>IF(ISNUMBER(SEARCH("DEV",Assessment[[#This Row],[JOB TARGET]])),SUBSTITUTE(Assessment[[#This Row],[JOB TARGET]],"DEV","EST"),Assessment[[#This Row],[JOB TARGET]])</f>
        <v>0</v>
      </c>
      <c r="H58" s="146" t="str" cm="1">
        <f t="array" aca="1" ref="H58" ca="1">IF(Assessment[[#This Row],[JOB TARGET]]="","Job Target Kosong",IF(COUNT(IF('Data Assessment'!$N58:$Z58-OFFSET(Standar!$B$2,MATCH(Assessment[[#This Row],[JOB TARGET
(EST)]],Standar[NAMA JABATAN],0)-1,1,1,13)&lt;0,1,""))&lt;=3,'9 Grid'!$B$4,IF(COUNT(IF('Data Assessment'!$N58:$Z58-OFFSET(Standar!$B$2,MATCH(Assessment[[#This Row],[JOB TARGET]],Standar[NAMA JABATAN],0)-1,1,1,13)&lt;0,1,""))&gt;=7,'9 Grid'!$B$6,'9 Grid'!$B$5)))</f>
        <v>Job Target Kosong</v>
      </c>
      <c r="I58" s="146" t="str">
        <f>IFERROR(IF(Data_Assessment[[#This Row],[IPP (3 YEARS AVERAGE)]]="","(IPP Belum Ada)",IF(Data_Assessment[[#This Row],[IPP (3 YEARS AVERAGE)]]&lt;2,'9 Grid'!$F$2,IF(Data_Assessment[[#This Row],[IPP (3 YEARS AVERAGE)]]&gt;=4,'9 Grid'!$D$2,'9 Grid'!$E$2))),"")</f>
        <v>Contributor</v>
      </c>
      <c r="J58" s="146" t="str">
        <f ca="1">IFERROR(INDEX('9 Grid'!$D$4:$F$6,MATCH('Rekomendasi HAV'!H58,'9 Grid'!$B$4:$B$6,0),MATCH('Rekomendasi HAV'!I58,'9 Grid'!$D$2:$F$2,0)),"")</f>
        <v/>
      </c>
      <c r="K58" s="146" t="str">
        <f>IFERROR(INDEX('9 Grid'!$D$8:$F$8,1,MATCH('Rekomendasi HAV'!I58,'9 Grid'!$D$2:$F$2,0)),"")</f>
        <v>(LT) More 2 - 3 year</v>
      </c>
      <c r="L58" s="146">
        <f>IF(ISNUMBER(SEARCH("EST",Assessment[[#This Row],[JOB TARGET]])),SUBSTITUTE(Assessment[[#This Row],[JOB TARGET]],"EST","DEV"),Assessment[[#This Row],[JOB TARGET]])</f>
        <v>0</v>
      </c>
      <c r="M58" s="146" t="str" cm="1">
        <f t="array" aca="1" ref="M58" ca="1">IF(Assessment[[#This Row],[JOB TARGET]]="","Job Target Kosong",IF(COUNT(IF('Data Assessment'!$N58:$Z58-OFFSET(Standar!$B$2,MATCH(Assessment[[#This Row],[JOB TARGET
(DEV)]],Standar[NAMA JABATAN],0)-1,1,1,13)&lt;0,1,""))&lt;=3,'9 Grid'!$B$4,IF(COUNT(IF('Data Assessment'!$N58:$Z58-OFFSET(Standar!$B$2,MATCH(Assessment[[#This Row],[JOB TARGET
(DEV)]],Standar[NAMA JABATAN],0)-1,1,1,13)&lt;0,1,""))&gt;=7,'9 Grid'!$B$6,'9 Grid'!$B$5)))</f>
        <v>Job Target Kosong</v>
      </c>
      <c r="N58" s="146" t="str">
        <f>IFERROR(IF(Data_Assessment[[#This Row],[IPP (3 YEARS AVERAGE)]]="","(IPP Belum Ada)",IF(Data_Assessment[[#This Row],[IPP (3 YEARS AVERAGE)]]&lt;2,'9 Grid'!$F$2,IF(Data_Assessment[[#This Row],[IPP (3 YEARS AVERAGE)]]&gt;=4,'9 Grid'!$D$2,'9 Grid'!$E$2))),"")</f>
        <v>Contributor</v>
      </c>
      <c r="O58" s="146" t="str">
        <f ca="1">IFERROR(INDEX('9 Grid'!$D$4:$F$6,MATCH('Rekomendasi HAV'!M58,'9 Grid'!$B$4:$B$6,0),MATCH('Rekomendasi HAV'!N58,'9 Grid'!$D$2:$F$2,0)),"")</f>
        <v/>
      </c>
      <c r="P58" s="147" t="str">
        <f>IFERROR(INDEX('9 Grid'!$D$8:$F$8,1,MATCH('Rekomendasi HAV'!N58,'9 Grid'!$D$2:$F$2,0)),"")</f>
        <v>(LT) More 2 - 3 year</v>
      </c>
    </row>
    <row r="59" spans="1:16" ht="28.5">
      <c r="A59" s="67">
        <v>58</v>
      </c>
      <c r="B59" s="68" t="str">
        <f>INDEX(Data_Assessment[],MATCH('Rekomendasi HAV'!$A59,Data_Assessment[[INDEX]:[INDEX]],0),MATCH('Rekomendasi HAV'!B$1,Data_Assessment[#Headers],0))</f>
        <v>M. Hafiz Harahap</v>
      </c>
      <c r="C59" s="68" t="str">
        <f>INDEX(Data_Assessment[],MATCH('Rekomendasi HAV'!$A59,Data_Assessment[[INDEX]:[INDEX]],0),MATCH('Rekomendasi HAV'!C$1,Data_Assessment[#Headers],0))</f>
        <v>Sumatera Utara</v>
      </c>
      <c r="D59" s="68" t="str">
        <f>INDEX(Data_Assessment[],MATCH('Rekomendasi HAV'!$A59,Data_Assessment[[INDEX]:[INDEX]],0),MATCH('Rekomendasi HAV'!D$1,Data_Assessment[#Headers],0))</f>
        <v>LSIP - RO Medan</v>
      </c>
      <c r="E59" s="68">
        <f>INDEX(Data_Assessment[],MATCH('Rekomendasi HAV'!$B59,Data_Assessment[[NAME]:[NAME]],0),MATCH('Rekomendasi HAV'!E$1,Data_Assessment[#Headers],0))</f>
        <v>0</v>
      </c>
      <c r="F59" s="68"/>
      <c r="G59" s="68">
        <f>IF(ISNUMBER(SEARCH("DEV",Assessment[[#This Row],[JOB TARGET]])),SUBSTITUTE(Assessment[[#This Row],[JOB TARGET]],"DEV","EST"),Assessment[[#This Row],[JOB TARGET]])</f>
        <v>0</v>
      </c>
      <c r="H59" s="146" t="str" cm="1">
        <f t="array" aca="1" ref="H59" ca="1">IF(Assessment[[#This Row],[JOB TARGET]]="","Job Target Kosong",IF(COUNT(IF('Data Assessment'!$N59:$Z59-OFFSET(Standar!$B$2,MATCH(Assessment[[#This Row],[JOB TARGET
(EST)]],Standar[NAMA JABATAN],0)-1,1,1,13)&lt;0,1,""))&lt;=3,'9 Grid'!$B$4,IF(COUNT(IF('Data Assessment'!$N59:$Z59-OFFSET(Standar!$B$2,MATCH(Assessment[[#This Row],[JOB TARGET]],Standar[NAMA JABATAN],0)-1,1,1,13)&lt;0,1,""))&gt;=7,'9 Grid'!$B$6,'9 Grid'!$B$5)))</f>
        <v>Job Target Kosong</v>
      </c>
      <c r="I59" s="146" t="str">
        <f>IFERROR(IF(Data_Assessment[[#This Row],[IPP (3 YEARS AVERAGE)]]="","(IPP Belum Ada)",IF(Data_Assessment[[#This Row],[IPP (3 YEARS AVERAGE)]]&lt;2,'9 Grid'!$F$2,IF(Data_Assessment[[#This Row],[IPP (3 YEARS AVERAGE)]]&gt;=4,'9 Grid'!$D$2,'9 Grid'!$E$2))),"")</f>
        <v>Contributor</v>
      </c>
      <c r="J59" s="146" t="str">
        <f ca="1">IFERROR(INDEX('9 Grid'!$D$4:$F$6,MATCH('Rekomendasi HAV'!H59,'9 Grid'!$B$4:$B$6,0),MATCH('Rekomendasi HAV'!I59,'9 Grid'!$D$2:$F$2,0)),"")</f>
        <v/>
      </c>
      <c r="K59" s="146" t="str">
        <f>IFERROR(INDEX('9 Grid'!$D$8:$F$8,1,MATCH('Rekomendasi HAV'!I59,'9 Grid'!$D$2:$F$2,0)),"")</f>
        <v>(LT) More 2 - 3 year</v>
      </c>
      <c r="L59" s="146">
        <f>IF(ISNUMBER(SEARCH("EST",Assessment[[#This Row],[JOB TARGET]])),SUBSTITUTE(Assessment[[#This Row],[JOB TARGET]],"EST","DEV"),Assessment[[#This Row],[JOB TARGET]])</f>
        <v>0</v>
      </c>
      <c r="M59" s="146" t="str" cm="1">
        <f t="array" aca="1" ref="M59" ca="1">IF(Assessment[[#This Row],[JOB TARGET]]="","Job Target Kosong",IF(COUNT(IF('Data Assessment'!$N59:$Z59-OFFSET(Standar!$B$2,MATCH(Assessment[[#This Row],[JOB TARGET
(DEV)]],Standar[NAMA JABATAN],0)-1,1,1,13)&lt;0,1,""))&lt;=3,'9 Grid'!$B$4,IF(COUNT(IF('Data Assessment'!$N59:$Z59-OFFSET(Standar!$B$2,MATCH(Assessment[[#This Row],[JOB TARGET
(DEV)]],Standar[NAMA JABATAN],0)-1,1,1,13)&lt;0,1,""))&gt;=7,'9 Grid'!$B$6,'9 Grid'!$B$5)))</f>
        <v>Job Target Kosong</v>
      </c>
      <c r="N59" s="146" t="str">
        <f>IFERROR(IF(Data_Assessment[[#This Row],[IPP (3 YEARS AVERAGE)]]="","(IPP Belum Ada)",IF(Data_Assessment[[#This Row],[IPP (3 YEARS AVERAGE)]]&lt;2,'9 Grid'!$F$2,IF(Data_Assessment[[#This Row],[IPP (3 YEARS AVERAGE)]]&gt;=4,'9 Grid'!$D$2,'9 Grid'!$E$2))),"")</f>
        <v>Contributor</v>
      </c>
      <c r="O59" s="146" t="str">
        <f ca="1">IFERROR(INDEX('9 Grid'!$D$4:$F$6,MATCH('Rekomendasi HAV'!M59,'9 Grid'!$B$4:$B$6,0),MATCH('Rekomendasi HAV'!N59,'9 Grid'!$D$2:$F$2,0)),"")</f>
        <v/>
      </c>
      <c r="P59" s="147" t="str">
        <f>IFERROR(INDEX('9 Grid'!$D$8:$F$8,1,MATCH('Rekomendasi HAV'!N59,'9 Grid'!$D$2:$F$2,0)),"")</f>
        <v>(LT) More 2 - 3 year</v>
      </c>
    </row>
    <row r="60" spans="1:16" ht="28.5">
      <c r="A60" s="67">
        <v>59</v>
      </c>
      <c r="B60" s="68" t="str">
        <f>INDEX(Data_Assessment[],MATCH('Rekomendasi HAV'!$A60,Data_Assessment[[INDEX]:[INDEX]],0),MATCH('Rekomendasi HAV'!B$1,Data_Assessment[#Headers],0))</f>
        <v>Sura Eka Pratama Pagan</v>
      </c>
      <c r="C60" s="68" t="str">
        <f>INDEX(Data_Assessment[],MATCH('Rekomendasi HAV'!$A60,Data_Assessment[[INDEX]:[INDEX]],0),MATCH('Rekomendasi HAV'!C$1,Data_Assessment[#Headers],0))</f>
        <v>Sumatera Utara</v>
      </c>
      <c r="D60" s="68" t="str">
        <f>INDEX(Data_Assessment[],MATCH('Rekomendasi HAV'!$A60,Data_Assessment[[INDEX]:[INDEX]],0),MATCH('Rekomendasi HAV'!D$1,Data_Assessment[#Headers],0))</f>
        <v>LSIP - RO Medan</v>
      </c>
      <c r="E60" s="68">
        <f>INDEX(Data_Assessment[],MATCH('Rekomendasi HAV'!$B60,Data_Assessment[[NAME]:[NAME]],0),MATCH('Rekomendasi HAV'!E$1,Data_Assessment[#Headers],0))</f>
        <v>0</v>
      </c>
      <c r="F60" s="68"/>
      <c r="G60" s="68">
        <f>IF(ISNUMBER(SEARCH("DEV",Assessment[[#This Row],[JOB TARGET]])),SUBSTITUTE(Assessment[[#This Row],[JOB TARGET]],"DEV","EST"),Assessment[[#This Row],[JOB TARGET]])</f>
        <v>0</v>
      </c>
      <c r="H60" s="146" t="str" cm="1">
        <f t="array" aca="1" ref="H60" ca="1">IF(Assessment[[#This Row],[JOB TARGET]]="","Job Target Kosong",IF(COUNT(IF('Data Assessment'!$N60:$Z60-OFFSET(Standar!$B$2,MATCH(Assessment[[#This Row],[JOB TARGET
(EST)]],Standar[NAMA JABATAN],0)-1,1,1,13)&lt;0,1,""))&lt;=3,'9 Grid'!$B$4,IF(COUNT(IF('Data Assessment'!$N60:$Z60-OFFSET(Standar!$B$2,MATCH(Assessment[[#This Row],[JOB TARGET]],Standar[NAMA JABATAN],0)-1,1,1,13)&lt;0,1,""))&gt;=7,'9 Grid'!$B$6,'9 Grid'!$B$5)))</f>
        <v>Job Target Kosong</v>
      </c>
      <c r="I60" s="146" t="str">
        <f>IFERROR(IF(Data_Assessment[[#This Row],[IPP (3 YEARS AVERAGE)]]="","(IPP Belum Ada)",IF(Data_Assessment[[#This Row],[IPP (3 YEARS AVERAGE)]]&lt;2,'9 Grid'!$F$2,IF(Data_Assessment[[#This Row],[IPP (3 YEARS AVERAGE)]]&gt;=4,'9 Grid'!$D$2,'9 Grid'!$E$2))),"")</f>
        <v>Contributor</v>
      </c>
      <c r="J60" s="146" t="str">
        <f ca="1">IFERROR(INDEX('9 Grid'!$D$4:$F$6,MATCH('Rekomendasi HAV'!H60,'9 Grid'!$B$4:$B$6,0),MATCH('Rekomendasi HAV'!I60,'9 Grid'!$D$2:$F$2,0)),"")</f>
        <v/>
      </c>
      <c r="K60" s="146" t="str">
        <f>IFERROR(INDEX('9 Grid'!$D$8:$F$8,1,MATCH('Rekomendasi HAV'!I60,'9 Grid'!$D$2:$F$2,0)),"")</f>
        <v>(LT) More 2 - 3 year</v>
      </c>
      <c r="L60" s="146">
        <f>IF(ISNUMBER(SEARCH("EST",Assessment[[#This Row],[JOB TARGET]])),SUBSTITUTE(Assessment[[#This Row],[JOB TARGET]],"EST","DEV"),Assessment[[#This Row],[JOB TARGET]])</f>
        <v>0</v>
      </c>
      <c r="M60" s="146" t="str" cm="1">
        <f t="array" aca="1" ref="M60" ca="1">IF(Assessment[[#This Row],[JOB TARGET]]="","Job Target Kosong",IF(COUNT(IF('Data Assessment'!$N60:$Z60-OFFSET(Standar!$B$2,MATCH(Assessment[[#This Row],[JOB TARGET
(DEV)]],Standar[NAMA JABATAN],0)-1,1,1,13)&lt;0,1,""))&lt;=3,'9 Grid'!$B$4,IF(COUNT(IF('Data Assessment'!$N60:$Z60-OFFSET(Standar!$B$2,MATCH(Assessment[[#This Row],[JOB TARGET
(DEV)]],Standar[NAMA JABATAN],0)-1,1,1,13)&lt;0,1,""))&gt;=7,'9 Grid'!$B$6,'9 Grid'!$B$5)))</f>
        <v>Job Target Kosong</v>
      </c>
      <c r="N60" s="146" t="str">
        <f>IFERROR(IF(Data_Assessment[[#This Row],[IPP (3 YEARS AVERAGE)]]="","(IPP Belum Ada)",IF(Data_Assessment[[#This Row],[IPP (3 YEARS AVERAGE)]]&lt;2,'9 Grid'!$F$2,IF(Data_Assessment[[#This Row],[IPP (3 YEARS AVERAGE)]]&gt;=4,'9 Grid'!$D$2,'9 Grid'!$E$2))),"")</f>
        <v>Contributor</v>
      </c>
      <c r="O60" s="146" t="str">
        <f ca="1">IFERROR(INDEX('9 Grid'!$D$4:$F$6,MATCH('Rekomendasi HAV'!M60,'9 Grid'!$B$4:$B$6,0),MATCH('Rekomendasi HAV'!N60,'9 Grid'!$D$2:$F$2,0)),"")</f>
        <v/>
      </c>
      <c r="P60" s="147" t="str">
        <f>IFERROR(INDEX('9 Grid'!$D$8:$F$8,1,MATCH('Rekomendasi HAV'!N60,'9 Grid'!$D$2:$F$2,0)),"")</f>
        <v>(LT) More 2 - 3 year</v>
      </c>
    </row>
    <row r="61" spans="1:16" ht="28.5">
      <c r="A61" s="67">
        <v>60</v>
      </c>
      <c r="B61" s="68" t="str">
        <f>INDEX(Data_Assessment[],MATCH('Rekomendasi HAV'!$A61,Data_Assessment[[INDEX]:[INDEX]],0),MATCH('Rekomendasi HAV'!B$1,Data_Assessment[#Headers],0))</f>
        <v>Prans Sagita</v>
      </c>
      <c r="C61" s="68" t="str">
        <f>INDEX(Data_Assessment[],MATCH('Rekomendasi HAV'!$A61,Data_Assessment[[INDEX]:[INDEX]],0),MATCH('Rekomendasi HAV'!C$1,Data_Assessment[#Headers],0))</f>
        <v>Sumatera Utara</v>
      </c>
      <c r="D61" s="68" t="str">
        <f>INDEX(Data_Assessment[],MATCH('Rekomendasi HAV'!$A61,Data_Assessment[[INDEX]:[INDEX]],0),MATCH('Rekomendasi HAV'!D$1,Data_Assessment[#Headers],0))</f>
        <v>LSIP - RO Medan</v>
      </c>
      <c r="E61" s="68">
        <f>INDEX(Data_Assessment[],MATCH('Rekomendasi HAV'!$B61,Data_Assessment[[NAME]:[NAME]],0),MATCH('Rekomendasi HAV'!E$1,Data_Assessment[#Headers],0))</f>
        <v>0</v>
      </c>
      <c r="F61" s="68"/>
      <c r="G61" s="68">
        <f>IF(ISNUMBER(SEARCH("DEV",Assessment[[#This Row],[JOB TARGET]])),SUBSTITUTE(Assessment[[#This Row],[JOB TARGET]],"DEV","EST"),Assessment[[#This Row],[JOB TARGET]])</f>
        <v>0</v>
      </c>
      <c r="H61" s="146" t="str" cm="1">
        <f t="array" aca="1" ref="H61" ca="1">IF(Assessment[[#This Row],[JOB TARGET]]="","Job Target Kosong",IF(COUNT(IF('Data Assessment'!$N61:$Z61-OFFSET(Standar!$B$2,MATCH(Assessment[[#This Row],[JOB TARGET
(EST)]],Standar[NAMA JABATAN],0)-1,1,1,13)&lt;0,1,""))&lt;=3,'9 Grid'!$B$4,IF(COUNT(IF('Data Assessment'!$N61:$Z61-OFFSET(Standar!$B$2,MATCH(Assessment[[#This Row],[JOB TARGET]],Standar[NAMA JABATAN],0)-1,1,1,13)&lt;0,1,""))&gt;=7,'9 Grid'!$B$6,'9 Grid'!$B$5)))</f>
        <v>Job Target Kosong</v>
      </c>
      <c r="I61" s="146" t="str">
        <f>IFERROR(IF(Data_Assessment[[#This Row],[IPP (3 YEARS AVERAGE)]]="","(IPP Belum Ada)",IF(Data_Assessment[[#This Row],[IPP (3 YEARS AVERAGE)]]&lt;2,'9 Grid'!$F$2,IF(Data_Assessment[[#This Row],[IPP (3 YEARS AVERAGE)]]&gt;=4,'9 Grid'!$D$2,'9 Grid'!$E$2))),"")</f>
        <v>Contributor</v>
      </c>
      <c r="J61" s="146" t="str">
        <f ca="1">IFERROR(INDEX('9 Grid'!$D$4:$F$6,MATCH('Rekomendasi HAV'!H61,'9 Grid'!$B$4:$B$6,0),MATCH('Rekomendasi HAV'!I61,'9 Grid'!$D$2:$F$2,0)),"")</f>
        <v/>
      </c>
      <c r="K61" s="146" t="str">
        <f>IFERROR(INDEX('9 Grid'!$D$8:$F$8,1,MATCH('Rekomendasi HAV'!I61,'9 Grid'!$D$2:$F$2,0)),"")</f>
        <v>(LT) More 2 - 3 year</v>
      </c>
      <c r="L61" s="146">
        <f>IF(ISNUMBER(SEARCH("EST",Assessment[[#This Row],[JOB TARGET]])),SUBSTITUTE(Assessment[[#This Row],[JOB TARGET]],"EST","DEV"),Assessment[[#This Row],[JOB TARGET]])</f>
        <v>0</v>
      </c>
      <c r="M61" s="146" t="str" cm="1">
        <f t="array" aca="1" ref="M61" ca="1">IF(Assessment[[#This Row],[JOB TARGET]]="","Job Target Kosong",IF(COUNT(IF('Data Assessment'!$N61:$Z61-OFFSET(Standar!$B$2,MATCH(Assessment[[#This Row],[JOB TARGET
(DEV)]],Standar[NAMA JABATAN],0)-1,1,1,13)&lt;0,1,""))&lt;=3,'9 Grid'!$B$4,IF(COUNT(IF('Data Assessment'!$N61:$Z61-OFFSET(Standar!$B$2,MATCH(Assessment[[#This Row],[JOB TARGET
(DEV)]],Standar[NAMA JABATAN],0)-1,1,1,13)&lt;0,1,""))&gt;=7,'9 Grid'!$B$6,'9 Grid'!$B$5)))</f>
        <v>Job Target Kosong</v>
      </c>
      <c r="N61" s="146" t="str">
        <f>IFERROR(IF(Data_Assessment[[#This Row],[IPP (3 YEARS AVERAGE)]]="","(IPP Belum Ada)",IF(Data_Assessment[[#This Row],[IPP (3 YEARS AVERAGE)]]&lt;2,'9 Grid'!$F$2,IF(Data_Assessment[[#This Row],[IPP (3 YEARS AVERAGE)]]&gt;=4,'9 Grid'!$D$2,'9 Grid'!$E$2))),"")</f>
        <v>Contributor</v>
      </c>
      <c r="O61" s="146" t="str">
        <f ca="1">IFERROR(INDEX('9 Grid'!$D$4:$F$6,MATCH('Rekomendasi HAV'!M61,'9 Grid'!$B$4:$B$6,0),MATCH('Rekomendasi HAV'!N61,'9 Grid'!$D$2:$F$2,0)),"")</f>
        <v/>
      </c>
      <c r="P61" s="147" t="str">
        <f>IFERROR(INDEX('9 Grid'!$D$8:$F$8,1,MATCH('Rekomendasi HAV'!N61,'9 Grid'!$D$2:$F$2,0)),"")</f>
        <v>(LT) More 2 - 3 year</v>
      </c>
    </row>
    <row r="62" spans="1:16" ht="28.5">
      <c r="A62" s="67">
        <v>61</v>
      </c>
      <c r="B62" s="68" t="str">
        <f>INDEX(Data_Assessment[],MATCH('Rekomendasi HAV'!$A62,Data_Assessment[[INDEX]:[INDEX]],0),MATCH('Rekomendasi HAV'!B$1,Data_Assessment[#Headers],0))</f>
        <v>Novin Antioniza</v>
      </c>
      <c r="C62" s="68" t="str">
        <f>INDEX(Data_Assessment[],MATCH('Rekomendasi HAV'!$A62,Data_Assessment[[INDEX]:[INDEX]],0),MATCH('Rekomendasi HAV'!C$1,Data_Assessment[#Headers],0))</f>
        <v>Palembang</v>
      </c>
      <c r="D62" s="68" t="str">
        <f>INDEX(Data_Assessment[],MATCH('Rekomendasi HAV'!$A62,Data_Assessment[[INDEX]:[INDEX]],0),MATCH('Rekomendasi HAV'!D$1,Data_Assessment[#Headers],0))</f>
        <v>LSIP - RO Palembang</v>
      </c>
      <c r="E62" s="68">
        <f>INDEX(Data_Assessment[],MATCH('Rekomendasi HAV'!$B62,Data_Assessment[[NAME]:[NAME]],0),MATCH('Rekomendasi HAV'!E$1,Data_Assessment[#Headers],0))</f>
        <v>0</v>
      </c>
      <c r="F62" s="68"/>
      <c r="G62" s="68">
        <f>IF(ISNUMBER(SEARCH("DEV",Assessment[[#This Row],[JOB TARGET]])),SUBSTITUTE(Assessment[[#This Row],[JOB TARGET]],"DEV","EST"),Assessment[[#This Row],[JOB TARGET]])</f>
        <v>0</v>
      </c>
      <c r="H62" s="146" t="str" cm="1">
        <f t="array" aca="1" ref="H62" ca="1">IF(Assessment[[#This Row],[JOB TARGET]]="","Job Target Kosong",IF(COUNT(IF('Data Assessment'!$N62:$Z62-OFFSET(Standar!$B$2,MATCH(Assessment[[#This Row],[JOB TARGET
(EST)]],Standar[NAMA JABATAN],0)-1,1,1,13)&lt;0,1,""))&lt;=3,'9 Grid'!$B$4,IF(COUNT(IF('Data Assessment'!$N62:$Z62-OFFSET(Standar!$B$2,MATCH(Assessment[[#This Row],[JOB TARGET]],Standar[NAMA JABATAN],0)-1,1,1,13)&lt;0,1,""))&gt;=7,'9 Grid'!$B$6,'9 Grid'!$B$5)))</f>
        <v>Job Target Kosong</v>
      </c>
      <c r="I62" s="146" t="str">
        <f>IFERROR(IF(Data_Assessment[[#This Row],[IPP (3 YEARS AVERAGE)]]="","(IPP Belum Ada)",IF(Data_Assessment[[#This Row],[IPP (3 YEARS AVERAGE)]]&lt;2,'9 Grid'!$F$2,IF(Data_Assessment[[#This Row],[IPP (3 YEARS AVERAGE)]]&gt;=4,'9 Grid'!$D$2,'9 Grid'!$E$2))),"")</f>
        <v>Fully Competence Performance</v>
      </c>
      <c r="J62" s="146" t="str">
        <f ca="1">IFERROR(INDEX('9 Grid'!$D$4:$F$6,MATCH('Rekomendasi HAV'!H62,'9 Grid'!$B$4:$B$6,0),MATCH('Rekomendasi HAV'!I62,'9 Grid'!$D$2:$F$2,0)),"")</f>
        <v/>
      </c>
      <c r="K62" s="146" t="str">
        <f>IFERROR(INDEX('9 Grid'!$D$8:$F$8,1,MATCH('Rekomendasi HAV'!I62,'9 Grid'!$D$2:$F$2,0)),"")</f>
        <v>(ST) Within 12 - 18 month</v>
      </c>
      <c r="L62" s="146">
        <f>IF(ISNUMBER(SEARCH("EST",Assessment[[#This Row],[JOB TARGET]])),SUBSTITUTE(Assessment[[#This Row],[JOB TARGET]],"EST","DEV"),Assessment[[#This Row],[JOB TARGET]])</f>
        <v>0</v>
      </c>
      <c r="M62" s="146" t="str" cm="1">
        <f t="array" aca="1" ref="M62" ca="1">IF(Assessment[[#This Row],[JOB TARGET]]="","Job Target Kosong",IF(COUNT(IF('Data Assessment'!$N62:$Z62-OFFSET(Standar!$B$2,MATCH(Assessment[[#This Row],[JOB TARGET
(DEV)]],Standar[NAMA JABATAN],0)-1,1,1,13)&lt;0,1,""))&lt;=3,'9 Grid'!$B$4,IF(COUNT(IF('Data Assessment'!$N62:$Z62-OFFSET(Standar!$B$2,MATCH(Assessment[[#This Row],[JOB TARGET
(DEV)]],Standar[NAMA JABATAN],0)-1,1,1,13)&lt;0,1,""))&gt;=7,'9 Grid'!$B$6,'9 Grid'!$B$5)))</f>
        <v>Job Target Kosong</v>
      </c>
      <c r="N62" s="146" t="str">
        <f>IFERROR(IF(Data_Assessment[[#This Row],[IPP (3 YEARS AVERAGE)]]="","(IPP Belum Ada)",IF(Data_Assessment[[#This Row],[IPP (3 YEARS AVERAGE)]]&lt;2,'9 Grid'!$F$2,IF(Data_Assessment[[#This Row],[IPP (3 YEARS AVERAGE)]]&gt;=4,'9 Grid'!$D$2,'9 Grid'!$E$2))),"")</f>
        <v>Fully Competence Performance</v>
      </c>
      <c r="O62" s="146" t="str">
        <f ca="1">IFERROR(INDEX('9 Grid'!$D$4:$F$6,MATCH('Rekomendasi HAV'!M62,'9 Grid'!$B$4:$B$6,0),MATCH('Rekomendasi HAV'!N62,'9 Grid'!$D$2:$F$2,0)),"")</f>
        <v/>
      </c>
      <c r="P62" s="147" t="str">
        <f>IFERROR(INDEX('9 Grid'!$D$8:$F$8,1,MATCH('Rekomendasi HAV'!N62,'9 Grid'!$D$2:$F$2,0)),"")</f>
        <v>(ST) Within 12 - 18 month</v>
      </c>
    </row>
    <row r="63" spans="1:16" ht="28.5">
      <c r="A63" s="67">
        <v>62</v>
      </c>
      <c r="B63" s="68" t="str">
        <f>INDEX(Data_Assessment[],MATCH('Rekomendasi HAV'!$A63,Data_Assessment[[INDEX]:[INDEX]],0),MATCH('Rekomendasi HAV'!B$1,Data_Assessment[#Headers],0))</f>
        <v>Julita Artalina Manik</v>
      </c>
      <c r="C63" s="68" t="str">
        <f>INDEX(Data_Assessment[],MATCH('Rekomendasi HAV'!$A63,Data_Assessment[[INDEX]:[INDEX]],0),MATCH('Rekomendasi HAV'!C$1,Data_Assessment[#Headers],0))</f>
        <v>Medan</v>
      </c>
      <c r="D63" s="68" t="str">
        <f>INDEX(Data_Assessment[],MATCH('Rekomendasi HAV'!$A63,Data_Assessment[[INDEX]:[INDEX]],0),MATCH('Rekomendasi HAV'!D$1,Data_Assessment[#Headers],0))</f>
        <v>LSIP - RO Medan</v>
      </c>
      <c r="E63" s="68">
        <f>INDEX(Data_Assessment[],MATCH('Rekomendasi HAV'!$B63,Data_Assessment[[NAME]:[NAME]],0),MATCH('Rekomendasi HAV'!E$1,Data_Assessment[#Headers],0))</f>
        <v>0</v>
      </c>
      <c r="F63" s="68"/>
      <c r="G63" s="68">
        <f>IF(ISNUMBER(SEARCH("DEV",Assessment[[#This Row],[JOB TARGET]])),SUBSTITUTE(Assessment[[#This Row],[JOB TARGET]],"DEV","EST"),Assessment[[#This Row],[JOB TARGET]])</f>
        <v>0</v>
      </c>
      <c r="H63" s="146" t="str" cm="1">
        <f t="array" aca="1" ref="H63" ca="1">IF(Assessment[[#This Row],[JOB TARGET]]="","Job Target Kosong",IF(COUNT(IF('Data Assessment'!$N63:$Z63-OFFSET(Standar!$B$2,MATCH(Assessment[[#This Row],[JOB TARGET
(EST)]],Standar[NAMA JABATAN],0)-1,1,1,13)&lt;0,1,""))&lt;=3,'9 Grid'!$B$4,IF(COUNT(IF('Data Assessment'!$N63:$Z63-OFFSET(Standar!$B$2,MATCH(Assessment[[#This Row],[JOB TARGET]],Standar[NAMA JABATAN],0)-1,1,1,13)&lt;0,1,""))&gt;=7,'9 Grid'!$B$6,'9 Grid'!$B$5)))</f>
        <v>Job Target Kosong</v>
      </c>
      <c r="I63" s="146" t="str">
        <f>IFERROR(IF(Data_Assessment[[#This Row],[IPP (3 YEARS AVERAGE)]]="","(IPP Belum Ada)",IF(Data_Assessment[[#This Row],[IPP (3 YEARS AVERAGE)]]&lt;2,'9 Grid'!$F$2,IF(Data_Assessment[[#This Row],[IPP (3 YEARS AVERAGE)]]&gt;=4,'9 Grid'!$D$2,'9 Grid'!$E$2))),"")</f>
        <v>Fully Competence Performance</v>
      </c>
      <c r="J63" s="146" t="str">
        <f ca="1">IFERROR(INDEX('9 Grid'!$D$4:$F$6,MATCH('Rekomendasi HAV'!H63,'9 Grid'!$B$4:$B$6,0),MATCH('Rekomendasi HAV'!I63,'9 Grid'!$D$2:$F$2,0)),"")</f>
        <v/>
      </c>
      <c r="K63" s="146" t="str">
        <f>IFERROR(INDEX('9 Grid'!$D$8:$F$8,1,MATCH('Rekomendasi HAV'!I63,'9 Grid'!$D$2:$F$2,0)),"")</f>
        <v>(ST) Within 12 - 18 month</v>
      </c>
      <c r="L63" s="146">
        <f>IF(ISNUMBER(SEARCH("EST",Assessment[[#This Row],[JOB TARGET]])),SUBSTITUTE(Assessment[[#This Row],[JOB TARGET]],"EST","DEV"),Assessment[[#This Row],[JOB TARGET]])</f>
        <v>0</v>
      </c>
      <c r="M63" s="146" t="str" cm="1">
        <f t="array" aca="1" ref="M63" ca="1">IF(Assessment[[#This Row],[JOB TARGET]]="","Job Target Kosong",IF(COUNT(IF('Data Assessment'!$N63:$Z63-OFFSET(Standar!$B$2,MATCH(Assessment[[#This Row],[JOB TARGET
(DEV)]],Standar[NAMA JABATAN],0)-1,1,1,13)&lt;0,1,""))&lt;=3,'9 Grid'!$B$4,IF(COUNT(IF('Data Assessment'!$N63:$Z63-OFFSET(Standar!$B$2,MATCH(Assessment[[#This Row],[JOB TARGET
(DEV)]],Standar[NAMA JABATAN],0)-1,1,1,13)&lt;0,1,""))&gt;=7,'9 Grid'!$B$6,'9 Grid'!$B$5)))</f>
        <v>Job Target Kosong</v>
      </c>
      <c r="N63" s="146" t="str">
        <f>IFERROR(IF(Data_Assessment[[#This Row],[IPP (3 YEARS AVERAGE)]]="","(IPP Belum Ada)",IF(Data_Assessment[[#This Row],[IPP (3 YEARS AVERAGE)]]&lt;2,'9 Grid'!$F$2,IF(Data_Assessment[[#This Row],[IPP (3 YEARS AVERAGE)]]&gt;=4,'9 Grid'!$D$2,'9 Grid'!$E$2))),"")</f>
        <v>Fully Competence Performance</v>
      </c>
      <c r="O63" s="146" t="str">
        <f ca="1">IFERROR(INDEX('9 Grid'!$D$4:$F$6,MATCH('Rekomendasi HAV'!M63,'9 Grid'!$B$4:$B$6,0),MATCH('Rekomendasi HAV'!N63,'9 Grid'!$D$2:$F$2,0)),"")</f>
        <v/>
      </c>
      <c r="P63" s="147" t="str">
        <f>IFERROR(INDEX('9 Grid'!$D$8:$F$8,1,MATCH('Rekomendasi HAV'!N63,'9 Grid'!$D$2:$F$2,0)),"")</f>
        <v>(ST) Within 12 - 18 month</v>
      </c>
    </row>
    <row r="64" spans="1:16" ht="28.5">
      <c r="A64" s="67">
        <v>63</v>
      </c>
      <c r="B64" s="68" t="str">
        <f>INDEX(Data_Assessment[],MATCH('Rekomendasi HAV'!$A64,Data_Assessment[[INDEX]:[INDEX]],0),MATCH('Rekomendasi HAV'!B$1,Data_Assessment[#Headers],0))</f>
        <v>Denni Harianto</v>
      </c>
      <c r="C64" s="68" t="str">
        <f>INDEX(Data_Assessment[],MATCH('Rekomendasi HAV'!$A64,Data_Assessment[[INDEX]:[INDEX]],0),MATCH('Rekomendasi HAV'!C$1,Data_Assessment[#Headers],0))</f>
        <v>Medan</v>
      </c>
      <c r="D64" s="68" t="str">
        <f>INDEX(Data_Assessment[],MATCH('Rekomendasi HAV'!$A64,Data_Assessment[[INDEX]:[INDEX]],0),MATCH('Rekomendasi HAV'!D$1,Data_Assessment[#Headers],0))</f>
        <v>LSIP - RO Medan</v>
      </c>
      <c r="E64" s="68">
        <f>INDEX(Data_Assessment[],MATCH('Rekomendasi HAV'!$B64,Data_Assessment[[NAME]:[NAME]],0),MATCH('Rekomendasi HAV'!E$1,Data_Assessment[#Headers],0))</f>
        <v>0</v>
      </c>
      <c r="F64" s="68"/>
      <c r="G64" s="68">
        <f>IF(ISNUMBER(SEARCH("DEV",Assessment[[#This Row],[JOB TARGET]])),SUBSTITUTE(Assessment[[#This Row],[JOB TARGET]],"DEV","EST"),Assessment[[#This Row],[JOB TARGET]])</f>
        <v>0</v>
      </c>
      <c r="H64" s="146" t="str" cm="1">
        <f t="array" aca="1" ref="H64" ca="1">IF(Assessment[[#This Row],[JOB TARGET]]="","Job Target Kosong",IF(COUNT(IF('Data Assessment'!$N64:$Z64-OFFSET(Standar!$B$2,MATCH(Assessment[[#This Row],[JOB TARGET
(EST)]],Standar[NAMA JABATAN],0)-1,1,1,13)&lt;0,1,""))&lt;=3,'9 Grid'!$B$4,IF(COUNT(IF('Data Assessment'!$N64:$Z64-OFFSET(Standar!$B$2,MATCH(Assessment[[#This Row],[JOB TARGET]],Standar[NAMA JABATAN],0)-1,1,1,13)&lt;0,1,""))&gt;=7,'9 Grid'!$B$6,'9 Grid'!$B$5)))</f>
        <v>Job Target Kosong</v>
      </c>
      <c r="I64" s="146" t="str">
        <f>IFERROR(IF(Data_Assessment[[#This Row],[IPP (3 YEARS AVERAGE)]]="","(IPP Belum Ada)",IF(Data_Assessment[[#This Row],[IPP (3 YEARS AVERAGE)]]&lt;2,'9 Grid'!$F$2,IF(Data_Assessment[[#This Row],[IPP (3 YEARS AVERAGE)]]&gt;=4,'9 Grid'!$D$2,'9 Grid'!$E$2))),"")</f>
        <v>Fully Competence Performance</v>
      </c>
      <c r="J64" s="146" t="str">
        <f ca="1">IFERROR(INDEX('9 Grid'!$D$4:$F$6,MATCH('Rekomendasi HAV'!H64,'9 Grid'!$B$4:$B$6,0),MATCH('Rekomendasi HAV'!I64,'9 Grid'!$D$2:$F$2,0)),"")</f>
        <v/>
      </c>
      <c r="K64" s="146" t="str">
        <f>IFERROR(INDEX('9 Grid'!$D$8:$F$8,1,MATCH('Rekomendasi HAV'!I64,'9 Grid'!$D$2:$F$2,0)),"")</f>
        <v>(ST) Within 12 - 18 month</v>
      </c>
      <c r="L64" s="146">
        <f>IF(ISNUMBER(SEARCH("EST",Assessment[[#This Row],[JOB TARGET]])),SUBSTITUTE(Assessment[[#This Row],[JOB TARGET]],"EST","DEV"),Assessment[[#This Row],[JOB TARGET]])</f>
        <v>0</v>
      </c>
      <c r="M64" s="146" t="str" cm="1">
        <f t="array" aca="1" ref="M64" ca="1">IF(Assessment[[#This Row],[JOB TARGET]]="","Job Target Kosong",IF(COUNT(IF('Data Assessment'!$N64:$Z64-OFFSET(Standar!$B$2,MATCH(Assessment[[#This Row],[JOB TARGET
(DEV)]],Standar[NAMA JABATAN],0)-1,1,1,13)&lt;0,1,""))&lt;=3,'9 Grid'!$B$4,IF(COUNT(IF('Data Assessment'!$N64:$Z64-OFFSET(Standar!$B$2,MATCH(Assessment[[#This Row],[JOB TARGET
(DEV)]],Standar[NAMA JABATAN],0)-1,1,1,13)&lt;0,1,""))&gt;=7,'9 Grid'!$B$6,'9 Grid'!$B$5)))</f>
        <v>Job Target Kosong</v>
      </c>
      <c r="N64" s="146" t="str">
        <f>IFERROR(IF(Data_Assessment[[#This Row],[IPP (3 YEARS AVERAGE)]]="","(IPP Belum Ada)",IF(Data_Assessment[[#This Row],[IPP (3 YEARS AVERAGE)]]&lt;2,'9 Grid'!$F$2,IF(Data_Assessment[[#This Row],[IPP (3 YEARS AVERAGE)]]&gt;=4,'9 Grid'!$D$2,'9 Grid'!$E$2))),"")</f>
        <v>Fully Competence Performance</v>
      </c>
      <c r="O64" s="146" t="str">
        <f ca="1">IFERROR(INDEX('9 Grid'!$D$4:$F$6,MATCH('Rekomendasi HAV'!M64,'9 Grid'!$B$4:$B$6,0),MATCH('Rekomendasi HAV'!N64,'9 Grid'!$D$2:$F$2,0)),"")</f>
        <v/>
      </c>
      <c r="P64" s="147" t="str">
        <f>IFERROR(INDEX('9 Grid'!$D$8:$F$8,1,MATCH('Rekomendasi HAV'!N64,'9 Grid'!$D$2:$F$2,0)),"")</f>
        <v>(ST) Within 12 - 18 month</v>
      </c>
    </row>
    <row r="65" spans="1:16" ht="28.5">
      <c r="A65" s="67">
        <v>64</v>
      </c>
      <c r="B65" s="68" t="str">
        <f>INDEX(Data_Assessment[],MATCH('Rekomendasi HAV'!$A65,Data_Assessment[[INDEX]:[INDEX]],0),MATCH('Rekomendasi HAV'!B$1,Data_Assessment[#Headers],0))</f>
        <v>Jonni Saragih</v>
      </c>
      <c r="C65" s="68" t="str">
        <f>INDEX(Data_Assessment[],MATCH('Rekomendasi HAV'!$A65,Data_Assessment[[INDEX]:[INDEX]],0),MATCH('Rekomendasi HAV'!C$1,Data_Assessment[#Headers],0))</f>
        <v>Medan</v>
      </c>
      <c r="D65" s="68" t="str">
        <f>INDEX(Data_Assessment[],MATCH('Rekomendasi HAV'!$A65,Data_Assessment[[INDEX]:[INDEX]],0),MATCH('Rekomendasi HAV'!D$1,Data_Assessment[#Headers],0))</f>
        <v>LSIP - RO Medan</v>
      </c>
      <c r="E65" s="68">
        <f>INDEX(Data_Assessment[],MATCH('Rekomendasi HAV'!$B65,Data_Assessment[[NAME]:[NAME]],0),MATCH('Rekomendasi HAV'!E$1,Data_Assessment[#Headers],0))</f>
        <v>0</v>
      </c>
      <c r="F65" s="68"/>
      <c r="G65" s="68">
        <f>IF(ISNUMBER(SEARCH("DEV",Assessment[[#This Row],[JOB TARGET]])),SUBSTITUTE(Assessment[[#This Row],[JOB TARGET]],"DEV","EST"),Assessment[[#This Row],[JOB TARGET]])</f>
        <v>0</v>
      </c>
      <c r="H65" s="146" t="str" cm="1">
        <f t="array" aca="1" ref="H65" ca="1">IF(Assessment[[#This Row],[JOB TARGET]]="","Job Target Kosong",IF(COUNT(IF('Data Assessment'!$N65:$Z65-OFFSET(Standar!$B$2,MATCH(Assessment[[#This Row],[JOB TARGET
(EST)]],Standar[NAMA JABATAN],0)-1,1,1,13)&lt;0,1,""))&lt;=3,'9 Grid'!$B$4,IF(COUNT(IF('Data Assessment'!$N65:$Z65-OFFSET(Standar!$B$2,MATCH(Assessment[[#This Row],[JOB TARGET]],Standar[NAMA JABATAN],0)-1,1,1,13)&lt;0,1,""))&gt;=7,'9 Grid'!$B$6,'9 Grid'!$B$5)))</f>
        <v>Job Target Kosong</v>
      </c>
      <c r="I65" s="146" t="str">
        <f>IFERROR(IF(Data_Assessment[[#This Row],[IPP (3 YEARS AVERAGE)]]="","(IPP Belum Ada)",IF(Data_Assessment[[#This Row],[IPP (3 YEARS AVERAGE)]]&lt;2,'9 Grid'!$F$2,IF(Data_Assessment[[#This Row],[IPP (3 YEARS AVERAGE)]]&gt;=4,'9 Grid'!$D$2,'9 Grid'!$E$2))),"")</f>
        <v>Fully Competence Performance</v>
      </c>
      <c r="J65" s="146" t="str">
        <f ca="1">IFERROR(INDEX('9 Grid'!$D$4:$F$6,MATCH('Rekomendasi HAV'!H65,'9 Grid'!$B$4:$B$6,0),MATCH('Rekomendasi HAV'!I65,'9 Grid'!$D$2:$F$2,0)),"")</f>
        <v/>
      </c>
      <c r="K65" s="146" t="str">
        <f>IFERROR(INDEX('9 Grid'!$D$8:$F$8,1,MATCH('Rekomendasi HAV'!I65,'9 Grid'!$D$2:$F$2,0)),"")</f>
        <v>(ST) Within 12 - 18 month</v>
      </c>
      <c r="L65" s="146">
        <f>IF(ISNUMBER(SEARCH("EST",Assessment[[#This Row],[JOB TARGET]])),SUBSTITUTE(Assessment[[#This Row],[JOB TARGET]],"EST","DEV"),Assessment[[#This Row],[JOB TARGET]])</f>
        <v>0</v>
      </c>
      <c r="M65" s="146" t="str" cm="1">
        <f t="array" aca="1" ref="M65" ca="1">IF(Assessment[[#This Row],[JOB TARGET]]="","Job Target Kosong",IF(COUNT(IF('Data Assessment'!$N65:$Z65-OFFSET(Standar!$B$2,MATCH(Assessment[[#This Row],[JOB TARGET
(DEV)]],Standar[NAMA JABATAN],0)-1,1,1,13)&lt;0,1,""))&lt;=3,'9 Grid'!$B$4,IF(COUNT(IF('Data Assessment'!$N65:$Z65-OFFSET(Standar!$B$2,MATCH(Assessment[[#This Row],[JOB TARGET
(DEV)]],Standar[NAMA JABATAN],0)-1,1,1,13)&lt;0,1,""))&gt;=7,'9 Grid'!$B$6,'9 Grid'!$B$5)))</f>
        <v>Job Target Kosong</v>
      </c>
      <c r="N65" s="146" t="str">
        <f>IFERROR(IF(Data_Assessment[[#This Row],[IPP (3 YEARS AVERAGE)]]="","(IPP Belum Ada)",IF(Data_Assessment[[#This Row],[IPP (3 YEARS AVERAGE)]]&lt;2,'9 Grid'!$F$2,IF(Data_Assessment[[#This Row],[IPP (3 YEARS AVERAGE)]]&gt;=4,'9 Grid'!$D$2,'9 Grid'!$E$2))),"")</f>
        <v>Fully Competence Performance</v>
      </c>
      <c r="O65" s="146" t="str">
        <f ca="1">IFERROR(INDEX('9 Grid'!$D$4:$F$6,MATCH('Rekomendasi HAV'!M65,'9 Grid'!$B$4:$B$6,0),MATCH('Rekomendasi HAV'!N65,'9 Grid'!$D$2:$F$2,0)),"")</f>
        <v/>
      </c>
      <c r="P65" s="147" t="str">
        <f>IFERROR(INDEX('9 Grid'!$D$8:$F$8,1,MATCH('Rekomendasi HAV'!N65,'9 Grid'!$D$2:$F$2,0)),"")</f>
        <v>(ST) Within 12 - 18 month</v>
      </c>
    </row>
    <row r="66" spans="1:16" ht="28.5">
      <c r="A66" s="67">
        <v>65</v>
      </c>
      <c r="B66" s="68" t="str">
        <f>INDEX(Data_Assessment[],MATCH('Rekomendasi HAV'!$A66,Data_Assessment[[INDEX]:[INDEX]],0),MATCH('Rekomendasi HAV'!B$1,Data_Assessment[#Headers],0))</f>
        <v>Herawati Kusumawardani</v>
      </c>
      <c r="C66" s="68" t="str">
        <f>INDEX(Data_Assessment[],MATCH('Rekomendasi HAV'!$A66,Data_Assessment[[INDEX]:[INDEX]],0),MATCH('Rekomendasi HAV'!C$1,Data_Assessment[#Headers],0))</f>
        <v>Medan</v>
      </c>
      <c r="D66" s="68" t="str">
        <f>INDEX(Data_Assessment[],MATCH('Rekomendasi HAV'!$A66,Data_Assessment[[INDEX]:[INDEX]],0),MATCH('Rekomendasi HAV'!D$1,Data_Assessment[#Headers],0))</f>
        <v>LSIP - RO Medan</v>
      </c>
      <c r="E66" s="68">
        <f>INDEX(Data_Assessment[],MATCH('Rekomendasi HAV'!$B66,Data_Assessment[[NAME]:[NAME]],0),MATCH('Rekomendasi HAV'!E$1,Data_Assessment[#Headers],0))</f>
        <v>0</v>
      </c>
      <c r="F66" s="68"/>
      <c r="G66" s="68">
        <f>IF(ISNUMBER(SEARCH("DEV",Assessment[[#This Row],[JOB TARGET]])),SUBSTITUTE(Assessment[[#This Row],[JOB TARGET]],"DEV","EST"),Assessment[[#This Row],[JOB TARGET]])</f>
        <v>0</v>
      </c>
      <c r="H66" s="146" t="str" cm="1">
        <f t="array" aca="1" ref="H66" ca="1">IF(Assessment[[#This Row],[JOB TARGET]]="","Job Target Kosong",IF(COUNT(IF('Data Assessment'!$N66:$Z66-OFFSET(Standar!$B$2,MATCH(Assessment[[#This Row],[JOB TARGET
(EST)]],Standar[NAMA JABATAN],0)-1,1,1,13)&lt;0,1,""))&lt;=3,'9 Grid'!$B$4,IF(COUNT(IF('Data Assessment'!$N66:$Z66-OFFSET(Standar!$B$2,MATCH(Assessment[[#This Row],[JOB TARGET]],Standar[NAMA JABATAN],0)-1,1,1,13)&lt;0,1,""))&gt;=7,'9 Grid'!$B$6,'9 Grid'!$B$5)))</f>
        <v>Job Target Kosong</v>
      </c>
      <c r="I66" s="146" t="str">
        <f>IFERROR(IF(Data_Assessment[[#This Row],[IPP (3 YEARS AVERAGE)]]="","(IPP Belum Ada)",IF(Data_Assessment[[#This Row],[IPP (3 YEARS AVERAGE)]]&lt;2,'9 Grid'!$F$2,IF(Data_Assessment[[#This Row],[IPP (3 YEARS AVERAGE)]]&gt;=4,'9 Grid'!$D$2,'9 Grid'!$E$2))),"")</f>
        <v>Fully Competence Performance</v>
      </c>
      <c r="J66" s="146" t="str">
        <f ca="1">IFERROR(INDEX('9 Grid'!$D$4:$F$6,MATCH('Rekomendasi HAV'!H66,'9 Grid'!$B$4:$B$6,0),MATCH('Rekomendasi HAV'!I66,'9 Grid'!$D$2:$F$2,0)),"")</f>
        <v/>
      </c>
      <c r="K66" s="146" t="str">
        <f>IFERROR(INDEX('9 Grid'!$D$8:$F$8,1,MATCH('Rekomendasi HAV'!I66,'9 Grid'!$D$2:$F$2,0)),"")</f>
        <v>(ST) Within 12 - 18 month</v>
      </c>
      <c r="L66" s="146">
        <f>IF(ISNUMBER(SEARCH("EST",Assessment[[#This Row],[JOB TARGET]])),SUBSTITUTE(Assessment[[#This Row],[JOB TARGET]],"EST","DEV"),Assessment[[#This Row],[JOB TARGET]])</f>
        <v>0</v>
      </c>
      <c r="M66" s="146" t="str" cm="1">
        <f t="array" aca="1" ref="M66" ca="1">IF(Assessment[[#This Row],[JOB TARGET]]="","Job Target Kosong",IF(COUNT(IF('Data Assessment'!$N66:$Z66-OFFSET(Standar!$B$2,MATCH(Assessment[[#This Row],[JOB TARGET
(DEV)]],Standar[NAMA JABATAN],0)-1,1,1,13)&lt;0,1,""))&lt;=3,'9 Grid'!$B$4,IF(COUNT(IF('Data Assessment'!$N66:$Z66-OFFSET(Standar!$B$2,MATCH(Assessment[[#This Row],[JOB TARGET
(DEV)]],Standar[NAMA JABATAN],0)-1,1,1,13)&lt;0,1,""))&gt;=7,'9 Grid'!$B$6,'9 Grid'!$B$5)))</f>
        <v>Job Target Kosong</v>
      </c>
      <c r="N66" s="146" t="str">
        <f>IFERROR(IF(Data_Assessment[[#This Row],[IPP (3 YEARS AVERAGE)]]="","(IPP Belum Ada)",IF(Data_Assessment[[#This Row],[IPP (3 YEARS AVERAGE)]]&lt;2,'9 Grid'!$F$2,IF(Data_Assessment[[#This Row],[IPP (3 YEARS AVERAGE)]]&gt;=4,'9 Grid'!$D$2,'9 Grid'!$E$2))),"")</f>
        <v>Fully Competence Performance</v>
      </c>
      <c r="O66" s="146" t="str">
        <f ca="1">IFERROR(INDEX('9 Grid'!$D$4:$F$6,MATCH('Rekomendasi HAV'!M66,'9 Grid'!$B$4:$B$6,0),MATCH('Rekomendasi HAV'!N66,'9 Grid'!$D$2:$F$2,0)),"")</f>
        <v/>
      </c>
      <c r="P66" s="147" t="str">
        <f>IFERROR(INDEX('9 Grid'!$D$8:$F$8,1,MATCH('Rekomendasi HAV'!N66,'9 Grid'!$D$2:$F$2,0)),"")</f>
        <v>(ST) Within 12 - 18 month</v>
      </c>
    </row>
    <row r="67" spans="1:16" ht="14.25">
      <c r="A67" s="67">
        <v>66</v>
      </c>
      <c r="B67" s="68" t="str">
        <f>INDEX(Data_Assessment[],MATCH('Rekomendasi HAV'!$A67,Data_Assessment[[INDEX]:[INDEX]],0),MATCH('Rekomendasi HAV'!B$1,Data_Assessment[#Headers],0))</f>
        <v>Rofina Budianto</v>
      </c>
      <c r="C67" s="68" t="str">
        <f>INDEX(Data_Assessment[],MATCH('Rekomendasi HAV'!$A67,Data_Assessment[[INDEX]:[INDEX]],0),MATCH('Rekomendasi HAV'!C$1,Data_Assessment[#Headers],0))</f>
        <v>Medan</v>
      </c>
      <c r="D67" s="68" t="str">
        <f>INDEX(Data_Assessment[],MATCH('Rekomendasi HAV'!$A67,Data_Assessment[[INDEX]:[INDEX]],0),MATCH('Rekomendasi HAV'!D$1,Data_Assessment[#Headers],0))</f>
        <v>LSIP - RO Medan</v>
      </c>
      <c r="E67" s="68">
        <f>INDEX(Data_Assessment[],MATCH('Rekomendasi HAV'!$B67,Data_Assessment[[NAME]:[NAME]],0),MATCH('Rekomendasi HAV'!E$1,Data_Assessment[#Headers],0))</f>
        <v>0</v>
      </c>
      <c r="F67" s="68"/>
      <c r="G67" s="68">
        <f>IF(ISNUMBER(SEARCH("DEV",Assessment[[#This Row],[JOB TARGET]])),SUBSTITUTE(Assessment[[#This Row],[JOB TARGET]],"DEV","EST"),Assessment[[#This Row],[JOB TARGET]])</f>
        <v>0</v>
      </c>
      <c r="H67" s="146" t="str" cm="1">
        <f t="array" aca="1" ref="H67" ca="1">IF(Assessment[[#This Row],[JOB TARGET]]="","Job Target Kosong",IF(COUNT(IF('Data Assessment'!$N67:$Z67-OFFSET(Standar!$B$2,MATCH(Assessment[[#This Row],[JOB TARGET
(EST)]],Standar[NAMA JABATAN],0)-1,1,1,13)&lt;0,1,""))&lt;=3,'9 Grid'!$B$4,IF(COUNT(IF('Data Assessment'!$N67:$Z67-OFFSET(Standar!$B$2,MATCH(Assessment[[#This Row],[JOB TARGET]],Standar[NAMA JABATAN],0)-1,1,1,13)&lt;0,1,""))&gt;=7,'9 Grid'!$B$6,'9 Grid'!$B$5)))</f>
        <v>Job Target Kosong</v>
      </c>
      <c r="I67" s="146" t="str">
        <f>IFERROR(IF(Data_Assessment[[#This Row],[IPP (3 YEARS AVERAGE)]]="","(IPP Belum Ada)",IF(Data_Assessment[[#This Row],[IPP (3 YEARS AVERAGE)]]&lt;2,'9 Grid'!$F$2,IF(Data_Assessment[[#This Row],[IPP (3 YEARS AVERAGE)]]&gt;=4,'9 Grid'!$D$2,'9 Grid'!$E$2))),"")</f>
        <v>Exceptional Performance</v>
      </c>
      <c r="J67" s="146" t="str">
        <f ca="1">IFERROR(INDEX('9 Grid'!$D$4:$F$6,MATCH('Rekomendasi HAV'!H67,'9 Grid'!$B$4:$B$6,0),MATCH('Rekomendasi HAV'!I67,'9 Grid'!$D$2:$F$2,0)),"")</f>
        <v/>
      </c>
      <c r="K67" s="146" t="str">
        <f>IFERROR(INDEX('9 Grid'!$D$8:$F$8,1,MATCH('Rekomendasi HAV'!I67,'9 Grid'!$D$2:$F$2,0)),"")</f>
        <v>(I) Immediately</v>
      </c>
      <c r="L67" s="146">
        <f>IF(ISNUMBER(SEARCH("EST",Assessment[[#This Row],[JOB TARGET]])),SUBSTITUTE(Assessment[[#This Row],[JOB TARGET]],"EST","DEV"),Assessment[[#This Row],[JOB TARGET]])</f>
        <v>0</v>
      </c>
      <c r="M67" s="146" t="str" cm="1">
        <f t="array" aca="1" ref="M67" ca="1">IF(Assessment[[#This Row],[JOB TARGET]]="","Job Target Kosong",IF(COUNT(IF('Data Assessment'!$N67:$Z67-OFFSET(Standar!$B$2,MATCH(Assessment[[#This Row],[JOB TARGET
(DEV)]],Standar[NAMA JABATAN],0)-1,1,1,13)&lt;0,1,""))&lt;=3,'9 Grid'!$B$4,IF(COUNT(IF('Data Assessment'!$N67:$Z67-OFFSET(Standar!$B$2,MATCH(Assessment[[#This Row],[JOB TARGET
(DEV)]],Standar[NAMA JABATAN],0)-1,1,1,13)&lt;0,1,""))&gt;=7,'9 Grid'!$B$6,'9 Grid'!$B$5)))</f>
        <v>Job Target Kosong</v>
      </c>
      <c r="N67" s="146" t="str">
        <f>IFERROR(IF(Data_Assessment[[#This Row],[IPP (3 YEARS AVERAGE)]]="","(IPP Belum Ada)",IF(Data_Assessment[[#This Row],[IPP (3 YEARS AVERAGE)]]&lt;2,'9 Grid'!$F$2,IF(Data_Assessment[[#This Row],[IPP (3 YEARS AVERAGE)]]&gt;=4,'9 Grid'!$D$2,'9 Grid'!$E$2))),"")</f>
        <v>Exceptional Performance</v>
      </c>
      <c r="O67" s="146" t="str">
        <f ca="1">IFERROR(INDEX('9 Grid'!$D$4:$F$6,MATCH('Rekomendasi HAV'!M67,'9 Grid'!$B$4:$B$6,0),MATCH('Rekomendasi HAV'!N67,'9 Grid'!$D$2:$F$2,0)),"")</f>
        <v/>
      </c>
      <c r="P67" s="147" t="str">
        <f>IFERROR(INDEX('9 Grid'!$D$8:$F$8,1,MATCH('Rekomendasi HAV'!N67,'9 Grid'!$D$2:$F$2,0)),"")</f>
        <v>(I) Immediately</v>
      </c>
    </row>
    <row r="68" spans="1:16" ht="28.5">
      <c r="A68" s="67">
        <v>67</v>
      </c>
      <c r="B68" s="68" t="str">
        <f>INDEX(Data_Assessment[],MATCH('Rekomendasi HAV'!$A68,Data_Assessment[[INDEX]:[INDEX]],0),MATCH('Rekomendasi HAV'!B$1,Data_Assessment[#Headers],0))</f>
        <v>Ahmad Ganti</v>
      </c>
      <c r="C68" s="68" t="str">
        <f>INDEX(Data_Assessment[],MATCH('Rekomendasi HAV'!$A68,Data_Assessment[[INDEX]:[INDEX]],0),MATCH('Rekomendasi HAV'!C$1,Data_Assessment[#Headers],0))</f>
        <v>Medan</v>
      </c>
      <c r="D68" s="68" t="str">
        <f>INDEX(Data_Assessment[],MATCH('Rekomendasi HAV'!$A68,Data_Assessment[[INDEX]:[INDEX]],0),MATCH('Rekomendasi HAV'!D$1,Data_Assessment[#Headers],0))</f>
        <v>LSIP - RO Medan</v>
      </c>
      <c r="E68" s="68">
        <f>INDEX(Data_Assessment[],MATCH('Rekomendasi HAV'!$B68,Data_Assessment[[NAME]:[NAME]],0),MATCH('Rekomendasi HAV'!E$1,Data_Assessment[#Headers],0))</f>
        <v>0</v>
      </c>
      <c r="F68" s="68"/>
      <c r="G68" s="68">
        <f>IF(ISNUMBER(SEARCH("DEV",Assessment[[#This Row],[JOB TARGET]])),SUBSTITUTE(Assessment[[#This Row],[JOB TARGET]],"DEV","EST"),Assessment[[#This Row],[JOB TARGET]])</f>
        <v>0</v>
      </c>
      <c r="H68" s="146" t="str" cm="1">
        <f t="array" aca="1" ref="H68" ca="1">IF(Assessment[[#This Row],[JOB TARGET]]="","Job Target Kosong",IF(COUNT(IF('Data Assessment'!$N68:$Z68-OFFSET(Standar!$B$2,MATCH(Assessment[[#This Row],[JOB TARGET
(EST)]],Standar[NAMA JABATAN],0)-1,1,1,13)&lt;0,1,""))&lt;=3,'9 Grid'!$B$4,IF(COUNT(IF('Data Assessment'!$N68:$Z68-OFFSET(Standar!$B$2,MATCH(Assessment[[#This Row],[JOB TARGET]],Standar[NAMA JABATAN],0)-1,1,1,13)&lt;0,1,""))&gt;=7,'9 Grid'!$B$6,'9 Grid'!$B$5)))</f>
        <v>Job Target Kosong</v>
      </c>
      <c r="I68" s="146" t="str">
        <f>IFERROR(IF(Data_Assessment[[#This Row],[IPP (3 YEARS AVERAGE)]]="","(IPP Belum Ada)",IF(Data_Assessment[[#This Row],[IPP (3 YEARS AVERAGE)]]&lt;2,'9 Grid'!$F$2,IF(Data_Assessment[[#This Row],[IPP (3 YEARS AVERAGE)]]&gt;=4,'9 Grid'!$D$2,'9 Grid'!$E$2))),"")</f>
        <v>Fully Competence Performance</v>
      </c>
      <c r="J68" s="146" t="str">
        <f ca="1">IFERROR(INDEX('9 Grid'!$D$4:$F$6,MATCH('Rekomendasi HAV'!H68,'9 Grid'!$B$4:$B$6,0),MATCH('Rekomendasi HAV'!I68,'9 Grid'!$D$2:$F$2,0)),"")</f>
        <v/>
      </c>
      <c r="K68" s="146" t="str">
        <f>IFERROR(INDEX('9 Grid'!$D$8:$F$8,1,MATCH('Rekomendasi HAV'!I68,'9 Grid'!$D$2:$F$2,0)),"")</f>
        <v>(ST) Within 12 - 18 month</v>
      </c>
      <c r="L68" s="146">
        <f>IF(ISNUMBER(SEARCH("EST",Assessment[[#This Row],[JOB TARGET]])),SUBSTITUTE(Assessment[[#This Row],[JOB TARGET]],"EST","DEV"),Assessment[[#This Row],[JOB TARGET]])</f>
        <v>0</v>
      </c>
      <c r="M68" s="146" t="str" cm="1">
        <f t="array" aca="1" ref="M68" ca="1">IF(Assessment[[#This Row],[JOB TARGET]]="","Job Target Kosong",IF(COUNT(IF('Data Assessment'!$N68:$Z68-OFFSET(Standar!$B$2,MATCH(Assessment[[#This Row],[JOB TARGET
(DEV)]],Standar[NAMA JABATAN],0)-1,1,1,13)&lt;0,1,""))&lt;=3,'9 Grid'!$B$4,IF(COUNT(IF('Data Assessment'!$N68:$Z68-OFFSET(Standar!$B$2,MATCH(Assessment[[#This Row],[JOB TARGET
(DEV)]],Standar[NAMA JABATAN],0)-1,1,1,13)&lt;0,1,""))&gt;=7,'9 Grid'!$B$6,'9 Grid'!$B$5)))</f>
        <v>Job Target Kosong</v>
      </c>
      <c r="N68" s="146" t="str">
        <f>IFERROR(IF(Data_Assessment[[#This Row],[IPP (3 YEARS AVERAGE)]]="","(IPP Belum Ada)",IF(Data_Assessment[[#This Row],[IPP (3 YEARS AVERAGE)]]&lt;2,'9 Grid'!$F$2,IF(Data_Assessment[[#This Row],[IPP (3 YEARS AVERAGE)]]&gt;=4,'9 Grid'!$D$2,'9 Grid'!$E$2))),"")</f>
        <v>Fully Competence Performance</v>
      </c>
      <c r="O68" s="146" t="str">
        <f ca="1">IFERROR(INDEX('9 Grid'!$D$4:$F$6,MATCH('Rekomendasi HAV'!M68,'9 Grid'!$B$4:$B$6,0),MATCH('Rekomendasi HAV'!N68,'9 Grid'!$D$2:$F$2,0)),"")</f>
        <v/>
      </c>
      <c r="P68" s="147" t="str">
        <f>IFERROR(INDEX('9 Grid'!$D$8:$F$8,1,MATCH('Rekomendasi HAV'!N68,'9 Grid'!$D$2:$F$2,0)),"")</f>
        <v>(ST) Within 12 - 18 month</v>
      </c>
    </row>
    <row r="69" spans="1:16" ht="14.25">
      <c r="A69" s="67">
        <v>68</v>
      </c>
      <c r="B69" s="68" t="str">
        <f>INDEX(Data_Assessment[],MATCH('Rekomendasi HAV'!$A69,Data_Assessment[[INDEX]:[INDEX]],0),MATCH('Rekomendasi HAV'!B$1,Data_Assessment[#Headers],0))</f>
        <v>Wulan Sarie Soekiman</v>
      </c>
      <c r="C69" s="68" t="str">
        <f>INDEX(Data_Assessment[],MATCH('Rekomendasi HAV'!$A69,Data_Assessment[[INDEX]:[INDEX]],0),MATCH('Rekomendasi HAV'!C$1,Data_Assessment[#Headers],0))</f>
        <v>Medan</v>
      </c>
      <c r="D69" s="68" t="str">
        <f>INDEX(Data_Assessment[],MATCH('Rekomendasi HAV'!$A69,Data_Assessment[[INDEX]:[INDEX]],0),MATCH('Rekomendasi HAV'!D$1,Data_Assessment[#Headers],0))</f>
        <v>LSIP - RO Medan</v>
      </c>
      <c r="E69" s="68">
        <f>INDEX(Data_Assessment[],MATCH('Rekomendasi HAV'!$B69,Data_Assessment[[NAME]:[NAME]],0),MATCH('Rekomendasi HAV'!E$1,Data_Assessment[#Headers],0))</f>
        <v>0</v>
      </c>
      <c r="F69" s="68"/>
      <c r="G69" s="68">
        <f>IF(ISNUMBER(SEARCH("DEV",Assessment[[#This Row],[JOB TARGET]])),SUBSTITUTE(Assessment[[#This Row],[JOB TARGET]],"DEV","EST"),Assessment[[#This Row],[JOB TARGET]])</f>
        <v>0</v>
      </c>
      <c r="H69" s="146" t="str" cm="1">
        <f t="array" aca="1" ref="H69" ca="1">IF(Assessment[[#This Row],[JOB TARGET]]="","Job Target Kosong",IF(COUNT(IF('Data Assessment'!$N69:$Z69-OFFSET(Standar!$B$2,MATCH(Assessment[[#This Row],[JOB TARGET
(EST)]],Standar[NAMA JABATAN],0)-1,1,1,13)&lt;0,1,""))&lt;=3,'9 Grid'!$B$4,IF(COUNT(IF('Data Assessment'!$N69:$Z69-OFFSET(Standar!$B$2,MATCH(Assessment[[#This Row],[JOB TARGET]],Standar[NAMA JABATAN],0)-1,1,1,13)&lt;0,1,""))&gt;=7,'9 Grid'!$B$6,'9 Grid'!$B$5)))</f>
        <v>Job Target Kosong</v>
      </c>
      <c r="I69" s="146" t="str">
        <f>IFERROR(IF(Data_Assessment[[#This Row],[IPP (3 YEARS AVERAGE)]]="","(IPP Belum Ada)",IF(Data_Assessment[[#This Row],[IPP (3 YEARS AVERAGE)]]&lt;2,'9 Grid'!$F$2,IF(Data_Assessment[[#This Row],[IPP (3 YEARS AVERAGE)]]&gt;=4,'9 Grid'!$D$2,'9 Grid'!$E$2))),"")</f>
        <v>Exceptional Performance</v>
      </c>
      <c r="J69" s="146" t="str">
        <f ca="1">IFERROR(INDEX('9 Grid'!$D$4:$F$6,MATCH('Rekomendasi HAV'!H69,'9 Grid'!$B$4:$B$6,0),MATCH('Rekomendasi HAV'!I69,'9 Grid'!$D$2:$F$2,0)),"")</f>
        <v/>
      </c>
      <c r="K69" s="146" t="str">
        <f>IFERROR(INDEX('9 Grid'!$D$8:$F$8,1,MATCH('Rekomendasi HAV'!I69,'9 Grid'!$D$2:$F$2,0)),"")</f>
        <v>(I) Immediately</v>
      </c>
      <c r="L69" s="146">
        <f>IF(ISNUMBER(SEARCH("EST",Assessment[[#This Row],[JOB TARGET]])),SUBSTITUTE(Assessment[[#This Row],[JOB TARGET]],"EST","DEV"),Assessment[[#This Row],[JOB TARGET]])</f>
        <v>0</v>
      </c>
      <c r="M69" s="146" t="str" cm="1">
        <f t="array" aca="1" ref="M69" ca="1">IF(Assessment[[#This Row],[JOB TARGET]]="","Job Target Kosong",IF(COUNT(IF('Data Assessment'!$N69:$Z69-OFFSET(Standar!$B$2,MATCH(Assessment[[#This Row],[JOB TARGET
(DEV)]],Standar[NAMA JABATAN],0)-1,1,1,13)&lt;0,1,""))&lt;=3,'9 Grid'!$B$4,IF(COUNT(IF('Data Assessment'!$N69:$Z69-OFFSET(Standar!$B$2,MATCH(Assessment[[#This Row],[JOB TARGET
(DEV)]],Standar[NAMA JABATAN],0)-1,1,1,13)&lt;0,1,""))&gt;=7,'9 Grid'!$B$6,'9 Grid'!$B$5)))</f>
        <v>Job Target Kosong</v>
      </c>
      <c r="N69" s="146" t="str">
        <f>IFERROR(IF(Data_Assessment[[#This Row],[IPP (3 YEARS AVERAGE)]]="","(IPP Belum Ada)",IF(Data_Assessment[[#This Row],[IPP (3 YEARS AVERAGE)]]&lt;2,'9 Grid'!$F$2,IF(Data_Assessment[[#This Row],[IPP (3 YEARS AVERAGE)]]&gt;=4,'9 Grid'!$D$2,'9 Grid'!$E$2))),"")</f>
        <v>Exceptional Performance</v>
      </c>
      <c r="O69" s="146" t="str">
        <f ca="1">IFERROR(INDEX('9 Grid'!$D$4:$F$6,MATCH('Rekomendasi HAV'!M69,'9 Grid'!$B$4:$B$6,0),MATCH('Rekomendasi HAV'!N69,'9 Grid'!$D$2:$F$2,0)),"")</f>
        <v/>
      </c>
      <c r="P69" s="147" t="str">
        <f>IFERROR(INDEX('9 Grid'!$D$8:$F$8,1,MATCH('Rekomendasi HAV'!N69,'9 Grid'!$D$2:$F$2,0)),"")</f>
        <v>(I) Immediately</v>
      </c>
    </row>
    <row r="70" spans="1:16" ht="14.25">
      <c r="A70" s="67">
        <v>69</v>
      </c>
      <c r="B70" s="68" t="str">
        <f>INDEX(Data_Assessment[],MATCH('Rekomendasi HAV'!$A70,Data_Assessment[[INDEX]:[INDEX]],0),MATCH('Rekomendasi HAV'!B$1,Data_Assessment[#Headers],0))</f>
        <v>Alam Jaya</v>
      </c>
      <c r="C70" s="68" t="str">
        <f>INDEX(Data_Assessment[],MATCH('Rekomendasi HAV'!$A70,Data_Assessment[[INDEX]:[INDEX]],0),MATCH('Rekomendasi HAV'!C$1,Data_Assessment[#Headers],0))</f>
        <v>Medan</v>
      </c>
      <c r="D70" s="68" t="str">
        <f>INDEX(Data_Assessment[],MATCH('Rekomendasi HAV'!$A70,Data_Assessment[[INDEX]:[INDEX]],0),MATCH('Rekomendasi HAV'!D$1,Data_Assessment[#Headers],0))</f>
        <v>LSIP - RO Medan</v>
      </c>
      <c r="E70" s="68">
        <f>INDEX(Data_Assessment[],MATCH('Rekomendasi HAV'!$B70,Data_Assessment[[NAME]:[NAME]],0),MATCH('Rekomendasi HAV'!E$1,Data_Assessment[#Headers],0))</f>
        <v>0</v>
      </c>
      <c r="F70" s="68"/>
      <c r="G70" s="68">
        <f>IF(ISNUMBER(SEARCH("DEV",Assessment[[#This Row],[JOB TARGET]])),SUBSTITUTE(Assessment[[#This Row],[JOB TARGET]],"DEV","EST"),Assessment[[#This Row],[JOB TARGET]])</f>
        <v>0</v>
      </c>
      <c r="H70" s="146" t="str" cm="1">
        <f t="array" aca="1" ref="H70" ca="1">IF(Assessment[[#This Row],[JOB TARGET]]="","Job Target Kosong",IF(COUNT(IF('Data Assessment'!$N70:$Z70-OFFSET(Standar!$B$2,MATCH(Assessment[[#This Row],[JOB TARGET
(EST)]],Standar[NAMA JABATAN],0)-1,1,1,13)&lt;0,1,""))&lt;=3,'9 Grid'!$B$4,IF(COUNT(IF('Data Assessment'!$N70:$Z70-OFFSET(Standar!$B$2,MATCH(Assessment[[#This Row],[JOB TARGET]],Standar[NAMA JABATAN],0)-1,1,1,13)&lt;0,1,""))&gt;=7,'9 Grid'!$B$6,'9 Grid'!$B$5)))</f>
        <v>Job Target Kosong</v>
      </c>
      <c r="I70" s="146" t="str">
        <f>IFERROR(IF(Data_Assessment[[#This Row],[IPP (3 YEARS AVERAGE)]]="","(IPP Belum Ada)",IF(Data_Assessment[[#This Row],[IPP (3 YEARS AVERAGE)]]&lt;2,'9 Grid'!$F$2,IF(Data_Assessment[[#This Row],[IPP (3 YEARS AVERAGE)]]&gt;=4,'9 Grid'!$D$2,'9 Grid'!$E$2))),"")</f>
        <v>Exceptional Performance</v>
      </c>
      <c r="J70" s="146" t="str">
        <f ca="1">IFERROR(INDEX('9 Grid'!$D$4:$F$6,MATCH('Rekomendasi HAV'!H70,'9 Grid'!$B$4:$B$6,0),MATCH('Rekomendasi HAV'!I70,'9 Grid'!$D$2:$F$2,0)),"")</f>
        <v/>
      </c>
      <c r="K70" s="146" t="str">
        <f>IFERROR(INDEX('9 Grid'!$D$8:$F$8,1,MATCH('Rekomendasi HAV'!I70,'9 Grid'!$D$2:$F$2,0)),"")</f>
        <v>(I) Immediately</v>
      </c>
      <c r="L70" s="146">
        <f>IF(ISNUMBER(SEARCH("EST",Assessment[[#This Row],[JOB TARGET]])),SUBSTITUTE(Assessment[[#This Row],[JOB TARGET]],"EST","DEV"),Assessment[[#This Row],[JOB TARGET]])</f>
        <v>0</v>
      </c>
      <c r="M70" s="146" t="str" cm="1">
        <f t="array" aca="1" ref="M70" ca="1">IF(Assessment[[#This Row],[JOB TARGET]]="","Job Target Kosong",IF(COUNT(IF('Data Assessment'!$N70:$Z70-OFFSET(Standar!$B$2,MATCH(Assessment[[#This Row],[JOB TARGET
(DEV)]],Standar[NAMA JABATAN],0)-1,1,1,13)&lt;0,1,""))&lt;=3,'9 Grid'!$B$4,IF(COUNT(IF('Data Assessment'!$N70:$Z70-OFFSET(Standar!$B$2,MATCH(Assessment[[#This Row],[JOB TARGET
(DEV)]],Standar[NAMA JABATAN],0)-1,1,1,13)&lt;0,1,""))&gt;=7,'9 Grid'!$B$6,'9 Grid'!$B$5)))</f>
        <v>Job Target Kosong</v>
      </c>
      <c r="N70" s="146" t="str">
        <f>IFERROR(IF(Data_Assessment[[#This Row],[IPP (3 YEARS AVERAGE)]]="","(IPP Belum Ada)",IF(Data_Assessment[[#This Row],[IPP (3 YEARS AVERAGE)]]&lt;2,'9 Grid'!$F$2,IF(Data_Assessment[[#This Row],[IPP (3 YEARS AVERAGE)]]&gt;=4,'9 Grid'!$D$2,'9 Grid'!$E$2))),"")</f>
        <v>Exceptional Performance</v>
      </c>
      <c r="O70" s="146" t="str">
        <f ca="1">IFERROR(INDEX('9 Grid'!$D$4:$F$6,MATCH('Rekomendasi HAV'!M70,'9 Grid'!$B$4:$B$6,0),MATCH('Rekomendasi HAV'!N70,'9 Grid'!$D$2:$F$2,0)),"")</f>
        <v/>
      </c>
      <c r="P70" s="147" t="str">
        <f>IFERROR(INDEX('9 Grid'!$D$8:$F$8,1,MATCH('Rekomendasi HAV'!N70,'9 Grid'!$D$2:$F$2,0)),"")</f>
        <v>(I) Immediately</v>
      </c>
    </row>
    <row r="71" spans="1:16" ht="28.5">
      <c r="A71" s="67">
        <v>70</v>
      </c>
      <c r="B71" s="68" t="str">
        <f>INDEX(Data_Assessment[],MATCH('Rekomendasi HAV'!$A71,Data_Assessment[[INDEX]:[INDEX]],0),MATCH('Rekomendasi HAV'!B$1,Data_Assessment[#Headers],0))</f>
        <v>Joko Mariamansya</v>
      </c>
      <c r="C71" s="68" t="str">
        <f>INDEX(Data_Assessment[],MATCH('Rekomendasi HAV'!$A71,Data_Assessment[[INDEX]:[INDEX]],0),MATCH('Rekomendasi HAV'!C$1,Data_Assessment[#Headers],0))</f>
        <v>Medan</v>
      </c>
      <c r="D71" s="68" t="str">
        <f>INDEX(Data_Assessment[],MATCH('Rekomendasi HAV'!$A71,Data_Assessment[[INDEX]:[INDEX]],0),MATCH('Rekomendasi HAV'!D$1,Data_Assessment[#Headers],0))</f>
        <v>LSIP - RO Medan</v>
      </c>
      <c r="E71" s="68">
        <f>INDEX(Data_Assessment[],MATCH('Rekomendasi HAV'!$B71,Data_Assessment[[NAME]:[NAME]],0),MATCH('Rekomendasi HAV'!E$1,Data_Assessment[#Headers],0))</f>
        <v>0</v>
      </c>
      <c r="F71" s="68"/>
      <c r="G71" s="68">
        <f>IF(ISNUMBER(SEARCH("DEV",Assessment[[#This Row],[JOB TARGET]])),SUBSTITUTE(Assessment[[#This Row],[JOB TARGET]],"DEV","EST"),Assessment[[#This Row],[JOB TARGET]])</f>
        <v>0</v>
      </c>
      <c r="H71" s="146" t="str" cm="1">
        <f t="array" aca="1" ref="H71" ca="1">IF(Assessment[[#This Row],[JOB TARGET]]="","Job Target Kosong",IF(COUNT(IF('Data Assessment'!$N71:$Z71-OFFSET(Standar!$B$2,MATCH(Assessment[[#This Row],[JOB TARGET
(EST)]],Standar[NAMA JABATAN],0)-1,1,1,13)&lt;0,1,""))&lt;=3,'9 Grid'!$B$4,IF(COUNT(IF('Data Assessment'!$N71:$Z71-OFFSET(Standar!$B$2,MATCH(Assessment[[#This Row],[JOB TARGET]],Standar[NAMA JABATAN],0)-1,1,1,13)&lt;0,1,""))&gt;=7,'9 Grid'!$B$6,'9 Grid'!$B$5)))</f>
        <v>Job Target Kosong</v>
      </c>
      <c r="I71" s="146" t="str">
        <f>IFERROR(IF(Data_Assessment[[#This Row],[IPP (3 YEARS AVERAGE)]]="","(IPP Belum Ada)",IF(Data_Assessment[[#This Row],[IPP (3 YEARS AVERAGE)]]&lt;2,'9 Grid'!$F$2,IF(Data_Assessment[[#This Row],[IPP (3 YEARS AVERAGE)]]&gt;=4,'9 Grid'!$D$2,'9 Grid'!$E$2))),"")</f>
        <v>Fully Competence Performance</v>
      </c>
      <c r="J71" s="146" t="str">
        <f ca="1">IFERROR(INDEX('9 Grid'!$D$4:$F$6,MATCH('Rekomendasi HAV'!H71,'9 Grid'!$B$4:$B$6,0),MATCH('Rekomendasi HAV'!I71,'9 Grid'!$D$2:$F$2,0)),"")</f>
        <v/>
      </c>
      <c r="K71" s="146" t="str">
        <f>IFERROR(INDEX('9 Grid'!$D$8:$F$8,1,MATCH('Rekomendasi HAV'!I71,'9 Grid'!$D$2:$F$2,0)),"")</f>
        <v>(ST) Within 12 - 18 month</v>
      </c>
      <c r="L71" s="146">
        <f>IF(ISNUMBER(SEARCH("EST",Assessment[[#This Row],[JOB TARGET]])),SUBSTITUTE(Assessment[[#This Row],[JOB TARGET]],"EST","DEV"),Assessment[[#This Row],[JOB TARGET]])</f>
        <v>0</v>
      </c>
      <c r="M71" s="146" t="str" cm="1">
        <f t="array" aca="1" ref="M71" ca="1">IF(Assessment[[#This Row],[JOB TARGET]]="","Job Target Kosong",IF(COUNT(IF('Data Assessment'!$N71:$Z71-OFFSET(Standar!$B$2,MATCH(Assessment[[#This Row],[JOB TARGET
(DEV)]],Standar[NAMA JABATAN],0)-1,1,1,13)&lt;0,1,""))&lt;=3,'9 Grid'!$B$4,IF(COUNT(IF('Data Assessment'!$N71:$Z71-OFFSET(Standar!$B$2,MATCH(Assessment[[#This Row],[JOB TARGET
(DEV)]],Standar[NAMA JABATAN],0)-1,1,1,13)&lt;0,1,""))&gt;=7,'9 Grid'!$B$6,'9 Grid'!$B$5)))</f>
        <v>Job Target Kosong</v>
      </c>
      <c r="N71" s="146" t="str">
        <f>IFERROR(IF(Data_Assessment[[#This Row],[IPP (3 YEARS AVERAGE)]]="","(IPP Belum Ada)",IF(Data_Assessment[[#This Row],[IPP (3 YEARS AVERAGE)]]&lt;2,'9 Grid'!$F$2,IF(Data_Assessment[[#This Row],[IPP (3 YEARS AVERAGE)]]&gt;=4,'9 Grid'!$D$2,'9 Grid'!$E$2))),"")</f>
        <v>Fully Competence Performance</v>
      </c>
      <c r="O71" s="146" t="str">
        <f ca="1">IFERROR(INDEX('9 Grid'!$D$4:$F$6,MATCH('Rekomendasi HAV'!M71,'9 Grid'!$B$4:$B$6,0),MATCH('Rekomendasi HAV'!N71,'9 Grid'!$D$2:$F$2,0)),"")</f>
        <v/>
      </c>
      <c r="P71" s="147" t="str">
        <f>IFERROR(INDEX('9 Grid'!$D$8:$F$8,1,MATCH('Rekomendasi HAV'!N71,'9 Grid'!$D$2:$F$2,0)),"")</f>
        <v>(ST) Within 12 - 18 month</v>
      </c>
    </row>
    <row r="72" spans="1:16" ht="28.5">
      <c r="A72" s="67">
        <v>71</v>
      </c>
      <c r="B72" s="68" t="str">
        <f>INDEX(Data_Assessment[],MATCH('Rekomendasi HAV'!$A72,Data_Assessment[[INDEX]:[INDEX]],0),MATCH('Rekomendasi HAV'!B$1,Data_Assessment[#Headers],0))</f>
        <v>M. Alan Daulay</v>
      </c>
      <c r="C72" s="68" t="str">
        <f>INDEX(Data_Assessment[],MATCH('Rekomendasi HAV'!$A72,Data_Assessment[[INDEX]:[INDEX]],0),MATCH('Rekomendasi HAV'!C$1,Data_Assessment[#Headers],0))</f>
        <v>Medan</v>
      </c>
      <c r="D72" s="68" t="str">
        <f>INDEX(Data_Assessment[],MATCH('Rekomendasi HAV'!$A72,Data_Assessment[[INDEX]:[INDEX]],0),MATCH('Rekomendasi HAV'!D$1,Data_Assessment[#Headers],0))</f>
        <v>LSIP - RO Medan</v>
      </c>
      <c r="E72" s="68">
        <f>INDEX(Data_Assessment[],MATCH('Rekomendasi HAV'!$B72,Data_Assessment[[NAME]:[NAME]],0),MATCH('Rekomendasi HAV'!E$1,Data_Assessment[#Headers],0))</f>
        <v>0</v>
      </c>
      <c r="F72" s="68"/>
      <c r="G72" s="68">
        <f>IF(ISNUMBER(SEARCH("DEV",Assessment[[#This Row],[JOB TARGET]])),SUBSTITUTE(Assessment[[#This Row],[JOB TARGET]],"DEV","EST"),Assessment[[#This Row],[JOB TARGET]])</f>
        <v>0</v>
      </c>
      <c r="H72" s="146" t="str" cm="1">
        <f t="array" aca="1" ref="H72" ca="1">IF(Assessment[[#This Row],[JOB TARGET]]="","Job Target Kosong",IF(COUNT(IF('Data Assessment'!$N72:$Z72-OFFSET(Standar!$B$2,MATCH(Assessment[[#This Row],[JOB TARGET
(EST)]],Standar[NAMA JABATAN],0)-1,1,1,13)&lt;0,1,""))&lt;=3,'9 Grid'!$B$4,IF(COUNT(IF('Data Assessment'!$N72:$Z72-OFFSET(Standar!$B$2,MATCH(Assessment[[#This Row],[JOB TARGET]],Standar[NAMA JABATAN],0)-1,1,1,13)&lt;0,1,""))&gt;=7,'9 Grid'!$B$6,'9 Grid'!$B$5)))</f>
        <v>Job Target Kosong</v>
      </c>
      <c r="I72" s="146" t="str">
        <f>IFERROR(IF(Data_Assessment[[#This Row],[IPP (3 YEARS AVERAGE)]]="","(IPP Belum Ada)",IF(Data_Assessment[[#This Row],[IPP (3 YEARS AVERAGE)]]&lt;2,'9 Grid'!$F$2,IF(Data_Assessment[[#This Row],[IPP (3 YEARS AVERAGE)]]&gt;=4,'9 Grid'!$D$2,'9 Grid'!$E$2))),"")</f>
        <v>Fully Competence Performance</v>
      </c>
      <c r="J72" s="146" t="str">
        <f ca="1">IFERROR(INDEX('9 Grid'!$D$4:$F$6,MATCH('Rekomendasi HAV'!H72,'9 Grid'!$B$4:$B$6,0),MATCH('Rekomendasi HAV'!I72,'9 Grid'!$D$2:$F$2,0)),"")</f>
        <v/>
      </c>
      <c r="K72" s="146" t="str">
        <f>IFERROR(INDEX('9 Grid'!$D$8:$F$8,1,MATCH('Rekomendasi HAV'!I72,'9 Grid'!$D$2:$F$2,0)),"")</f>
        <v>(ST) Within 12 - 18 month</v>
      </c>
      <c r="L72" s="146">
        <f>IF(ISNUMBER(SEARCH("EST",Assessment[[#This Row],[JOB TARGET]])),SUBSTITUTE(Assessment[[#This Row],[JOB TARGET]],"EST","DEV"),Assessment[[#This Row],[JOB TARGET]])</f>
        <v>0</v>
      </c>
      <c r="M72" s="146" t="str" cm="1">
        <f t="array" aca="1" ref="M72" ca="1">IF(Assessment[[#This Row],[JOB TARGET]]="","Job Target Kosong",IF(COUNT(IF('Data Assessment'!$N72:$Z72-OFFSET(Standar!$B$2,MATCH(Assessment[[#This Row],[JOB TARGET
(DEV)]],Standar[NAMA JABATAN],0)-1,1,1,13)&lt;0,1,""))&lt;=3,'9 Grid'!$B$4,IF(COUNT(IF('Data Assessment'!$N72:$Z72-OFFSET(Standar!$B$2,MATCH(Assessment[[#This Row],[JOB TARGET
(DEV)]],Standar[NAMA JABATAN],0)-1,1,1,13)&lt;0,1,""))&gt;=7,'9 Grid'!$B$6,'9 Grid'!$B$5)))</f>
        <v>Job Target Kosong</v>
      </c>
      <c r="N72" s="146" t="str">
        <f>IFERROR(IF(Data_Assessment[[#This Row],[IPP (3 YEARS AVERAGE)]]="","(IPP Belum Ada)",IF(Data_Assessment[[#This Row],[IPP (3 YEARS AVERAGE)]]&lt;2,'9 Grid'!$F$2,IF(Data_Assessment[[#This Row],[IPP (3 YEARS AVERAGE)]]&gt;=4,'9 Grid'!$D$2,'9 Grid'!$E$2))),"")</f>
        <v>Fully Competence Performance</v>
      </c>
      <c r="O72" s="146" t="str">
        <f ca="1">IFERROR(INDEX('9 Grid'!$D$4:$F$6,MATCH('Rekomendasi HAV'!M72,'9 Grid'!$B$4:$B$6,0),MATCH('Rekomendasi HAV'!N72,'9 Grid'!$D$2:$F$2,0)),"")</f>
        <v/>
      </c>
      <c r="P72" s="147" t="str">
        <f>IFERROR(INDEX('9 Grid'!$D$8:$F$8,1,MATCH('Rekomendasi HAV'!N72,'9 Grid'!$D$2:$F$2,0)),"")</f>
        <v>(ST) Within 12 - 18 month</v>
      </c>
    </row>
    <row r="73" spans="1:16" ht="28.5">
      <c r="A73" s="67">
        <v>72</v>
      </c>
      <c r="B73" s="68" t="str">
        <f>INDEX(Data_Assessment[],MATCH('Rekomendasi HAV'!$A73,Data_Assessment[[INDEX]:[INDEX]],0),MATCH('Rekomendasi HAV'!B$1,Data_Assessment[#Headers],0))</f>
        <v>Agus Prihadi</v>
      </c>
      <c r="C73" s="68" t="str">
        <f>INDEX(Data_Assessment[],MATCH('Rekomendasi HAV'!$A73,Data_Assessment[[INDEX]:[INDEX]],0),MATCH('Rekomendasi HAV'!C$1,Data_Assessment[#Headers],0))</f>
        <v>Medan</v>
      </c>
      <c r="D73" s="68" t="str">
        <f>INDEX(Data_Assessment[],MATCH('Rekomendasi HAV'!$A73,Data_Assessment[[INDEX]:[INDEX]],0),MATCH('Rekomendasi HAV'!D$1,Data_Assessment[#Headers],0))</f>
        <v>LSIP - RO Medan</v>
      </c>
      <c r="E73" s="68">
        <f>INDEX(Data_Assessment[],MATCH('Rekomendasi HAV'!$B73,Data_Assessment[[NAME]:[NAME]],0),MATCH('Rekomendasi HAV'!E$1,Data_Assessment[#Headers],0))</f>
        <v>0</v>
      </c>
      <c r="F73" s="68"/>
      <c r="G73" s="68">
        <f>IF(ISNUMBER(SEARCH("DEV",Assessment[[#This Row],[JOB TARGET]])),SUBSTITUTE(Assessment[[#This Row],[JOB TARGET]],"DEV","EST"),Assessment[[#This Row],[JOB TARGET]])</f>
        <v>0</v>
      </c>
      <c r="H73" s="146" t="str" cm="1">
        <f t="array" aca="1" ref="H73" ca="1">IF(Assessment[[#This Row],[JOB TARGET]]="","Job Target Kosong",IF(COUNT(IF('Data Assessment'!$N73:$Z73-OFFSET(Standar!$B$2,MATCH(Assessment[[#This Row],[JOB TARGET
(EST)]],Standar[NAMA JABATAN],0)-1,1,1,13)&lt;0,1,""))&lt;=3,'9 Grid'!$B$4,IF(COUNT(IF('Data Assessment'!$N73:$Z73-OFFSET(Standar!$B$2,MATCH(Assessment[[#This Row],[JOB TARGET]],Standar[NAMA JABATAN],0)-1,1,1,13)&lt;0,1,""))&gt;=7,'9 Grid'!$B$6,'9 Grid'!$B$5)))</f>
        <v>Job Target Kosong</v>
      </c>
      <c r="I73" s="146" t="str">
        <f>IFERROR(IF(Data_Assessment[[#This Row],[IPP (3 YEARS AVERAGE)]]="","(IPP Belum Ada)",IF(Data_Assessment[[#This Row],[IPP (3 YEARS AVERAGE)]]&lt;2,'9 Grid'!$F$2,IF(Data_Assessment[[#This Row],[IPP (3 YEARS AVERAGE)]]&gt;=4,'9 Grid'!$D$2,'9 Grid'!$E$2))),"")</f>
        <v>Fully Competence Performance</v>
      </c>
      <c r="J73" s="146" t="str">
        <f ca="1">IFERROR(INDEX('9 Grid'!$D$4:$F$6,MATCH('Rekomendasi HAV'!H73,'9 Grid'!$B$4:$B$6,0),MATCH('Rekomendasi HAV'!I73,'9 Grid'!$D$2:$F$2,0)),"")</f>
        <v/>
      </c>
      <c r="K73" s="146" t="str">
        <f>IFERROR(INDEX('9 Grid'!$D$8:$F$8,1,MATCH('Rekomendasi HAV'!I73,'9 Grid'!$D$2:$F$2,0)),"")</f>
        <v>(ST) Within 12 - 18 month</v>
      </c>
      <c r="L73" s="146">
        <f>IF(ISNUMBER(SEARCH("EST",Assessment[[#This Row],[JOB TARGET]])),SUBSTITUTE(Assessment[[#This Row],[JOB TARGET]],"EST","DEV"),Assessment[[#This Row],[JOB TARGET]])</f>
        <v>0</v>
      </c>
      <c r="M73" s="146" t="str" cm="1">
        <f t="array" aca="1" ref="M73" ca="1">IF(Assessment[[#This Row],[JOB TARGET]]="","Job Target Kosong",IF(COUNT(IF('Data Assessment'!$N73:$Z73-OFFSET(Standar!$B$2,MATCH(Assessment[[#This Row],[JOB TARGET
(DEV)]],Standar[NAMA JABATAN],0)-1,1,1,13)&lt;0,1,""))&lt;=3,'9 Grid'!$B$4,IF(COUNT(IF('Data Assessment'!$N73:$Z73-OFFSET(Standar!$B$2,MATCH(Assessment[[#This Row],[JOB TARGET
(DEV)]],Standar[NAMA JABATAN],0)-1,1,1,13)&lt;0,1,""))&gt;=7,'9 Grid'!$B$6,'9 Grid'!$B$5)))</f>
        <v>Job Target Kosong</v>
      </c>
      <c r="N73" s="146" t="str">
        <f>IFERROR(IF(Data_Assessment[[#This Row],[IPP (3 YEARS AVERAGE)]]="","(IPP Belum Ada)",IF(Data_Assessment[[#This Row],[IPP (3 YEARS AVERAGE)]]&lt;2,'9 Grid'!$F$2,IF(Data_Assessment[[#This Row],[IPP (3 YEARS AVERAGE)]]&gt;=4,'9 Grid'!$D$2,'9 Grid'!$E$2))),"")</f>
        <v>Fully Competence Performance</v>
      </c>
      <c r="O73" s="146" t="str">
        <f ca="1">IFERROR(INDEX('9 Grid'!$D$4:$F$6,MATCH('Rekomendasi HAV'!M73,'9 Grid'!$B$4:$B$6,0),MATCH('Rekomendasi HAV'!N73,'9 Grid'!$D$2:$F$2,0)),"")</f>
        <v/>
      </c>
      <c r="P73" s="147" t="str">
        <f>IFERROR(INDEX('9 Grid'!$D$8:$F$8,1,MATCH('Rekomendasi HAV'!N73,'9 Grid'!$D$2:$F$2,0)),"")</f>
        <v>(ST) Within 12 - 18 month</v>
      </c>
    </row>
    <row r="74" spans="1:16" ht="28.5">
      <c r="A74" s="67">
        <v>73</v>
      </c>
      <c r="B74" s="68" t="str">
        <f>INDEX(Data_Assessment[],MATCH('Rekomendasi HAV'!$A74,Data_Assessment[[INDEX]:[INDEX]],0),MATCH('Rekomendasi HAV'!B$1,Data_Assessment[#Headers],0))</f>
        <v>Neni Sriwahyuni</v>
      </c>
      <c r="C74" s="68" t="str">
        <f>INDEX(Data_Assessment[],MATCH('Rekomendasi HAV'!$A74,Data_Assessment[[INDEX]:[INDEX]],0),MATCH('Rekomendasi HAV'!C$1,Data_Assessment[#Headers],0))</f>
        <v>Medan</v>
      </c>
      <c r="D74" s="68" t="str">
        <f>INDEX(Data_Assessment[],MATCH('Rekomendasi HAV'!$A74,Data_Assessment[[INDEX]:[INDEX]],0),MATCH('Rekomendasi HAV'!D$1,Data_Assessment[#Headers],0))</f>
        <v>LSIP - RO Medan</v>
      </c>
      <c r="E74" s="68">
        <f>INDEX(Data_Assessment[],MATCH('Rekomendasi HAV'!$B74,Data_Assessment[[NAME]:[NAME]],0),MATCH('Rekomendasi HAV'!E$1,Data_Assessment[#Headers],0))</f>
        <v>0</v>
      </c>
      <c r="F74" s="68"/>
      <c r="G74" s="68">
        <f>IF(ISNUMBER(SEARCH("DEV",Assessment[[#This Row],[JOB TARGET]])),SUBSTITUTE(Assessment[[#This Row],[JOB TARGET]],"DEV","EST"),Assessment[[#This Row],[JOB TARGET]])</f>
        <v>0</v>
      </c>
      <c r="H74" s="146" t="str" cm="1">
        <f t="array" aca="1" ref="H74" ca="1">IF(Assessment[[#This Row],[JOB TARGET]]="","Job Target Kosong",IF(COUNT(IF('Data Assessment'!$N74:$Z74-OFFSET(Standar!$B$2,MATCH(Assessment[[#This Row],[JOB TARGET
(EST)]],Standar[NAMA JABATAN],0)-1,1,1,13)&lt;0,1,""))&lt;=3,'9 Grid'!$B$4,IF(COUNT(IF('Data Assessment'!$N74:$Z74-OFFSET(Standar!$B$2,MATCH(Assessment[[#This Row],[JOB TARGET]],Standar[NAMA JABATAN],0)-1,1,1,13)&lt;0,1,""))&gt;=7,'9 Grid'!$B$6,'9 Grid'!$B$5)))</f>
        <v>Job Target Kosong</v>
      </c>
      <c r="I74" s="146" t="str">
        <f>IFERROR(IF(Data_Assessment[[#This Row],[IPP (3 YEARS AVERAGE)]]="","(IPP Belum Ada)",IF(Data_Assessment[[#This Row],[IPP (3 YEARS AVERAGE)]]&lt;2,'9 Grid'!$F$2,IF(Data_Assessment[[#This Row],[IPP (3 YEARS AVERAGE)]]&gt;=4,'9 Grid'!$D$2,'9 Grid'!$E$2))),"")</f>
        <v>Fully Competence Performance</v>
      </c>
      <c r="J74" s="146" t="str">
        <f ca="1">IFERROR(INDEX('9 Grid'!$D$4:$F$6,MATCH('Rekomendasi HAV'!H74,'9 Grid'!$B$4:$B$6,0),MATCH('Rekomendasi HAV'!I74,'9 Grid'!$D$2:$F$2,0)),"")</f>
        <v/>
      </c>
      <c r="K74" s="146" t="str">
        <f>IFERROR(INDEX('9 Grid'!$D$8:$F$8,1,MATCH('Rekomendasi HAV'!I74,'9 Grid'!$D$2:$F$2,0)),"")</f>
        <v>(ST) Within 12 - 18 month</v>
      </c>
      <c r="L74" s="146">
        <f>IF(ISNUMBER(SEARCH("EST",Assessment[[#This Row],[JOB TARGET]])),SUBSTITUTE(Assessment[[#This Row],[JOB TARGET]],"EST","DEV"),Assessment[[#This Row],[JOB TARGET]])</f>
        <v>0</v>
      </c>
      <c r="M74" s="146" t="str" cm="1">
        <f t="array" aca="1" ref="M74" ca="1">IF(Assessment[[#This Row],[JOB TARGET]]="","Job Target Kosong",IF(COUNT(IF('Data Assessment'!$N74:$Z74-OFFSET(Standar!$B$2,MATCH(Assessment[[#This Row],[JOB TARGET
(DEV)]],Standar[NAMA JABATAN],0)-1,1,1,13)&lt;0,1,""))&lt;=3,'9 Grid'!$B$4,IF(COUNT(IF('Data Assessment'!$N74:$Z74-OFFSET(Standar!$B$2,MATCH(Assessment[[#This Row],[JOB TARGET
(DEV)]],Standar[NAMA JABATAN],0)-1,1,1,13)&lt;0,1,""))&gt;=7,'9 Grid'!$B$6,'9 Grid'!$B$5)))</f>
        <v>Job Target Kosong</v>
      </c>
      <c r="N74" s="146" t="str">
        <f>IFERROR(IF(Data_Assessment[[#This Row],[IPP (3 YEARS AVERAGE)]]="","(IPP Belum Ada)",IF(Data_Assessment[[#This Row],[IPP (3 YEARS AVERAGE)]]&lt;2,'9 Grid'!$F$2,IF(Data_Assessment[[#This Row],[IPP (3 YEARS AVERAGE)]]&gt;=4,'9 Grid'!$D$2,'9 Grid'!$E$2))),"")</f>
        <v>Fully Competence Performance</v>
      </c>
      <c r="O74" s="146" t="str">
        <f ca="1">IFERROR(INDEX('9 Grid'!$D$4:$F$6,MATCH('Rekomendasi HAV'!M74,'9 Grid'!$B$4:$B$6,0),MATCH('Rekomendasi HAV'!N74,'9 Grid'!$D$2:$F$2,0)),"")</f>
        <v/>
      </c>
      <c r="P74" s="147" t="str">
        <f>IFERROR(INDEX('9 Grid'!$D$8:$F$8,1,MATCH('Rekomendasi HAV'!N74,'9 Grid'!$D$2:$F$2,0)),"")</f>
        <v>(ST) Within 12 - 18 month</v>
      </c>
    </row>
    <row r="75" spans="1:16" ht="14.25">
      <c r="A75" s="67">
        <v>74</v>
      </c>
      <c r="B75" s="68" t="str">
        <f>INDEX(Data_Assessment[],MATCH('Rekomendasi HAV'!$A75,Data_Assessment[[INDEX]:[INDEX]],0),MATCH('Rekomendasi HAV'!B$1,Data_Assessment[#Headers],0))</f>
        <v>Wilson Lubis, SE</v>
      </c>
      <c r="C75" s="68" t="str">
        <f>INDEX(Data_Assessment[],MATCH('Rekomendasi HAV'!$A75,Data_Assessment[[INDEX]:[INDEX]],0),MATCH('Rekomendasi HAV'!C$1,Data_Assessment[#Headers],0))</f>
        <v>Medan</v>
      </c>
      <c r="D75" s="68" t="str">
        <f>INDEX(Data_Assessment[],MATCH('Rekomendasi HAV'!$A75,Data_Assessment[[INDEX]:[INDEX]],0),MATCH('Rekomendasi HAV'!D$1,Data_Assessment[#Headers],0))</f>
        <v>LSIP - RO Medan</v>
      </c>
      <c r="E75" s="68">
        <f>INDEX(Data_Assessment[],MATCH('Rekomendasi HAV'!$B75,Data_Assessment[[NAME]:[NAME]],0),MATCH('Rekomendasi HAV'!E$1,Data_Assessment[#Headers],0))</f>
        <v>0</v>
      </c>
      <c r="F75" s="68"/>
      <c r="G75" s="68">
        <f>IF(ISNUMBER(SEARCH("DEV",Assessment[[#This Row],[JOB TARGET]])),SUBSTITUTE(Assessment[[#This Row],[JOB TARGET]],"DEV","EST"),Assessment[[#This Row],[JOB TARGET]])</f>
        <v>0</v>
      </c>
      <c r="H75" s="146" t="str" cm="1">
        <f t="array" aca="1" ref="H75" ca="1">IF(Assessment[[#This Row],[JOB TARGET]]="","Job Target Kosong",IF(COUNT(IF('Data Assessment'!$N75:$Z75-OFFSET(Standar!$B$2,MATCH(Assessment[[#This Row],[JOB TARGET
(EST)]],Standar[NAMA JABATAN],0)-1,1,1,13)&lt;0,1,""))&lt;=3,'9 Grid'!$B$4,IF(COUNT(IF('Data Assessment'!$N75:$Z75-OFFSET(Standar!$B$2,MATCH(Assessment[[#This Row],[JOB TARGET]],Standar[NAMA JABATAN],0)-1,1,1,13)&lt;0,1,""))&gt;=7,'9 Grid'!$B$6,'9 Grid'!$B$5)))</f>
        <v>Job Target Kosong</v>
      </c>
      <c r="I75" s="146" t="str">
        <f>IFERROR(IF(Data_Assessment[[#This Row],[IPP (3 YEARS AVERAGE)]]="","(IPP Belum Ada)",IF(Data_Assessment[[#This Row],[IPP (3 YEARS AVERAGE)]]&lt;2,'9 Grid'!$F$2,IF(Data_Assessment[[#This Row],[IPP (3 YEARS AVERAGE)]]&gt;=4,'9 Grid'!$D$2,'9 Grid'!$E$2))),"")</f>
        <v>Exceptional Performance</v>
      </c>
      <c r="J75" s="146" t="str">
        <f ca="1">IFERROR(INDEX('9 Grid'!$D$4:$F$6,MATCH('Rekomendasi HAV'!H75,'9 Grid'!$B$4:$B$6,0),MATCH('Rekomendasi HAV'!I75,'9 Grid'!$D$2:$F$2,0)),"")</f>
        <v/>
      </c>
      <c r="K75" s="146" t="str">
        <f>IFERROR(INDEX('9 Grid'!$D$8:$F$8,1,MATCH('Rekomendasi HAV'!I75,'9 Grid'!$D$2:$F$2,0)),"")</f>
        <v>(I) Immediately</v>
      </c>
      <c r="L75" s="146">
        <f>IF(ISNUMBER(SEARCH("EST",Assessment[[#This Row],[JOB TARGET]])),SUBSTITUTE(Assessment[[#This Row],[JOB TARGET]],"EST","DEV"),Assessment[[#This Row],[JOB TARGET]])</f>
        <v>0</v>
      </c>
      <c r="M75" s="146" t="str" cm="1">
        <f t="array" aca="1" ref="M75" ca="1">IF(Assessment[[#This Row],[JOB TARGET]]="","Job Target Kosong",IF(COUNT(IF('Data Assessment'!$N75:$Z75-OFFSET(Standar!$B$2,MATCH(Assessment[[#This Row],[JOB TARGET
(DEV)]],Standar[NAMA JABATAN],0)-1,1,1,13)&lt;0,1,""))&lt;=3,'9 Grid'!$B$4,IF(COUNT(IF('Data Assessment'!$N75:$Z75-OFFSET(Standar!$B$2,MATCH(Assessment[[#This Row],[JOB TARGET
(DEV)]],Standar[NAMA JABATAN],0)-1,1,1,13)&lt;0,1,""))&gt;=7,'9 Grid'!$B$6,'9 Grid'!$B$5)))</f>
        <v>Job Target Kosong</v>
      </c>
      <c r="N75" s="146" t="str">
        <f>IFERROR(IF(Data_Assessment[[#This Row],[IPP (3 YEARS AVERAGE)]]="","(IPP Belum Ada)",IF(Data_Assessment[[#This Row],[IPP (3 YEARS AVERAGE)]]&lt;2,'9 Grid'!$F$2,IF(Data_Assessment[[#This Row],[IPP (3 YEARS AVERAGE)]]&gt;=4,'9 Grid'!$D$2,'9 Grid'!$E$2))),"")</f>
        <v>Exceptional Performance</v>
      </c>
      <c r="O75" s="146" t="str">
        <f ca="1">IFERROR(INDEX('9 Grid'!$D$4:$F$6,MATCH('Rekomendasi HAV'!M75,'9 Grid'!$B$4:$B$6,0),MATCH('Rekomendasi HAV'!N75,'9 Grid'!$D$2:$F$2,0)),"")</f>
        <v/>
      </c>
      <c r="P75" s="147" t="str">
        <f>IFERROR(INDEX('9 Grid'!$D$8:$F$8,1,MATCH('Rekomendasi HAV'!N75,'9 Grid'!$D$2:$F$2,0)),"")</f>
        <v>(I) Immediately</v>
      </c>
    </row>
    <row r="76" spans="1:16" ht="28.5">
      <c r="A76" s="67">
        <v>75</v>
      </c>
      <c r="B76" s="68" t="str">
        <f>INDEX(Data_Assessment[],MATCH('Rekomendasi HAV'!$A76,Data_Assessment[[INDEX]:[INDEX]],0),MATCH('Rekomendasi HAV'!B$1,Data_Assessment[#Headers],0))</f>
        <v>T. Adrian Erwin</v>
      </c>
      <c r="C76" s="68" t="str">
        <f>INDEX(Data_Assessment[],MATCH('Rekomendasi HAV'!$A76,Data_Assessment[[INDEX]:[INDEX]],0),MATCH('Rekomendasi HAV'!C$1,Data_Assessment[#Headers],0))</f>
        <v>Medan</v>
      </c>
      <c r="D76" s="68" t="str">
        <f>INDEX(Data_Assessment[],MATCH('Rekomendasi HAV'!$A76,Data_Assessment[[INDEX]:[INDEX]],0),MATCH('Rekomendasi HAV'!D$1,Data_Assessment[#Headers],0))</f>
        <v>LSIP - RO Medan</v>
      </c>
      <c r="E76" s="68">
        <f>INDEX(Data_Assessment[],MATCH('Rekomendasi HAV'!$B76,Data_Assessment[[NAME]:[NAME]],0),MATCH('Rekomendasi HAV'!E$1,Data_Assessment[#Headers],0))</f>
        <v>0</v>
      </c>
      <c r="F76" s="68"/>
      <c r="G76" s="68">
        <f>IF(ISNUMBER(SEARCH("DEV",Assessment[[#This Row],[JOB TARGET]])),SUBSTITUTE(Assessment[[#This Row],[JOB TARGET]],"DEV","EST"),Assessment[[#This Row],[JOB TARGET]])</f>
        <v>0</v>
      </c>
      <c r="H76" s="146" t="str" cm="1">
        <f t="array" aca="1" ref="H76" ca="1">IF(Assessment[[#This Row],[JOB TARGET]]="","Job Target Kosong",IF(COUNT(IF('Data Assessment'!$N76:$Z76-OFFSET(Standar!$B$2,MATCH(Assessment[[#This Row],[JOB TARGET
(EST)]],Standar[NAMA JABATAN],0)-1,1,1,13)&lt;0,1,""))&lt;=3,'9 Grid'!$B$4,IF(COUNT(IF('Data Assessment'!$N76:$Z76-OFFSET(Standar!$B$2,MATCH(Assessment[[#This Row],[JOB TARGET]],Standar[NAMA JABATAN],0)-1,1,1,13)&lt;0,1,""))&gt;=7,'9 Grid'!$B$6,'9 Grid'!$B$5)))</f>
        <v>Job Target Kosong</v>
      </c>
      <c r="I76" s="146" t="str">
        <f>IFERROR(IF(Data_Assessment[[#This Row],[IPP (3 YEARS AVERAGE)]]="","(IPP Belum Ada)",IF(Data_Assessment[[#This Row],[IPP (3 YEARS AVERAGE)]]&lt;2,'9 Grid'!$F$2,IF(Data_Assessment[[#This Row],[IPP (3 YEARS AVERAGE)]]&gt;=4,'9 Grid'!$D$2,'9 Grid'!$E$2))),"")</f>
        <v>Fully Competence Performance</v>
      </c>
      <c r="J76" s="146" t="str">
        <f ca="1">IFERROR(INDEX('9 Grid'!$D$4:$F$6,MATCH('Rekomendasi HAV'!H76,'9 Grid'!$B$4:$B$6,0),MATCH('Rekomendasi HAV'!I76,'9 Grid'!$D$2:$F$2,0)),"")</f>
        <v/>
      </c>
      <c r="K76" s="146" t="str">
        <f>IFERROR(INDEX('9 Grid'!$D$8:$F$8,1,MATCH('Rekomendasi HAV'!I76,'9 Grid'!$D$2:$F$2,0)),"")</f>
        <v>(ST) Within 12 - 18 month</v>
      </c>
      <c r="L76" s="146">
        <f>IF(ISNUMBER(SEARCH("EST",Assessment[[#This Row],[JOB TARGET]])),SUBSTITUTE(Assessment[[#This Row],[JOB TARGET]],"EST","DEV"),Assessment[[#This Row],[JOB TARGET]])</f>
        <v>0</v>
      </c>
      <c r="M76" s="146" t="str" cm="1">
        <f t="array" aca="1" ref="M76" ca="1">IF(Assessment[[#This Row],[JOB TARGET]]="","Job Target Kosong",IF(COUNT(IF('Data Assessment'!$N76:$Z76-OFFSET(Standar!$B$2,MATCH(Assessment[[#This Row],[JOB TARGET
(DEV)]],Standar[NAMA JABATAN],0)-1,1,1,13)&lt;0,1,""))&lt;=3,'9 Grid'!$B$4,IF(COUNT(IF('Data Assessment'!$N76:$Z76-OFFSET(Standar!$B$2,MATCH(Assessment[[#This Row],[JOB TARGET
(DEV)]],Standar[NAMA JABATAN],0)-1,1,1,13)&lt;0,1,""))&gt;=7,'9 Grid'!$B$6,'9 Grid'!$B$5)))</f>
        <v>Job Target Kosong</v>
      </c>
      <c r="N76" s="146" t="str">
        <f>IFERROR(IF(Data_Assessment[[#This Row],[IPP (3 YEARS AVERAGE)]]="","(IPP Belum Ada)",IF(Data_Assessment[[#This Row],[IPP (3 YEARS AVERAGE)]]&lt;2,'9 Grid'!$F$2,IF(Data_Assessment[[#This Row],[IPP (3 YEARS AVERAGE)]]&gt;=4,'9 Grid'!$D$2,'9 Grid'!$E$2))),"")</f>
        <v>Fully Competence Performance</v>
      </c>
      <c r="O76" s="146" t="str">
        <f ca="1">IFERROR(INDEX('9 Grid'!$D$4:$F$6,MATCH('Rekomendasi HAV'!M76,'9 Grid'!$B$4:$B$6,0),MATCH('Rekomendasi HAV'!N76,'9 Grid'!$D$2:$F$2,0)),"")</f>
        <v/>
      </c>
      <c r="P76" s="147" t="str">
        <f>IFERROR(INDEX('9 Grid'!$D$8:$F$8,1,MATCH('Rekomendasi HAV'!N76,'9 Grid'!$D$2:$F$2,0)),"")</f>
        <v>(ST) Within 12 - 18 month</v>
      </c>
    </row>
    <row r="77" spans="1:16" ht="28.5">
      <c r="A77" s="67">
        <v>76</v>
      </c>
      <c r="B77" s="68" t="str">
        <f>INDEX(Data_Assessment[],MATCH('Rekomendasi HAV'!$A77,Data_Assessment[[INDEX]:[INDEX]],0),MATCH('Rekomendasi HAV'!B$1,Data_Assessment[#Headers],0))</f>
        <v>Morinta Sinuraya</v>
      </c>
      <c r="C77" s="68" t="str">
        <f>INDEX(Data_Assessment[],MATCH('Rekomendasi HAV'!$A77,Data_Assessment[[INDEX]:[INDEX]],0),MATCH('Rekomendasi HAV'!C$1,Data_Assessment[#Headers],0))</f>
        <v>Medan</v>
      </c>
      <c r="D77" s="68" t="str">
        <f>INDEX(Data_Assessment[],MATCH('Rekomendasi HAV'!$A77,Data_Assessment[[INDEX]:[INDEX]],0),MATCH('Rekomendasi HAV'!D$1,Data_Assessment[#Headers],0))</f>
        <v>LSIP - RO Medan</v>
      </c>
      <c r="E77" s="68">
        <f>INDEX(Data_Assessment[],MATCH('Rekomendasi HAV'!$B77,Data_Assessment[[NAME]:[NAME]],0),MATCH('Rekomendasi HAV'!E$1,Data_Assessment[#Headers],0))</f>
        <v>0</v>
      </c>
      <c r="F77" s="68"/>
      <c r="G77" s="68">
        <f>IF(ISNUMBER(SEARCH("DEV",Assessment[[#This Row],[JOB TARGET]])),SUBSTITUTE(Assessment[[#This Row],[JOB TARGET]],"DEV","EST"),Assessment[[#This Row],[JOB TARGET]])</f>
        <v>0</v>
      </c>
      <c r="H77" s="146" t="str" cm="1">
        <f t="array" aca="1" ref="H77" ca="1">IF(Assessment[[#This Row],[JOB TARGET]]="","Job Target Kosong",IF(COUNT(IF('Data Assessment'!$N77:$Z77-OFFSET(Standar!$B$2,MATCH(Assessment[[#This Row],[JOB TARGET
(EST)]],Standar[NAMA JABATAN],0)-1,1,1,13)&lt;0,1,""))&lt;=3,'9 Grid'!$B$4,IF(COUNT(IF('Data Assessment'!$N77:$Z77-OFFSET(Standar!$B$2,MATCH(Assessment[[#This Row],[JOB TARGET]],Standar[NAMA JABATAN],0)-1,1,1,13)&lt;0,1,""))&gt;=7,'9 Grid'!$B$6,'9 Grid'!$B$5)))</f>
        <v>Job Target Kosong</v>
      </c>
      <c r="I77" s="146" t="str">
        <f>IFERROR(IF(Data_Assessment[[#This Row],[IPP (3 YEARS AVERAGE)]]="","(IPP Belum Ada)",IF(Data_Assessment[[#This Row],[IPP (3 YEARS AVERAGE)]]&lt;2,'9 Grid'!$F$2,IF(Data_Assessment[[#This Row],[IPP (3 YEARS AVERAGE)]]&gt;=4,'9 Grid'!$D$2,'9 Grid'!$E$2))),"")</f>
        <v>Fully Competence Performance</v>
      </c>
      <c r="J77" s="146" t="str">
        <f ca="1">IFERROR(INDEX('9 Grid'!$D$4:$F$6,MATCH('Rekomendasi HAV'!H77,'9 Grid'!$B$4:$B$6,0),MATCH('Rekomendasi HAV'!I77,'9 Grid'!$D$2:$F$2,0)),"")</f>
        <v/>
      </c>
      <c r="K77" s="146" t="str">
        <f>IFERROR(INDEX('9 Grid'!$D$8:$F$8,1,MATCH('Rekomendasi HAV'!I77,'9 Grid'!$D$2:$F$2,0)),"")</f>
        <v>(ST) Within 12 - 18 month</v>
      </c>
      <c r="L77" s="146">
        <f>IF(ISNUMBER(SEARCH("EST",Assessment[[#This Row],[JOB TARGET]])),SUBSTITUTE(Assessment[[#This Row],[JOB TARGET]],"EST","DEV"),Assessment[[#This Row],[JOB TARGET]])</f>
        <v>0</v>
      </c>
      <c r="M77" s="146" t="str" cm="1">
        <f t="array" aca="1" ref="M77" ca="1">IF(Assessment[[#This Row],[JOB TARGET]]="","Job Target Kosong",IF(COUNT(IF('Data Assessment'!$N77:$Z77-OFFSET(Standar!$B$2,MATCH(Assessment[[#This Row],[JOB TARGET
(DEV)]],Standar[NAMA JABATAN],0)-1,1,1,13)&lt;0,1,""))&lt;=3,'9 Grid'!$B$4,IF(COUNT(IF('Data Assessment'!$N77:$Z77-OFFSET(Standar!$B$2,MATCH(Assessment[[#This Row],[JOB TARGET
(DEV)]],Standar[NAMA JABATAN],0)-1,1,1,13)&lt;0,1,""))&gt;=7,'9 Grid'!$B$6,'9 Grid'!$B$5)))</f>
        <v>Job Target Kosong</v>
      </c>
      <c r="N77" s="146" t="str">
        <f>IFERROR(IF(Data_Assessment[[#This Row],[IPP (3 YEARS AVERAGE)]]="","(IPP Belum Ada)",IF(Data_Assessment[[#This Row],[IPP (3 YEARS AVERAGE)]]&lt;2,'9 Grid'!$F$2,IF(Data_Assessment[[#This Row],[IPP (3 YEARS AVERAGE)]]&gt;=4,'9 Grid'!$D$2,'9 Grid'!$E$2))),"")</f>
        <v>Fully Competence Performance</v>
      </c>
      <c r="O77" s="146" t="str">
        <f ca="1">IFERROR(INDEX('9 Grid'!$D$4:$F$6,MATCH('Rekomendasi HAV'!M77,'9 Grid'!$B$4:$B$6,0),MATCH('Rekomendasi HAV'!N77,'9 Grid'!$D$2:$F$2,0)),"")</f>
        <v/>
      </c>
      <c r="P77" s="147" t="str">
        <f>IFERROR(INDEX('9 Grid'!$D$8:$F$8,1,MATCH('Rekomendasi HAV'!N77,'9 Grid'!$D$2:$F$2,0)),"")</f>
        <v>(ST) Within 12 - 18 month</v>
      </c>
    </row>
    <row r="78" spans="1:16" ht="14.25">
      <c r="A78" s="67">
        <v>77</v>
      </c>
      <c r="B78" s="68" t="str">
        <f>INDEX(Data_Assessment[],MATCH('Rekomendasi HAV'!$A78,Data_Assessment[[INDEX]:[INDEX]],0),MATCH('Rekomendasi HAV'!B$1,Data_Assessment[#Headers],0))</f>
        <v>A.Y. Jaya Silen</v>
      </c>
      <c r="C78" s="68" t="str">
        <f>INDEX(Data_Assessment[],MATCH('Rekomendasi HAV'!$A78,Data_Assessment[[INDEX]:[INDEX]],0),MATCH('Rekomendasi HAV'!C$1,Data_Assessment[#Headers],0))</f>
        <v>Medan</v>
      </c>
      <c r="D78" s="68" t="str">
        <f>INDEX(Data_Assessment[],MATCH('Rekomendasi HAV'!$A78,Data_Assessment[[INDEX]:[INDEX]],0),MATCH('Rekomendasi HAV'!D$1,Data_Assessment[#Headers],0))</f>
        <v>LSIP - RO Medan</v>
      </c>
      <c r="E78" s="68">
        <f>INDEX(Data_Assessment[],MATCH('Rekomendasi HAV'!$B78,Data_Assessment[[NAME]:[NAME]],0),MATCH('Rekomendasi HAV'!E$1,Data_Assessment[#Headers],0))</f>
        <v>0</v>
      </c>
      <c r="F78" s="68"/>
      <c r="G78" s="68">
        <f>IF(ISNUMBER(SEARCH("DEV",Assessment[[#This Row],[JOB TARGET]])),SUBSTITUTE(Assessment[[#This Row],[JOB TARGET]],"DEV","EST"),Assessment[[#This Row],[JOB TARGET]])</f>
        <v>0</v>
      </c>
      <c r="H78" s="146" t="str" cm="1">
        <f t="array" aca="1" ref="H78" ca="1">IF(Assessment[[#This Row],[JOB TARGET]]="","Job Target Kosong",IF(COUNT(IF('Data Assessment'!$N78:$Z78-OFFSET(Standar!$B$2,MATCH(Assessment[[#This Row],[JOB TARGET
(EST)]],Standar[NAMA JABATAN],0)-1,1,1,13)&lt;0,1,""))&lt;=3,'9 Grid'!$B$4,IF(COUNT(IF('Data Assessment'!$N78:$Z78-OFFSET(Standar!$B$2,MATCH(Assessment[[#This Row],[JOB TARGET]],Standar[NAMA JABATAN],0)-1,1,1,13)&lt;0,1,""))&gt;=7,'9 Grid'!$B$6,'9 Grid'!$B$5)))</f>
        <v>Job Target Kosong</v>
      </c>
      <c r="I78" s="146" t="str">
        <f>IFERROR(IF(Data_Assessment[[#This Row],[IPP (3 YEARS AVERAGE)]]="","(IPP Belum Ada)",IF(Data_Assessment[[#This Row],[IPP (3 YEARS AVERAGE)]]&lt;2,'9 Grid'!$F$2,IF(Data_Assessment[[#This Row],[IPP (3 YEARS AVERAGE)]]&gt;=4,'9 Grid'!$D$2,'9 Grid'!$E$2))),"")</f>
        <v>Exceptional Performance</v>
      </c>
      <c r="J78" s="146" t="str">
        <f ca="1">IFERROR(INDEX('9 Grid'!$D$4:$F$6,MATCH('Rekomendasi HAV'!H78,'9 Grid'!$B$4:$B$6,0),MATCH('Rekomendasi HAV'!I78,'9 Grid'!$D$2:$F$2,0)),"")</f>
        <v/>
      </c>
      <c r="K78" s="146" t="str">
        <f>IFERROR(INDEX('9 Grid'!$D$8:$F$8,1,MATCH('Rekomendasi HAV'!I78,'9 Grid'!$D$2:$F$2,0)),"")</f>
        <v>(I) Immediately</v>
      </c>
      <c r="L78" s="146">
        <f>IF(ISNUMBER(SEARCH("EST",Assessment[[#This Row],[JOB TARGET]])),SUBSTITUTE(Assessment[[#This Row],[JOB TARGET]],"EST","DEV"),Assessment[[#This Row],[JOB TARGET]])</f>
        <v>0</v>
      </c>
      <c r="M78" s="146" t="str" cm="1">
        <f t="array" aca="1" ref="M78" ca="1">IF(Assessment[[#This Row],[JOB TARGET]]="","Job Target Kosong",IF(COUNT(IF('Data Assessment'!$N78:$Z78-OFFSET(Standar!$B$2,MATCH(Assessment[[#This Row],[JOB TARGET
(DEV)]],Standar[NAMA JABATAN],0)-1,1,1,13)&lt;0,1,""))&lt;=3,'9 Grid'!$B$4,IF(COUNT(IF('Data Assessment'!$N78:$Z78-OFFSET(Standar!$B$2,MATCH(Assessment[[#This Row],[JOB TARGET
(DEV)]],Standar[NAMA JABATAN],0)-1,1,1,13)&lt;0,1,""))&gt;=7,'9 Grid'!$B$6,'9 Grid'!$B$5)))</f>
        <v>Job Target Kosong</v>
      </c>
      <c r="N78" s="146" t="str">
        <f>IFERROR(IF(Data_Assessment[[#This Row],[IPP (3 YEARS AVERAGE)]]="","(IPP Belum Ada)",IF(Data_Assessment[[#This Row],[IPP (3 YEARS AVERAGE)]]&lt;2,'9 Grid'!$F$2,IF(Data_Assessment[[#This Row],[IPP (3 YEARS AVERAGE)]]&gt;=4,'9 Grid'!$D$2,'9 Grid'!$E$2))),"")</f>
        <v>Exceptional Performance</v>
      </c>
      <c r="O78" s="146" t="str">
        <f ca="1">IFERROR(INDEX('9 Grid'!$D$4:$F$6,MATCH('Rekomendasi HAV'!M78,'9 Grid'!$B$4:$B$6,0),MATCH('Rekomendasi HAV'!N78,'9 Grid'!$D$2:$F$2,0)),"")</f>
        <v/>
      </c>
      <c r="P78" s="147" t="str">
        <f>IFERROR(INDEX('9 Grid'!$D$8:$F$8,1,MATCH('Rekomendasi HAV'!N78,'9 Grid'!$D$2:$F$2,0)),"")</f>
        <v>(I) Immediately</v>
      </c>
    </row>
    <row r="79" spans="1:16" ht="28.5">
      <c r="A79" s="67">
        <v>78</v>
      </c>
      <c r="B79" s="68" t="str">
        <f>INDEX(Data_Assessment[],MATCH('Rekomendasi HAV'!$A79,Data_Assessment[[INDEX]:[INDEX]],0),MATCH('Rekomendasi HAV'!B$1,Data_Assessment[#Headers],0))</f>
        <v>Indra Jaya Sakti Ritonga</v>
      </c>
      <c r="C79" s="68" t="str">
        <f>INDEX(Data_Assessment[],MATCH('Rekomendasi HAV'!$A79,Data_Assessment[[INDEX]:[INDEX]],0),MATCH('Rekomendasi HAV'!C$1,Data_Assessment[#Headers],0))</f>
        <v>Medan</v>
      </c>
      <c r="D79" s="68" t="str">
        <f>INDEX(Data_Assessment[],MATCH('Rekomendasi HAV'!$A79,Data_Assessment[[INDEX]:[INDEX]],0),MATCH('Rekomendasi HAV'!D$1,Data_Assessment[#Headers],0))</f>
        <v>LSIP - RO Medan</v>
      </c>
      <c r="E79" s="68">
        <f>INDEX(Data_Assessment[],MATCH('Rekomendasi HAV'!$B79,Data_Assessment[[NAME]:[NAME]],0),MATCH('Rekomendasi HAV'!E$1,Data_Assessment[#Headers],0))</f>
        <v>0</v>
      </c>
      <c r="F79" s="68"/>
      <c r="G79" s="68">
        <f>IF(ISNUMBER(SEARCH("DEV",Assessment[[#This Row],[JOB TARGET]])),SUBSTITUTE(Assessment[[#This Row],[JOB TARGET]],"DEV","EST"),Assessment[[#This Row],[JOB TARGET]])</f>
        <v>0</v>
      </c>
      <c r="H79" s="146" t="str" cm="1">
        <f t="array" aca="1" ref="H79" ca="1">IF(Assessment[[#This Row],[JOB TARGET]]="","Job Target Kosong",IF(COUNT(IF('Data Assessment'!$N79:$Z79-OFFSET(Standar!$B$2,MATCH(Assessment[[#This Row],[JOB TARGET
(EST)]],Standar[NAMA JABATAN],0)-1,1,1,13)&lt;0,1,""))&lt;=3,'9 Grid'!$B$4,IF(COUNT(IF('Data Assessment'!$N79:$Z79-OFFSET(Standar!$B$2,MATCH(Assessment[[#This Row],[JOB TARGET]],Standar[NAMA JABATAN],0)-1,1,1,13)&lt;0,1,""))&gt;=7,'9 Grid'!$B$6,'9 Grid'!$B$5)))</f>
        <v>Job Target Kosong</v>
      </c>
      <c r="I79" s="146" t="str">
        <f>IFERROR(IF(Data_Assessment[[#This Row],[IPP (3 YEARS AVERAGE)]]="","(IPP Belum Ada)",IF(Data_Assessment[[#This Row],[IPP (3 YEARS AVERAGE)]]&lt;2,'9 Grid'!$F$2,IF(Data_Assessment[[#This Row],[IPP (3 YEARS AVERAGE)]]&gt;=4,'9 Grid'!$D$2,'9 Grid'!$E$2))),"")</f>
        <v>Fully Competence Performance</v>
      </c>
      <c r="J79" s="146" t="str">
        <f ca="1">IFERROR(INDEX('9 Grid'!$D$4:$F$6,MATCH('Rekomendasi HAV'!H79,'9 Grid'!$B$4:$B$6,0),MATCH('Rekomendasi HAV'!I79,'9 Grid'!$D$2:$F$2,0)),"")</f>
        <v/>
      </c>
      <c r="K79" s="146" t="str">
        <f>IFERROR(INDEX('9 Grid'!$D$8:$F$8,1,MATCH('Rekomendasi HAV'!I79,'9 Grid'!$D$2:$F$2,0)),"")</f>
        <v>(ST) Within 12 - 18 month</v>
      </c>
      <c r="L79" s="146">
        <f>IF(ISNUMBER(SEARCH("EST",Assessment[[#This Row],[JOB TARGET]])),SUBSTITUTE(Assessment[[#This Row],[JOB TARGET]],"EST","DEV"),Assessment[[#This Row],[JOB TARGET]])</f>
        <v>0</v>
      </c>
      <c r="M79" s="146" t="str" cm="1">
        <f t="array" aca="1" ref="M79" ca="1">IF(Assessment[[#This Row],[JOB TARGET]]="","Job Target Kosong",IF(COUNT(IF('Data Assessment'!$N79:$Z79-OFFSET(Standar!$B$2,MATCH(Assessment[[#This Row],[JOB TARGET
(DEV)]],Standar[NAMA JABATAN],0)-1,1,1,13)&lt;0,1,""))&lt;=3,'9 Grid'!$B$4,IF(COUNT(IF('Data Assessment'!$N79:$Z79-OFFSET(Standar!$B$2,MATCH(Assessment[[#This Row],[JOB TARGET
(DEV)]],Standar[NAMA JABATAN],0)-1,1,1,13)&lt;0,1,""))&gt;=7,'9 Grid'!$B$6,'9 Grid'!$B$5)))</f>
        <v>Job Target Kosong</v>
      </c>
      <c r="N79" s="146" t="str">
        <f>IFERROR(IF(Data_Assessment[[#This Row],[IPP (3 YEARS AVERAGE)]]="","(IPP Belum Ada)",IF(Data_Assessment[[#This Row],[IPP (3 YEARS AVERAGE)]]&lt;2,'9 Grid'!$F$2,IF(Data_Assessment[[#This Row],[IPP (3 YEARS AVERAGE)]]&gt;=4,'9 Grid'!$D$2,'9 Grid'!$E$2))),"")</f>
        <v>Fully Competence Performance</v>
      </c>
      <c r="O79" s="146" t="str">
        <f ca="1">IFERROR(INDEX('9 Grid'!$D$4:$F$6,MATCH('Rekomendasi HAV'!M79,'9 Grid'!$B$4:$B$6,0),MATCH('Rekomendasi HAV'!N79,'9 Grid'!$D$2:$F$2,0)),"")</f>
        <v/>
      </c>
      <c r="P79" s="147" t="str">
        <f>IFERROR(INDEX('9 Grid'!$D$8:$F$8,1,MATCH('Rekomendasi HAV'!N79,'9 Grid'!$D$2:$F$2,0)),"")</f>
        <v>(ST) Within 12 - 18 month</v>
      </c>
    </row>
    <row r="80" spans="1:16" ht="28.5">
      <c r="A80" s="67">
        <v>79</v>
      </c>
      <c r="B80" s="68" t="str">
        <f>INDEX(Data_Assessment[],MATCH('Rekomendasi HAV'!$A80,Data_Assessment[[INDEX]:[INDEX]],0),MATCH('Rekomendasi HAV'!B$1,Data_Assessment[#Headers],0))</f>
        <v>Kevin Filemon</v>
      </c>
      <c r="C80" s="68" t="str">
        <f>INDEX(Data_Assessment[],MATCH('Rekomendasi HAV'!$A80,Data_Assessment[[INDEX]:[INDEX]],0),MATCH('Rekomendasi HAV'!C$1,Data_Assessment[#Headers],0))</f>
        <v>Jakarta</v>
      </c>
      <c r="D80" s="68" t="str">
        <f>INDEX(Data_Assessment[],MATCH('Rekomendasi HAV'!$A80,Data_Assessment[[INDEX]:[INDEX]],0),MATCH('Rekomendasi HAV'!D$1,Data_Assessment[#Headers],0))</f>
        <v>LSIP - HO Jakarta</v>
      </c>
      <c r="E80" s="68">
        <f>INDEX(Data_Assessment[],MATCH('Rekomendasi HAV'!$B80,Data_Assessment[[NAME]:[NAME]],0),MATCH('Rekomendasi HAV'!E$1,Data_Assessment[#Headers],0))</f>
        <v>0</v>
      </c>
      <c r="F80" s="68"/>
      <c r="G80" s="68">
        <f>IF(ISNUMBER(SEARCH("DEV",Assessment[[#This Row],[JOB TARGET]])),SUBSTITUTE(Assessment[[#This Row],[JOB TARGET]],"DEV","EST"),Assessment[[#This Row],[JOB TARGET]])</f>
        <v>0</v>
      </c>
      <c r="H80" s="146" t="str" cm="1">
        <f t="array" aca="1" ref="H80" ca="1">IF(Assessment[[#This Row],[JOB TARGET]]="","Job Target Kosong",IF(COUNT(IF('Data Assessment'!$N80:$Z80-OFFSET(Standar!$B$2,MATCH(Assessment[[#This Row],[JOB TARGET
(EST)]],Standar[NAMA JABATAN],0)-1,1,1,13)&lt;0,1,""))&lt;=3,'9 Grid'!$B$4,IF(COUNT(IF('Data Assessment'!$N80:$Z80-OFFSET(Standar!$B$2,MATCH(Assessment[[#This Row],[JOB TARGET]],Standar[NAMA JABATAN],0)-1,1,1,13)&lt;0,1,""))&gt;=7,'9 Grid'!$B$6,'9 Grid'!$B$5)))</f>
        <v>Job Target Kosong</v>
      </c>
      <c r="I80" s="146" t="str">
        <f>IFERROR(IF(Data_Assessment[[#This Row],[IPP (3 YEARS AVERAGE)]]="","(IPP Belum Ada)",IF(Data_Assessment[[#This Row],[IPP (3 YEARS AVERAGE)]]&lt;2,'9 Grid'!$F$2,IF(Data_Assessment[[#This Row],[IPP (3 YEARS AVERAGE)]]&gt;=4,'9 Grid'!$D$2,'9 Grid'!$E$2))),"")</f>
        <v>Fully Competence Performance</v>
      </c>
      <c r="J80" s="146" t="str">
        <f ca="1">IFERROR(INDEX('9 Grid'!$D$4:$F$6,MATCH('Rekomendasi HAV'!H80,'9 Grid'!$B$4:$B$6,0),MATCH('Rekomendasi HAV'!I80,'9 Grid'!$D$2:$F$2,0)),"")</f>
        <v/>
      </c>
      <c r="K80" s="146" t="str">
        <f>IFERROR(INDEX('9 Grid'!$D$8:$F$8,1,MATCH('Rekomendasi HAV'!I80,'9 Grid'!$D$2:$F$2,0)),"")</f>
        <v>(ST) Within 12 - 18 month</v>
      </c>
      <c r="L80" s="146">
        <f>IF(ISNUMBER(SEARCH("EST",Assessment[[#This Row],[JOB TARGET]])),SUBSTITUTE(Assessment[[#This Row],[JOB TARGET]],"EST","DEV"),Assessment[[#This Row],[JOB TARGET]])</f>
        <v>0</v>
      </c>
      <c r="M80" s="146" t="str" cm="1">
        <f t="array" aca="1" ref="M80" ca="1">IF(Assessment[[#This Row],[JOB TARGET]]="","Job Target Kosong",IF(COUNT(IF('Data Assessment'!$N80:$Z80-OFFSET(Standar!$B$2,MATCH(Assessment[[#This Row],[JOB TARGET
(DEV)]],Standar[NAMA JABATAN],0)-1,1,1,13)&lt;0,1,""))&lt;=3,'9 Grid'!$B$4,IF(COUNT(IF('Data Assessment'!$N80:$Z80-OFFSET(Standar!$B$2,MATCH(Assessment[[#This Row],[JOB TARGET
(DEV)]],Standar[NAMA JABATAN],0)-1,1,1,13)&lt;0,1,""))&gt;=7,'9 Grid'!$B$6,'9 Grid'!$B$5)))</f>
        <v>Job Target Kosong</v>
      </c>
      <c r="N80" s="146" t="str">
        <f>IFERROR(IF(Data_Assessment[[#This Row],[IPP (3 YEARS AVERAGE)]]="","(IPP Belum Ada)",IF(Data_Assessment[[#This Row],[IPP (3 YEARS AVERAGE)]]&lt;2,'9 Grid'!$F$2,IF(Data_Assessment[[#This Row],[IPP (3 YEARS AVERAGE)]]&gt;=4,'9 Grid'!$D$2,'9 Grid'!$E$2))),"")</f>
        <v>Fully Competence Performance</v>
      </c>
      <c r="O80" s="146" t="str">
        <f ca="1">IFERROR(INDEX('9 Grid'!$D$4:$F$6,MATCH('Rekomendasi HAV'!M80,'9 Grid'!$B$4:$B$6,0),MATCH('Rekomendasi HAV'!N80,'9 Grid'!$D$2:$F$2,0)),"")</f>
        <v/>
      </c>
      <c r="P80" s="147" t="str">
        <f>IFERROR(INDEX('9 Grid'!$D$8:$F$8,1,MATCH('Rekomendasi HAV'!N80,'9 Grid'!$D$2:$F$2,0)),"")</f>
        <v>(ST) Within 12 - 18 month</v>
      </c>
    </row>
    <row r="81" spans="1:16" ht="28.5">
      <c r="A81" s="67">
        <v>80</v>
      </c>
      <c r="B81" s="68" t="str">
        <f>INDEX(Data_Assessment[],MATCH('Rekomendasi HAV'!$A81,Data_Assessment[[INDEX]:[INDEX]],0),MATCH('Rekomendasi HAV'!B$1,Data_Assessment[#Headers],0))</f>
        <v>M. Ismail Arifin</v>
      </c>
      <c r="C81" s="68" t="str">
        <f>INDEX(Data_Assessment[],MATCH('Rekomendasi HAV'!$A81,Data_Assessment[[INDEX]:[INDEX]],0),MATCH('Rekomendasi HAV'!C$1,Data_Assessment[#Headers],0))</f>
        <v>Medan</v>
      </c>
      <c r="D81" s="68" t="str">
        <f>INDEX(Data_Assessment[],MATCH('Rekomendasi HAV'!$A81,Data_Assessment[[INDEX]:[INDEX]],0),MATCH('Rekomendasi HAV'!D$1,Data_Assessment[#Headers],0))</f>
        <v>LSIP - RO Medan</v>
      </c>
      <c r="E81" s="68">
        <f>INDEX(Data_Assessment[],MATCH('Rekomendasi HAV'!$B81,Data_Assessment[[NAME]:[NAME]],0),MATCH('Rekomendasi HAV'!E$1,Data_Assessment[#Headers],0))</f>
        <v>0</v>
      </c>
      <c r="F81" s="68"/>
      <c r="G81" s="68">
        <f>IF(ISNUMBER(SEARCH("DEV",Assessment[[#This Row],[JOB TARGET]])),SUBSTITUTE(Assessment[[#This Row],[JOB TARGET]],"DEV","EST"),Assessment[[#This Row],[JOB TARGET]])</f>
        <v>0</v>
      </c>
      <c r="H81" s="146" t="str" cm="1">
        <f t="array" aca="1" ref="H81" ca="1">IF(Assessment[[#This Row],[JOB TARGET]]="","Job Target Kosong",IF(COUNT(IF('Data Assessment'!$N81:$Z81-OFFSET(Standar!$B$2,MATCH(Assessment[[#This Row],[JOB TARGET
(EST)]],Standar[NAMA JABATAN],0)-1,1,1,13)&lt;0,1,""))&lt;=3,'9 Grid'!$B$4,IF(COUNT(IF('Data Assessment'!$N81:$Z81-OFFSET(Standar!$B$2,MATCH(Assessment[[#This Row],[JOB TARGET]],Standar[NAMA JABATAN],0)-1,1,1,13)&lt;0,1,""))&gt;=7,'9 Grid'!$B$6,'9 Grid'!$B$5)))</f>
        <v>Job Target Kosong</v>
      </c>
      <c r="I81" s="146" t="str">
        <f>IFERROR(IF(Data_Assessment[[#This Row],[IPP (3 YEARS AVERAGE)]]="","(IPP Belum Ada)",IF(Data_Assessment[[#This Row],[IPP (3 YEARS AVERAGE)]]&lt;2,'9 Grid'!$F$2,IF(Data_Assessment[[#This Row],[IPP (3 YEARS AVERAGE)]]&gt;=4,'9 Grid'!$D$2,'9 Grid'!$E$2))),"")</f>
        <v>Fully Competence Performance</v>
      </c>
      <c r="J81" s="146" t="str">
        <f ca="1">IFERROR(INDEX('9 Grid'!$D$4:$F$6,MATCH('Rekomendasi HAV'!H81,'9 Grid'!$B$4:$B$6,0),MATCH('Rekomendasi HAV'!I81,'9 Grid'!$D$2:$F$2,0)),"")</f>
        <v/>
      </c>
      <c r="K81" s="146" t="str">
        <f>IFERROR(INDEX('9 Grid'!$D$8:$F$8,1,MATCH('Rekomendasi HAV'!I81,'9 Grid'!$D$2:$F$2,0)),"")</f>
        <v>(ST) Within 12 - 18 month</v>
      </c>
      <c r="L81" s="146">
        <f>IF(ISNUMBER(SEARCH("EST",Assessment[[#This Row],[JOB TARGET]])),SUBSTITUTE(Assessment[[#This Row],[JOB TARGET]],"EST","DEV"),Assessment[[#This Row],[JOB TARGET]])</f>
        <v>0</v>
      </c>
      <c r="M81" s="146" t="str" cm="1">
        <f t="array" aca="1" ref="M81" ca="1">IF(Assessment[[#This Row],[JOB TARGET]]="","Job Target Kosong",IF(COUNT(IF('Data Assessment'!$N81:$Z81-OFFSET(Standar!$B$2,MATCH(Assessment[[#This Row],[JOB TARGET
(DEV)]],Standar[NAMA JABATAN],0)-1,1,1,13)&lt;0,1,""))&lt;=3,'9 Grid'!$B$4,IF(COUNT(IF('Data Assessment'!$N81:$Z81-OFFSET(Standar!$B$2,MATCH(Assessment[[#This Row],[JOB TARGET
(DEV)]],Standar[NAMA JABATAN],0)-1,1,1,13)&lt;0,1,""))&gt;=7,'9 Grid'!$B$6,'9 Grid'!$B$5)))</f>
        <v>Job Target Kosong</v>
      </c>
      <c r="N81" s="146" t="str">
        <f>IFERROR(IF(Data_Assessment[[#This Row],[IPP (3 YEARS AVERAGE)]]="","(IPP Belum Ada)",IF(Data_Assessment[[#This Row],[IPP (3 YEARS AVERAGE)]]&lt;2,'9 Grid'!$F$2,IF(Data_Assessment[[#This Row],[IPP (3 YEARS AVERAGE)]]&gt;=4,'9 Grid'!$D$2,'9 Grid'!$E$2))),"")</f>
        <v>Fully Competence Performance</v>
      </c>
      <c r="O81" s="146" t="str">
        <f ca="1">IFERROR(INDEX('9 Grid'!$D$4:$F$6,MATCH('Rekomendasi HAV'!M81,'9 Grid'!$B$4:$B$6,0),MATCH('Rekomendasi HAV'!N81,'9 Grid'!$D$2:$F$2,0)),"")</f>
        <v/>
      </c>
      <c r="P81" s="147" t="str">
        <f>IFERROR(INDEX('9 Grid'!$D$8:$F$8,1,MATCH('Rekomendasi HAV'!N81,'9 Grid'!$D$2:$F$2,0)),"")</f>
        <v>(ST) Within 12 - 18 month</v>
      </c>
    </row>
    <row r="82" spans="1:16" ht="28.5">
      <c r="A82" s="67">
        <v>81</v>
      </c>
      <c r="B82" s="68" t="str">
        <f>INDEX(Data_Assessment[],MATCH('Rekomendasi HAV'!$A82,Data_Assessment[[INDEX]:[INDEX]],0),MATCH('Rekomendasi HAV'!B$1,Data_Assessment[#Headers],0))</f>
        <v>Halim Darma Kesuma</v>
      </c>
      <c r="C82" s="68" t="str">
        <f>INDEX(Data_Assessment[],MATCH('Rekomendasi HAV'!$A82,Data_Assessment[[INDEX]:[INDEX]],0),MATCH('Rekomendasi HAV'!C$1,Data_Assessment[#Headers],0))</f>
        <v>Jakarta</v>
      </c>
      <c r="D82" s="68" t="str">
        <f>INDEX(Data_Assessment[],MATCH('Rekomendasi HAV'!$A82,Data_Assessment[[INDEX]:[INDEX]],0),MATCH('Rekomendasi HAV'!D$1,Data_Assessment[#Headers],0))</f>
        <v>LSIP - HO Jakarta</v>
      </c>
      <c r="E82" s="68">
        <f>INDEX(Data_Assessment[],MATCH('Rekomendasi HAV'!$B82,Data_Assessment[[NAME]:[NAME]],0),MATCH('Rekomendasi HAV'!E$1,Data_Assessment[#Headers],0))</f>
        <v>0</v>
      </c>
      <c r="F82" s="68"/>
      <c r="G82" s="68">
        <f>IF(ISNUMBER(SEARCH("DEV",Assessment[[#This Row],[JOB TARGET]])),SUBSTITUTE(Assessment[[#This Row],[JOB TARGET]],"DEV","EST"),Assessment[[#This Row],[JOB TARGET]])</f>
        <v>0</v>
      </c>
      <c r="H82" s="146" t="str" cm="1">
        <f t="array" aca="1" ref="H82" ca="1">IF(Assessment[[#This Row],[JOB TARGET]]="","Job Target Kosong",IF(COUNT(IF('Data Assessment'!$N82:$Z82-OFFSET(Standar!$B$2,MATCH(Assessment[[#This Row],[JOB TARGET
(EST)]],Standar[NAMA JABATAN],0)-1,1,1,13)&lt;0,1,""))&lt;=3,'9 Grid'!$B$4,IF(COUNT(IF('Data Assessment'!$N82:$Z82-OFFSET(Standar!$B$2,MATCH(Assessment[[#This Row],[JOB TARGET]],Standar[NAMA JABATAN],0)-1,1,1,13)&lt;0,1,""))&gt;=7,'9 Grid'!$B$6,'9 Grid'!$B$5)))</f>
        <v>Job Target Kosong</v>
      </c>
      <c r="I82" s="146" t="str">
        <f>IFERROR(IF(Data_Assessment[[#This Row],[IPP (3 YEARS AVERAGE)]]="","(IPP Belum Ada)",IF(Data_Assessment[[#This Row],[IPP (3 YEARS AVERAGE)]]&lt;2,'9 Grid'!$F$2,IF(Data_Assessment[[#This Row],[IPP (3 YEARS AVERAGE)]]&gt;=4,'9 Grid'!$D$2,'9 Grid'!$E$2))),"")</f>
        <v>Contributor</v>
      </c>
      <c r="J82" s="146" t="str">
        <f ca="1">IFERROR(INDEX('9 Grid'!$D$4:$F$6,MATCH('Rekomendasi HAV'!H82,'9 Grid'!$B$4:$B$6,0),MATCH('Rekomendasi HAV'!I82,'9 Grid'!$D$2:$F$2,0)),"")</f>
        <v/>
      </c>
      <c r="K82" s="146" t="str">
        <f>IFERROR(INDEX('9 Grid'!$D$8:$F$8,1,MATCH('Rekomendasi HAV'!I82,'9 Grid'!$D$2:$F$2,0)),"")</f>
        <v>(LT) More 2 - 3 year</v>
      </c>
      <c r="L82" s="146">
        <f>IF(ISNUMBER(SEARCH("EST",Assessment[[#This Row],[JOB TARGET]])),SUBSTITUTE(Assessment[[#This Row],[JOB TARGET]],"EST","DEV"),Assessment[[#This Row],[JOB TARGET]])</f>
        <v>0</v>
      </c>
      <c r="M82" s="146" t="str" cm="1">
        <f t="array" aca="1" ref="M82" ca="1">IF(Assessment[[#This Row],[JOB TARGET]]="","Job Target Kosong",IF(COUNT(IF('Data Assessment'!$N82:$Z82-OFFSET(Standar!$B$2,MATCH(Assessment[[#This Row],[JOB TARGET
(DEV)]],Standar[NAMA JABATAN],0)-1,1,1,13)&lt;0,1,""))&lt;=3,'9 Grid'!$B$4,IF(COUNT(IF('Data Assessment'!$N82:$Z82-OFFSET(Standar!$B$2,MATCH(Assessment[[#This Row],[JOB TARGET
(DEV)]],Standar[NAMA JABATAN],0)-1,1,1,13)&lt;0,1,""))&gt;=7,'9 Grid'!$B$6,'9 Grid'!$B$5)))</f>
        <v>Job Target Kosong</v>
      </c>
      <c r="N82" s="146" t="str">
        <f>IFERROR(IF(Data_Assessment[[#This Row],[IPP (3 YEARS AVERAGE)]]="","(IPP Belum Ada)",IF(Data_Assessment[[#This Row],[IPP (3 YEARS AVERAGE)]]&lt;2,'9 Grid'!$F$2,IF(Data_Assessment[[#This Row],[IPP (3 YEARS AVERAGE)]]&gt;=4,'9 Grid'!$D$2,'9 Grid'!$E$2))),"")</f>
        <v>Contributor</v>
      </c>
      <c r="O82" s="146" t="str">
        <f ca="1">IFERROR(INDEX('9 Grid'!$D$4:$F$6,MATCH('Rekomendasi HAV'!M82,'9 Grid'!$B$4:$B$6,0),MATCH('Rekomendasi HAV'!N82,'9 Grid'!$D$2:$F$2,0)),"")</f>
        <v/>
      </c>
      <c r="P82" s="147" t="str">
        <f>IFERROR(INDEX('9 Grid'!$D$8:$F$8,1,MATCH('Rekomendasi HAV'!N82,'9 Grid'!$D$2:$F$2,0)),"")</f>
        <v>(LT) More 2 - 3 year</v>
      </c>
    </row>
    <row r="83" spans="1:16" ht="28.5">
      <c r="A83" s="67">
        <v>82</v>
      </c>
      <c r="B83" s="68" t="str">
        <f>INDEX(Data_Assessment[],MATCH('Rekomendasi HAV'!$A83,Data_Assessment[[INDEX]:[INDEX]],0),MATCH('Rekomendasi HAV'!B$1,Data_Assessment[#Headers],0))</f>
        <v>Imansyah Sihombing</v>
      </c>
      <c r="C83" s="68" t="str">
        <f>INDEX(Data_Assessment[],MATCH('Rekomendasi HAV'!$A83,Data_Assessment[[INDEX]:[INDEX]],0),MATCH('Rekomendasi HAV'!C$1,Data_Assessment[#Headers],0))</f>
        <v>Medan</v>
      </c>
      <c r="D83" s="68" t="str">
        <f>INDEX(Data_Assessment[],MATCH('Rekomendasi HAV'!$A83,Data_Assessment[[INDEX]:[INDEX]],0),MATCH('Rekomendasi HAV'!D$1,Data_Assessment[#Headers],0))</f>
        <v>LSIP - RO Medan</v>
      </c>
      <c r="E83" s="68">
        <f>INDEX(Data_Assessment[],MATCH('Rekomendasi HAV'!$B83,Data_Assessment[[NAME]:[NAME]],0),MATCH('Rekomendasi HAV'!E$1,Data_Assessment[#Headers],0))</f>
        <v>0</v>
      </c>
      <c r="F83" s="68"/>
      <c r="G83" s="68">
        <f>IF(ISNUMBER(SEARCH("DEV",Assessment[[#This Row],[JOB TARGET]])),SUBSTITUTE(Assessment[[#This Row],[JOB TARGET]],"DEV","EST"),Assessment[[#This Row],[JOB TARGET]])</f>
        <v>0</v>
      </c>
      <c r="H83" s="146" t="str" cm="1">
        <f t="array" aca="1" ref="H83" ca="1">IF(Assessment[[#This Row],[JOB TARGET]]="","Job Target Kosong",IF(COUNT(IF('Data Assessment'!$N83:$Z83-OFFSET(Standar!$B$2,MATCH(Assessment[[#This Row],[JOB TARGET
(EST)]],Standar[NAMA JABATAN],0)-1,1,1,13)&lt;0,1,""))&lt;=3,'9 Grid'!$B$4,IF(COUNT(IF('Data Assessment'!$N83:$Z83-OFFSET(Standar!$B$2,MATCH(Assessment[[#This Row],[JOB TARGET]],Standar[NAMA JABATAN],0)-1,1,1,13)&lt;0,1,""))&gt;=7,'9 Grid'!$B$6,'9 Grid'!$B$5)))</f>
        <v>Job Target Kosong</v>
      </c>
      <c r="I83" s="146" t="str">
        <f>IFERROR(IF(Data_Assessment[[#This Row],[IPP (3 YEARS AVERAGE)]]="","(IPP Belum Ada)",IF(Data_Assessment[[#This Row],[IPP (3 YEARS AVERAGE)]]&lt;2,'9 Grid'!$F$2,IF(Data_Assessment[[#This Row],[IPP (3 YEARS AVERAGE)]]&gt;=4,'9 Grid'!$D$2,'9 Grid'!$E$2))),"")</f>
        <v>Fully Competence Performance</v>
      </c>
      <c r="J83" s="146" t="str">
        <f ca="1">IFERROR(INDEX('9 Grid'!$D$4:$F$6,MATCH('Rekomendasi HAV'!H83,'9 Grid'!$B$4:$B$6,0),MATCH('Rekomendasi HAV'!I83,'9 Grid'!$D$2:$F$2,0)),"")</f>
        <v/>
      </c>
      <c r="K83" s="146" t="str">
        <f>IFERROR(INDEX('9 Grid'!$D$8:$F$8,1,MATCH('Rekomendasi HAV'!I83,'9 Grid'!$D$2:$F$2,0)),"")</f>
        <v>(ST) Within 12 - 18 month</v>
      </c>
      <c r="L83" s="146">
        <f>IF(ISNUMBER(SEARCH("EST",Assessment[[#This Row],[JOB TARGET]])),SUBSTITUTE(Assessment[[#This Row],[JOB TARGET]],"EST","DEV"),Assessment[[#This Row],[JOB TARGET]])</f>
        <v>0</v>
      </c>
      <c r="M83" s="146" t="str" cm="1">
        <f t="array" aca="1" ref="M83" ca="1">IF(Assessment[[#This Row],[JOB TARGET]]="","Job Target Kosong",IF(COUNT(IF('Data Assessment'!$N83:$Z83-OFFSET(Standar!$B$2,MATCH(Assessment[[#This Row],[JOB TARGET
(DEV)]],Standar[NAMA JABATAN],0)-1,1,1,13)&lt;0,1,""))&lt;=3,'9 Grid'!$B$4,IF(COUNT(IF('Data Assessment'!$N83:$Z83-OFFSET(Standar!$B$2,MATCH(Assessment[[#This Row],[JOB TARGET
(DEV)]],Standar[NAMA JABATAN],0)-1,1,1,13)&lt;0,1,""))&gt;=7,'9 Grid'!$B$6,'9 Grid'!$B$5)))</f>
        <v>Job Target Kosong</v>
      </c>
      <c r="N83" s="146" t="str">
        <f>IFERROR(IF(Data_Assessment[[#This Row],[IPP (3 YEARS AVERAGE)]]="","(IPP Belum Ada)",IF(Data_Assessment[[#This Row],[IPP (3 YEARS AVERAGE)]]&lt;2,'9 Grid'!$F$2,IF(Data_Assessment[[#This Row],[IPP (3 YEARS AVERAGE)]]&gt;=4,'9 Grid'!$D$2,'9 Grid'!$E$2))),"")</f>
        <v>Fully Competence Performance</v>
      </c>
      <c r="O83" s="146" t="str">
        <f ca="1">IFERROR(INDEX('9 Grid'!$D$4:$F$6,MATCH('Rekomendasi HAV'!M83,'9 Grid'!$B$4:$B$6,0),MATCH('Rekomendasi HAV'!N83,'9 Grid'!$D$2:$F$2,0)),"")</f>
        <v/>
      </c>
      <c r="P83" s="147" t="str">
        <f>IFERROR(INDEX('9 Grid'!$D$8:$F$8,1,MATCH('Rekomendasi HAV'!N83,'9 Grid'!$D$2:$F$2,0)),"")</f>
        <v>(ST) Within 12 - 18 month</v>
      </c>
    </row>
    <row r="84" spans="1:16" ht="28.5">
      <c r="A84" s="67">
        <v>83</v>
      </c>
      <c r="B84" s="68" t="str">
        <f>INDEX(Data_Assessment[],MATCH('Rekomendasi HAV'!$A84,Data_Assessment[[INDEX]:[INDEX]],0),MATCH('Rekomendasi HAV'!B$1,Data_Assessment[#Headers],0))</f>
        <v>Octavianus Krisanggoro Pangestu A.</v>
      </c>
      <c r="C84" s="68" t="str">
        <f>INDEX(Data_Assessment[],MATCH('Rekomendasi HAV'!$A84,Data_Assessment[[INDEX]:[INDEX]],0),MATCH('Rekomendasi HAV'!C$1,Data_Assessment[#Headers],0))</f>
        <v>Jakarta</v>
      </c>
      <c r="D84" s="68" t="str">
        <f>INDEX(Data_Assessment[],MATCH('Rekomendasi HAV'!$A84,Data_Assessment[[INDEX]:[INDEX]],0),MATCH('Rekomendasi HAV'!D$1,Data_Assessment[#Headers],0))</f>
        <v>LSIP - HO Jakarta</v>
      </c>
      <c r="E84" s="68">
        <f>INDEX(Data_Assessment[],MATCH('Rekomendasi HAV'!$B84,Data_Assessment[[NAME]:[NAME]],0),MATCH('Rekomendasi HAV'!E$1,Data_Assessment[#Headers],0))</f>
        <v>0</v>
      </c>
      <c r="F84" s="68"/>
      <c r="G84" s="68">
        <f>IF(ISNUMBER(SEARCH("DEV",Assessment[[#This Row],[JOB TARGET]])),SUBSTITUTE(Assessment[[#This Row],[JOB TARGET]],"DEV","EST"),Assessment[[#This Row],[JOB TARGET]])</f>
        <v>0</v>
      </c>
      <c r="H84" s="146" t="str" cm="1">
        <f t="array" aca="1" ref="H84" ca="1">IF(Assessment[[#This Row],[JOB TARGET]]="","Job Target Kosong",IF(COUNT(IF('Data Assessment'!$N84:$Z84-OFFSET(Standar!$B$2,MATCH(Assessment[[#This Row],[JOB TARGET
(EST)]],Standar[NAMA JABATAN],0)-1,1,1,13)&lt;0,1,""))&lt;=3,'9 Grid'!$B$4,IF(COUNT(IF('Data Assessment'!$N84:$Z84-OFFSET(Standar!$B$2,MATCH(Assessment[[#This Row],[JOB TARGET]],Standar[NAMA JABATAN],0)-1,1,1,13)&lt;0,1,""))&gt;=7,'9 Grid'!$B$6,'9 Grid'!$B$5)))</f>
        <v>Job Target Kosong</v>
      </c>
      <c r="I84" s="146" t="str">
        <f>IFERROR(IF(Data_Assessment[[#This Row],[IPP (3 YEARS AVERAGE)]]="","(IPP Belum Ada)",IF(Data_Assessment[[#This Row],[IPP (3 YEARS AVERAGE)]]&lt;2,'9 Grid'!$F$2,IF(Data_Assessment[[#This Row],[IPP (3 YEARS AVERAGE)]]&gt;=4,'9 Grid'!$D$2,'9 Grid'!$E$2))),"")</f>
        <v>Fully Competence Performance</v>
      </c>
      <c r="J84" s="146" t="str">
        <f ca="1">IFERROR(INDEX('9 Grid'!$D$4:$F$6,MATCH('Rekomendasi HAV'!H84,'9 Grid'!$B$4:$B$6,0),MATCH('Rekomendasi HAV'!I84,'9 Grid'!$D$2:$F$2,0)),"")</f>
        <v/>
      </c>
      <c r="K84" s="146" t="str">
        <f>IFERROR(INDEX('9 Grid'!$D$8:$F$8,1,MATCH('Rekomendasi HAV'!I84,'9 Grid'!$D$2:$F$2,0)),"")</f>
        <v>(ST) Within 12 - 18 month</v>
      </c>
      <c r="L84" s="146">
        <f>IF(ISNUMBER(SEARCH("EST",Assessment[[#This Row],[JOB TARGET]])),SUBSTITUTE(Assessment[[#This Row],[JOB TARGET]],"EST","DEV"),Assessment[[#This Row],[JOB TARGET]])</f>
        <v>0</v>
      </c>
      <c r="M84" s="146" t="str" cm="1">
        <f t="array" aca="1" ref="M84" ca="1">IF(Assessment[[#This Row],[JOB TARGET]]="","Job Target Kosong",IF(COUNT(IF('Data Assessment'!$N84:$Z84-OFFSET(Standar!$B$2,MATCH(Assessment[[#This Row],[JOB TARGET
(DEV)]],Standar[NAMA JABATAN],0)-1,1,1,13)&lt;0,1,""))&lt;=3,'9 Grid'!$B$4,IF(COUNT(IF('Data Assessment'!$N84:$Z84-OFFSET(Standar!$B$2,MATCH(Assessment[[#This Row],[JOB TARGET
(DEV)]],Standar[NAMA JABATAN],0)-1,1,1,13)&lt;0,1,""))&gt;=7,'9 Grid'!$B$6,'9 Grid'!$B$5)))</f>
        <v>Job Target Kosong</v>
      </c>
      <c r="N84" s="146" t="str">
        <f>IFERROR(IF(Data_Assessment[[#This Row],[IPP (3 YEARS AVERAGE)]]="","(IPP Belum Ada)",IF(Data_Assessment[[#This Row],[IPP (3 YEARS AVERAGE)]]&lt;2,'9 Grid'!$F$2,IF(Data_Assessment[[#This Row],[IPP (3 YEARS AVERAGE)]]&gt;=4,'9 Grid'!$D$2,'9 Grid'!$E$2))),"")</f>
        <v>Fully Competence Performance</v>
      </c>
      <c r="O84" s="146" t="str">
        <f ca="1">IFERROR(INDEX('9 Grid'!$D$4:$F$6,MATCH('Rekomendasi HAV'!M84,'9 Grid'!$B$4:$B$6,0),MATCH('Rekomendasi HAV'!N84,'9 Grid'!$D$2:$F$2,0)),"")</f>
        <v/>
      </c>
      <c r="P84" s="147" t="str">
        <f>IFERROR(INDEX('9 Grid'!$D$8:$F$8,1,MATCH('Rekomendasi HAV'!N84,'9 Grid'!$D$2:$F$2,0)),"")</f>
        <v>(ST) Within 12 - 18 month</v>
      </c>
    </row>
    <row r="85" spans="1:16" ht="28.5">
      <c r="A85" s="67">
        <v>84</v>
      </c>
      <c r="B85" s="68" t="str">
        <f>INDEX(Data_Assessment[],MATCH('Rekomendasi HAV'!$A85,Data_Assessment[[INDEX]:[INDEX]],0),MATCH('Rekomendasi HAV'!B$1,Data_Assessment[#Headers],0))</f>
        <v>Shofi Tahir</v>
      </c>
      <c r="C85" s="68" t="str">
        <f>INDEX(Data_Assessment[],MATCH('Rekomendasi HAV'!$A85,Data_Assessment[[INDEX]:[INDEX]],0),MATCH('Rekomendasi HAV'!C$1,Data_Assessment[#Headers],0))</f>
        <v>Medan</v>
      </c>
      <c r="D85" s="68" t="str">
        <f>INDEX(Data_Assessment[],MATCH('Rekomendasi HAV'!$A85,Data_Assessment[[INDEX]:[INDEX]],0),MATCH('Rekomendasi HAV'!D$1,Data_Assessment[#Headers],0))</f>
        <v>LSIP - RO Medan</v>
      </c>
      <c r="E85" s="68">
        <f>INDEX(Data_Assessment[],MATCH('Rekomendasi HAV'!$B85,Data_Assessment[[NAME]:[NAME]],0),MATCH('Rekomendasi HAV'!E$1,Data_Assessment[#Headers],0))</f>
        <v>0</v>
      </c>
      <c r="F85" s="68"/>
      <c r="G85" s="68">
        <f>IF(ISNUMBER(SEARCH("DEV",Assessment[[#This Row],[JOB TARGET]])),SUBSTITUTE(Assessment[[#This Row],[JOB TARGET]],"DEV","EST"),Assessment[[#This Row],[JOB TARGET]])</f>
        <v>0</v>
      </c>
      <c r="H85" s="146" t="str" cm="1">
        <f t="array" aca="1" ref="H85" ca="1">IF(Assessment[[#This Row],[JOB TARGET]]="","Job Target Kosong",IF(COUNT(IF('Data Assessment'!$N85:$Z85-OFFSET(Standar!$B$2,MATCH(Assessment[[#This Row],[JOB TARGET
(EST)]],Standar[NAMA JABATAN],0)-1,1,1,13)&lt;0,1,""))&lt;=3,'9 Grid'!$B$4,IF(COUNT(IF('Data Assessment'!$N85:$Z85-OFFSET(Standar!$B$2,MATCH(Assessment[[#This Row],[JOB TARGET]],Standar[NAMA JABATAN],0)-1,1,1,13)&lt;0,1,""))&gt;=7,'9 Grid'!$B$6,'9 Grid'!$B$5)))</f>
        <v>Job Target Kosong</v>
      </c>
      <c r="I85" s="146" t="str">
        <f>IFERROR(IF(Data_Assessment[[#This Row],[IPP (3 YEARS AVERAGE)]]="","(IPP Belum Ada)",IF(Data_Assessment[[#This Row],[IPP (3 YEARS AVERAGE)]]&lt;2,'9 Grid'!$F$2,IF(Data_Assessment[[#This Row],[IPP (3 YEARS AVERAGE)]]&gt;=4,'9 Grid'!$D$2,'9 Grid'!$E$2))),"")</f>
        <v>Fully Competence Performance</v>
      </c>
      <c r="J85" s="146" t="str">
        <f ca="1">IFERROR(INDEX('9 Grid'!$D$4:$F$6,MATCH('Rekomendasi HAV'!H85,'9 Grid'!$B$4:$B$6,0),MATCH('Rekomendasi HAV'!I85,'9 Grid'!$D$2:$F$2,0)),"")</f>
        <v/>
      </c>
      <c r="K85" s="146" t="str">
        <f>IFERROR(INDEX('9 Grid'!$D$8:$F$8,1,MATCH('Rekomendasi HAV'!I85,'9 Grid'!$D$2:$F$2,0)),"")</f>
        <v>(ST) Within 12 - 18 month</v>
      </c>
      <c r="L85" s="146">
        <f>IF(ISNUMBER(SEARCH("EST",Assessment[[#This Row],[JOB TARGET]])),SUBSTITUTE(Assessment[[#This Row],[JOB TARGET]],"EST","DEV"),Assessment[[#This Row],[JOB TARGET]])</f>
        <v>0</v>
      </c>
      <c r="M85" s="146" t="str" cm="1">
        <f t="array" aca="1" ref="M85" ca="1">IF(Assessment[[#This Row],[JOB TARGET]]="","Job Target Kosong",IF(COUNT(IF('Data Assessment'!$N85:$Z85-OFFSET(Standar!$B$2,MATCH(Assessment[[#This Row],[JOB TARGET
(DEV)]],Standar[NAMA JABATAN],0)-1,1,1,13)&lt;0,1,""))&lt;=3,'9 Grid'!$B$4,IF(COUNT(IF('Data Assessment'!$N85:$Z85-OFFSET(Standar!$B$2,MATCH(Assessment[[#This Row],[JOB TARGET
(DEV)]],Standar[NAMA JABATAN],0)-1,1,1,13)&lt;0,1,""))&gt;=7,'9 Grid'!$B$6,'9 Grid'!$B$5)))</f>
        <v>Job Target Kosong</v>
      </c>
      <c r="N85" s="146" t="str">
        <f>IFERROR(IF(Data_Assessment[[#This Row],[IPP (3 YEARS AVERAGE)]]="","(IPP Belum Ada)",IF(Data_Assessment[[#This Row],[IPP (3 YEARS AVERAGE)]]&lt;2,'9 Grid'!$F$2,IF(Data_Assessment[[#This Row],[IPP (3 YEARS AVERAGE)]]&gt;=4,'9 Grid'!$D$2,'9 Grid'!$E$2))),"")</f>
        <v>Fully Competence Performance</v>
      </c>
      <c r="O85" s="146" t="str">
        <f ca="1">IFERROR(INDEX('9 Grid'!$D$4:$F$6,MATCH('Rekomendasi HAV'!M85,'9 Grid'!$B$4:$B$6,0),MATCH('Rekomendasi HAV'!N85,'9 Grid'!$D$2:$F$2,0)),"")</f>
        <v/>
      </c>
      <c r="P85" s="147" t="str">
        <f>IFERROR(INDEX('9 Grid'!$D$8:$F$8,1,MATCH('Rekomendasi HAV'!N85,'9 Grid'!$D$2:$F$2,0)),"")</f>
        <v>(ST) Within 12 - 18 month</v>
      </c>
    </row>
    <row r="86" spans="1:16" ht="28.5">
      <c r="A86" s="67">
        <v>85</v>
      </c>
      <c r="B86" s="68" t="str">
        <f>INDEX(Data_Assessment[],MATCH('Rekomendasi HAV'!$A86,Data_Assessment[[INDEX]:[INDEX]],0),MATCH('Rekomendasi HAV'!B$1,Data_Assessment[#Headers],0))</f>
        <v>Ricky Martinus</v>
      </c>
      <c r="C86" s="68" t="str">
        <f>INDEX(Data_Assessment[],MATCH('Rekomendasi HAV'!$A86,Data_Assessment[[INDEX]:[INDEX]],0),MATCH('Rekomendasi HAV'!C$1,Data_Assessment[#Headers],0))</f>
        <v>Jakarta</v>
      </c>
      <c r="D86" s="68" t="str">
        <f>INDEX(Data_Assessment[],MATCH('Rekomendasi HAV'!$A86,Data_Assessment[[INDEX]:[INDEX]],0),MATCH('Rekomendasi HAV'!D$1,Data_Assessment[#Headers],0))</f>
        <v>LSIP - HO Jakarta</v>
      </c>
      <c r="E86" s="68">
        <f>INDEX(Data_Assessment[],MATCH('Rekomendasi HAV'!$B86,Data_Assessment[[NAME]:[NAME]],0),MATCH('Rekomendasi HAV'!E$1,Data_Assessment[#Headers],0))</f>
        <v>0</v>
      </c>
      <c r="F86" s="68"/>
      <c r="G86" s="68">
        <f>IF(ISNUMBER(SEARCH("DEV",Assessment[[#This Row],[JOB TARGET]])),SUBSTITUTE(Assessment[[#This Row],[JOB TARGET]],"DEV","EST"),Assessment[[#This Row],[JOB TARGET]])</f>
        <v>0</v>
      </c>
      <c r="H86" s="146" t="str" cm="1">
        <f t="array" aca="1" ref="H86" ca="1">IF(Assessment[[#This Row],[JOB TARGET]]="","Job Target Kosong",IF(COUNT(IF('Data Assessment'!$N86:$Z86-OFFSET(Standar!$B$2,MATCH(Assessment[[#This Row],[JOB TARGET
(EST)]],Standar[NAMA JABATAN],0)-1,1,1,13)&lt;0,1,""))&lt;=3,'9 Grid'!$B$4,IF(COUNT(IF('Data Assessment'!$N86:$Z86-OFFSET(Standar!$B$2,MATCH(Assessment[[#This Row],[JOB TARGET]],Standar[NAMA JABATAN],0)-1,1,1,13)&lt;0,1,""))&gt;=7,'9 Grid'!$B$6,'9 Grid'!$B$5)))</f>
        <v>Job Target Kosong</v>
      </c>
      <c r="I86" s="146" t="str">
        <f>IFERROR(IF(Data_Assessment[[#This Row],[IPP (3 YEARS AVERAGE)]]="","(IPP Belum Ada)",IF(Data_Assessment[[#This Row],[IPP (3 YEARS AVERAGE)]]&lt;2,'9 Grid'!$F$2,IF(Data_Assessment[[#This Row],[IPP (3 YEARS AVERAGE)]]&gt;=4,'9 Grid'!$D$2,'9 Grid'!$E$2))),"")</f>
        <v>Fully Competence Performance</v>
      </c>
      <c r="J86" s="146" t="str">
        <f ca="1">IFERROR(INDEX('9 Grid'!$D$4:$F$6,MATCH('Rekomendasi HAV'!H86,'9 Grid'!$B$4:$B$6,0),MATCH('Rekomendasi HAV'!I86,'9 Grid'!$D$2:$F$2,0)),"")</f>
        <v/>
      </c>
      <c r="K86" s="146" t="str">
        <f>IFERROR(INDEX('9 Grid'!$D$8:$F$8,1,MATCH('Rekomendasi HAV'!I86,'9 Grid'!$D$2:$F$2,0)),"")</f>
        <v>(ST) Within 12 - 18 month</v>
      </c>
      <c r="L86" s="146">
        <f>IF(ISNUMBER(SEARCH("EST",Assessment[[#This Row],[JOB TARGET]])),SUBSTITUTE(Assessment[[#This Row],[JOB TARGET]],"EST","DEV"),Assessment[[#This Row],[JOB TARGET]])</f>
        <v>0</v>
      </c>
      <c r="M86" s="146" t="str" cm="1">
        <f t="array" aca="1" ref="M86" ca="1">IF(Assessment[[#This Row],[JOB TARGET]]="","Job Target Kosong",IF(COUNT(IF('Data Assessment'!$N86:$Z86-OFFSET(Standar!$B$2,MATCH(Assessment[[#This Row],[JOB TARGET
(DEV)]],Standar[NAMA JABATAN],0)-1,1,1,13)&lt;0,1,""))&lt;=3,'9 Grid'!$B$4,IF(COUNT(IF('Data Assessment'!$N86:$Z86-OFFSET(Standar!$B$2,MATCH(Assessment[[#This Row],[JOB TARGET
(DEV)]],Standar[NAMA JABATAN],0)-1,1,1,13)&lt;0,1,""))&gt;=7,'9 Grid'!$B$6,'9 Grid'!$B$5)))</f>
        <v>Job Target Kosong</v>
      </c>
      <c r="N86" s="146" t="str">
        <f>IFERROR(IF(Data_Assessment[[#This Row],[IPP (3 YEARS AVERAGE)]]="","(IPP Belum Ada)",IF(Data_Assessment[[#This Row],[IPP (3 YEARS AVERAGE)]]&lt;2,'9 Grid'!$F$2,IF(Data_Assessment[[#This Row],[IPP (3 YEARS AVERAGE)]]&gt;=4,'9 Grid'!$D$2,'9 Grid'!$E$2))),"")</f>
        <v>Fully Competence Performance</v>
      </c>
      <c r="O86" s="146" t="str">
        <f ca="1">IFERROR(INDEX('9 Grid'!$D$4:$F$6,MATCH('Rekomendasi HAV'!M86,'9 Grid'!$B$4:$B$6,0),MATCH('Rekomendasi HAV'!N86,'9 Grid'!$D$2:$F$2,0)),"")</f>
        <v/>
      </c>
      <c r="P86" s="147" t="str">
        <f>IFERROR(INDEX('9 Grid'!$D$8:$F$8,1,MATCH('Rekomendasi HAV'!N86,'9 Grid'!$D$2:$F$2,0)),"")</f>
        <v>(ST) Within 12 - 18 month</v>
      </c>
    </row>
    <row r="87" spans="1:16" ht="14.25">
      <c r="A87" s="67">
        <v>86</v>
      </c>
      <c r="B87" s="68" t="str">
        <f>INDEX(Data_Assessment[],MATCH('Rekomendasi HAV'!$A87,Data_Assessment[[INDEX]:[INDEX]],0),MATCH('Rekomendasi HAV'!B$1,Data_Assessment[#Headers],0))</f>
        <v>Ganda Kristiawan</v>
      </c>
      <c r="C87" s="68" t="str">
        <f>INDEX(Data_Assessment[],MATCH('Rekomendasi HAV'!$A87,Data_Assessment[[INDEX]:[INDEX]],0),MATCH('Rekomendasi HAV'!C$1,Data_Assessment[#Headers],0))</f>
        <v>Medan</v>
      </c>
      <c r="D87" s="68" t="str">
        <f>INDEX(Data_Assessment[],MATCH('Rekomendasi HAV'!$A87,Data_Assessment[[INDEX]:[INDEX]],0),MATCH('Rekomendasi HAV'!D$1,Data_Assessment[#Headers],0))</f>
        <v>LSIP - RO Medan</v>
      </c>
      <c r="E87" s="68">
        <f>INDEX(Data_Assessment[],MATCH('Rekomendasi HAV'!$B87,Data_Assessment[[NAME]:[NAME]],0),MATCH('Rekomendasi HAV'!E$1,Data_Assessment[#Headers],0))</f>
        <v>0</v>
      </c>
      <c r="F87" s="68"/>
      <c r="G87" s="68">
        <f>IF(ISNUMBER(SEARCH("DEV",Assessment[[#This Row],[JOB TARGET]])),SUBSTITUTE(Assessment[[#This Row],[JOB TARGET]],"DEV","EST"),Assessment[[#This Row],[JOB TARGET]])</f>
        <v>0</v>
      </c>
      <c r="H87" s="146" t="str" cm="1">
        <f t="array" aca="1" ref="H87" ca="1">IF(Assessment[[#This Row],[JOB TARGET]]="","Job Target Kosong",IF(COUNT(IF('Data Assessment'!$N87:$Z87-OFFSET(Standar!$B$2,MATCH(Assessment[[#This Row],[JOB TARGET
(EST)]],Standar[NAMA JABATAN],0)-1,1,1,13)&lt;0,1,""))&lt;=3,'9 Grid'!$B$4,IF(COUNT(IF('Data Assessment'!$N87:$Z87-OFFSET(Standar!$B$2,MATCH(Assessment[[#This Row],[JOB TARGET]],Standar[NAMA JABATAN],0)-1,1,1,13)&lt;0,1,""))&gt;=7,'9 Grid'!$B$6,'9 Grid'!$B$5)))</f>
        <v>Job Target Kosong</v>
      </c>
      <c r="I87" s="146" t="str">
        <f>IFERROR(IF(Data_Assessment[[#This Row],[IPP (3 YEARS AVERAGE)]]="","(IPP Belum Ada)",IF(Data_Assessment[[#This Row],[IPP (3 YEARS AVERAGE)]]&lt;2,'9 Grid'!$F$2,IF(Data_Assessment[[#This Row],[IPP (3 YEARS AVERAGE)]]&gt;=4,'9 Grid'!$D$2,'9 Grid'!$E$2))),"")</f>
        <v>Exceptional Performance</v>
      </c>
      <c r="J87" s="146" t="str">
        <f ca="1">IFERROR(INDEX('9 Grid'!$D$4:$F$6,MATCH('Rekomendasi HAV'!H87,'9 Grid'!$B$4:$B$6,0),MATCH('Rekomendasi HAV'!I87,'9 Grid'!$D$2:$F$2,0)),"")</f>
        <v/>
      </c>
      <c r="K87" s="146" t="str">
        <f>IFERROR(INDEX('9 Grid'!$D$8:$F$8,1,MATCH('Rekomendasi HAV'!I87,'9 Grid'!$D$2:$F$2,0)),"")</f>
        <v>(I) Immediately</v>
      </c>
      <c r="L87" s="146">
        <f>IF(ISNUMBER(SEARCH("EST",Assessment[[#This Row],[JOB TARGET]])),SUBSTITUTE(Assessment[[#This Row],[JOB TARGET]],"EST","DEV"),Assessment[[#This Row],[JOB TARGET]])</f>
        <v>0</v>
      </c>
      <c r="M87" s="146" t="str" cm="1">
        <f t="array" aca="1" ref="M87" ca="1">IF(Assessment[[#This Row],[JOB TARGET]]="","Job Target Kosong",IF(COUNT(IF('Data Assessment'!$N87:$Z87-OFFSET(Standar!$B$2,MATCH(Assessment[[#This Row],[JOB TARGET
(DEV)]],Standar[NAMA JABATAN],0)-1,1,1,13)&lt;0,1,""))&lt;=3,'9 Grid'!$B$4,IF(COUNT(IF('Data Assessment'!$N87:$Z87-OFFSET(Standar!$B$2,MATCH(Assessment[[#This Row],[JOB TARGET
(DEV)]],Standar[NAMA JABATAN],0)-1,1,1,13)&lt;0,1,""))&gt;=7,'9 Grid'!$B$6,'9 Grid'!$B$5)))</f>
        <v>Job Target Kosong</v>
      </c>
      <c r="N87" s="146" t="str">
        <f>IFERROR(IF(Data_Assessment[[#This Row],[IPP (3 YEARS AVERAGE)]]="","(IPP Belum Ada)",IF(Data_Assessment[[#This Row],[IPP (3 YEARS AVERAGE)]]&lt;2,'9 Grid'!$F$2,IF(Data_Assessment[[#This Row],[IPP (3 YEARS AVERAGE)]]&gt;=4,'9 Grid'!$D$2,'9 Grid'!$E$2))),"")</f>
        <v>Exceptional Performance</v>
      </c>
      <c r="O87" s="146" t="str">
        <f ca="1">IFERROR(INDEX('9 Grid'!$D$4:$F$6,MATCH('Rekomendasi HAV'!M87,'9 Grid'!$B$4:$B$6,0),MATCH('Rekomendasi HAV'!N87,'9 Grid'!$D$2:$F$2,0)),"")</f>
        <v/>
      </c>
      <c r="P87" s="147" t="str">
        <f>IFERROR(INDEX('9 Grid'!$D$8:$F$8,1,MATCH('Rekomendasi HAV'!N87,'9 Grid'!$D$2:$F$2,0)),"")</f>
        <v>(I) Immediately</v>
      </c>
    </row>
    <row r="88" spans="1:16" ht="28.5">
      <c r="A88" s="67">
        <v>87</v>
      </c>
      <c r="B88" s="68" t="str">
        <f>INDEX(Data_Assessment[],MATCH('Rekomendasi HAV'!$A88,Data_Assessment[[INDEX]:[INDEX]],0),MATCH('Rekomendasi HAV'!B$1,Data_Assessment[#Headers],0))</f>
        <v>Deni Eka Kesuma</v>
      </c>
      <c r="C88" s="68" t="str">
        <f>INDEX(Data_Assessment[],MATCH('Rekomendasi HAV'!$A88,Data_Assessment[[INDEX]:[INDEX]],0),MATCH('Rekomendasi HAV'!C$1,Data_Assessment[#Headers],0))</f>
        <v>Medan</v>
      </c>
      <c r="D88" s="68" t="str">
        <f>INDEX(Data_Assessment[],MATCH('Rekomendasi HAV'!$A88,Data_Assessment[[INDEX]:[INDEX]],0),MATCH('Rekomendasi HAV'!D$1,Data_Assessment[#Headers],0))</f>
        <v>LSIP - RO Medan</v>
      </c>
      <c r="E88" s="68">
        <f>INDEX(Data_Assessment[],MATCH('Rekomendasi HAV'!$B88,Data_Assessment[[NAME]:[NAME]],0),MATCH('Rekomendasi HAV'!E$1,Data_Assessment[#Headers],0))</f>
        <v>0</v>
      </c>
      <c r="F88" s="68"/>
      <c r="G88" s="68">
        <f>IF(ISNUMBER(SEARCH("DEV",Assessment[[#This Row],[JOB TARGET]])),SUBSTITUTE(Assessment[[#This Row],[JOB TARGET]],"DEV","EST"),Assessment[[#This Row],[JOB TARGET]])</f>
        <v>0</v>
      </c>
      <c r="H88" s="146" t="str" cm="1">
        <f t="array" aca="1" ref="H88" ca="1">IF(Assessment[[#This Row],[JOB TARGET]]="","Job Target Kosong",IF(COUNT(IF('Data Assessment'!$N88:$Z88-OFFSET(Standar!$B$2,MATCH(Assessment[[#This Row],[JOB TARGET
(EST)]],Standar[NAMA JABATAN],0)-1,1,1,13)&lt;0,1,""))&lt;=3,'9 Grid'!$B$4,IF(COUNT(IF('Data Assessment'!$N88:$Z88-OFFSET(Standar!$B$2,MATCH(Assessment[[#This Row],[JOB TARGET]],Standar[NAMA JABATAN],0)-1,1,1,13)&lt;0,1,""))&gt;=7,'9 Grid'!$B$6,'9 Grid'!$B$5)))</f>
        <v>Job Target Kosong</v>
      </c>
      <c r="I88" s="146" t="str">
        <f>IFERROR(IF(Data_Assessment[[#This Row],[IPP (3 YEARS AVERAGE)]]="","(IPP Belum Ada)",IF(Data_Assessment[[#This Row],[IPP (3 YEARS AVERAGE)]]&lt;2,'9 Grid'!$F$2,IF(Data_Assessment[[#This Row],[IPP (3 YEARS AVERAGE)]]&gt;=4,'9 Grid'!$D$2,'9 Grid'!$E$2))),"")</f>
        <v>Fully Competence Performance</v>
      </c>
      <c r="J88" s="146" t="str">
        <f ca="1">IFERROR(INDEX('9 Grid'!$D$4:$F$6,MATCH('Rekomendasi HAV'!H88,'9 Grid'!$B$4:$B$6,0),MATCH('Rekomendasi HAV'!I88,'9 Grid'!$D$2:$F$2,0)),"")</f>
        <v/>
      </c>
      <c r="K88" s="146" t="str">
        <f>IFERROR(INDEX('9 Grid'!$D$8:$F$8,1,MATCH('Rekomendasi HAV'!I88,'9 Grid'!$D$2:$F$2,0)),"")</f>
        <v>(ST) Within 12 - 18 month</v>
      </c>
      <c r="L88" s="146">
        <f>IF(ISNUMBER(SEARCH("EST",Assessment[[#This Row],[JOB TARGET]])),SUBSTITUTE(Assessment[[#This Row],[JOB TARGET]],"EST","DEV"),Assessment[[#This Row],[JOB TARGET]])</f>
        <v>0</v>
      </c>
      <c r="M88" s="146" t="str" cm="1">
        <f t="array" aca="1" ref="M88" ca="1">IF(Assessment[[#This Row],[JOB TARGET]]="","Job Target Kosong",IF(COUNT(IF('Data Assessment'!$N88:$Z88-OFFSET(Standar!$B$2,MATCH(Assessment[[#This Row],[JOB TARGET
(DEV)]],Standar[NAMA JABATAN],0)-1,1,1,13)&lt;0,1,""))&lt;=3,'9 Grid'!$B$4,IF(COUNT(IF('Data Assessment'!$N88:$Z88-OFFSET(Standar!$B$2,MATCH(Assessment[[#This Row],[JOB TARGET
(DEV)]],Standar[NAMA JABATAN],0)-1,1,1,13)&lt;0,1,""))&gt;=7,'9 Grid'!$B$6,'9 Grid'!$B$5)))</f>
        <v>Job Target Kosong</v>
      </c>
      <c r="N88" s="146" t="str">
        <f>IFERROR(IF(Data_Assessment[[#This Row],[IPP (3 YEARS AVERAGE)]]="","(IPP Belum Ada)",IF(Data_Assessment[[#This Row],[IPP (3 YEARS AVERAGE)]]&lt;2,'9 Grid'!$F$2,IF(Data_Assessment[[#This Row],[IPP (3 YEARS AVERAGE)]]&gt;=4,'9 Grid'!$D$2,'9 Grid'!$E$2))),"")</f>
        <v>Fully Competence Performance</v>
      </c>
      <c r="O88" s="146" t="str">
        <f ca="1">IFERROR(INDEX('9 Grid'!$D$4:$F$6,MATCH('Rekomendasi HAV'!M88,'9 Grid'!$B$4:$B$6,0),MATCH('Rekomendasi HAV'!N88,'9 Grid'!$D$2:$F$2,0)),"")</f>
        <v/>
      </c>
      <c r="P88" s="147" t="str">
        <f>IFERROR(INDEX('9 Grid'!$D$8:$F$8,1,MATCH('Rekomendasi HAV'!N88,'9 Grid'!$D$2:$F$2,0)),"")</f>
        <v>(ST) Within 12 - 18 month</v>
      </c>
    </row>
    <row r="89" spans="1:16" ht="28.5">
      <c r="A89" s="67">
        <v>88</v>
      </c>
      <c r="B89" s="68" t="str">
        <f>INDEX(Data_Assessment[],MATCH('Rekomendasi HAV'!$A89,Data_Assessment[[INDEX]:[INDEX]],0),MATCH('Rekomendasi HAV'!B$1,Data_Assessment[#Headers],0))</f>
        <v>Rizky Afriansyah</v>
      </c>
      <c r="C89" s="68" t="str">
        <f>INDEX(Data_Assessment[],MATCH('Rekomendasi HAV'!$A89,Data_Assessment[[INDEX]:[INDEX]],0),MATCH('Rekomendasi HAV'!C$1,Data_Assessment[#Headers],0))</f>
        <v>Medan</v>
      </c>
      <c r="D89" s="68" t="str">
        <f>INDEX(Data_Assessment[],MATCH('Rekomendasi HAV'!$A89,Data_Assessment[[INDEX]:[INDEX]],0),MATCH('Rekomendasi HAV'!D$1,Data_Assessment[#Headers],0))</f>
        <v>LSIP - RO Medan</v>
      </c>
      <c r="E89" s="68">
        <f>INDEX(Data_Assessment[],MATCH('Rekomendasi HAV'!$B89,Data_Assessment[[NAME]:[NAME]],0),MATCH('Rekomendasi HAV'!E$1,Data_Assessment[#Headers],0))</f>
        <v>0</v>
      </c>
      <c r="F89" s="68"/>
      <c r="G89" s="68">
        <f>IF(ISNUMBER(SEARCH("DEV",Assessment[[#This Row],[JOB TARGET]])),SUBSTITUTE(Assessment[[#This Row],[JOB TARGET]],"DEV","EST"),Assessment[[#This Row],[JOB TARGET]])</f>
        <v>0</v>
      </c>
      <c r="H89" s="146" t="str" cm="1">
        <f t="array" aca="1" ref="H89" ca="1">IF(Assessment[[#This Row],[JOB TARGET]]="","Job Target Kosong",IF(COUNT(IF('Data Assessment'!$N89:$Z89-OFFSET(Standar!$B$2,MATCH(Assessment[[#This Row],[JOB TARGET
(EST)]],Standar[NAMA JABATAN],0)-1,1,1,13)&lt;0,1,""))&lt;=3,'9 Grid'!$B$4,IF(COUNT(IF('Data Assessment'!$N89:$Z89-OFFSET(Standar!$B$2,MATCH(Assessment[[#This Row],[JOB TARGET]],Standar[NAMA JABATAN],0)-1,1,1,13)&lt;0,1,""))&gt;=7,'9 Grid'!$B$6,'9 Grid'!$B$5)))</f>
        <v>Job Target Kosong</v>
      </c>
      <c r="I89" s="146" t="str">
        <f>IFERROR(IF(Data_Assessment[[#This Row],[IPP (3 YEARS AVERAGE)]]="","(IPP Belum Ada)",IF(Data_Assessment[[#This Row],[IPP (3 YEARS AVERAGE)]]&lt;2,'9 Grid'!$F$2,IF(Data_Assessment[[#This Row],[IPP (3 YEARS AVERAGE)]]&gt;=4,'9 Grid'!$D$2,'9 Grid'!$E$2))),"")</f>
        <v>Fully Competence Performance</v>
      </c>
      <c r="J89" s="146" t="str">
        <f ca="1">IFERROR(INDEX('9 Grid'!$D$4:$F$6,MATCH('Rekomendasi HAV'!H89,'9 Grid'!$B$4:$B$6,0),MATCH('Rekomendasi HAV'!I89,'9 Grid'!$D$2:$F$2,0)),"")</f>
        <v/>
      </c>
      <c r="K89" s="146" t="str">
        <f>IFERROR(INDEX('9 Grid'!$D$8:$F$8,1,MATCH('Rekomendasi HAV'!I89,'9 Grid'!$D$2:$F$2,0)),"")</f>
        <v>(ST) Within 12 - 18 month</v>
      </c>
      <c r="L89" s="146">
        <f>IF(ISNUMBER(SEARCH("EST",Assessment[[#This Row],[JOB TARGET]])),SUBSTITUTE(Assessment[[#This Row],[JOB TARGET]],"EST","DEV"),Assessment[[#This Row],[JOB TARGET]])</f>
        <v>0</v>
      </c>
      <c r="M89" s="146" t="str" cm="1">
        <f t="array" aca="1" ref="M89" ca="1">IF(Assessment[[#This Row],[JOB TARGET]]="","Job Target Kosong",IF(COUNT(IF('Data Assessment'!$N89:$Z89-OFFSET(Standar!$B$2,MATCH(Assessment[[#This Row],[JOB TARGET
(DEV)]],Standar[NAMA JABATAN],0)-1,1,1,13)&lt;0,1,""))&lt;=3,'9 Grid'!$B$4,IF(COUNT(IF('Data Assessment'!$N89:$Z89-OFFSET(Standar!$B$2,MATCH(Assessment[[#This Row],[JOB TARGET
(DEV)]],Standar[NAMA JABATAN],0)-1,1,1,13)&lt;0,1,""))&gt;=7,'9 Grid'!$B$6,'9 Grid'!$B$5)))</f>
        <v>Job Target Kosong</v>
      </c>
      <c r="N89" s="146" t="str">
        <f>IFERROR(IF(Data_Assessment[[#This Row],[IPP (3 YEARS AVERAGE)]]="","(IPP Belum Ada)",IF(Data_Assessment[[#This Row],[IPP (3 YEARS AVERAGE)]]&lt;2,'9 Grid'!$F$2,IF(Data_Assessment[[#This Row],[IPP (3 YEARS AVERAGE)]]&gt;=4,'9 Grid'!$D$2,'9 Grid'!$E$2))),"")</f>
        <v>Fully Competence Performance</v>
      </c>
      <c r="O89" s="146" t="str">
        <f ca="1">IFERROR(INDEX('9 Grid'!$D$4:$F$6,MATCH('Rekomendasi HAV'!M89,'9 Grid'!$B$4:$B$6,0),MATCH('Rekomendasi HAV'!N89,'9 Grid'!$D$2:$F$2,0)),"")</f>
        <v/>
      </c>
      <c r="P89" s="147" t="str">
        <f>IFERROR(INDEX('9 Grid'!$D$8:$F$8,1,MATCH('Rekomendasi HAV'!N89,'9 Grid'!$D$2:$F$2,0)),"")</f>
        <v>(ST) Within 12 - 18 month</v>
      </c>
    </row>
    <row r="90" spans="1:16" ht="28.5">
      <c r="A90" s="67">
        <v>89</v>
      </c>
      <c r="B90" s="68" t="str">
        <f>INDEX(Data_Assessment[],MATCH('Rekomendasi HAV'!$A90,Data_Assessment[[INDEX]:[INDEX]],0),MATCH('Rekomendasi HAV'!B$1,Data_Assessment[#Headers],0))</f>
        <v>Tri Retno Setyowati</v>
      </c>
      <c r="C90" s="68" t="str">
        <f>INDEX(Data_Assessment[],MATCH('Rekomendasi HAV'!$A90,Data_Assessment[[INDEX]:[INDEX]],0),MATCH('Rekomendasi HAV'!C$1,Data_Assessment[#Headers],0))</f>
        <v>Jakarta</v>
      </c>
      <c r="D90" s="68" t="str">
        <f>INDEX(Data_Assessment[],MATCH('Rekomendasi HAV'!$A90,Data_Assessment[[INDEX]:[INDEX]],0),MATCH('Rekomendasi HAV'!D$1,Data_Assessment[#Headers],0))</f>
        <v>LSIP - HO Jakarta</v>
      </c>
      <c r="E90" s="68">
        <f>INDEX(Data_Assessment[],MATCH('Rekomendasi HAV'!$B90,Data_Assessment[[NAME]:[NAME]],0),MATCH('Rekomendasi HAV'!E$1,Data_Assessment[#Headers],0))</f>
        <v>0</v>
      </c>
      <c r="F90" s="68"/>
      <c r="G90" s="68">
        <f>IF(ISNUMBER(SEARCH("DEV",Assessment[[#This Row],[JOB TARGET]])),SUBSTITUTE(Assessment[[#This Row],[JOB TARGET]],"DEV","EST"),Assessment[[#This Row],[JOB TARGET]])</f>
        <v>0</v>
      </c>
      <c r="H90" s="146" t="str" cm="1">
        <f t="array" aca="1" ref="H90" ca="1">IF(Assessment[[#This Row],[JOB TARGET]]="","Job Target Kosong",IF(COUNT(IF('Data Assessment'!$N90:$Z90-OFFSET(Standar!$B$2,MATCH(Assessment[[#This Row],[JOB TARGET
(EST)]],Standar[NAMA JABATAN],0)-1,1,1,13)&lt;0,1,""))&lt;=3,'9 Grid'!$B$4,IF(COUNT(IF('Data Assessment'!$N90:$Z90-OFFSET(Standar!$B$2,MATCH(Assessment[[#This Row],[JOB TARGET]],Standar[NAMA JABATAN],0)-1,1,1,13)&lt;0,1,""))&gt;=7,'9 Grid'!$B$6,'9 Grid'!$B$5)))</f>
        <v>Job Target Kosong</v>
      </c>
      <c r="I90" s="146" t="str">
        <f>IFERROR(IF(Data_Assessment[[#This Row],[IPP (3 YEARS AVERAGE)]]="","(IPP Belum Ada)",IF(Data_Assessment[[#This Row],[IPP (3 YEARS AVERAGE)]]&lt;2,'9 Grid'!$F$2,IF(Data_Assessment[[#This Row],[IPP (3 YEARS AVERAGE)]]&gt;=4,'9 Grid'!$D$2,'9 Grid'!$E$2))),"")</f>
        <v>Fully Competence Performance</v>
      </c>
      <c r="J90" s="146" t="str">
        <f ca="1">IFERROR(INDEX('9 Grid'!$D$4:$F$6,MATCH('Rekomendasi HAV'!H90,'9 Grid'!$B$4:$B$6,0),MATCH('Rekomendasi HAV'!I90,'9 Grid'!$D$2:$F$2,0)),"")</f>
        <v/>
      </c>
      <c r="K90" s="146" t="str">
        <f>IFERROR(INDEX('9 Grid'!$D$8:$F$8,1,MATCH('Rekomendasi HAV'!I90,'9 Grid'!$D$2:$F$2,0)),"")</f>
        <v>(ST) Within 12 - 18 month</v>
      </c>
      <c r="L90" s="146">
        <f>IF(ISNUMBER(SEARCH("EST",Assessment[[#This Row],[JOB TARGET]])),SUBSTITUTE(Assessment[[#This Row],[JOB TARGET]],"EST","DEV"),Assessment[[#This Row],[JOB TARGET]])</f>
        <v>0</v>
      </c>
      <c r="M90" s="146" t="str" cm="1">
        <f t="array" aca="1" ref="M90" ca="1">IF(Assessment[[#This Row],[JOB TARGET]]="","Job Target Kosong",IF(COUNT(IF('Data Assessment'!$N90:$Z90-OFFSET(Standar!$B$2,MATCH(Assessment[[#This Row],[JOB TARGET
(DEV)]],Standar[NAMA JABATAN],0)-1,1,1,13)&lt;0,1,""))&lt;=3,'9 Grid'!$B$4,IF(COUNT(IF('Data Assessment'!$N90:$Z90-OFFSET(Standar!$B$2,MATCH(Assessment[[#This Row],[JOB TARGET
(DEV)]],Standar[NAMA JABATAN],0)-1,1,1,13)&lt;0,1,""))&gt;=7,'9 Grid'!$B$6,'9 Grid'!$B$5)))</f>
        <v>Job Target Kosong</v>
      </c>
      <c r="N90" s="146" t="str">
        <f>IFERROR(IF(Data_Assessment[[#This Row],[IPP (3 YEARS AVERAGE)]]="","(IPP Belum Ada)",IF(Data_Assessment[[#This Row],[IPP (3 YEARS AVERAGE)]]&lt;2,'9 Grid'!$F$2,IF(Data_Assessment[[#This Row],[IPP (3 YEARS AVERAGE)]]&gt;=4,'9 Grid'!$D$2,'9 Grid'!$E$2))),"")</f>
        <v>Fully Competence Performance</v>
      </c>
      <c r="O90" s="146" t="str">
        <f ca="1">IFERROR(INDEX('9 Grid'!$D$4:$F$6,MATCH('Rekomendasi HAV'!M90,'9 Grid'!$B$4:$B$6,0),MATCH('Rekomendasi HAV'!N90,'9 Grid'!$D$2:$F$2,0)),"")</f>
        <v/>
      </c>
      <c r="P90" s="147" t="str">
        <f>IFERROR(INDEX('9 Grid'!$D$8:$F$8,1,MATCH('Rekomendasi HAV'!N90,'9 Grid'!$D$2:$F$2,0)),"")</f>
        <v>(ST) Within 12 - 18 month</v>
      </c>
    </row>
    <row r="91" spans="1:16" ht="14.25">
      <c r="A91" s="67">
        <v>90</v>
      </c>
      <c r="B91" s="68" t="str">
        <f>INDEX(Data_Assessment[],MATCH('Rekomendasi HAV'!$A91,Data_Assessment[[INDEX]:[INDEX]],0),MATCH('Rekomendasi HAV'!B$1,Data_Assessment[#Headers],0))</f>
        <v>Daniel Prayogi Dongoran</v>
      </c>
      <c r="C91" s="68" t="str">
        <f>INDEX(Data_Assessment[],MATCH('Rekomendasi HAV'!$A91,Data_Assessment[[INDEX]:[INDEX]],0),MATCH('Rekomendasi HAV'!C$1,Data_Assessment[#Headers],0))</f>
        <v>Medan</v>
      </c>
      <c r="D91" s="68" t="str">
        <f>INDEX(Data_Assessment[],MATCH('Rekomendasi HAV'!$A91,Data_Assessment[[INDEX]:[INDEX]],0),MATCH('Rekomendasi HAV'!D$1,Data_Assessment[#Headers],0))</f>
        <v>LSIP - RO Medan</v>
      </c>
      <c r="E91" s="68">
        <f>INDEX(Data_Assessment[],MATCH('Rekomendasi HAV'!$B91,Data_Assessment[[NAME]:[NAME]],0),MATCH('Rekomendasi HAV'!E$1,Data_Assessment[#Headers],0))</f>
        <v>0</v>
      </c>
      <c r="F91" s="68"/>
      <c r="G91" s="68">
        <f>IF(ISNUMBER(SEARCH("DEV",Assessment[[#This Row],[JOB TARGET]])),SUBSTITUTE(Assessment[[#This Row],[JOB TARGET]],"DEV","EST"),Assessment[[#This Row],[JOB TARGET]])</f>
        <v>0</v>
      </c>
      <c r="H91" s="146" t="str" cm="1">
        <f t="array" aca="1" ref="H91" ca="1">IF(Assessment[[#This Row],[JOB TARGET]]="","Job Target Kosong",IF(COUNT(IF('Data Assessment'!$N91:$Z91-OFFSET(Standar!$B$2,MATCH(Assessment[[#This Row],[JOB TARGET
(EST)]],Standar[NAMA JABATAN],0)-1,1,1,13)&lt;0,1,""))&lt;=3,'9 Grid'!$B$4,IF(COUNT(IF('Data Assessment'!$N91:$Z91-OFFSET(Standar!$B$2,MATCH(Assessment[[#This Row],[JOB TARGET]],Standar[NAMA JABATAN],0)-1,1,1,13)&lt;0,1,""))&gt;=7,'9 Grid'!$B$6,'9 Grid'!$B$5)))</f>
        <v>Job Target Kosong</v>
      </c>
      <c r="I91" s="146" t="str">
        <f>IFERROR(IF(Data_Assessment[[#This Row],[IPP (3 YEARS AVERAGE)]]="","(IPP Belum Ada)",IF(Data_Assessment[[#This Row],[IPP (3 YEARS AVERAGE)]]&lt;2,'9 Grid'!$F$2,IF(Data_Assessment[[#This Row],[IPP (3 YEARS AVERAGE)]]&gt;=4,'9 Grid'!$D$2,'9 Grid'!$E$2))),"")</f>
        <v>Exceptional Performance</v>
      </c>
      <c r="J91" s="146" t="str">
        <f ca="1">IFERROR(INDEX('9 Grid'!$D$4:$F$6,MATCH('Rekomendasi HAV'!H91,'9 Grid'!$B$4:$B$6,0),MATCH('Rekomendasi HAV'!I91,'9 Grid'!$D$2:$F$2,0)),"")</f>
        <v/>
      </c>
      <c r="K91" s="146" t="str">
        <f>IFERROR(INDEX('9 Grid'!$D$8:$F$8,1,MATCH('Rekomendasi HAV'!I91,'9 Grid'!$D$2:$F$2,0)),"")</f>
        <v>(I) Immediately</v>
      </c>
      <c r="L91" s="146">
        <f>IF(ISNUMBER(SEARCH("EST",Assessment[[#This Row],[JOB TARGET]])),SUBSTITUTE(Assessment[[#This Row],[JOB TARGET]],"EST","DEV"),Assessment[[#This Row],[JOB TARGET]])</f>
        <v>0</v>
      </c>
      <c r="M91" s="146" t="str" cm="1">
        <f t="array" aca="1" ref="M91" ca="1">IF(Assessment[[#This Row],[JOB TARGET]]="","Job Target Kosong",IF(COUNT(IF('Data Assessment'!$N91:$Z91-OFFSET(Standar!$B$2,MATCH(Assessment[[#This Row],[JOB TARGET
(DEV)]],Standar[NAMA JABATAN],0)-1,1,1,13)&lt;0,1,""))&lt;=3,'9 Grid'!$B$4,IF(COUNT(IF('Data Assessment'!$N91:$Z91-OFFSET(Standar!$B$2,MATCH(Assessment[[#This Row],[JOB TARGET
(DEV)]],Standar[NAMA JABATAN],0)-1,1,1,13)&lt;0,1,""))&gt;=7,'9 Grid'!$B$6,'9 Grid'!$B$5)))</f>
        <v>Job Target Kosong</v>
      </c>
      <c r="N91" s="146" t="str">
        <f>IFERROR(IF(Data_Assessment[[#This Row],[IPP (3 YEARS AVERAGE)]]="","(IPP Belum Ada)",IF(Data_Assessment[[#This Row],[IPP (3 YEARS AVERAGE)]]&lt;2,'9 Grid'!$F$2,IF(Data_Assessment[[#This Row],[IPP (3 YEARS AVERAGE)]]&gt;=4,'9 Grid'!$D$2,'9 Grid'!$E$2))),"")</f>
        <v>Exceptional Performance</v>
      </c>
      <c r="O91" s="146" t="str">
        <f ca="1">IFERROR(INDEX('9 Grid'!$D$4:$F$6,MATCH('Rekomendasi HAV'!M91,'9 Grid'!$B$4:$B$6,0),MATCH('Rekomendasi HAV'!N91,'9 Grid'!$D$2:$F$2,0)),"")</f>
        <v/>
      </c>
      <c r="P91" s="147" t="str">
        <f>IFERROR(INDEX('9 Grid'!$D$8:$F$8,1,MATCH('Rekomendasi HAV'!N91,'9 Grid'!$D$2:$F$2,0)),"")</f>
        <v>(I) Immediately</v>
      </c>
    </row>
    <row r="92" spans="1:16" ht="28.5">
      <c r="A92" s="67">
        <v>91</v>
      </c>
      <c r="B92" s="68" t="str">
        <f>INDEX(Data_Assessment[],MATCH('Rekomendasi HAV'!$A92,Data_Assessment[[INDEX]:[INDEX]],0),MATCH('Rekomendasi HAV'!B$1,Data_Assessment[#Headers],0))</f>
        <v>Zahri</v>
      </c>
      <c r="C92" s="68" t="str">
        <f>INDEX(Data_Assessment[],MATCH('Rekomendasi HAV'!$A92,Data_Assessment[[INDEX]:[INDEX]],0),MATCH('Rekomendasi HAV'!C$1,Data_Assessment[#Headers],0))</f>
        <v>Medan</v>
      </c>
      <c r="D92" s="68" t="str">
        <f>INDEX(Data_Assessment[],MATCH('Rekomendasi HAV'!$A92,Data_Assessment[[INDEX]:[INDEX]],0),MATCH('Rekomendasi HAV'!D$1,Data_Assessment[#Headers],0))</f>
        <v>LSIP - RO Medan</v>
      </c>
      <c r="E92" s="68">
        <f>INDEX(Data_Assessment[],MATCH('Rekomendasi HAV'!$B92,Data_Assessment[[NAME]:[NAME]],0),MATCH('Rekomendasi HAV'!E$1,Data_Assessment[#Headers],0))</f>
        <v>0</v>
      </c>
      <c r="F92" s="68"/>
      <c r="G92" s="68">
        <f>IF(ISNUMBER(SEARCH("DEV",Assessment[[#This Row],[JOB TARGET]])),SUBSTITUTE(Assessment[[#This Row],[JOB TARGET]],"DEV","EST"),Assessment[[#This Row],[JOB TARGET]])</f>
        <v>0</v>
      </c>
      <c r="H92" s="146" t="str" cm="1">
        <f t="array" aca="1" ref="H92" ca="1">IF(Assessment[[#This Row],[JOB TARGET]]="","Job Target Kosong",IF(COUNT(IF('Data Assessment'!$N92:$Z92-OFFSET(Standar!$B$2,MATCH(Assessment[[#This Row],[JOB TARGET
(EST)]],Standar[NAMA JABATAN],0)-1,1,1,13)&lt;0,1,""))&lt;=3,'9 Grid'!$B$4,IF(COUNT(IF('Data Assessment'!$N92:$Z92-OFFSET(Standar!$B$2,MATCH(Assessment[[#This Row],[JOB TARGET]],Standar[NAMA JABATAN],0)-1,1,1,13)&lt;0,1,""))&gt;=7,'9 Grid'!$B$6,'9 Grid'!$B$5)))</f>
        <v>Job Target Kosong</v>
      </c>
      <c r="I92" s="146" t="str">
        <f>IFERROR(IF(Data_Assessment[[#This Row],[IPP (3 YEARS AVERAGE)]]="","(IPP Belum Ada)",IF(Data_Assessment[[#This Row],[IPP (3 YEARS AVERAGE)]]&lt;2,'9 Grid'!$F$2,IF(Data_Assessment[[#This Row],[IPP (3 YEARS AVERAGE)]]&gt;=4,'9 Grid'!$D$2,'9 Grid'!$E$2))),"")</f>
        <v>Contributor</v>
      </c>
      <c r="J92" s="146" t="str">
        <f ca="1">IFERROR(INDEX('9 Grid'!$D$4:$F$6,MATCH('Rekomendasi HAV'!H92,'9 Grid'!$B$4:$B$6,0),MATCH('Rekomendasi HAV'!I92,'9 Grid'!$D$2:$F$2,0)),"")</f>
        <v/>
      </c>
      <c r="K92" s="146" t="str">
        <f>IFERROR(INDEX('9 Grid'!$D$8:$F$8,1,MATCH('Rekomendasi HAV'!I92,'9 Grid'!$D$2:$F$2,0)),"")</f>
        <v>(LT) More 2 - 3 year</v>
      </c>
      <c r="L92" s="146">
        <f>IF(ISNUMBER(SEARCH("EST",Assessment[[#This Row],[JOB TARGET]])),SUBSTITUTE(Assessment[[#This Row],[JOB TARGET]],"EST","DEV"),Assessment[[#This Row],[JOB TARGET]])</f>
        <v>0</v>
      </c>
      <c r="M92" s="146" t="str" cm="1">
        <f t="array" aca="1" ref="M92" ca="1">IF(Assessment[[#This Row],[JOB TARGET]]="","Job Target Kosong",IF(COUNT(IF('Data Assessment'!$N92:$Z92-OFFSET(Standar!$B$2,MATCH(Assessment[[#This Row],[JOB TARGET
(DEV)]],Standar[NAMA JABATAN],0)-1,1,1,13)&lt;0,1,""))&lt;=3,'9 Grid'!$B$4,IF(COUNT(IF('Data Assessment'!$N92:$Z92-OFFSET(Standar!$B$2,MATCH(Assessment[[#This Row],[JOB TARGET
(DEV)]],Standar[NAMA JABATAN],0)-1,1,1,13)&lt;0,1,""))&gt;=7,'9 Grid'!$B$6,'9 Grid'!$B$5)))</f>
        <v>Job Target Kosong</v>
      </c>
      <c r="N92" s="146" t="str">
        <f>IFERROR(IF(Data_Assessment[[#This Row],[IPP (3 YEARS AVERAGE)]]="","(IPP Belum Ada)",IF(Data_Assessment[[#This Row],[IPP (3 YEARS AVERAGE)]]&lt;2,'9 Grid'!$F$2,IF(Data_Assessment[[#This Row],[IPP (3 YEARS AVERAGE)]]&gt;=4,'9 Grid'!$D$2,'9 Grid'!$E$2))),"")</f>
        <v>Contributor</v>
      </c>
      <c r="O92" s="146" t="str">
        <f ca="1">IFERROR(INDEX('9 Grid'!$D$4:$F$6,MATCH('Rekomendasi HAV'!M92,'9 Grid'!$B$4:$B$6,0),MATCH('Rekomendasi HAV'!N92,'9 Grid'!$D$2:$F$2,0)),"")</f>
        <v/>
      </c>
      <c r="P92" s="147" t="str">
        <f>IFERROR(INDEX('9 Grid'!$D$8:$F$8,1,MATCH('Rekomendasi HAV'!N92,'9 Grid'!$D$2:$F$2,0)),"")</f>
        <v>(LT) More 2 - 3 year</v>
      </c>
    </row>
    <row r="93" spans="1:16" ht="14.25">
      <c r="A93" s="67">
        <v>92</v>
      </c>
      <c r="B93" s="68" t="str">
        <f>INDEX(Data_Assessment[],MATCH('Rekomendasi HAV'!$A93,Data_Assessment[[INDEX]:[INDEX]],0),MATCH('Rekomendasi HAV'!B$1,Data_Assessment[#Headers],0))</f>
        <v>Pau Cin</v>
      </c>
      <c r="C93" s="68" t="str">
        <f>INDEX(Data_Assessment[],MATCH('Rekomendasi HAV'!$A93,Data_Assessment[[INDEX]:[INDEX]],0),MATCH('Rekomendasi HAV'!C$1,Data_Assessment[#Headers],0))</f>
        <v>Medan</v>
      </c>
      <c r="D93" s="68" t="str">
        <f>INDEX(Data_Assessment[],MATCH('Rekomendasi HAV'!$A93,Data_Assessment[[INDEX]:[INDEX]],0),MATCH('Rekomendasi HAV'!D$1,Data_Assessment[#Headers],0))</f>
        <v>LSIP - RO Medan</v>
      </c>
      <c r="E93" s="68">
        <f>INDEX(Data_Assessment[],MATCH('Rekomendasi HAV'!$B93,Data_Assessment[[NAME]:[NAME]],0),MATCH('Rekomendasi HAV'!E$1,Data_Assessment[#Headers],0))</f>
        <v>0</v>
      </c>
      <c r="F93" s="68"/>
      <c r="G93" s="68">
        <f>IF(ISNUMBER(SEARCH("DEV",Assessment[[#This Row],[JOB TARGET]])),SUBSTITUTE(Assessment[[#This Row],[JOB TARGET]],"DEV","EST"),Assessment[[#This Row],[JOB TARGET]])</f>
        <v>0</v>
      </c>
      <c r="H93" s="146" t="str" cm="1">
        <f t="array" aca="1" ref="H93" ca="1">IF(Assessment[[#This Row],[JOB TARGET]]="","Job Target Kosong",IF(COUNT(IF('Data Assessment'!$N93:$Z93-OFFSET(Standar!$B$2,MATCH(Assessment[[#This Row],[JOB TARGET
(EST)]],Standar[NAMA JABATAN],0)-1,1,1,13)&lt;0,1,""))&lt;=3,'9 Grid'!$B$4,IF(COUNT(IF('Data Assessment'!$N93:$Z93-OFFSET(Standar!$B$2,MATCH(Assessment[[#This Row],[JOB TARGET]],Standar[NAMA JABATAN],0)-1,1,1,13)&lt;0,1,""))&gt;=7,'9 Grid'!$B$6,'9 Grid'!$B$5)))</f>
        <v>Job Target Kosong</v>
      </c>
      <c r="I93" s="146" t="str">
        <f>IFERROR(IF(Data_Assessment[[#This Row],[IPP (3 YEARS AVERAGE)]]="","(IPP Belum Ada)",IF(Data_Assessment[[#This Row],[IPP (3 YEARS AVERAGE)]]&lt;2,'9 Grid'!$F$2,IF(Data_Assessment[[#This Row],[IPP (3 YEARS AVERAGE)]]&gt;=4,'9 Grid'!$D$2,'9 Grid'!$E$2))),"")</f>
        <v>Exceptional Performance</v>
      </c>
      <c r="J93" s="146" t="str">
        <f ca="1">IFERROR(INDEX('9 Grid'!$D$4:$F$6,MATCH('Rekomendasi HAV'!H93,'9 Grid'!$B$4:$B$6,0),MATCH('Rekomendasi HAV'!I93,'9 Grid'!$D$2:$F$2,0)),"")</f>
        <v/>
      </c>
      <c r="K93" s="146" t="str">
        <f>IFERROR(INDEX('9 Grid'!$D$8:$F$8,1,MATCH('Rekomendasi HAV'!I93,'9 Grid'!$D$2:$F$2,0)),"")</f>
        <v>(I) Immediately</v>
      </c>
      <c r="L93" s="146">
        <f>IF(ISNUMBER(SEARCH("EST",Assessment[[#This Row],[JOB TARGET]])),SUBSTITUTE(Assessment[[#This Row],[JOB TARGET]],"EST","DEV"),Assessment[[#This Row],[JOB TARGET]])</f>
        <v>0</v>
      </c>
      <c r="M93" s="146" t="str" cm="1">
        <f t="array" aca="1" ref="M93" ca="1">IF(Assessment[[#This Row],[JOB TARGET]]="","Job Target Kosong",IF(COUNT(IF('Data Assessment'!$N93:$Z93-OFFSET(Standar!$B$2,MATCH(Assessment[[#This Row],[JOB TARGET
(DEV)]],Standar[NAMA JABATAN],0)-1,1,1,13)&lt;0,1,""))&lt;=3,'9 Grid'!$B$4,IF(COUNT(IF('Data Assessment'!$N93:$Z93-OFFSET(Standar!$B$2,MATCH(Assessment[[#This Row],[JOB TARGET
(DEV)]],Standar[NAMA JABATAN],0)-1,1,1,13)&lt;0,1,""))&gt;=7,'9 Grid'!$B$6,'9 Grid'!$B$5)))</f>
        <v>Job Target Kosong</v>
      </c>
      <c r="N93" s="146" t="str">
        <f>IFERROR(IF(Data_Assessment[[#This Row],[IPP (3 YEARS AVERAGE)]]="","(IPP Belum Ada)",IF(Data_Assessment[[#This Row],[IPP (3 YEARS AVERAGE)]]&lt;2,'9 Grid'!$F$2,IF(Data_Assessment[[#This Row],[IPP (3 YEARS AVERAGE)]]&gt;=4,'9 Grid'!$D$2,'9 Grid'!$E$2))),"")</f>
        <v>Exceptional Performance</v>
      </c>
      <c r="O93" s="146" t="str">
        <f ca="1">IFERROR(INDEX('9 Grid'!$D$4:$F$6,MATCH('Rekomendasi HAV'!M93,'9 Grid'!$B$4:$B$6,0),MATCH('Rekomendasi HAV'!N93,'9 Grid'!$D$2:$F$2,0)),"")</f>
        <v/>
      </c>
      <c r="P93" s="147" t="str">
        <f>IFERROR(INDEX('9 Grid'!$D$8:$F$8,1,MATCH('Rekomendasi HAV'!N93,'9 Grid'!$D$2:$F$2,0)),"")</f>
        <v>(I) Immediately</v>
      </c>
    </row>
    <row r="94" spans="1:16" ht="28.5">
      <c r="A94" s="67">
        <v>93</v>
      </c>
      <c r="B94" s="68" t="str">
        <f>INDEX(Data_Assessment[],MATCH('Rekomendasi HAV'!$A94,Data_Assessment[[INDEX]:[INDEX]],0),MATCH('Rekomendasi HAV'!B$1,Data_Assessment[#Headers],0))</f>
        <v>Sutris</v>
      </c>
      <c r="C94" s="68" t="str">
        <f>INDEX(Data_Assessment[],MATCH('Rekomendasi HAV'!$A94,Data_Assessment[[INDEX]:[INDEX]],0),MATCH('Rekomendasi HAV'!C$1,Data_Assessment[#Headers],0))</f>
        <v>Sumatera Utara</v>
      </c>
      <c r="D94" s="68" t="str">
        <f>INDEX(Data_Assessment[],MATCH('Rekomendasi HAV'!$A94,Data_Assessment[[INDEX]:[INDEX]],0),MATCH('Rekomendasi HAV'!D$1,Data_Assessment[#Headers],0))</f>
        <v>LSIP - RO Medan</v>
      </c>
      <c r="E94" s="68">
        <f>INDEX(Data_Assessment[],MATCH('Rekomendasi HAV'!$B94,Data_Assessment[[NAME]:[NAME]],0),MATCH('Rekomendasi HAV'!E$1,Data_Assessment[#Headers],0))</f>
        <v>0</v>
      </c>
      <c r="F94" s="68"/>
      <c r="G94" s="68">
        <f>IF(ISNUMBER(SEARCH("DEV",Assessment[[#This Row],[JOB TARGET]])),SUBSTITUTE(Assessment[[#This Row],[JOB TARGET]],"DEV","EST"),Assessment[[#This Row],[JOB TARGET]])</f>
        <v>0</v>
      </c>
      <c r="H94" s="146" t="str" cm="1">
        <f t="array" aca="1" ref="H94" ca="1">IF(Assessment[[#This Row],[JOB TARGET]]="","Job Target Kosong",IF(COUNT(IF('Data Assessment'!$N94:$Z94-OFFSET(Standar!$B$2,MATCH(Assessment[[#This Row],[JOB TARGET
(EST)]],Standar[NAMA JABATAN],0)-1,1,1,13)&lt;0,1,""))&lt;=3,'9 Grid'!$B$4,IF(COUNT(IF('Data Assessment'!$N94:$Z94-OFFSET(Standar!$B$2,MATCH(Assessment[[#This Row],[JOB TARGET]],Standar[NAMA JABATAN],0)-1,1,1,13)&lt;0,1,""))&gt;=7,'9 Grid'!$B$6,'9 Grid'!$B$5)))</f>
        <v>Job Target Kosong</v>
      </c>
      <c r="I94" s="146" t="str">
        <f>IFERROR(IF(Data_Assessment[[#This Row],[IPP (3 YEARS AVERAGE)]]="","(IPP Belum Ada)",IF(Data_Assessment[[#This Row],[IPP (3 YEARS AVERAGE)]]&lt;2,'9 Grid'!$F$2,IF(Data_Assessment[[#This Row],[IPP (3 YEARS AVERAGE)]]&gt;=4,'9 Grid'!$D$2,'9 Grid'!$E$2))),"")</f>
        <v>Contributor</v>
      </c>
      <c r="J94" s="146" t="str">
        <f ca="1">IFERROR(INDEX('9 Grid'!$D$4:$F$6,MATCH('Rekomendasi HAV'!H94,'9 Grid'!$B$4:$B$6,0),MATCH('Rekomendasi HAV'!I94,'9 Grid'!$D$2:$F$2,0)),"")</f>
        <v/>
      </c>
      <c r="K94" s="146" t="str">
        <f>IFERROR(INDEX('9 Grid'!$D$8:$F$8,1,MATCH('Rekomendasi HAV'!I94,'9 Grid'!$D$2:$F$2,0)),"")</f>
        <v>(LT) More 2 - 3 year</v>
      </c>
      <c r="L94" s="146">
        <f>IF(ISNUMBER(SEARCH("EST",Assessment[[#This Row],[JOB TARGET]])),SUBSTITUTE(Assessment[[#This Row],[JOB TARGET]],"EST","DEV"),Assessment[[#This Row],[JOB TARGET]])</f>
        <v>0</v>
      </c>
      <c r="M94" s="146" t="str" cm="1">
        <f t="array" aca="1" ref="M94" ca="1">IF(Assessment[[#This Row],[JOB TARGET]]="","Job Target Kosong",IF(COUNT(IF('Data Assessment'!$N94:$Z94-OFFSET(Standar!$B$2,MATCH(Assessment[[#This Row],[JOB TARGET
(DEV)]],Standar[NAMA JABATAN],0)-1,1,1,13)&lt;0,1,""))&lt;=3,'9 Grid'!$B$4,IF(COUNT(IF('Data Assessment'!$N94:$Z94-OFFSET(Standar!$B$2,MATCH(Assessment[[#This Row],[JOB TARGET
(DEV)]],Standar[NAMA JABATAN],0)-1,1,1,13)&lt;0,1,""))&gt;=7,'9 Grid'!$B$6,'9 Grid'!$B$5)))</f>
        <v>Job Target Kosong</v>
      </c>
      <c r="N94" s="146" t="str">
        <f>IFERROR(IF(Data_Assessment[[#This Row],[IPP (3 YEARS AVERAGE)]]="","(IPP Belum Ada)",IF(Data_Assessment[[#This Row],[IPP (3 YEARS AVERAGE)]]&lt;2,'9 Grid'!$F$2,IF(Data_Assessment[[#This Row],[IPP (3 YEARS AVERAGE)]]&gt;=4,'9 Grid'!$D$2,'9 Grid'!$E$2))),"")</f>
        <v>Contributor</v>
      </c>
      <c r="O94" s="146" t="str">
        <f ca="1">IFERROR(INDEX('9 Grid'!$D$4:$F$6,MATCH('Rekomendasi HAV'!M94,'9 Grid'!$B$4:$B$6,0),MATCH('Rekomendasi HAV'!N94,'9 Grid'!$D$2:$F$2,0)),"")</f>
        <v/>
      </c>
      <c r="P94" s="147" t="str">
        <f>IFERROR(INDEX('9 Grid'!$D$8:$F$8,1,MATCH('Rekomendasi HAV'!N94,'9 Grid'!$D$2:$F$2,0)),"")</f>
        <v>(LT) More 2 - 3 year</v>
      </c>
    </row>
    <row r="95" spans="1:16" ht="28.5">
      <c r="A95" s="67">
        <v>94</v>
      </c>
      <c r="B95" s="68" t="str">
        <f>INDEX(Data_Assessment[],MATCH('Rekomendasi HAV'!$A95,Data_Assessment[[INDEX]:[INDEX]],0),MATCH('Rekomendasi HAV'!B$1,Data_Assessment[#Headers],0))</f>
        <v>Desi Komala Sari Siregar</v>
      </c>
      <c r="C95" s="68" t="str">
        <f>INDEX(Data_Assessment[],MATCH('Rekomendasi HAV'!$A95,Data_Assessment[[INDEX]:[INDEX]],0),MATCH('Rekomendasi HAV'!C$1,Data_Assessment[#Headers],0))</f>
        <v>Medan</v>
      </c>
      <c r="D95" s="68" t="str">
        <f>INDEX(Data_Assessment[],MATCH('Rekomendasi HAV'!$A95,Data_Assessment[[INDEX]:[INDEX]],0),MATCH('Rekomendasi HAV'!D$1,Data_Assessment[#Headers],0))</f>
        <v>LSIP - RO Medan</v>
      </c>
      <c r="E95" s="68">
        <f>INDEX(Data_Assessment[],MATCH('Rekomendasi HAV'!$B95,Data_Assessment[[NAME]:[NAME]],0),MATCH('Rekomendasi HAV'!E$1,Data_Assessment[#Headers],0))</f>
        <v>0</v>
      </c>
      <c r="F95" s="68"/>
      <c r="G95" s="68">
        <f>IF(ISNUMBER(SEARCH("DEV",Assessment[[#This Row],[JOB TARGET]])),SUBSTITUTE(Assessment[[#This Row],[JOB TARGET]],"DEV","EST"),Assessment[[#This Row],[JOB TARGET]])</f>
        <v>0</v>
      </c>
      <c r="H95" s="146" t="str" cm="1">
        <f t="array" aca="1" ref="H95" ca="1">IF(Assessment[[#This Row],[JOB TARGET]]="","Job Target Kosong",IF(COUNT(IF('Data Assessment'!$N95:$Z95-OFFSET(Standar!$B$2,MATCH(Assessment[[#This Row],[JOB TARGET
(EST)]],Standar[NAMA JABATAN],0)-1,1,1,13)&lt;0,1,""))&lt;=3,'9 Grid'!$B$4,IF(COUNT(IF('Data Assessment'!$N95:$Z95-OFFSET(Standar!$B$2,MATCH(Assessment[[#This Row],[JOB TARGET]],Standar[NAMA JABATAN],0)-1,1,1,13)&lt;0,1,""))&gt;=7,'9 Grid'!$B$6,'9 Grid'!$B$5)))</f>
        <v>Job Target Kosong</v>
      </c>
      <c r="I95" s="146" t="str">
        <f>IFERROR(IF(Data_Assessment[[#This Row],[IPP (3 YEARS AVERAGE)]]="","(IPP Belum Ada)",IF(Data_Assessment[[#This Row],[IPP (3 YEARS AVERAGE)]]&lt;2,'9 Grid'!$F$2,IF(Data_Assessment[[#This Row],[IPP (3 YEARS AVERAGE)]]&gt;=4,'9 Grid'!$D$2,'9 Grid'!$E$2))),"")</f>
        <v>Fully Competence Performance</v>
      </c>
      <c r="J95" s="146" t="str">
        <f ca="1">IFERROR(INDEX('9 Grid'!$D$4:$F$6,MATCH('Rekomendasi HAV'!H95,'9 Grid'!$B$4:$B$6,0),MATCH('Rekomendasi HAV'!I95,'9 Grid'!$D$2:$F$2,0)),"")</f>
        <v/>
      </c>
      <c r="K95" s="146" t="str">
        <f>IFERROR(INDEX('9 Grid'!$D$8:$F$8,1,MATCH('Rekomendasi HAV'!I95,'9 Grid'!$D$2:$F$2,0)),"")</f>
        <v>(ST) Within 12 - 18 month</v>
      </c>
      <c r="L95" s="146">
        <f>IF(ISNUMBER(SEARCH("EST",Assessment[[#This Row],[JOB TARGET]])),SUBSTITUTE(Assessment[[#This Row],[JOB TARGET]],"EST","DEV"),Assessment[[#This Row],[JOB TARGET]])</f>
        <v>0</v>
      </c>
      <c r="M95" s="146" t="str" cm="1">
        <f t="array" aca="1" ref="M95" ca="1">IF(Assessment[[#This Row],[JOB TARGET]]="","Job Target Kosong",IF(COUNT(IF('Data Assessment'!$N95:$Z95-OFFSET(Standar!$B$2,MATCH(Assessment[[#This Row],[JOB TARGET
(DEV)]],Standar[NAMA JABATAN],0)-1,1,1,13)&lt;0,1,""))&lt;=3,'9 Grid'!$B$4,IF(COUNT(IF('Data Assessment'!$N95:$Z95-OFFSET(Standar!$B$2,MATCH(Assessment[[#This Row],[JOB TARGET
(DEV)]],Standar[NAMA JABATAN],0)-1,1,1,13)&lt;0,1,""))&gt;=7,'9 Grid'!$B$6,'9 Grid'!$B$5)))</f>
        <v>Job Target Kosong</v>
      </c>
      <c r="N95" s="146" t="str">
        <f>IFERROR(IF(Data_Assessment[[#This Row],[IPP (3 YEARS AVERAGE)]]="","(IPP Belum Ada)",IF(Data_Assessment[[#This Row],[IPP (3 YEARS AVERAGE)]]&lt;2,'9 Grid'!$F$2,IF(Data_Assessment[[#This Row],[IPP (3 YEARS AVERAGE)]]&gt;=4,'9 Grid'!$D$2,'9 Grid'!$E$2))),"")</f>
        <v>Fully Competence Performance</v>
      </c>
      <c r="O95" s="146" t="str">
        <f ca="1">IFERROR(INDEX('9 Grid'!$D$4:$F$6,MATCH('Rekomendasi HAV'!M95,'9 Grid'!$B$4:$B$6,0),MATCH('Rekomendasi HAV'!N95,'9 Grid'!$D$2:$F$2,0)),"")</f>
        <v/>
      </c>
      <c r="P95" s="147" t="str">
        <f>IFERROR(INDEX('9 Grid'!$D$8:$F$8,1,MATCH('Rekomendasi HAV'!N95,'9 Grid'!$D$2:$F$2,0)),"")</f>
        <v>(ST) Within 12 - 18 month</v>
      </c>
    </row>
    <row r="96" spans="1:16" ht="14.25">
      <c r="A96" s="67">
        <v>95</v>
      </c>
      <c r="B96" s="68" t="str">
        <f>INDEX(Data_Assessment[],MATCH('Rekomendasi HAV'!$A96,Data_Assessment[[INDEX]:[INDEX]],0),MATCH('Rekomendasi HAV'!B$1,Data_Assessment[#Headers],0))</f>
        <v>Sohirin</v>
      </c>
      <c r="C96" s="68" t="str">
        <f>INDEX(Data_Assessment[],MATCH('Rekomendasi HAV'!$A96,Data_Assessment[[INDEX]:[INDEX]],0),MATCH('Rekomendasi HAV'!C$1,Data_Assessment[#Headers],0))</f>
        <v>Palembang</v>
      </c>
      <c r="D96" s="68" t="str">
        <f>INDEX(Data_Assessment[],MATCH('Rekomendasi HAV'!$A96,Data_Assessment[[INDEX]:[INDEX]],0),MATCH('Rekomendasi HAV'!D$1,Data_Assessment[#Headers],0))</f>
        <v>LSIP - RO Palembang</v>
      </c>
      <c r="E96" s="68">
        <f>INDEX(Data_Assessment[],MATCH('Rekomendasi HAV'!$B96,Data_Assessment[[NAME]:[NAME]],0),MATCH('Rekomendasi HAV'!E$1,Data_Assessment[#Headers],0))</f>
        <v>0</v>
      </c>
      <c r="F96" s="68"/>
      <c r="G96" s="68">
        <f>IF(ISNUMBER(SEARCH("DEV",Assessment[[#This Row],[JOB TARGET]])),SUBSTITUTE(Assessment[[#This Row],[JOB TARGET]],"DEV","EST"),Assessment[[#This Row],[JOB TARGET]])</f>
        <v>0</v>
      </c>
      <c r="H96" s="146" t="str" cm="1">
        <f t="array" aca="1" ref="H96" ca="1">IF(Assessment[[#This Row],[JOB TARGET]]="","Job Target Kosong",IF(COUNT(IF('Data Assessment'!$N96:$Z96-OFFSET(Standar!$B$2,MATCH(Assessment[[#This Row],[JOB TARGET
(EST)]],Standar[NAMA JABATAN],0)-1,1,1,13)&lt;0,1,""))&lt;=3,'9 Grid'!$B$4,IF(COUNT(IF('Data Assessment'!$N96:$Z96-OFFSET(Standar!$B$2,MATCH(Assessment[[#This Row],[JOB TARGET]],Standar[NAMA JABATAN],0)-1,1,1,13)&lt;0,1,""))&gt;=7,'9 Grid'!$B$6,'9 Grid'!$B$5)))</f>
        <v>Job Target Kosong</v>
      </c>
      <c r="I96" s="146" t="str">
        <f>IFERROR(IF(Data_Assessment[[#This Row],[IPP (3 YEARS AVERAGE)]]="","(IPP Belum Ada)",IF(Data_Assessment[[#This Row],[IPP (3 YEARS AVERAGE)]]&lt;2,'9 Grid'!$F$2,IF(Data_Assessment[[#This Row],[IPP (3 YEARS AVERAGE)]]&gt;=4,'9 Grid'!$D$2,'9 Grid'!$E$2))),"")</f>
        <v>Exceptional Performance</v>
      </c>
      <c r="J96" s="146" t="str">
        <f ca="1">IFERROR(INDEX('9 Grid'!$D$4:$F$6,MATCH('Rekomendasi HAV'!H96,'9 Grid'!$B$4:$B$6,0),MATCH('Rekomendasi HAV'!I96,'9 Grid'!$D$2:$F$2,0)),"")</f>
        <v/>
      </c>
      <c r="K96" s="146" t="str">
        <f>IFERROR(INDEX('9 Grid'!$D$8:$F$8,1,MATCH('Rekomendasi HAV'!I96,'9 Grid'!$D$2:$F$2,0)),"")</f>
        <v>(I) Immediately</v>
      </c>
      <c r="L96" s="146">
        <f>IF(ISNUMBER(SEARCH("EST",Assessment[[#This Row],[JOB TARGET]])),SUBSTITUTE(Assessment[[#This Row],[JOB TARGET]],"EST","DEV"),Assessment[[#This Row],[JOB TARGET]])</f>
        <v>0</v>
      </c>
      <c r="M96" s="146" t="str" cm="1">
        <f t="array" aca="1" ref="M96" ca="1">IF(Assessment[[#This Row],[JOB TARGET]]="","Job Target Kosong",IF(COUNT(IF('Data Assessment'!$N96:$Z96-OFFSET(Standar!$B$2,MATCH(Assessment[[#This Row],[JOB TARGET
(DEV)]],Standar[NAMA JABATAN],0)-1,1,1,13)&lt;0,1,""))&lt;=3,'9 Grid'!$B$4,IF(COUNT(IF('Data Assessment'!$N96:$Z96-OFFSET(Standar!$B$2,MATCH(Assessment[[#This Row],[JOB TARGET
(DEV)]],Standar[NAMA JABATAN],0)-1,1,1,13)&lt;0,1,""))&gt;=7,'9 Grid'!$B$6,'9 Grid'!$B$5)))</f>
        <v>Job Target Kosong</v>
      </c>
      <c r="N96" s="146" t="str">
        <f>IFERROR(IF(Data_Assessment[[#This Row],[IPP (3 YEARS AVERAGE)]]="","(IPP Belum Ada)",IF(Data_Assessment[[#This Row],[IPP (3 YEARS AVERAGE)]]&lt;2,'9 Grid'!$F$2,IF(Data_Assessment[[#This Row],[IPP (3 YEARS AVERAGE)]]&gt;=4,'9 Grid'!$D$2,'9 Grid'!$E$2))),"")</f>
        <v>Exceptional Performance</v>
      </c>
      <c r="O96" s="146" t="str">
        <f ca="1">IFERROR(INDEX('9 Grid'!$D$4:$F$6,MATCH('Rekomendasi HAV'!M96,'9 Grid'!$B$4:$B$6,0),MATCH('Rekomendasi HAV'!N96,'9 Grid'!$D$2:$F$2,0)),"")</f>
        <v/>
      </c>
      <c r="P96" s="147" t="str">
        <f>IFERROR(INDEX('9 Grid'!$D$8:$F$8,1,MATCH('Rekomendasi HAV'!N96,'9 Grid'!$D$2:$F$2,0)),"")</f>
        <v>(I) Immediately</v>
      </c>
    </row>
    <row r="97" spans="1:16" ht="28.5">
      <c r="A97" s="67">
        <v>96</v>
      </c>
      <c r="B97" s="68" t="str">
        <f>INDEX(Data_Assessment[],MATCH('Rekomendasi HAV'!$A97,Data_Assessment[[INDEX]:[INDEX]],0),MATCH('Rekomendasi HAV'!B$1,Data_Assessment[#Headers],0))</f>
        <v>Bardan Yusri</v>
      </c>
      <c r="C97" s="68" t="str">
        <f>INDEX(Data_Assessment[],MATCH('Rekomendasi HAV'!$A97,Data_Assessment[[INDEX]:[INDEX]],0),MATCH('Rekomendasi HAV'!C$1,Data_Assessment[#Headers],0))</f>
        <v>Medan</v>
      </c>
      <c r="D97" s="68" t="str">
        <f>INDEX(Data_Assessment[],MATCH('Rekomendasi HAV'!$A97,Data_Assessment[[INDEX]:[INDEX]],0),MATCH('Rekomendasi HAV'!D$1,Data_Assessment[#Headers],0))</f>
        <v>LSIP - RO Medan</v>
      </c>
      <c r="E97" s="68">
        <f>INDEX(Data_Assessment[],MATCH('Rekomendasi HAV'!$B97,Data_Assessment[[NAME]:[NAME]],0),MATCH('Rekomendasi HAV'!E$1,Data_Assessment[#Headers],0))</f>
        <v>0</v>
      </c>
      <c r="F97" s="68"/>
      <c r="G97" s="68">
        <f>IF(ISNUMBER(SEARCH("DEV",Assessment[[#This Row],[JOB TARGET]])),SUBSTITUTE(Assessment[[#This Row],[JOB TARGET]],"DEV","EST"),Assessment[[#This Row],[JOB TARGET]])</f>
        <v>0</v>
      </c>
      <c r="H97" s="146" t="str" cm="1">
        <f t="array" aca="1" ref="H97" ca="1">IF(Assessment[[#This Row],[JOB TARGET]]="","Job Target Kosong",IF(COUNT(IF('Data Assessment'!$N97:$Z97-OFFSET(Standar!$B$2,MATCH(Assessment[[#This Row],[JOB TARGET
(EST)]],Standar[NAMA JABATAN],0)-1,1,1,13)&lt;0,1,""))&lt;=3,'9 Grid'!$B$4,IF(COUNT(IF('Data Assessment'!$N97:$Z97-OFFSET(Standar!$B$2,MATCH(Assessment[[#This Row],[JOB TARGET]],Standar[NAMA JABATAN],0)-1,1,1,13)&lt;0,1,""))&gt;=7,'9 Grid'!$B$6,'9 Grid'!$B$5)))</f>
        <v>Job Target Kosong</v>
      </c>
      <c r="I97" s="146" t="str">
        <f>IFERROR(IF(Data_Assessment[[#This Row],[IPP (3 YEARS AVERAGE)]]="","(IPP Belum Ada)",IF(Data_Assessment[[#This Row],[IPP (3 YEARS AVERAGE)]]&lt;2,'9 Grid'!$F$2,IF(Data_Assessment[[#This Row],[IPP (3 YEARS AVERAGE)]]&gt;=4,'9 Grid'!$D$2,'9 Grid'!$E$2))),"")</f>
        <v>Fully Competence Performance</v>
      </c>
      <c r="J97" s="146" t="str">
        <f ca="1">IFERROR(INDEX('9 Grid'!$D$4:$F$6,MATCH('Rekomendasi HAV'!H97,'9 Grid'!$B$4:$B$6,0),MATCH('Rekomendasi HAV'!I97,'9 Grid'!$D$2:$F$2,0)),"")</f>
        <v/>
      </c>
      <c r="K97" s="146" t="str">
        <f>IFERROR(INDEX('9 Grid'!$D$8:$F$8,1,MATCH('Rekomendasi HAV'!I97,'9 Grid'!$D$2:$F$2,0)),"")</f>
        <v>(ST) Within 12 - 18 month</v>
      </c>
      <c r="L97" s="146">
        <f>IF(ISNUMBER(SEARCH("EST",Assessment[[#This Row],[JOB TARGET]])),SUBSTITUTE(Assessment[[#This Row],[JOB TARGET]],"EST","DEV"),Assessment[[#This Row],[JOB TARGET]])</f>
        <v>0</v>
      </c>
      <c r="M97" s="146" t="str" cm="1">
        <f t="array" aca="1" ref="M97" ca="1">IF(Assessment[[#This Row],[JOB TARGET]]="","Job Target Kosong",IF(COUNT(IF('Data Assessment'!$N97:$Z97-OFFSET(Standar!$B$2,MATCH(Assessment[[#This Row],[JOB TARGET
(DEV)]],Standar[NAMA JABATAN],0)-1,1,1,13)&lt;0,1,""))&lt;=3,'9 Grid'!$B$4,IF(COUNT(IF('Data Assessment'!$N97:$Z97-OFFSET(Standar!$B$2,MATCH(Assessment[[#This Row],[JOB TARGET
(DEV)]],Standar[NAMA JABATAN],0)-1,1,1,13)&lt;0,1,""))&gt;=7,'9 Grid'!$B$6,'9 Grid'!$B$5)))</f>
        <v>Job Target Kosong</v>
      </c>
      <c r="N97" s="146" t="str">
        <f>IFERROR(IF(Data_Assessment[[#This Row],[IPP (3 YEARS AVERAGE)]]="","(IPP Belum Ada)",IF(Data_Assessment[[#This Row],[IPP (3 YEARS AVERAGE)]]&lt;2,'9 Grid'!$F$2,IF(Data_Assessment[[#This Row],[IPP (3 YEARS AVERAGE)]]&gt;=4,'9 Grid'!$D$2,'9 Grid'!$E$2))),"")</f>
        <v>Fully Competence Performance</v>
      </c>
      <c r="O97" s="146" t="str">
        <f ca="1">IFERROR(INDEX('9 Grid'!$D$4:$F$6,MATCH('Rekomendasi HAV'!M97,'9 Grid'!$B$4:$B$6,0),MATCH('Rekomendasi HAV'!N97,'9 Grid'!$D$2:$F$2,0)),"")</f>
        <v/>
      </c>
      <c r="P97" s="147" t="str">
        <f>IFERROR(INDEX('9 Grid'!$D$8:$F$8,1,MATCH('Rekomendasi HAV'!N97,'9 Grid'!$D$2:$F$2,0)),"")</f>
        <v>(ST) Within 12 - 18 month</v>
      </c>
    </row>
    <row r="98" spans="1:16" ht="28.5">
      <c r="A98" s="67">
        <v>97</v>
      </c>
      <c r="B98" s="68" t="str">
        <f>INDEX(Data_Assessment[],MATCH('Rekomendasi HAV'!$A98,Data_Assessment[[INDEX]:[INDEX]],0),MATCH('Rekomendasi HAV'!B$1,Data_Assessment[#Headers],0))</f>
        <v>Ariyanto</v>
      </c>
      <c r="C98" s="68" t="str">
        <f>INDEX(Data_Assessment[],MATCH('Rekomendasi HAV'!$A98,Data_Assessment[[INDEX]:[INDEX]],0),MATCH('Rekomendasi HAV'!C$1,Data_Assessment[#Headers],0))</f>
        <v>Sumatera Selatan</v>
      </c>
      <c r="D98" s="68" t="str">
        <f>INDEX(Data_Assessment[],MATCH('Rekomendasi HAV'!$A98,Data_Assessment[[INDEX]:[INDEX]],0),MATCH('Rekomendasi HAV'!D$1,Data_Assessment[#Headers],0))</f>
        <v>LSIP - RO Palembang</v>
      </c>
      <c r="E98" s="68">
        <f>INDEX(Data_Assessment[],MATCH('Rekomendasi HAV'!$B98,Data_Assessment[[NAME]:[NAME]],0),MATCH('Rekomendasi HAV'!E$1,Data_Assessment[#Headers],0))</f>
        <v>0</v>
      </c>
      <c r="F98" s="68"/>
      <c r="G98" s="68">
        <f>IF(ISNUMBER(SEARCH("DEV",Assessment[[#This Row],[JOB TARGET]])),SUBSTITUTE(Assessment[[#This Row],[JOB TARGET]],"DEV","EST"),Assessment[[#This Row],[JOB TARGET]])</f>
        <v>0</v>
      </c>
      <c r="H98" s="146" t="str" cm="1">
        <f t="array" aca="1" ref="H98" ca="1">IF(Assessment[[#This Row],[JOB TARGET]]="","Job Target Kosong",IF(COUNT(IF('Data Assessment'!$N98:$Z98-OFFSET(Standar!$B$2,MATCH(Assessment[[#This Row],[JOB TARGET
(EST)]],Standar[NAMA JABATAN],0)-1,1,1,13)&lt;0,1,""))&lt;=3,'9 Grid'!$B$4,IF(COUNT(IF('Data Assessment'!$N98:$Z98-OFFSET(Standar!$B$2,MATCH(Assessment[[#This Row],[JOB TARGET]],Standar[NAMA JABATAN],0)-1,1,1,13)&lt;0,1,""))&gt;=7,'9 Grid'!$B$6,'9 Grid'!$B$5)))</f>
        <v>Job Target Kosong</v>
      </c>
      <c r="I98" s="146" t="str">
        <f>IFERROR(IF(Data_Assessment[[#This Row],[IPP (3 YEARS AVERAGE)]]="","(IPP Belum Ada)",IF(Data_Assessment[[#This Row],[IPP (3 YEARS AVERAGE)]]&lt;2,'9 Grid'!$F$2,IF(Data_Assessment[[#This Row],[IPP (3 YEARS AVERAGE)]]&gt;=4,'9 Grid'!$D$2,'9 Grid'!$E$2))),"")</f>
        <v>Contributor</v>
      </c>
      <c r="J98" s="146" t="str">
        <f ca="1">IFERROR(INDEX('9 Grid'!$D$4:$F$6,MATCH('Rekomendasi HAV'!H98,'9 Grid'!$B$4:$B$6,0),MATCH('Rekomendasi HAV'!I98,'9 Grid'!$D$2:$F$2,0)),"")</f>
        <v/>
      </c>
      <c r="K98" s="146" t="str">
        <f>IFERROR(INDEX('9 Grid'!$D$8:$F$8,1,MATCH('Rekomendasi HAV'!I98,'9 Grid'!$D$2:$F$2,0)),"")</f>
        <v>(LT) More 2 - 3 year</v>
      </c>
      <c r="L98" s="146">
        <f>IF(ISNUMBER(SEARCH("EST",Assessment[[#This Row],[JOB TARGET]])),SUBSTITUTE(Assessment[[#This Row],[JOB TARGET]],"EST","DEV"),Assessment[[#This Row],[JOB TARGET]])</f>
        <v>0</v>
      </c>
      <c r="M98" s="146" t="str" cm="1">
        <f t="array" aca="1" ref="M98" ca="1">IF(Assessment[[#This Row],[JOB TARGET]]="","Job Target Kosong",IF(COUNT(IF('Data Assessment'!$N98:$Z98-OFFSET(Standar!$B$2,MATCH(Assessment[[#This Row],[JOB TARGET
(DEV)]],Standar[NAMA JABATAN],0)-1,1,1,13)&lt;0,1,""))&lt;=3,'9 Grid'!$B$4,IF(COUNT(IF('Data Assessment'!$N98:$Z98-OFFSET(Standar!$B$2,MATCH(Assessment[[#This Row],[JOB TARGET
(DEV)]],Standar[NAMA JABATAN],0)-1,1,1,13)&lt;0,1,""))&gt;=7,'9 Grid'!$B$6,'9 Grid'!$B$5)))</f>
        <v>Job Target Kosong</v>
      </c>
      <c r="N98" s="146" t="str">
        <f>IFERROR(IF(Data_Assessment[[#This Row],[IPP (3 YEARS AVERAGE)]]="","(IPP Belum Ada)",IF(Data_Assessment[[#This Row],[IPP (3 YEARS AVERAGE)]]&lt;2,'9 Grid'!$F$2,IF(Data_Assessment[[#This Row],[IPP (3 YEARS AVERAGE)]]&gt;=4,'9 Grid'!$D$2,'9 Grid'!$E$2))),"")</f>
        <v>Contributor</v>
      </c>
      <c r="O98" s="146" t="str">
        <f ca="1">IFERROR(INDEX('9 Grid'!$D$4:$F$6,MATCH('Rekomendasi HAV'!M98,'9 Grid'!$B$4:$B$6,0),MATCH('Rekomendasi HAV'!N98,'9 Grid'!$D$2:$F$2,0)),"")</f>
        <v/>
      </c>
      <c r="P98" s="147" t="str">
        <f>IFERROR(INDEX('9 Grid'!$D$8:$F$8,1,MATCH('Rekomendasi HAV'!N98,'9 Grid'!$D$2:$F$2,0)),"")</f>
        <v>(LT) More 2 - 3 year</v>
      </c>
    </row>
    <row r="99" spans="1:16" ht="28.5">
      <c r="A99" s="67">
        <v>98</v>
      </c>
      <c r="B99" s="68" t="str">
        <f>INDEX(Data_Assessment[],MATCH('Rekomendasi HAV'!$A99,Data_Assessment[[INDEX]:[INDEX]],0),MATCH('Rekomendasi HAV'!B$1,Data_Assessment[#Headers],0))</f>
        <v>Andrew Timothy A.S.</v>
      </c>
      <c r="C99" s="68" t="str">
        <f>INDEX(Data_Assessment[],MATCH('Rekomendasi HAV'!$A99,Data_Assessment[[INDEX]:[INDEX]],0),MATCH('Rekomendasi HAV'!C$1,Data_Assessment[#Headers],0))</f>
        <v>Medan</v>
      </c>
      <c r="D99" s="68" t="str">
        <f>INDEX(Data_Assessment[],MATCH('Rekomendasi HAV'!$A99,Data_Assessment[[INDEX]:[INDEX]],0),MATCH('Rekomendasi HAV'!D$1,Data_Assessment[#Headers],0))</f>
        <v>LSIP - RO Medan</v>
      </c>
      <c r="E99" s="68">
        <f>INDEX(Data_Assessment[],MATCH('Rekomendasi HAV'!$B99,Data_Assessment[[NAME]:[NAME]],0),MATCH('Rekomendasi HAV'!E$1,Data_Assessment[#Headers],0))</f>
        <v>0</v>
      </c>
      <c r="F99" s="68"/>
      <c r="G99" s="68">
        <f>IF(ISNUMBER(SEARCH("DEV",Assessment[[#This Row],[JOB TARGET]])),SUBSTITUTE(Assessment[[#This Row],[JOB TARGET]],"DEV","EST"),Assessment[[#This Row],[JOB TARGET]])</f>
        <v>0</v>
      </c>
      <c r="H99" s="146" t="str" cm="1">
        <f t="array" aca="1" ref="H99" ca="1">IF(Assessment[[#This Row],[JOB TARGET]]="","Job Target Kosong",IF(COUNT(IF('Data Assessment'!$N99:$Z99-OFFSET(Standar!$B$2,MATCH(Assessment[[#This Row],[JOB TARGET
(EST)]],Standar[NAMA JABATAN],0)-1,1,1,13)&lt;0,1,""))&lt;=3,'9 Grid'!$B$4,IF(COUNT(IF('Data Assessment'!$N99:$Z99-OFFSET(Standar!$B$2,MATCH(Assessment[[#This Row],[JOB TARGET]],Standar[NAMA JABATAN],0)-1,1,1,13)&lt;0,1,""))&gt;=7,'9 Grid'!$B$6,'9 Grid'!$B$5)))</f>
        <v>Job Target Kosong</v>
      </c>
      <c r="I99" s="146" t="str">
        <f>IFERROR(IF(Data_Assessment[[#This Row],[IPP (3 YEARS AVERAGE)]]="","(IPP Belum Ada)",IF(Data_Assessment[[#This Row],[IPP (3 YEARS AVERAGE)]]&lt;2,'9 Grid'!$F$2,IF(Data_Assessment[[#This Row],[IPP (3 YEARS AVERAGE)]]&gt;=4,'9 Grid'!$D$2,'9 Grid'!$E$2))),"")</f>
        <v>Fully Competence Performance</v>
      </c>
      <c r="J99" s="146" t="str">
        <f ca="1">IFERROR(INDEX('9 Grid'!$D$4:$F$6,MATCH('Rekomendasi HAV'!H99,'9 Grid'!$B$4:$B$6,0),MATCH('Rekomendasi HAV'!I99,'9 Grid'!$D$2:$F$2,0)),"")</f>
        <v/>
      </c>
      <c r="K99" s="146" t="str">
        <f>IFERROR(INDEX('9 Grid'!$D$8:$F$8,1,MATCH('Rekomendasi HAV'!I99,'9 Grid'!$D$2:$F$2,0)),"")</f>
        <v>(ST) Within 12 - 18 month</v>
      </c>
      <c r="L99" s="146">
        <f>IF(ISNUMBER(SEARCH("EST",Assessment[[#This Row],[JOB TARGET]])),SUBSTITUTE(Assessment[[#This Row],[JOB TARGET]],"EST","DEV"),Assessment[[#This Row],[JOB TARGET]])</f>
        <v>0</v>
      </c>
      <c r="M99" s="146" t="str" cm="1">
        <f t="array" aca="1" ref="M99" ca="1">IF(Assessment[[#This Row],[JOB TARGET]]="","Job Target Kosong",IF(COUNT(IF('Data Assessment'!$N99:$Z99-OFFSET(Standar!$B$2,MATCH(Assessment[[#This Row],[JOB TARGET
(DEV)]],Standar[NAMA JABATAN],0)-1,1,1,13)&lt;0,1,""))&lt;=3,'9 Grid'!$B$4,IF(COUNT(IF('Data Assessment'!$N99:$Z99-OFFSET(Standar!$B$2,MATCH(Assessment[[#This Row],[JOB TARGET
(DEV)]],Standar[NAMA JABATAN],0)-1,1,1,13)&lt;0,1,""))&gt;=7,'9 Grid'!$B$6,'9 Grid'!$B$5)))</f>
        <v>Job Target Kosong</v>
      </c>
      <c r="N99" s="146" t="str">
        <f>IFERROR(IF(Data_Assessment[[#This Row],[IPP (3 YEARS AVERAGE)]]="","(IPP Belum Ada)",IF(Data_Assessment[[#This Row],[IPP (3 YEARS AVERAGE)]]&lt;2,'9 Grid'!$F$2,IF(Data_Assessment[[#This Row],[IPP (3 YEARS AVERAGE)]]&gt;=4,'9 Grid'!$D$2,'9 Grid'!$E$2))),"")</f>
        <v>Fully Competence Performance</v>
      </c>
      <c r="O99" s="146" t="str">
        <f ca="1">IFERROR(INDEX('9 Grid'!$D$4:$F$6,MATCH('Rekomendasi HAV'!M99,'9 Grid'!$B$4:$B$6,0),MATCH('Rekomendasi HAV'!N99,'9 Grid'!$D$2:$F$2,0)),"")</f>
        <v/>
      </c>
      <c r="P99" s="147" t="str">
        <f>IFERROR(INDEX('9 Grid'!$D$8:$F$8,1,MATCH('Rekomendasi HAV'!N99,'9 Grid'!$D$2:$F$2,0)),"")</f>
        <v>(ST) Within 12 - 18 month</v>
      </c>
    </row>
    <row r="100" spans="1:16" ht="28.5">
      <c r="A100" s="67">
        <v>99</v>
      </c>
      <c r="B100" s="68" t="str">
        <f>INDEX(Data_Assessment[],MATCH('Rekomendasi HAV'!$A100,Data_Assessment[[INDEX]:[INDEX]],0),MATCH('Rekomendasi HAV'!B$1,Data_Assessment[#Headers],0))</f>
        <v>Muhammad Caturiansyah Putra</v>
      </c>
      <c r="C100" s="68" t="str">
        <f>INDEX(Data_Assessment[],MATCH('Rekomendasi HAV'!$A100,Data_Assessment[[INDEX]:[INDEX]],0),MATCH('Rekomendasi HAV'!C$1,Data_Assessment[#Headers],0))</f>
        <v>Sumatera Selatan</v>
      </c>
      <c r="D100" s="68" t="str">
        <f>INDEX(Data_Assessment[],MATCH('Rekomendasi HAV'!$A100,Data_Assessment[[INDEX]:[INDEX]],0),MATCH('Rekomendasi HAV'!D$1,Data_Assessment[#Headers],0))</f>
        <v>LSIP - RO Palembang</v>
      </c>
      <c r="E100" s="68">
        <f>INDEX(Data_Assessment[],MATCH('Rekomendasi HAV'!$B100,Data_Assessment[[NAME]:[NAME]],0),MATCH('Rekomendasi HAV'!E$1,Data_Assessment[#Headers],0))</f>
        <v>0</v>
      </c>
      <c r="F100" s="68"/>
      <c r="G100" s="68">
        <f>IF(ISNUMBER(SEARCH("DEV",Assessment[[#This Row],[JOB TARGET]])),SUBSTITUTE(Assessment[[#This Row],[JOB TARGET]],"DEV","EST"),Assessment[[#This Row],[JOB TARGET]])</f>
        <v>0</v>
      </c>
      <c r="H100" s="146" t="str" cm="1">
        <f t="array" aca="1" ref="H100" ca="1">IF(Assessment[[#This Row],[JOB TARGET]]="","Job Target Kosong",IF(COUNT(IF('Data Assessment'!$N100:$Z100-OFFSET(Standar!$B$2,MATCH(Assessment[[#This Row],[JOB TARGET
(EST)]],Standar[NAMA JABATAN],0)-1,1,1,13)&lt;0,1,""))&lt;=3,'9 Grid'!$B$4,IF(COUNT(IF('Data Assessment'!$N100:$Z100-OFFSET(Standar!$B$2,MATCH(Assessment[[#This Row],[JOB TARGET]],Standar[NAMA JABATAN],0)-1,1,1,13)&lt;0,1,""))&gt;=7,'9 Grid'!$B$6,'9 Grid'!$B$5)))</f>
        <v>Job Target Kosong</v>
      </c>
      <c r="I100" s="146" t="str">
        <f>IFERROR(IF(Data_Assessment[[#This Row],[IPP (3 YEARS AVERAGE)]]="","(IPP Belum Ada)",IF(Data_Assessment[[#This Row],[IPP (3 YEARS AVERAGE)]]&lt;2,'9 Grid'!$F$2,IF(Data_Assessment[[#This Row],[IPP (3 YEARS AVERAGE)]]&gt;=4,'9 Grid'!$D$2,'9 Grid'!$E$2))),"")</f>
        <v>Contributor</v>
      </c>
      <c r="J100" s="146" t="str">
        <f ca="1">IFERROR(INDEX('9 Grid'!$D$4:$F$6,MATCH('Rekomendasi HAV'!H100,'9 Grid'!$B$4:$B$6,0),MATCH('Rekomendasi HAV'!I100,'9 Grid'!$D$2:$F$2,0)),"")</f>
        <v/>
      </c>
      <c r="K100" s="146" t="str">
        <f>IFERROR(INDEX('9 Grid'!$D$8:$F$8,1,MATCH('Rekomendasi HAV'!I100,'9 Grid'!$D$2:$F$2,0)),"")</f>
        <v>(LT) More 2 - 3 year</v>
      </c>
      <c r="L100" s="146">
        <f>IF(ISNUMBER(SEARCH("EST",Assessment[[#This Row],[JOB TARGET]])),SUBSTITUTE(Assessment[[#This Row],[JOB TARGET]],"EST","DEV"),Assessment[[#This Row],[JOB TARGET]])</f>
        <v>0</v>
      </c>
      <c r="M100" s="146" t="str" cm="1">
        <f t="array" aca="1" ref="M100" ca="1">IF(Assessment[[#This Row],[JOB TARGET]]="","Job Target Kosong",IF(COUNT(IF('Data Assessment'!$N100:$Z100-OFFSET(Standar!$B$2,MATCH(Assessment[[#This Row],[JOB TARGET
(DEV)]],Standar[NAMA JABATAN],0)-1,1,1,13)&lt;0,1,""))&lt;=3,'9 Grid'!$B$4,IF(COUNT(IF('Data Assessment'!$N100:$Z100-OFFSET(Standar!$B$2,MATCH(Assessment[[#This Row],[JOB TARGET
(DEV)]],Standar[NAMA JABATAN],0)-1,1,1,13)&lt;0,1,""))&gt;=7,'9 Grid'!$B$6,'9 Grid'!$B$5)))</f>
        <v>Job Target Kosong</v>
      </c>
      <c r="N100" s="146" t="str">
        <f>IFERROR(IF(Data_Assessment[[#This Row],[IPP (3 YEARS AVERAGE)]]="","(IPP Belum Ada)",IF(Data_Assessment[[#This Row],[IPP (3 YEARS AVERAGE)]]&lt;2,'9 Grid'!$F$2,IF(Data_Assessment[[#This Row],[IPP (3 YEARS AVERAGE)]]&gt;=4,'9 Grid'!$D$2,'9 Grid'!$E$2))),"")</f>
        <v>Contributor</v>
      </c>
      <c r="O100" s="146" t="str">
        <f ca="1">IFERROR(INDEX('9 Grid'!$D$4:$F$6,MATCH('Rekomendasi HAV'!M100,'9 Grid'!$B$4:$B$6,0),MATCH('Rekomendasi HAV'!N100,'9 Grid'!$D$2:$F$2,0)),"")</f>
        <v/>
      </c>
      <c r="P100" s="147" t="str">
        <f>IFERROR(INDEX('9 Grid'!$D$8:$F$8,1,MATCH('Rekomendasi HAV'!N100,'9 Grid'!$D$2:$F$2,0)),"")</f>
        <v>(LT) More 2 - 3 year</v>
      </c>
    </row>
    <row r="101" spans="1:16" ht="28.5">
      <c r="A101" s="67">
        <v>100</v>
      </c>
      <c r="B101" s="68" t="str">
        <f>INDEX(Data_Assessment[],MATCH('Rekomendasi HAV'!$A101,Data_Assessment[[INDEX]:[INDEX]],0),MATCH('Rekomendasi HAV'!B$1,Data_Assessment[#Headers],0))</f>
        <v>Awang Setiadi</v>
      </c>
      <c r="C101" s="68" t="str">
        <f>INDEX(Data_Assessment[],MATCH('Rekomendasi HAV'!$A101,Data_Assessment[[INDEX]:[INDEX]],0),MATCH('Rekomendasi HAV'!C$1,Data_Assessment[#Headers],0))</f>
        <v>Medan</v>
      </c>
      <c r="D101" s="68" t="str">
        <f>INDEX(Data_Assessment[],MATCH('Rekomendasi HAV'!$A101,Data_Assessment[[INDEX]:[INDEX]],0),MATCH('Rekomendasi HAV'!D$1,Data_Assessment[#Headers],0))</f>
        <v>LSIP - RO Medan</v>
      </c>
      <c r="E101" s="68">
        <f>INDEX(Data_Assessment[],MATCH('Rekomendasi HAV'!$B101,Data_Assessment[[NAME]:[NAME]],0),MATCH('Rekomendasi HAV'!E$1,Data_Assessment[#Headers],0))</f>
        <v>0</v>
      </c>
      <c r="F101" s="68"/>
      <c r="G101" s="68">
        <f>IF(ISNUMBER(SEARCH("DEV",Assessment[[#This Row],[JOB TARGET]])),SUBSTITUTE(Assessment[[#This Row],[JOB TARGET]],"DEV","EST"),Assessment[[#This Row],[JOB TARGET]])</f>
        <v>0</v>
      </c>
      <c r="H101" s="146" t="str" cm="1">
        <f t="array" aca="1" ref="H101" ca="1">IF(Assessment[[#This Row],[JOB TARGET]]="","Job Target Kosong",IF(COUNT(IF('Data Assessment'!$N101:$Z101-OFFSET(Standar!$B$2,MATCH(Assessment[[#This Row],[JOB TARGET
(EST)]],Standar[NAMA JABATAN],0)-1,1,1,13)&lt;0,1,""))&lt;=3,'9 Grid'!$B$4,IF(COUNT(IF('Data Assessment'!$N101:$Z101-OFFSET(Standar!$B$2,MATCH(Assessment[[#This Row],[JOB TARGET]],Standar[NAMA JABATAN],0)-1,1,1,13)&lt;0,1,""))&gt;=7,'9 Grid'!$B$6,'9 Grid'!$B$5)))</f>
        <v>Job Target Kosong</v>
      </c>
      <c r="I101" s="146" t="str">
        <f>IFERROR(IF(Data_Assessment[[#This Row],[IPP (3 YEARS AVERAGE)]]="","(IPP Belum Ada)",IF(Data_Assessment[[#This Row],[IPP (3 YEARS AVERAGE)]]&lt;2,'9 Grid'!$F$2,IF(Data_Assessment[[#This Row],[IPP (3 YEARS AVERAGE)]]&gt;=4,'9 Grid'!$D$2,'9 Grid'!$E$2))),"")</f>
        <v>Fully Competence Performance</v>
      </c>
      <c r="J101" s="146" t="str">
        <f ca="1">IFERROR(INDEX('9 Grid'!$D$4:$F$6,MATCH('Rekomendasi HAV'!H101,'9 Grid'!$B$4:$B$6,0),MATCH('Rekomendasi HAV'!I101,'9 Grid'!$D$2:$F$2,0)),"")</f>
        <v/>
      </c>
      <c r="K101" s="146" t="str">
        <f>IFERROR(INDEX('9 Grid'!$D$8:$F$8,1,MATCH('Rekomendasi HAV'!I101,'9 Grid'!$D$2:$F$2,0)),"")</f>
        <v>(ST) Within 12 - 18 month</v>
      </c>
      <c r="L101" s="146">
        <f>IF(ISNUMBER(SEARCH("EST",Assessment[[#This Row],[JOB TARGET]])),SUBSTITUTE(Assessment[[#This Row],[JOB TARGET]],"EST","DEV"),Assessment[[#This Row],[JOB TARGET]])</f>
        <v>0</v>
      </c>
      <c r="M101" s="146" t="str" cm="1">
        <f t="array" aca="1" ref="M101" ca="1">IF(Assessment[[#This Row],[JOB TARGET]]="","Job Target Kosong",IF(COUNT(IF('Data Assessment'!$N101:$Z101-OFFSET(Standar!$B$2,MATCH(Assessment[[#This Row],[JOB TARGET
(DEV)]],Standar[NAMA JABATAN],0)-1,1,1,13)&lt;0,1,""))&lt;=3,'9 Grid'!$B$4,IF(COUNT(IF('Data Assessment'!$N101:$Z101-OFFSET(Standar!$B$2,MATCH(Assessment[[#This Row],[JOB TARGET
(DEV)]],Standar[NAMA JABATAN],0)-1,1,1,13)&lt;0,1,""))&gt;=7,'9 Grid'!$B$6,'9 Grid'!$B$5)))</f>
        <v>Job Target Kosong</v>
      </c>
      <c r="N101" s="146" t="str">
        <f>IFERROR(IF(Data_Assessment[[#This Row],[IPP (3 YEARS AVERAGE)]]="","(IPP Belum Ada)",IF(Data_Assessment[[#This Row],[IPP (3 YEARS AVERAGE)]]&lt;2,'9 Grid'!$F$2,IF(Data_Assessment[[#This Row],[IPP (3 YEARS AVERAGE)]]&gt;=4,'9 Grid'!$D$2,'9 Grid'!$E$2))),"")</f>
        <v>Fully Competence Performance</v>
      </c>
      <c r="O101" s="146" t="str">
        <f ca="1">IFERROR(INDEX('9 Grid'!$D$4:$F$6,MATCH('Rekomendasi HAV'!M101,'9 Grid'!$B$4:$B$6,0),MATCH('Rekomendasi HAV'!N101,'9 Grid'!$D$2:$F$2,0)),"")</f>
        <v/>
      </c>
      <c r="P101" s="147" t="str">
        <f>IFERROR(INDEX('9 Grid'!$D$8:$F$8,1,MATCH('Rekomendasi HAV'!N101,'9 Grid'!$D$2:$F$2,0)),"")</f>
        <v>(ST) Within 12 - 18 month</v>
      </c>
    </row>
    <row r="102" spans="1:16" ht="28.5">
      <c r="A102" s="67">
        <v>101</v>
      </c>
      <c r="B102" s="68" t="str">
        <f>INDEX(Data_Assessment[],MATCH('Rekomendasi HAV'!$A102,Data_Assessment[[INDEX]:[INDEX]],0),MATCH('Rekomendasi HAV'!B$1,Data_Assessment[#Headers],0))</f>
        <v>Abdul Manan</v>
      </c>
      <c r="C102" s="68" t="str">
        <f>INDEX(Data_Assessment[],MATCH('Rekomendasi HAV'!$A102,Data_Assessment[[INDEX]:[INDEX]],0),MATCH('Rekomendasi HAV'!C$1,Data_Assessment[#Headers],0))</f>
        <v>Sumatera Selatan</v>
      </c>
      <c r="D102" s="68" t="str">
        <f>INDEX(Data_Assessment[],MATCH('Rekomendasi HAV'!$A102,Data_Assessment[[INDEX]:[INDEX]],0),MATCH('Rekomendasi HAV'!D$1,Data_Assessment[#Headers],0))</f>
        <v>LSIP - RO Palembang</v>
      </c>
      <c r="E102" s="68">
        <f>INDEX(Data_Assessment[],MATCH('Rekomendasi HAV'!$B102,Data_Assessment[[NAME]:[NAME]],0),MATCH('Rekomendasi HAV'!E$1,Data_Assessment[#Headers],0))</f>
        <v>0</v>
      </c>
      <c r="F102" s="68"/>
      <c r="G102" s="68">
        <f>IF(ISNUMBER(SEARCH("DEV",Assessment[[#This Row],[JOB TARGET]])),SUBSTITUTE(Assessment[[#This Row],[JOB TARGET]],"DEV","EST"),Assessment[[#This Row],[JOB TARGET]])</f>
        <v>0</v>
      </c>
      <c r="H102" s="146" t="str" cm="1">
        <f t="array" aca="1" ref="H102" ca="1">IF(Assessment[[#This Row],[JOB TARGET]]="","Job Target Kosong",IF(COUNT(IF('Data Assessment'!$N102:$Z102-OFFSET(Standar!$B$2,MATCH(Assessment[[#This Row],[JOB TARGET
(EST)]],Standar[NAMA JABATAN],0)-1,1,1,13)&lt;0,1,""))&lt;=3,'9 Grid'!$B$4,IF(COUNT(IF('Data Assessment'!$N102:$Z102-OFFSET(Standar!$B$2,MATCH(Assessment[[#This Row],[JOB TARGET]],Standar[NAMA JABATAN],0)-1,1,1,13)&lt;0,1,""))&gt;=7,'9 Grid'!$B$6,'9 Grid'!$B$5)))</f>
        <v>Job Target Kosong</v>
      </c>
      <c r="I102" s="146" t="str">
        <f>IFERROR(IF(Data_Assessment[[#This Row],[IPP (3 YEARS AVERAGE)]]="","(IPP Belum Ada)",IF(Data_Assessment[[#This Row],[IPP (3 YEARS AVERAGE)]]&lt;2,'9 Grid'!$F$2,IF(Data_Assessment[[#This Row],[IPP (3 YEARS AVERAGE)]]&gt;=4,'9 Grid'!$D$2,'9 Grid'!$E$2))),"")</f>
        <v>Contributor</v>
      </c>
      <c r="J102" s="146" t="str">
        <f ca="1">IFERROR(INDEX('9 Grid'!$D$4:$F$6,MATCH('Rekomendasi HAV'!H102,'9 Grid'!$B$4:$B$6,0),MATCH('Rekomendasi HAV'!I102,'9 Grid'!$D$2:$F$2,0)),"")</f>
        <v/>
      </c>
      <c r="K102" s="146" t="str">
        <f>IFERROR(INDEX('9 Grid'!$D$8:$F$8,1,MATCH('Rekomendasi HAV'!I102,'9 Grid'!$D$2:$F$2,0)),"")</f>
        <v>(LT) More 2 - 3 year</v>
      </c>
      <c r="L102" s="146">
        <f>IF(ISNUMBER(SEARCH("EST",Assessment[[#This Row],[JOB TARGET]])),SUBSTITUTE(Assessment[[#This Row],[JOB TARGET]],"EST","DEV"),Assessment[[#This Row],[JOB TARGET]])</f>
        <v>0</v>
      </c>
      <c r="M102" s="146" t="str" cm="1">
        <f t="array" aca="1" ref="M102" ca="1">IF(Assessment[[#This Row],[JOB TARGET]]="","Job Target Kosong",IF(COUNT(IF('Data Assessment'!$N102:$Z102-OFFSET(Standar!$B$2,MATCH(Assessment[[#This Row],[JOB TARGET
(DEV)]],Standar[NAMA JABATAN],0)-1,1,1,13)&lt;0,1,""))&lt;=3,'9 Grid'!$B$4,IF(COUNT(IF('Data Assessment'!$N102:$Z102-OFFSET(Standar!$B$2,MATCH(Assessment[[#This Row],[JOB TARGET
(DEV)]],Standar[NAMA JABATAN],0)-1,1,1,13)&lt;0,1,""))&gt;=7,'9 Grid'!$B$6,'9 Grid'!$B$5)))</f>
        <v>Job Target Kosong</v>
      </c>
      <c r="N102" s="146" t="str">
        <f>IFERROR(IF(Data_Assessment[[#This Row],[IPP (3 YEARS AVERAGE)]]="","(IPP Belum Ada)",IF(Data_Assessment[[#This Row],[IPP (3 YEARS AVERAGE)]]&lt;2,'9 Grid'!$F$2,IF(Data_Assessment[[#This Row],[IPP (3 YEARS AVERAGE)]]&gt;=4,'9 Grid'!$D$2,'9 Grid'!$E$2))),"")</f>
        <v>Contributor</v>
      </c>
      <c r="O102" s="146" t="str">
        <f ca="1">IFERROR(INDEX('9 Grid'!$D$4:$F$6,MATCH('Rekomendasi HAV'!M102,'9 Grid'!$B$4:$B$6,0),MATCH('Rekomendasi HAV'!N102,'9 Grid'!$D$2:$F$2,0)),"")</f>
        <v/>
      </c>
      <c r="P102" s="147" t="str">
        <f>IFERROR(INDEX('9 Grid'!$D$8:$F$8,1,MATCH('Rekomendasi HAV'!N102,'9 Grid'!$D$2:$F$2,0)),"")</f>
        <v>(LT) More 2 - 3 year</v>
      </c>
    </row>
    <row r="103" spans="1:16" ht="28.5">
      <c r="A103" s="67">
        <v>102</v>
      </c>
      <c r="B103" s="68" t="str">
        <f>INDEX(Data_Assessment[],MATCH('Rekomendasi HAV'!$A103,Data_Assessment[[INDEX]:[INDEX]],0),MATCH('Rekomendasi HAV'!B$1,Data_Assessment[#Headers],0))</f>
        <v>Edi Junaidi, Sp Ginting</v>
      </c>
      <c r="C103" s="68" t="str">
        <f>INDEX(Data_Assessment[],MATCH('Rekomendasi HAV'!$A103,Data_Assessment[[INDEX]:[INDEX]],0),MATCH('Rekomendasi HAV'!C$1,Data_Assessment[#Headers],0))</f>
        <v>Medan</v>
      </c>
      <c r="D103" s="68" t="str">
        <f>INDEX(Data_Assessment[],MATCH('Rekomendasi HAV'!$A103,Data_Assessment[[INDEX]:[INDEX]],0),MATCH('Rekomendasi HAV'!D$1,Data_Assessment[#Headers],0))</f>
        <v>LSIP - RO Medan</v>
      </c>
      <c r="E103" s="68">
        <f>INDEX(Data_Assessment[],MATCH('Rekomendasi HAV'!$B103,Data_Assessment[[NAME]:[NAME]],0),MATCH('Rekomendasi HAV'!E$1,Data_Assessment[#Headers],0))</f>
        <v>0</v>
      </c>
      <c r="F103" s="68"/>
      <c r="G103" s="68">
        <f>IF(ISNUMBER(SEARCH("DEV",Assessment[[#This Row],[JOB TARGET]])),SUBSTITUTE(Assessment[[#This Row],[JOB TARGET]],"DEV","EST"),Assessment[[#This Row],[JOB TARGET]])</f>
        <v>0</v>
      </c>
      <c r="H103" s="146" t="str" cm="1">
        <f t="array" aca="1" ref="H103" ca="1">IF(Assessment[[#This Row],[JOB TARGET]]="","Job Target Kosong",IF(COUNT(IF('Data Assessment'!$N103:$Z103-OFFSET(Standar!$B$2,MATCH(Assessment[[#This Row],[JOB TARGET
(EST)]],Standar[NAMA JABATAN],0)-1,1,1,13)&lt;0,1,""))&lt;=3,'9 Grid'!$B$4,IF(COUNT(IF('Data Assessment'!$N103:$Z103-OFFSET(Standar!$B$2,MATCH(Assessment[[#This Row],[JOB TARGET]],Standar[NAMA JABATAN],0)-1,1,1,13)&lt;0,1,""))&gt;=7,'9 Grid'!$B$6,'9 Grid'!$B$5)))</f>
        <v>Job Target Kosong</v>
      </c>
      <c r="I103" s="146" t="str">
        <f>IFERROR(IF(Data_Assessment[[#This Row],[IPP (3 YEARS AVERAGE)]]="","(IPP Belum Ada)",IF(Data_Assessment[[#This Row],[IPP (3 YEARS AVERAGE)]]&lt;2,'9 Grid'!$F$2,IF(Data_Assessment[[#This Row],[IPP (3 YEARS AVERAGE)]]&gt;=4,'9 Grid'!$D$2,'9 Grid'!$E$2))),"")</f>
        <v>Fully Competence Performance</v>
      </c>
      <c r="J103" s="146" t="str">
        <f ca="1">IFERROR(INDEX('9 Grid'!$D$4:$F$6,MATCH('Rekomendasi HAV'!H103,'9 Grid'!$B$4:$B$6,0),MATCH('Rekomendasi HAV'!I103,'9 Grid'!$D$2:$F$2,0)),"")</f>
        <v/>
      </c>
      <c r="K103" s="146" t="str">
        <f>IFERROR(INDEX('9 Grid'!$D$8:$F$8,1,MATCH('Rekomendasi HAV'!I103,'9 Grid'!$D$2:$F$2,0)),"")</f>
        <v>(ST) Within 12 - 18 month</v>
      </c>
      <c r="L103" s="146">
        <f>IF(ISNUMBER(SEARCH("EST",Assessment[[#This Row],[JOB TARGET]])),SUBSTITUTE(Assessment[[#This Row],[JOB TARGET]],"EST","DEV"),Assessment[[#This Row],[JOB TARGET]])</f>
        <v>0</v>
      </c>
      <c r="M103" s="146" t="str" cm="1">
        <f t="array" aca="1" ref="M103" ca="1">IF(Assessment[[#This Row],[JOB TARGET]]="","Job Target Kosong",IF(COUNT(IF('Data Assessment'!$N103:$Z103-OFFSET(Standar!$B$2,MATCH(Assessment[[#This Row],[JOB TARGET
(DEV)]],Standar[NAMA JABATAN],0)-1,1,1,13)&lt;0,1,""))&lt;=3,'9 Grid'!$B$4,IF(COUNT(IF('Data Assessment'!$N103:$Z103-OFFSET(Standar!$B$2,MATCH(Assessment[[#This Row],[JOB TARGET
(DEV)]],Standar[NAMA JABATAN],0)-1,1,1,13)&lt;0,1,""))&gt;=7,'9 Grid'!$B$6,'9 Grid'!$B$5)))</f>
        <v>Job Target Kosong</v>
      </c>
      <c r="N103" s="146" t="str">
        <f>IFERROR(IF(Data_Assessment[[#This Row],[IPP (3 YEARS AVERAGE)]]="","(IPP Belum Ada)",IF(Data_Assessment[[#This Row],[IPP (3 YEARS AVERAGE)]]&lt;2,'9 Grid'!$F$2,IF(Data_Assessment[[#This Row],[IPP (3 YEARS AVERAGE)]]&gt;=4,'9 Grid'!$D$2,'9 Grid'!$E$2))),"")</f>
        <v>Fully Competence Performance</v>
      </c>
      <c r="O103" s="146" t="str">
        <f ca="1">IFERROR(INDEX('9 Grid'!$D$4:$F$6,MATCH('Rekomendasi HAV'!M103,'9 Grid'!$B$4:$B$6,0),MATCH('Rekomendasi HAV'!N103,'9 Grid'!$D$2:$F$2,0)),"")</f>
        <v/>
      </c>
      <c r="P103" s="147" t="str">
        <f>IFERROR(INDEX('9 Grid'!$D$8:$F$8,1,MATCH('Rekomendasi HAV'!N103,'9 Grid'!$D$2:$F$2,0)),"")</f>
        <v>(ST) Within 12 - 18 month</v>
      </c>
    </row>
    <row r="104" spans="1:16" ht="28.5">
      <c r="A104" s="67">
        <v>103</v>
      </c>
      <c r="B104" s="68" t="str">
        <f>INDEX(Data_Assessment[],MATCH('Rekomendasi HAV'!$A104,Data_Assessment[[INDEX]:[INDEX]],0),MATCH('Rekomendasi HAV'!B$1,Data_Assessment[#Headers],0))</f>
        <v>I Made Sudania (Konsultan)</v>
      </c>
      <c r="C104" s="68" t="str">
        <f>INDEX(Data_Assessment[],MATCH('Rekomendasi HAV'!$A104,Data_Assessment[[INDEX]:[INDEX]],0),MATCH('Rekomendasi HAV'!C$1,Data_Assessment[#Headers],0))</f>
        <v>Palembang</v>
      </c>
      <c r="D104" s="68" t="str">
        <f>INDEX(Data_Assessment[],MATCH('Rekomendasi HAV'!$A104,Data_Assessment[[INDEX]:[INDEX]],0),MATCH('Rekomendasi HAV'!D$1,Data_Assessment[#Headers],0))</f>
        <v>LSIP - RO Palembang</v>
      </c>
      <c r="E104" s="68">
        <f>INDEX(Data_Assessment[],MATCH('Rekomendasi HAV'!$B104,Data_Assessment[[NAME]:[NAME]],0),MATCH('Rekomendasi HAV'!E$1,Data_Assessment[#Headers],0))</f>
        <v>0</v>
      </c>
      <c r="F104" s="68"/>
      <c r="G104" s="68">
        <f>IF(ISNUMBER(SEARCH("DEV",Assessment[[#This Row],[JOB TARGET]])),SUBSTITUTE(Assessment[[#This Row],[JOB TARGET]],"DEV","EST"),Assessment[[#This Row],[JOB TARGET]])</f>
        <v>0</v>
      </c>
      <c r="H104" s="146" t="str" cm="1">
        <f t="array" aca="1" ref="H104" ca="1">IF(Assessment[[#This Row],[JOB TARGET]]="","Job Target Kosong",IF(COUNT(IF('Data Assessment'!$N104:$Z104-OFFSET(Standar!$B$2,MATCH(Assessment[[#This Row],[JOB TARGET
(EST)]],Standar[NAMA JABATAN],0)-1,1,1,13)&lt;0,1,""))&lt;=3,'9 Grid'!$B$4,IF(COUNT(IF('Data Assessment'!$N104:$Z104-OFFSET(Standar!$B$2,MATCH(Assessment[[#This Row],[JOB TARGET]],Standar[NAMA JABATAN],0)-1,1,1,13)&lt;0,1,""))&gt;=7,'9 Grid'!$B$6,'9 Grid'!$B$5)))</f>
        <v>Job Target Kosong</v>
      </c>
      <c r="I104" s="146" t="str">
        <f>IFERROR(IF(Data_Assessment[[#This Row],[IPP (3 YEARS AVERAGE)]]="","(IPP Belum Ada)",IF(Data_Assessment[[#This Row],[IPP (3 YEARS AVERAGE)]]&lt;2,'9 Grid'!$F$2,IF(Data_Assessment[[#This Row],[IPP (3 YEARS AVERAGE)]]&gt;=4,'9 Grid'!$D$2,'9 Grid'!$E$2))),"")</f>
        <v>Contributor</v>
      </c>
      <c r="J104" s="146" t="str">
        <f ca="1">IFERROR(INDEX('9 Grid'!$D$4:$F$6,MATCH('Rekomendasi HAV'!H104,'9 Grid'!$B$4:$B$6,0),MATCH('Rekomendasi HAV'!I104,'9 Grid'!$D$2:$F$2,0)),"")</f>
        <v/>
      </c>
      <c r="K104" s="146" t="str">
        <f>IFERROR(INDEX('9 Grid'!$D$8:$F$8,1,MATCH('Rekomendasi HAV'!I104,'9 Grid'!$D$2:$F$2,0)),"")</f>
        <v>(LT) More 2 - 3 year</v>
      </c>
      <c r="L104" s="146">
        <f>IF(ISNUMBER(SEARCH("EST",Assessment[[#This Row],[JOB TARGET]])),SUBSTITUTE(Assessment[[#This Row],[JOB TARGET]],"EST","DEV"),Assessment[[#This Row],[JOB TARGET]])</f>
        <v>0</v>
      </c>
      <c r="M104" s="146" t="str" cm="1">
        <f t="array" aca="1" ref="M104" ca="1">IF(Assessment[[#This Row],[JOB TARGET]]="","Job Target Kosong",IF(COUNT(IF('Data Assessment'!$N104:$Z104-OFFSET(Standar!$B$2,MATCH(Assessment[[#This Row],[JOB TARGET
(DEV)]],Standar[NAMA JABATAN],0)-1,1,1,13)&lt;0,1,""))&lt;=3,'9 Grid'!$B$4,IF(COUNT(IF('Data Assessment'!$N104:$Z104-OFFSET(Standar!$B$2,MATCH(Assessment[[#This Row],[JOB TARGET
(DEV)]],Standar[NAMA JABATAN],0)-1,1,1,13)&lt;0,1,""))&gt;=7,'9 Grid'!$B$6,'9 Grid'!$B$5)))</f>
        <v>Job Target Kosong</v>
      </c>
      <c r="N104" s="146" t="str">
        <f>IFERROR(IF(Data_Assessment[[#This Row],[IPP (3 YEARS AVERAGE)]]="","(IPP Belum Ada)",IF(Data_Assessment[[#This Row],[IPP (3 YEARS AVERAGE)]]&lt;2,'9 Grid'!$F$2,IF(Data_Assessment[[#This Row],[IPP (3 YEARS AVERAGE)]]&gt;=4,'9 Grid'!$D$2,'9 Grid'!$E$2))),"")</f>
        <v>Contributor</v>
      </c>
      <c r="O104" s="146" t="str">
        <f ca="1">IFERROR(INDEX('9 Grid'!$D$4:$F$6,MATCH('Rekomendasi HAV'!M104,'9 Grid'!$B$4:$B$6,0),MATCH('Rekomendasi HAV'!N104,'9 Grid'!$D$2:$F$2,0)),"")</f>
        <v/>
      </c>
      <c r="P104" s="147" t="str">
        <f>IFERROR(INDEX('9 Grid'!$D$8:$F$8,1,MATCH('Rekomendasi HAV'!N104,'9 Grid'!$D$2:$F$2,0)),"")</f>
        <v>(LT) More 2 - 3 year</v>
      </c>
    </row>
    <row r="105" spans="1:16" ht="28.5">
      <c r="A105" s="67">
        <v>104</v>
      </c>
      <c r="B105" s="68" t="str">
        <f>INDEX(Data_Assessment[],MATCH('Rekomendasi HAV'!$A105,Data_Assessment[[INDEX]:[INDEX]],0),MATCH('Rekomendasi HAV'!B$1,Data_Assessment[#Headers],0))</f>
        <v>Hendra Manik</v>
      </c>
      <c r="C105" s="68" t="str">
        <f>INDEX(Data_Assessment[],MATCH('Rekomendasi HAV'!$A105,Data_Assessment[[INDEX]:[INDEX]],0),MATCH('Rekomendasi HAV'!C$1,Data_Assessment[#Headers],0))</f>
        <v>Medan</v>
      </c>
      <c r="D105" s="68" t="str">
        <f>INDEX(Data_Assessment[],MATCH('Rekomendasi HAV'!$A105,Data_Assessment[[INDEX]:[INDEX]],0),MATCH('Rekomendasi HAV'!D$1,Data_Assessment[#Headers],0))</f>
        <v>LSIP - RO Medan</v>
      </c>
      <c r="E105" s="68">
        <f>INDEX(Data_Assessment[],MATCH('Rekomendasi HAV'!$B105,Data_Assessment[[NAME]:[NAME]],0),MATCH('Rekomendasi HAV'!E$1,Data_Assessment[#Headers],0))</f>
        <v>0</v>
      </c>
      <c r="F105" s="68"/>
      <c r="G105" s="68">
        <f>IF(ISNUMBER(SEARCH("DEV",Assessment[[#This Row],[JOB TARGET]])),SUBSTITUTE(Assessment[[#This Row],[JOB TARGET]],"DEV","EST"),Assessment[[#This Row],[JOB TARGET]])</f>
        <v>0</v>
      </c>
      <c r="H105" s="146" t="str" cm="1">
        <f t="array" aca="1" ref="H105" ca="1">IF(Assessment[[#This Row],[JOB TARGET]]="","Job Target Kosong",IF(COUNT(IF('Data Assessment'!$N105:$Z105-OFFSET(Standar!$B$2,MATCH(Assessment[[#This Row],[JOB TARGET
(EST)]],Standar[NAMA JABATAN],0)-1,1,1,13)&lt;0,1,""))&lt;=3,'9 Grid'!$B$4,IF(COUNT(IF('Data Assessment'!$N105:$Z105-OFFSET(Standar!$B$2,MATCH(Assessment[[#This Row],[JOB TARGET]],Standar[NAMA JABATAN],0)-1,1,1,13)&lt;0,1,""))&gt;=7,'9 Grid'!$B$6,'9 Grid'!$B$5)))</f>
        <v>Job Target Kosong</v>
      </c>
      <c r="I105" s="146" t="str">
        <f>IFERROR(IF(Data_Assessment[[#This Row],[IPP (3 YEARS AVERAGE)]]="","(IPP Belum Ada)",IF(Data_Assessment[[#This Row],[IPP (3 YEARS AVERAGE)]]&lt;2,'9 Grid'!$F$2,IF(Data_Assessment[[#This Row],[IPP (3 YEARS AVERAGE)]]&gt;=4,'9 Grid'!$D$2,'9 Grid'!$E$2))),"")</f>
        <v>Fully Competence Performance</v>
      </c>
      <c r="J105" s="146" t="str">
        <f ca="1">IFERROR(INDEX('9 Grid'!$D$4:$F$6,MATCH('Rekomendasi HAV'!H105,'9 Grid'!$B$4:$B$6,0),MATCH('Rekomendasi HAV'!I105,'9 Grid'!$D$2:$F$2,0)),"")</f>
        <v/>
      </c>
      <c r="K105" s="146" t="str">
        <f>IFERROR(INDEX('9 Grid'!$D$8:$F$8,1,MATCH('Rekomendasi HAV'!I105,'9 Grid'!$D$2:$F$2,0)),"")</f>
        <v>(ST) Within 12 - 18 month</v>
      </c>
      <c r="L105" s="146">
        <f>IF(ISNUMBER(SEARCH("EST",Assessment[[#This Row],[JOB TARGET]])),SUBSTITUTE(Assessment[[#This Row],[JOB TARGET]],"EST","DEV"),Assessment[[#This Row],[JOB TARGET]])</f>
        <v>0</v>
      </c>
      <c r="M105" s="146" t="str" cm="1">
        <f t="array" aca="1" ref="M105" ca="1">IF(Assessment[[#This Row],[JOB TARGET]]="","Job Target Kosong",IF(COUNT(IF('Data Assessment'!$N105:$Z105-OFFSET(Standar!$B$2,MATCH(Assessment[[#This Row],[JOB TARGET
(DEV)]],Standar[NAMA JABATAN],0)-1,1,1,13)&lt;0,1,""))&lt;=3,'9 Grid'!$B$4,IF(COUNT(IF('Data Assessment'!$N105:$Z105-OFFSET(Standar!$B$2,MATCH(Assessment[[#This Row],[JOB TARGET
(DEV)]],Standar[NAMA JABATAN],0)-1,1,1,13)&lt;0,1,""))&gt;=7,'9 Grid'!$B$6,'9 Grid'!$B$5)))</f>
        <v>Job Target Kosong</v>
      </c>
      <c r="N105" s="146" t="str">
        <f>IFERROR(IF(Data_Assessment[[#This Row],[IPP (3 YEARS AVERAGE)]]="","(IPP Belum Ada)",IF(Data_Assessment[[#This Row],[IPP (3 YEARS AVERAGE)]]&lt;2,'9 Grid'!$F$2,IF(Data_Assessment[[#This Row],[IPP (3 YEARS AVERAGE)]]&gt;=4,'9 Grid'!$D$2,'9 Grid'!$E$2))),"")</f>
        <v>Fully Competence Performance</v>
      </c>
      <c r="O105" s="146" t="str">
        <f ca="1">IFERROR(INDEX('9 Grid'!$D$4:$F$6,MATCH('Rekomendasi HAV'!M105,'9 Grid'!$B$4:$B$6,0),MATCH('Rekomendasi HAV'!N105,'9 Grid'!$D$2:$F$2,0)),"")</f>
        <v/>
      </c>
      <c r="P105" s="147" t="str">
        <f>IFERROR(INDEX('9 Grid'!$D$8:$F$8,1,MATCH('Rekomendasi HAV'!N105,'9 Grid'!$D$2:$F$2,0)),"")</f>
        <v>(ST) Within 12 - 18 month</v>
      </c>
    </row>
    <row r="106" spans="1:16" ht="28.5">
      <c r="A106" s="67">
        <v>105</v>
      </c>
      <c r="B106" s="68" t="str">
        <f>INDEX(Data_Assessment[],MATCH('Rekomendasi HAV'!$A106,Data_Assessment[[INDEX]:[INDEX]],0),MATCH('Rekomendasi HAV'!B$1,Data_Assessment[#Headers],0))</f>
        <v>Heri Susanto</v>
      </c>
      <c r="C106" s="68" t="str">
        <f>INDEX(Data_Assessment[],MATCH('Rekomendasi HAV'!$A106,Data_Assessment[[INDEX]:[INDEX]],0),MATCH('Rekomendasi HAV'!C$1,Data_Assessment[#Headers],0))</f>
        <v>Sumatera Selatan</v>
      </c>
      <c r="D106" s="68" t="str">
        <f>INDEX(Data_Assessment[],MATCH('Rekomendasi HAV'!$A106,Data_Assessment[[INDEX]:[INDEX]],0),MATCH('Rekomendasi HAV'!D$1,Data_Assessment[#Headers],0))</f>
        <v>LSIP - RO Palembang</v>
      </c>
      <c r="E106" s="68">
        <f>INDEX(Data_Assessment[],MATCH('Rekomendasi HAV'!$B106,Data_Assessment[[NAME]:[NAME]],0),MATCH('Rekomendasi HAV'!E$1,Data_Assessment[#Headers],0))</f>
        <v>0</v>
      </c>
      <c r="F106" s="68"/>
      <c r="G106" s="68">
        <f>IF(ISNUMBER(SEARCH("DEV",Assessment[[#This Row],[JOB TARGET]])),SUBSTITUTE(Assessment[[#This Row],[JOB TARGET]],"DEV","EST"),Assessment[[#This Row],[JOB TARGET]])</f>
        <v>0</v>
      </c>
      <c r="H106" s="146" t="str" cm="1">
        <f t="array" aca="1" ref="H106" ca="1">IF(Assessment[[#This Row],[JOB TARGET]]="","Job Target Kosong",IF(COUNT(IF('Data Assessment'!$N106:$Z106-OFFSET(Standar!$B$2,MATCH(Assessment[[#This Row],[JOB TARGET
(EST)]],Standar[NAMA JABATAN],0)-1,1,1,13)&lt;0,1,""))&lt;=3,'9 Grid'!$B$4,IF(COUNT(IF('Data Assessment'!$N106:$Z106-OFFSET(Standar!$B$2,MATCH(Assessment[[#This Row],[JOB TARGET]],Standar[NAMA JABATAN],0)-1,1,1,13)&lt;0,1,""))&gt;=7,'9 Grid'!$B$6,'9 Grid'!$B$5)))</f>
        <v>Job Target Kosong</v>
      </c>
      <c r="I106" s="146" t="str">
        <f>IFERROR(IF(Data_Assessment[[#This Row],[IPP (3 YEARS AVERAGE)]]="","(IPP Belum Ada)",IF(Data_Assessment[[#This Row],[IPP (3 YEARS AVERAGE)]]&lt;2,'9 Grid'!$F$2,IF(Data_Assessment[[#This Row],[IPP (3 YEARS AVERAGE)]]&gt;=4,'9 Grid'!$D$2,'9 Grid'!$E$2))),"")</f>
        <v>Contributor</v>
      </c>
      <c r="J106" s="146" t="str">
        <f ca="1">IFERROR(INDEX('9 Grid'!$D$4:$F$6,MATCH('Rekomendasi HAV'!H106,'9 Grid'!$B$4:$B$6,0),MATCH('Rekomendasi HAV'!I106,'9 Grid'!$D$2:$F$2,0)),"")</f>
        <v/>
      </c>
      <c r="K106" s="146" t="str">
        <f>IFERROR(INDEX('9 Grid'!$D$8:$F$8,1,MATCH('Rekomendasi HAV'!I106,'9 Grid'!$D$2:$F$2,0)),"")</f>
        <v>(LT) More 2 - 3 year</v>
      </c>
      <c r="L106" s="146">
        <f>IF(ISNUMBER(SEARCH("EST",Assessment[[#This Row],[JOB TARGET]])),SUBSTITUTE(Assessment[[#This Row],[JOB TARGET]],"EST","DEV"),Assessment[[#This Row],[JOB TARGET]])</f>
        <v>0</v>
      </c>
      <c r="M106" s="146" t="str" cm="1">
        <f t="array" aca="1" ref="M106" ca="1">IF(Assessment[[#This Row],[JOB TARGET]]="","Job Target Kosong",IF(COUNT(IF('Data Assessment'!$N106:$Z106-OFFSET(Standar!$B$2,MATCH(Assessment[[#This Row],[JOB TARGET
(DEV)]],Standar[NAMA JABATAN],0)-1,1,1,13)&lt;0,1,""))&lt;=3,'9 Grid'!$B$4,IF(COUNT(IF('Data Assessment'!$N106:$Z106-OFFSET(Standar!$B$2,MATCH(Assessment[[#This Row],[JOB TARGET
(DEV)]],Standar[NAMA JABATAN],0)-1,1,1,13)&lt;0,1,""))&gt;=7,'9 Grid'!$B$6,'9 Grid'!$B$5)))</f>
        <v>Job Target Kosong</v>
      </c>
      <c r="N106" s="146" t="str">
        <f>IFERROR(IF(Data_Assessment[[#This Row],[IPP (3 YEARS AVERAGE)]]="","(IPP Belum Ada)",IF(Data_Assessment[[#This Row],[IPP (3 YEARS AVERAGE)]]&lt;2,'9 Grid'!$F$2,IF(Data_Assessment[[#This Row],[IPP (3 YEARS AVERAGE)]]&gt;=4,'9 Grid'!$D$2,'9 Grid'!$E$2))),"")</f>
        <v>Contributor</v>
      </c>
      <c r="O106" s="146" t="str">
        <f ca="1">IFERROR(INDEX('9 Grid'!$D$4:$F$6,MATCH('Rekomendasi HAV'!M106,'9 Grid'!$B$4:$B$6,0),MATCH('Rekomendasi HAV'!N106,'9 Grid'!$D$2:$F$2,0)),"")</f>
        <v/>
      </c>
      <c r="P106" s="147" t="str">
        <f>IFERROR(INDEX('9 Grid'!$D$8:$F$8,1,MATCH('Rekomendasi HAV'!N106,'9 Grid'!$D$2:$F$2,0)),"")</f>
        <v>(LT) More 2 - 3 year</v>
      </c>
    </row>
    <row r="107" spans="1:16" ht="28.5">
      <c r="A107" s="67">
        <v>106</v>
      </c>
      <c r="B107" s="68" t="str">
        <f>INDEX(Data_Assessment[],MATCH('Rekomendasi HAV'!$A107,Data_Assessment[[INDEX]:[INDEX]],0),MATCH('Rekomendasi HAV'!B$1,Data_Assessment[#Headers],0))</f>
        <v>Muslim</v>
      </c>
      <c r="C107" s="68" t="str">
        <f>INDEX(Data_Assessment[],MATCH('Rekomendasi HAV'!$A107,Data_Assessment[[INDEX]:[INDEX]],0),MATCH('Rekomendasi HAV'!C$1,Data_Assessment[#Headers],0))</f>
        <v>Medan</v>
      </c>
      <c r="D107" s="68" t="str">
        <f>INDEX(Data_Assessment[],MATCH('Rekomendasi HAV'!$A107,Data_Assessment[[INDEX]:[INDEX]],0),MATCH('Rekomendasi HAV'!D$1,Data_Assessment[#Headers],0))</f>
        <v>LSIP - RO Medan</v>
      </c>
      <c r="E107" s="68">
        <f>INDEX(Data_Assessment[],MATCH('Rekomendasi HAV'!$B107,Data_Assessment[[NAME]:[NAME]],0),MATCH('Rekomendasi HAV'!E$1,Data_Assessment[#Headers],0))</f>
        <v>0</v>
      </c>
      <c r="F107" s="68"/>
      <c r="G107" s="68">
        <f>IF(ISNUMBER(SEARCH("DEV",Assessment[[#This Row],[JOB TARGET]])),SUBSTITUTE(Assessment[[#This Row],[JOB TARGET]],"DEV","EST"),Assessment[[#This Row],[JOB TARGET]])</f>
        <v>0</v>
      </c>
      <c r="H107" s="146" t="str" cm="1">
        <f t="array" aca="1" ref="H107" ca="1">IF(Assessment[[#This Row],[JOB TARGET]]="","Job Target Kosong",IF(COUNT(IF('Data Assessment'!$N107:$Z107-OFFSET(Standar!$B$2,MATCH(Assessment[[#This Row],[JOB TARGET
(EST)]],Standar[NAMA JABATAN],0)-1,1,1,13)&lt;0,1,""))&lt;=3,'9 Grid'!$B$4,IF(COUNT(IF('Data Assessment'!$N107:$Z107-OFFSET(Standar!$B$2,MATCH(Assessment[[#This Row],[JOB TARGET]],Standar[NAMA JABATAN],0)-1,1,1,13)&lt;0,1,""))&gt;=7,'9 Grid'!$B$6,'9 Grid'!$B$5)))</f>
        <v>Job Target Kosong</v>
      </c>
      <c r="I107" s="146" t="str">
        <f>IFERROR(IF(Data_Assessment[[#This Row],[IPP (3 YEARS AVERAGE)]]="","(IPP Belum Ada)",IF(Data_Assessment[[#This Row],[IPP (3 YEARS AVERAGE)]]&lt;2,'9 Grid'!$F$2,IF(Data_Assessment[[#This Row],[IPP (3 YEARS AVERAGE)]]&gt;=4,'9 Grid'!$D$2,'9 Grid'!$E$2))),"")</f>
        <v>Fully Competence Performance</v>
      </c>
      <c r="J107" s="146" t="str">
        <f ca="1">IFERROR(INDEX('9 Grid'!$D$4:$F$6,MATCH('Rekomendasi HAV'!H107,'9 Grid'!$B$4:$B$6,0),MATCH('Rekomendasi HAV'!I107,'9 Grid'!$D$2:$F$2,0)),"")</f>
        <v/>
      </c>
      <c r="K107" s="146" t="str">
        <f>IFERROR(INDEX('9 Grid'!$D$8:$F$8,1,MATCH('Rekomendasi HAV'!I107,'9 Grid'!$D$2:$F$2,0)),"")</f>
        <v>(ST) Within 12 - 18 month</v>
      </c>
      <c r="L107" s="146">
        <f>IF(ISNUMBER(SEARCH("EST",Assessment[[#This Row],[JOB TARGET]])),SUBSTITUTE(Assessment[[#This Row],[JOB TARGET]],"EST","DEV"),Assessment[[#This Row],[JOB TARGET]])</f>
        <v>0</v>
      </c>
      <c r="M107" s="146" t="str" cm="1">
        <f t="array" aca="1" ref="M107" ca="1">IF(Assessment[[#This Row],[JOB TARGET]]="","Job Target Kosong",IF(COUNT(IF('Data Assessment'!$N107:$Z107-OFFSET(Standar!$B$2,MATCH(Assessment[[#This Row],[JOB TARGET
(DEV)]],Standar[NAMA JABATAN],0)-1,1,1,13)&lt;0,1,""))&lt;=3,'9 Grid'!$B$4,IF(COUNT(IF('Data Assessment'!$N107:$Z107-OFFSET(Standar!$B$2,MATCH(Assessment[[#This Row],[JOB TARGET
(DEV)]],Standar[NAMA JABATAN],0)-1,1,1,13)&lt;0,1,""))&gt;=7,'9 Grid'!$B$6,'9 Grid'!$B$5)))</f>
        <v>Job Target Kosong</v>
      </c>
      <c r="N107" s="146" t="str">
        <f>IFERROR(IF(Data_Assessment[[#This Row],[IPP (3 YEARS AVERAGE)]]="","(IPP Belum Ada)",IF(Data_Assessment[[#This Row],[IPP (3 YEARS AVERAGE)]]&lt;2,'9 Grid'!$F$2,IF(Data_Assessment[[#This Row],[IPP (3 YEARS AVERAGE)]]&gt;=4,'9 Grid'!$D$2,'9 Grid'!$E$2))),"")</f>
        <v>Fully Competence Performance</v>
      </c>
      <c r="O107" s="146" t="str">
        <f ca="1">IFERROR(INDEX('9 Grid'!$D$4:$F$6,MATCH('Rekomendasi HAV'!M107,'9 Grid'!$B$4:$B$6,0),MATCH('Rekomendasi HAV'!N107,'9 Grid'!$D$2:$F$2,0)),"")</f>
        <v/>
      </c>
      <c r="P107" s="147" t="str">
        <f>IFERROR(INDEX('9 Grid'!$D$8:$F$8,1,MATCH('Rekomendasi HAV'!N107,'9 Grid'!$D$2:$F$2,0)),"")</f>
        <v>(ST) Within 12 - 18 month</v>
      </c>
    </row>
    <row r="108" spans="1:16" ht="28.5">
      <c r="A108" s="67">
        <v>107</v>
      </c>
      <c r="B108" s="68" t="str">
        <f>INDEX(Data_Assessment[],MATCH('Rekomendasi HAV'!$A108,Data_Assessment[[INDEX]:[INDEX]],0),MATCH('Rekomendasi HAV'!B$1,Data_Assessment[#Headers],0))</f>
        <v>Nadir Hakim</v>
      </c>
      <c r="C108" s="68" t="str">
        <f>INDEX(Data_Assessment[],MATCH('Rekomendasi HAV'!$A108,Data_Assessment[[INDEX]:[INDEX]],0),MATCH('Rekomendasi HAV'!C$1,Data_Assessment[#Headers],0))</f>
        <v>Jawa Barat</v>
      </c>
      <c r="D108" s="68" t="str">
        <f>INDEX(Data_Assessment[],MATCH('Rekomendasi HAV'!$A108,Data_Assessment[[INDEX]:[INDEX]],0),MATCH('Rekomendasi HAV'!D$1,Data_Assessment[#Headers],0))</f>
        <v>LSIP - HO Jakarta</v>
      </c>
      <c r="E108" s="68">
        <f>INDEX(Data_Assessment[],MATCH('Rekomendasi HAV'!$B108,Data_Assessment[[NAME]:[NAME]],0),MATCH('Rekomendasi HAV'!E$1,Data_Assessment[#Headers],0))</f>
        <v>0</v>
      </c>
      <c r="F108" s="68"/>
      <c r="G108" s="68">
        <f>IF(ISNUMBER(SEARCH("DEV",Assessment[[#This Row],[JOB TARGET]])),SUBSTITUTE(Assessment[[#This Row],[JOB TARGET]],"DEV","EST"),Assessment[[#This Row],[JOB TARGET]])</f>
        <v>0</v>
      </c>
      <c r="H108" s="146" t="str" cm="1">
        <f t="array" aca="1" ref="H108" ca="1">IF(Assessment[[#This Row],[JOB TARGET]]="","Job Target Kosong",IF(COUNT(IF('Data Assessment'!$N108:$Z108-OFFSET(Standar!$B$2,MATCH(Assessment[[#This Row],[JOB TARGET
(EST)]],Standar[NAMA JABATAN],0)-1,1,1,13)&lt;0,1,""))&lt;=3,'9 Grid'!$B$4,IF(COUNT(IF('Data Assessment'!$N108:$Z108-OFFSET(Standar!$B$2,MATCH(Assessment[[#This Row],[JOB TARGET]],Standar[NAMA JABATAN],0)-1,1,1,13)&lt;0,1,""))&gt;=7,'9 Grid'!$B$6,'9 Grid'!$B$5)))</f>
        <v>Job Target Kosong</v>
      </c>
      <c r="I108" s="146" t="str">
        <f>IFERROR(IF(Data_Assessment[[#This Row],[IPP (3 YEARS AVERAGE)]]="","(IPP Belum Ada)",IF(Data_Assessment[[#This Row],[IPP (3 YEARS AVERAGE)]]&lt;2,'9 Grid'!$F$2,IF(Data_Assessment[[#This Row],[IPP (3 YEARS AVERAGE)]]&gt;=4,'9 Grid'!$D$2,'9 Grid'!$E$2))),"")</f>
        <v>Fully Competence Performance</v>
      </c>
      <c r="J108" s="146" t="str">
        <f ca="1">IFERROR(INDEX('9 Grid'!$D$4:$F$6,MATCH('Rekomendasi HAV'!H108,'9 Grid'!$B$4:$B$6,0),MATCH('Rekomendasi HAV'!I108,'9 Grid'!$D$2:$F$2,0)),"")</f>
        <v/>
      </c>
      <c r="K108" s="146" t="str">
        <f>IFERROR(INDEX('9 Grid'!$D$8:$F$8,1,MATCH('Rekomendasi HAV'!I108,'9 Grid'!$D$2:$F$2,0)),"")</f>
        <v>(ST) Within 12 - 18 month</v>
      </c>
      <c r="L108" s="146">
        <f>IF(ISNUMBER(SEARCH("EST",Assessment[[#This Row],[JOB TARGET]])),SUBSTITUTE(Assessment[[#This Row],[JOB TARGET]],"EST","DEV"),Assessment[[#This Row],[JOB TARGET]])</f>
        <v>0</v>
      </c>
      <c r="M108" s="146" t="str" cm="1">
        <f t="array" aca="1" ref="M108" ca="1">IF(Assessment[[#This Row],[JOB TARGET]]="","Job Target Kosong",IF(COUNT(IF('Data Assessment'!$N108:$Z108-OFFSET(Standar!$B$2,MATCH(Assessment[[#This Row],[JOB TARGET
(DEV)]],Standar[NAMA JABATAN],0)-1,1,1,13)&lt;0,1,""))&lt;=3,'9 Grid'!$B$4,IF(COUNT(IF('Data Assessment'!$N108:$Z108-OFFSET(Standar!$B$2,MATCH(Assessment[[#This Row],[JOB TARGET
(DEV)]],Standar[NAMA JABATAN],0)-1,1,1,13)&lt;0,1,""))&gt;=7,'9 Grid'!$B$6,'9 Grid'!$B$5)))</f>
        <v>Job Target Kosong</v>
      </c>
      <c r="N108" s="146" t="str">
        <f>IFERROR(IF(Data_Assessment[[#This Row],[IPP (3 YEARS AVERAGE)]]="","(IPP Belum Ada)",IF(Data_Assessment[[#This Row],[IPP (3 YEARS AVERAGE)]]&lt;2,'9 Grid'!$F$2,IF(Data_Assessment[[#This Row],[IPP (3 YEARS AVERAGE)]]&gt;=4,'9 Grid'!$D$2,'9 Grid'!$E$2))),"")</f>
        <v>Fully Competence Performance</v>
      </c>
      <c r="O108" s="146" t="str">
        <f ca="1">IFERROR(INDEX('9 Grid'!$D$4:$F$6,MATCH('Rekomendasi HAV'!M108,'9 Grid'!$B$4:$B$6,0),MATCH('Rekomendasi HAV'!N108,'9 Grid'!$D$2:$F$2,0)),"")</f>
        <v/>
      </c>
      <c r="P108" s="147" t="str">
        <f>IFERROR(INDEX('9 Grid'!$D$8:$F$8,1,MATCH('Rekomendasi HAV'!N108,'9 Grid'!$D$2:$F$2,0)),"")</f>
        <v>(ST) Within 12 - 18 month</v>
      </c>
    </row>
    <row r="109" spans="1:16" ht="14.25">
      <c r="A109" s="67">
        <v>108</v>
      </c>
      <c r="B109" s="68" t="str">
        <f>INDEX(Data_Assessment[],MATCH('Rekomendasi HAV'!$A109,Data_Assessment[[INDEX]:[INDEX]],0),MATCH('Rekomendasi HAV'!B$1,Data_Assessment[#Headers],0))</f>
        <v>Rahmadanil</v>
      </c>
      <c r="C109" s="68" t="str">
        <f>INDEX(Data_Assessment[],MATCH('Rekomendasi HAV'!$A109,Data_Assessment[[INDEX]:[INDEX]],0),MATCH('Rekomendasi HAV'!C$1,Data_Assessment[#Headers],0))</f>
        <v>Medan</v>
      </c>
      <c r="D109" s="68" t="str">
        <f>INDEX(Data_Assessment[],MATCH('Rekomendasi HAV'!$A109,Data_Assessment[[INDEX]:[INDEX]],0),MATCH('Rekomendasi HAV'!D$1,Data_Assessment[#Headers],0))</f>
        <v>LSIP - RO Medan</v>
      </c>
      <c r="E109" s="68">
        <f>INDEX(Data_Assessment[],MATCH('Rekomendasi HAV'!$B109,Data_Assessment[[NAME]:[NAME]],0),MATCH('Rekomendasi HAV'!E$1,Data_Assessment[#Headers],0))</f>
        <v>0</v>
      </c>
      <c r="F109" s="68"/>
      <c r="G109" s="68">
        <f>IF(ISNUMBER(SEARCH("DEV",Assessment[[#This Row],[JOB TARGET]])),SUBSTITUTE(Assessment[[#This Row],[JOB TARGET]],"DEV","EST"),Assessment[[#This Row],[JOB TARGET]])</f>
        <v>0</v>
      </c>
      <c r="H109" s="146" t="str" cm="1">
        <f t="array" aca="1" ref="H109" ca="1">IF(Assessment[[#This Row],[JOB TARGET]]="","Job Target Kosong",IF(COUNT(IF('Data Assessment'!$N109:$Z109-OFFSET(Standar!$B$2,MATCH(Assessment[[#This Row],[JOB TARGET
(EST)]],Standar[NAMA JABATAN],0)-1,1,1,13)&lt;0,1,""))&lt;=3,'9 Grid'!$B$4,IF(COUNT(IF('Data Assessment'!$N109:$Z109-OFFSET(Standar!$B$2,MATCH(Assessment[[#This Row],[JOB TARGET]],Standar[NAMA JABATAN],0)-1,1,1,13)&lt;0,1,""))&gt;=7,'9 Grid'!$B$6,'9 Grid'!$B$5)))</f>
        <v>Job Target Kosong</v>
      </c>
      <c r="I109" s="146" t="str">
        <f>IFERROR(IF(Data_Assessment[[#This Row],[IPP (3 YEARS AVERAGE)]]="","(IPP Belum Ada)",IF(Data_Assessment[[#This Row],[IPP (3 YEARS AVERAGE)]]&lt;2,'9 Grid'!$F$2,IF(Data_Assessment[[#This Row],[IPP (3 YEARS AVERAGE)]]&gt;=4,'9 Grid'!$D$2,'9 Grid'!$E$2))),"")</f>
        <v>Exceptional Performance</v>
      </c>
      <c r="J109" s="146" t="str">
        <f ca="1">IFERROR(INDEX('9 Grid'!$D$4:$F$6,MATCH('Rekomendasi HAV'!H109,'9 Grid'!$B$4:$B$6,0),MATCH('Rekomendasi HAV'!I109,'9 Grid'!$D$2:$F$2,0)),"")</f>
        <v/>
      </c>
      <c r="K109" s="146" t="str">
        <f>IFERROR(INDEX('9 Grid'!$D$8:$F$8,1,MATCH('Rekomendasi HAV'!I109,'9 Grid'!$D$2:$F$2,0)),"")</f>
        <v>(I) Immediately</v>
      </c>
      <c r="L109" s="146">
        <f>IF(ISNUMBER(SEARCH("EST",Assessment[[#This Row],[JOB TARGET]])),SUBSTITUTE(Assessment[[#This Row],[JOB TARGET]],"EST","DEV"),Assessment[[#This Row],[JOB TARGET]])</f>
        <v>0</v>
      </c>
      <c r="M109" s="146" t="str" cm="1">
        <f t="array" aca="1" ref="M109" ca="1">IF(Assessment[[#This Row],[JOB TARGET]]="","Job Target Kosong",IF(COUNT(IF('Data Assessment'!$N109:$Z109-OFFSET(Standar!$B$2,MATCH(Assessment[[#This Row],[JOB TARGET
(DEV)]],Standar[NAMA JABATAN],0)-1,1,1,13)&lt;0,1,""))&lt;=3,'9 Grid'!$B$4,IF(COUNT(IF('Data Assessment'!$N109:$Z109-OFFSET(Standar!$B$2,MATCH(Assessment[[#This Row],[JOB TARGET
(DEV)]],Standar[NAMA JABATAN],0)-1,1,1,13)&lt;0,1,""))&gt;=7,'9 Grid'!$B$6,'9 Grid'!$B$5)))</f>
        <v>Job Target Kosong</v>
      </c>
      <c r="N109" s="146" t="str">
        <f>IFERROR(IF(Data_Assessment[[#This Row],[IPP (3 YEARS AVERAGE)]]="","(IPP Belum Ada)",IF(Data_Assessment[[#This Row],[IPP (3 YEARS AVERAGE)]]&lt;2,'9 Grid'!$F$2,IF(Data_Assessment[[#This Row],[IPP (3 YEARS AVERAGE)]]&gt;=4,'9 Grid'!$D$2,'9 Grid'!$E$2))),"")</f>
        <v>Exceptional Performance</v>
      </c>
      <c r="O109" s="146" t="str">
        <f ca="1">IFERROR(INDEX('9 Grid'!$D$4:$F$6,MATCH('Rekomendasi HAV'!M109,'9 Grid'!$B$4:$B$6,0),MATCH('Rekomendasi HAV'!N109,'9 Grid'!$D$2:$F$2,0)),"")</f>
        <v/>
      </c>
      <c r="P109" s="147" t="str">
        <f>IFERROR(INDEX('9 Grid'!$D$8:$F$8,1,MATCH('Rekomendasi HAV'!N109,'9 Grid'!$D$2:$F$2,0)),"")</f>
        <v>(I) Immediately</v>
      </c>
    </row>
    <row r="110" spans="1:16" ht="28.5">
      <c r="A110" s="67">
        <v>109</v>
      </c>
      <c r="B110" s="68" t="str">
        <f>INDEX(Data_Assessment[],MATCH('Rekomendasi HAV'!$A110,Data_Assessment[[INDEX]:[INDEX]],0),MATCH('Rekomendasi HAV'!B$1,Data_Assessment[#Headers],0))</f>
        <v>Mahmuddin</v>
      </c>
      <c r="C110" s="68" t="str">
        <f>INDEX(Data_Assessment[],MATCH('Rekomendasi HAV'!$A110,Data_Assessment[[INDEX]:[INDEX]],0),MATCH('Rekomendasi HAV'!C$1,Data_Assessment[#Headers],0))</f>
        <v>Sumatera Selatan</v>
      </c>
      <c r="D110" s="68" t="str">
        <f>INDEX(Data_Assessment[],MATCH('Rekomendasi HAV'!$A110,Data_Assessment[[INDEX]:[INDEX]],0),MATCH('Rekomendasi HAV'!D$1,Data_Assessment[#Headers],0))</f>
        <v>LSIP - RO Palembang</v>
      </c>
      <c r="E110" s="68">
        <f>INDEX(Data_Assessment[],MATCH('Rekomendasi HAV'!$B110,Data_Assessment[[NAME]:[NAME]],0),MATCH('Rekomendasi HAV'!E$1,Data_Assessment[#Headers],0))</f>
        <v>0</v>
      </c>
      <c r="F110" s="68"/>
      <c r="G110" s="68">
        <f>IF(ISNUMBER(SEARCH("DEV",Assessment[[#This Row],[JOB TARGET]])),SUBSTITUTE(Assessment[[#This Row],[JOB TARGET]],"DEV","EST"),Assessment[[#This Row],[JOB TARGET]])</f>
        <v>0</v>
      </c>
      <c r="H110" s="146" t="str" cm="1">
        <f t="array" aca="1" ref="H110" ca="1">IF(Assessment[[#This Row],[JOB TARGET]]="","Job Target Kosong",IF(COUNT(IF('Data Assessment'!$N110:$Z110-OFFSET(Standar!$B$2,MATCH(Assessment[[#This Row],[JOB TARGET
(EST)]],Standar[NAMA JABATAN],0)-1,1,1,13)&lt;0,1,""))&lt;=3,'9 Grid'!$B$4,IF(COUNT(IF('Data Assessment'!$N110:$Z110-OFFSET(Standar!$B$2,MATCH(Assessment[[#This Row],[JOB TARGET]],Standar[NAMA JABATAN],0)-1,1,1,13)&lt;0,1,""))&gt;=7,'9 Grid'!$B$6,'9 Grid'!$B$5)))</f>
        <v>Job Target Kosong</v>
      </c>
      <c r="I110" s="146" t="str">
        <f>IFERROR(IF(Data_Assessment[[#This Row],[IPP (3 YEARS AVERAGE)]]="","(IPP Belum Ada)",IF(Data_Assessment[[#This Row],[IPP (3 YEARS AVERAGE)]]&lt;2,'9 Grid'!$F$2,IF(Data_Assessment[[#This Row],[IPP (3 YEARS AVERAGE)]]&gt;=4,'9 Grid'!$D$2,'9 Grid'!$E$2))),"")</f>
        <v>Contributor</v>
      </c>
      <c r="J110" s="146" t="str">
        <f ca="1">IFERROR(INDEX('9 Grid'!$D$4:$F$6,MATCH('Rekomendasi HAV'!H110,'9 Grid'!$B$4:$B$6,0),MATCH('Rekomendasi HAV'!I110,'9 Grid'!$D$2:$F$2,0)),"")</f>
        <v/>
      </c>
      <c r="K110" s="146" t="str">
        <f>IFERROR(INDEX('9 Grid'!$D$8:$F$8,1,MATCH('Rekomendasi HAV'!I110,'9 Grid'!$D$2:$F$2,0)),"")</f>
        <v>(LT) More 2 - 3 year</v>
      </c>
      <c r="L110" s="146">
        <f>IF(ISNUMBER(SEARCH("EST",Assessment[[#This Row],[JOB TARGET]])),SUBSTITUTE(Assessment[[#This Row],[JOB TARGET]],"EST","DEV"),Assessment[[#This Row],[JOB TARGET]])</f>
        <v>0</v>
      </c>
      <c r="M110" s="146" t="str" cm="1">
        <f t="array" aca="1" ref="M110" ca="1">IF(Assessment[[#This Row],[JOB TARGET]]="","Job Target Kosong",IF(COUNT(IF('Data Assessment'!$N110:$Z110-OFFSET(Standar!$B$2,MATCH(Assessment[[#This Row],[JOB TARGET
(DEV)]],Standar[NAMA JABATAN],0)-1,1,1,13)&lt;0,1,""))&lt;=3,'9 Grid'!$B$4,IF(COUNT(IF('Data Assessment'!$N110:$Z110-OFFSET(Standar!$B$2,MATCH(Assessment[[#This Row],[JOB TARGET
(DEV)]],Standar[NAMA JABATAN],0)-1,1,1,13)&lt;0,1,""))&gt;=7,'9 Grid'!$B$6,'9 Grid'!$B$5)))</f>
        <v>Job Target Kosong</v>
      </c>
      <c r="N110" s="146" t="str">
        <f>IFERROR(IF(Data_Assessment[[#This Row],[IPP (3 YEARS AVERAGE)]]="","(IPP Belum Ada)",IF(Data_Assessment[[#This Row],[IPP (3 YEARS AVERAGE)]]&lt;2,'9 Grid'!$F$2,IF(Data_Assessment[[#This Row],[IPP (3 YEARS AVERAGE)]]&gt;=4,'9 Grid'!$D$2,'9 Grid'!$E$2))),"")</f>
        <v>Contributor</v>
      </c>
      <c r="O110" s="146" t="str">
        <f ca="1">IFERROR(INDEX('9 Grid'!$D$4:$F$6,MATCH('Rekomendasi HAV'!M110,'9 Grid'!$B$4:$B$6,0),MATCH('Rekomendasi HAV'!N110,'9 Grid'!$D$2:$F$2,0)),"")</f>
        <v/>
      </c>
      <c r="P110" s="147" t="str">
        <f>IFERROR(INDEX('9 Grid'!$D$8:$F$8,1,MATCH('Rekomendasi HAV'!N110,'9 Grid'!$D$2:$F$2,0)),"")</f>
        <v>(LT) More 2 - 3 year</v>
      </c>
    </row>
    <row r="111" spans="1:16" ht="14.25">
      <c r="A111" s="67">
        <v>110</v>
      </c>
      <c r="B111" s="68" t="str">
        <f>INDEX(Data_Assessment[],MATCH('Rekomendasi HAV'!$A111,Data_Assessment[[INDEX]:[INDEX]],0),MATCH('Rekomendasi HAV'!B$1,Data_Assessment[#Headers],0))</f>
        <v>Deva Anggraini</v>
      </c>
      <c r="C111" s="68" t="str">
        <f>INDEX(Data_Assessment[],MATCH('Rekomendasi HAV'!$A111,Data_Assessment[[INDEX]:[INDEX]],0),MATCH('Rekomendasi HAV'!C$1,Data_Assessment[#Headers],0))</f>
        <v>Medan</v>
      </c>
      <c r="D111" s="68" t="str">
        <f>INDEX(Data_Assessment[],MATCH('Rekomendasi HAV'!$A111,Data_Assessment[[INDEX]:[INDEX]],0),MATCH('Rekomendasi HAV'!D$1,Data_Assessment[#Headers],0))</f>
        <v>LSIP - RO Medan</v>
      </c>
      <c r="E111" s="68">
        <f>INDEX(Data_Assessment[],MATCH('Rekomendasi HAV'!$B111,Data_Assessment[[NAME]:[NAME]],0),MATCH('Rekomendasi HAV'!E$1,Data_Assessment[#Headers],0))</f>
        <v>0</v>
      </c>
      <c r="F111" s="68"/>
      <c r="G111" s="68">
        <f>IF(ISNUMBER(SEARCH("DEV",Assessment[[#This Row],[JOB TARGET]])),SUBSTITUTE(Assessment[[#This Row],[JOB TARGET]],"DEV","EST"),Assessment[[#This Row],[JOB TARGET]])</f>
        <v>0</v>
      </c>
      <c r="H111" s="146" t="str" cm="1">
        <f t="array" aca="1" ref="H111" ca="1">IF(Assessment[[#This Row],[JOB TARGET]]="","Job Target Kosong",IF(COUNT(IF('Data Assessment'!$N111:$Z111-OFFSET(Standar!$B$2,MATCH(Assessment[[#This Row],[JOB TARGET
(EST)]],Standar[NAMA JABATAN],0)-1,1,1,13)&lt;0,1,""))&lt;=3,'9 Grid'!$B$4,IF(COUNT(IF('Data Assessment'!$N111:$Z111-OFFSET(Standar!$B$2,MATCH(Assessment[[#This Row],[JOB TARGET]],Standar[NAMA JABATAN],0)-1,1,1,13)&lt;0,1,""))&gt;=7,'9 Grid'!$B$6,'9 Grid'!$B$5)))</f>
        <v>Job Target Kosong</v>
      </c>
      <c r="I111" s="146" t="str">
        <f>IFERROR(IF(Data_Assessment[[#This Row],[IPP (3 YEARS AVERAGE)]]="","(IPP Belum Ada)",IF(Data_Assessment[[#This Row],[IPP (3 YEARS AVERAGE)]]&lt;2,'9 Grid'!$F$2,IF(Data_Assessment[[#This Row],[IPP (3 YEARS AVERAGE)]]&gt;=4,'9 Grid'!$D$2,'9 Grid'!$E$2))),"")</f>
        <v>Exceptional Performance</v>
      </c>
      <c r="J111" s="146" t="str">
        <f ca="1">IFERROR(INDEX('9 Grid'!$D$4:$F$6,MATCH('Rekomendasi HAV'!H111,'9 Grid'!$B$4:$B$6,0),MATCH('Rekomendasi HAV'!I111,'9 Grid'!$D$2:$F$2,0)),"")</f>
        <v/>
      </c>
      <c r="K111" s="146" t="str">
        <f>IFERROR(INDEX('9 Grid'!$D$8:$F$8,1,MATCH('Rekomendasi HAV'!I111,'9 Grid'!$D$2:$F$2,0)),"")</f>
        <v>(I) Immediately</v>
      </c>
      <c r="L111" s="146">
        <f>IF(ISNUMBER(SEARCH("EST",Assessment[[#This Row],[JOB TARGET]])),SUBSTITUTE(Assessment[[#This Row],[JOB TARGET]],"EST","DEV"),Assessment[[#This Row],[JOB TARGET]])</f>
        <v>0</v>
      </c>
      <c r="M111" s="146" t="str" cm="1">
        <f t="array" aca="1" ref="M111" ca="1">IF(Assessment[[#This Row],[JOB TARGET]]="","Job Target Kosong",IF(COUNT(IF('Data Assessment'!$N111:$Z111-OFFSET(Standar!$B$2,MATCH(Assessment[[#This Row],[JOB TARGET
(DEV)]],Standar[NAMA JABATAN],0)-1,1,1,13)&lt;0,1,""))&lt;=3,'9 Grid'!$B$4,IF(COUNT(IF('Data Assessment'!$N111:$Z111-OFFSET(Standar!$B$2,MATCH(Assessment[[#This Row],[JOB TARGET
(DEV)]],Standar[NAMA JABATAN],0)-1,1,1,13)&lt;0,1,""))&gt;=7,'9 Grid'!$B$6,'9 Grid'!$B$5)))</f>
        <v>Job Target Kosong</v>
      </c>
      <c r="N111" s="146" t="str">
        <f>IFERROR(IF(Data_Assessment[[#This Row],[IPP (3 YEARS AVERAGE)]]="","(IPP Belum Ada)",IF(Data_Assessment[[#This Row],[IPP (3 YEARS AVERAGE)]]&lt;2,'9 Grid'!$F$2,IF(Data_Assessment[[#This Row],[IPP (3 YEARS AVERAGE)]]&gt;=4,'9 Grid'!$D$2,'9 Grid'!$E$2))),"")</f>
        <v>Exceptional Performance</v>
      </c>
      <c r="O111" s="146" t="str">
        <f ca="1">IFERROR(INDEX('9 Grid'!$D$4:$F$6,MATCH('Rekomendasi HAV'!M111,'9 Grid'!$B$4:$B$6,0),MATCH('Rekomendasi HAV'!N111,'9 Grid'!$D$2:$F$2,0)),"")</f>
        <v/>
      </c>
      <c r="P111" s="147" t="str">
        <f>IFERROR(INDEX('9 Grid'!$D$8:$F$8,1,MATCH('Rekomendasi HAV'!N111,'9 Grid'!$D$2:$F$2,0)),"")</f>
        <v>(I) Immediately</v>
      </c>
    </row>
    <row r="112" spans="1:16" ht="28.5">
      <c r="A112" s="67">
        <v>111</v>
      </c>
      <c r="B112" s="68" t="str">
        <f>INDEX(Data_Assessment[],MATCH('Rekomendasi HAV'!$A112,Data_Assessment[[INDEX]:[INDEX]],0),MATCH('Rekomendasi HAV'!B$1,Data_Assessment[#Headers],0))</f>
        <v>Baginda Siregar</v>
      </c>
      <c r="C112" s="68" t="str">
        <f>INDEX(Data_Assessment[],MATCH('Rekomendasi HAV'!$A112,Data_Assessment[[INDEX]:[INDEX]],0),MATCH('Rekomendasi HAV'!C$1,Data_Assessment[#Headers],0))</f>
        <v>Sumatera Selatan</v>
      </c>
      <c r="D112" s="68" t="str">
        <f>INDEX(Data_Assessment[],MATCH('Rekomendasi HAV'!$A112,Data_Assessment[[INDEX]:[INDEX]],0),MATCH('Rekomendasi HAV'!D$1,Data_Assessment[#Headers],0))</f>
        <v>LSIP - RO Palembang</v>
      </c>
      <c r="E112" s="68">
        <f>INDEX(Data_Assessment[],MATCH('Rekomendasi HAV'!$B112,Data_Assessment[[NAME]:[NAME]],0),MATCH('Rekomendasi HAV'!E$1,Data_Assessment[#Headers],0))</f>
        <v>0</v>
      </c>
      <c r="F112" s="68"/>
      <c r="G112" s="68">
        <f>IF(ISNUMBER(SEARCH("DEV",Assessment[[#This Row],[JOB TARGET]])),SUBSTITUTE(Assessment[[#This Row],[JOB TARGET]],"DEV","EST"),Assessment[[#This Row],[JOB TARGET]])</f>
        <v>0</v>
      </c>
      <c r="H112" s="146" t="str" cm="1">
        <f t="array" aca="1" ref="H112" ca="1">IF(Assessment[[#This Row],[JOB TARGET]]="","Job Target Kosong",IF(COUNT(IF('Data Assessment'!$N112:$Z112-OFFSET(Standar!$B$2,MATCH(Assessment[[#This Row],[JOB TARGET
(EST)]],Standar[NAMA JABATAN],0)-1,1,1,13)&lt;0,1,""))&lt;=3,'9 Grid'!$B$4,IF(COUNT(IF('Data Assessment'!$N112:$Z112-OFFSET(Standar!$B$2,MATCH(Assessment[[#This Row],[JOB TARGET]],Standar[NAMA JABATAN],0)-1,1,1,13)&lt;0,1,""))&gt;=7,'9 Grid'!$B$6,'9 Grid'!$B$5)))</f>
        <v>Job Target Kosong</v>
      </c>
      <c r="I112" s="146" t="str">
        <f>IFERROR(IF(Data_Assessment[[#This Row],[IPP (3 YEARS AVERAGE)]]="","(IPP Belum Ada)",IF(Data_Assessment[[#This Row],[IPP (3 YEARS AVERAGE)]]&lt;2,'9 Grid'!$F$2,IF(Data_Assessment[[#This Row],[IPP (3 YEARS AVERAGE)]]&gt;=4,'9 Grid'!$D$2,'9 Grid'!$E$2))),"")</f>
        <v>Contributor</v>
      </c>
      <c r="J112" s="146" t="str">
        <f ca="1">IFERROR(INDEX('9 Grid'!$D$4:$F$6,MATCH('Rekomendasi HAV'!H112,'9 Grid'!$B$4:$B$6,0),MATCH('Rekomendasi HAV'!I112,'9 Grid'!$D$2:$F$2,0)),"")</f>
        <v/>
      </c>
      <c r="K112" s="146" t="str">
        <f>IFERROR(INDEX('9 Grid'!$D$8:$F$8,1,MATCH('Rekomendasi HAV'!I112,'9 Grid'!$D$2:$F$2,0)),"")</f>
        <v>(LT) More 2 - 3 year</v>
      </c>
      <c r="L112" s="146">
        <f>IF(ISNUMBER(SEARCH("EST",Assessment[[#This Row],[JOB TARGET]])),SUBSTITUTE(Assessment[[#This Row],[JOB TARGET]],"EST","DEV"),Assessment[[#This Row],[JOB TARGET]])</f>
        <v>0</v>
      </c>
      <c r="M112" s="146" t="str" cm="1">
        <f t="array" aca="1" ref="M112" ca="1">IF(Assessment[[#This Row],[JOB TARGET]]="","Job Target Kosong",IF(COUNT(IF('Data Assessment'!$N112:$Z112-OFFSET(Standar!$B$2,MATCH(Assessment[[#This Row],[JOB TARGET
(DEV)]],Standar[NAMA JABATAN],0)-1,1,1,13)&lt;0,1,""))&lt;=3,'9 Grid'!$B$4,IF(COUNT(IF('Data Assessment'!$N112:$Z112-OFFSET(Standar!$B$2,MATCH(Assessment[[#This Row],[JOB TARGET
(DEV)]],Standar[NAMA JABATAN],0)-1,1,1,13)&lt;0,1,""))&gt;=7,'9 Grid'!$B$6,'9 Grid'!$B$5)))</f>
        <v>Job Target Kosong</v>
      </c>
      <c r="N112" s="146" t="str">
        <f>IFERROR(IF(Data_Assessment[[#This Row],[IPP (3 YEARS AVERAGE)]]="","(IPP Belum Ada)",IF(Data_Assessment[[#This Row],[IPP (3 YEARS AVERAGE)]]&lt;2,'9 Grid'!$F$2,IF(Data_Assessment[[#This Row],[IPP (3 YEARS AVERAGE)]]&gt;=4,'9 Grid'!$D$2,'9 Grid'!$E$2))),"")</f>
        <v>Contributor</v>
      </c>
      <c r="O112" s="146" t="str">
        <f ca="1">IFERROR(INDEX('9 Grid'!$D$4:$F$6,MATCH('Rekomendasi HAV'!M112,'9 Grid'!$B$4:$B$6,0),MATCH('Rekomendasi HAV'!N112,'9 Grid'!$D$2:$F$2,0)),"")</f>
        <v/>
      </c>
      <c r="P112" s="147" t="str">
        <f>IFERROR(INDEX('9 Grid'!$D$8:$F$8,1,MATCH('Rekomendasi HAV'!N112,'9 Grid'!$D$2:$F$2,0)),"")</f>
        <v>(LT) More 2 - 3 year</v>
      </c>
    </row>
    <row r="113" spans="1:16" ht="28.5">
      <c r="A113" s="67">
        <v>112</v>
      </c>
      <c r="B113" s="68" t="str">
        <f>INDEX(Data_Assessment[],MATCH('Rekomendasi HAV'!$A113,Data_Assessment[[INDEX]:[INDEX]],0),MATCH('Rekomendasi HAV'!B$1,Data_Assessment[#Headers],0))</f>
        <v>Ilyas Supriyanto</v>
      </c>
      <c r="C113" s="68" t="str">
        <f>INDEX(Data_Assessment[],MATCH('Rekomendasi HAV'!$A113,Data_Assessment[[INDEX]:[INDEX]],0),MATCH('Rekomendasi HAV'!C$1,Data_Assessment[#Headers],0))</f>
        <v>Medan</v>
      </c>
      <c r="D113" s="68" t="str">
        <f>INDEX(Data_Assessment[],MATCH('Rekomendasi HAV'!$A113,Data_Assessment[[INDEX]:[INDEX]],0),MATCH('Rekomendasi HAV'!D$1,Data_Assessment[#Headers],0))</f>
        <v>LSIP - RO Medan</v>
      </c>
      <c r="E113" s="68">
        <f>INDEX(Data_Assessment[],MATCH('Rekomendasi HAV'!$B113,Data_Assessment[[NAME]:[NAME]],0),MATCH('Rekomendasi HAV'!E$1,Data_Assessment[#Headers],0))</f>
        <v>0</v>
      </c>
      <c r="F113" s="68"/>
      <c r="G113" s="68">
        <f>IF(ISNUMBER(SEARCH("DEV",Assessment[[#This Row],[JOB TARGET]])),SUBSTITUTE(Assessment[[#This Row],[JOB TARGET]],"DEV","EST"),Assessment[[#This Row],[JOB TARGET]])</f>
        <v>0</v>
      </c>
      <c r="H113" s="146" t="str" cm="1">
        <f t="array" aca="1" ref="H113" ca="1">IF(Assessment[[#This Row],[JOB TARGET]]="","Job Target Kosong",IF(COUNT(IF('Data Assessment'!$N113:$Z113-OFFSET(Standar!$B$2,MATCH(Assessment[[#This Row],[JOB TARGET
(EST)]],Standar[NAMA JABATAN],0)-1,1,1,13)&lt;0,1,""))&lt;=3,'9 Grid'!$B$4,IF(COUNT(IF('Data Assessment'!$N113:$Z113-OFFSET(Standar!$B$2,MATCH(Assessment[[#This Row],[JOB TARGET]],Standar[NAMA JABATAN],0)-1,1,1,13)&lt;0,1,""))&gt;=7,'9 Grid'!$B$6,'9 Grid'!$B$5)))</f>
        <v>Job Target Kosong</v>
      </c>
      <c r="I113" s="146" t="str">
        <f>IFERROR(IF(Data_Assessment[[#This Row],[IPP (3 YEARS AVERAGE)]]="","(IPP Belum Ada)",IF(Data_Assessment[[#This Row],[IPP (3 YEARS AVERAGE)]]&lt;2,'9 Grid'!$F$2,IF(Data_Assessment[[#This Row],[IPP (3 YEARS AVERAGE)]]&gt;=4,'9 Grid'!$D$2,'9 Grid'!$E$2))),"")</f>
        <v>Fully Competence Performance</v>
      </c>
      <c r="J113" s="146" t="str">
        <f ca="1">IFERROR(INDEX('9 Grid'!$D$4:$F$6,MATCH('Rekomendasi HAV'!H113,'9 Grid'!$B$4:$B$6,0),MATCH('Rekomendasi HAV'!I113,'9 Grid'!$D$2:$F$2,0)),"")</f>
        <v/>
      </c>
      <c r="K113" s="146" t="str">
        <f>IFERROR(INDEX('9 Grid'!$D$8:$F$8,1,MATCH('Rekomendasi HAV'!I113,'9 Grid'!$D$2:$F$2,0)),"")</f>
        <v>(ST) Within 12 - 18 month</v>
      </c>
      <c r="L113" s="146">
        <f>IF(ISNUMBER(SEARCH("EST",Assessment[[#This Row],[JOB TARGET]])),SUBSTITUTE(Assessment[[#This Row],[JOB TARGET]],"EST","DEV"),Assessment[[#This Row],[JOB TARGET]])</f>
        <v>0</v>
      </c>
      <c r="M113" s="146" t="str" cm="1">
        <f t="array" aca="1" ref="M113" ca="1">IF(Assessment[[#This Row],[JOB TARGET]]="","Job Target Kosong",IF(COUNT(IF('Data Assessment'!$N113:$Z113-OFFSET(Standar!$B$2,MATCH(Assessment[[#This Row],[JOB TARGET
(DEV)]],Standar[NAMA JABATAN],0)-1,1,1,13)&lt;0,1,""))&lt;=3,'9 Grid'!$B$4,IF(COUNT(IF('Data Assessment'!$N113:$Z113-OFFSET(Standar!$B$2,MATCH(Assessment[[#This Row],[JOB TARGET
(DEV)]],Standar[NAMA JABATAN],0)-1,1,1,13)&lt;0,1,""))&gt;=7,'9 Grid'!$B$6,'9 Grid'!$B$5)))</f>
        <v>Job Target Kosong</v>
      </c>
      <c r="N113" s="146" t="str">
        <f>IFERROR(IF(Data_Assessment[[#This Row],[IPP (3 YEARS AVERAGE)]]="","(IPP Belum Ada)",IF(Data_Assessment[[#This Row],[IPP (3 YEARS AVERAGE)]]&lt;2,'9 Grid'!$F$2,IF(Data_Assessment[[#This Row],[IPP (3 YEARS AVERAGE)]]&gt;=4,'9 Grid'!$D$2,'9 Grid'!$E$2))),"")</f>
        <v>Fully Competence Performance</v>
      </c>
      <c r="O113" s="146" t="str">
        <f ca="1">IFERROR(INDEX('9 Grid'!$D$4:$F$6,MATCH('Rekomendasi HAV'!M113,'9 Grid'!$B$4:$B$6,0),MATCH('Rekomendasi HAV'!N113,'9 Grid'!$D$2:$F$2,0)),"")</f>
        <v/>
      </c>
      <c r="P113" s="147" t="str">
        <f>IFERROR(INDEX('9 Grid'!$D$8:$F$8,1,MATCH('Rekomendasi HAV'!N113,'9 Grid'!$D$2:$F$2,0)),"")</f>
        <v>(ST) Within 12 - 18 month</v>
      </c>
    </row>
    <row r="114" spans="1:16" ht="28.5">
      <c r="A114" s="67">
        <v>113</v>
      </c>
      <c r="B114" s="68" t="str">
        <f>INDEX(Data_Assessment[],MATCH('Rekomendasi HAV'!$A114,Data_Assessment[[INDEX]:[INDEX]],0),MATCH('Rekomendasi HAV'!B$1,Data_Assessment[#Headers],0))</f>
        <v>Samsidin</v>
      </c>
      <c r="C114" s="68" t="str">
        <f>INDEX(Data_Assessment[],MATCH('Rekomendasi HAV'!$A114,Data_Assessment[[INDEX]:[INDEX]],0),MATCH('Rekomendasi HAV'!C$1,Data_Assessment[#Headers],0))</f>
        <v>Sumatera Selatan</v>
      </c>
      <c r="D114" s="68" t="str">
        <f>INDEX(Data_Assessment[],MATCH('Rekomendasi HAV'!$A114,Data_Assessment[[INDEX]:[INDEX]],0),MATCH('Rekomendasi HAV'!D$1,Data_Assessment[#Headers],0))</f>
        <v>LSIP - RO Palembang</v>
      </c>
      <c r="E114" s="68">
        <f>INDEX(Data_Assessment[],MATCH('Rekomendasi HAV'!$B114,Data_Assessment[[NAME]:[NAME]],0),MATCH('Rekomendasi HAV'!E$1,Data_Assessment[#Headers],0))</f>
        <v>0</v>
      </c>
      <c r="F114" s="68"/>
      <c r="G114" s="68">
        <f>IF(ISNUMBER(SEARCH("DEV",Assessment[[#This Row],[JOB TARGET]])),SUBSTITUTE(Assessment[[#This Row],[JOB TARGET]],"DEV","EST"),Assessment[[#This Row],[JOB TARGET]])</f>
        <v>0</v>
      </c>
      <c r="H114" s="146" t="str" cm="1">
        <f t="array" aca="1" ref="H114" ca="1">IF(Assessment[[#This Row],[JOB TARGET]]="","Job Target Kosong",IF(COUNT(IF('Data Assessment'!$N114:$Z114-OFFSET(Standar!$B$2,MATCH(Assessment[[#This Row],[JOB TARGET
(EST)]],Standar[NAMA JABATAN],0)-1,1,1,13)&lt;0,1,""))&lt;=3,'9 Grid'!$B$4,IF(COUNT(IF('Data Assessment'!$N114:$Z114-OFFSET(Standar!$B$2,MATCH(Assessment[[#This Row],[JOB TARGET]],Standar[NAMA JABATAN],0)-1,1,1,13)&lt;0,1,""))&gt;=7,'9 Grid'!$B$6,'9 Grid'!$B$5)))</f>
        <v>Job Target Kosong</v>
      </c>
      <c r="I114" s="146" t="str">
        <f>IFERROR(IF(Data_Assessment[[#This Row],[IPP (3 YEARS AVERAGE)]]="","(IPP Belum Ada)",IF(Data_Assessment[[#This Row],[IPP (3 YEARS AVERAGE)]]&lt;2,'9 Grid'!$F$2,IF(Data_Assessment[[#This Row],[IPP (3 YEARS AVERAGE)]]&gt;=4,'9 Grid'!$D$2,'9 Grid'!$E$2))),"")</f>
        <v>Contributor</v>
      </c>
      <c r="J114" s="146" t="str">
        <f ca="1">IFERROR(INDEX('9 Grid'!$D$4:$F$6,MATCH('Rekomendasi HAV'!H114,'9 Grid'!$B$4:$B$6,0),MATCH('Rekomendasi HAV'!I114,'9 Grid'!$D$2:$F$2,0)),"")</f>
        <v/>
      </c>
      <c r="K114" s="146" t="str">
        <f>IFERROR(INDEX('9 Grid'!$D$8:$F$8,1,MATCH('Rekomendasi HAV'!I114,'9 Grid'!$D$2:$F$2,0)),"")</f>
        <v>(LT) More 2 - 3 year</v>
      </c>
      <c r="L114" s="146">
        <f>IF(ISNUMBER(SEARCH("EST",Assessment[[#This Row],[JOB TARGET]])),SUBSTITUTE(Assessment[[#This Row],[JOB TARGET]],"EST","DEV"),Assessment[[#This Row],[JOB TARGET]])</f>
        <v>0</v>
      </c>
      <c r="M114" s="146" t="str" cm="1">
        <f t="array" aca="1" ref="M114" ca="1">IF(Assessment[[#This Row],[JOB TARGET]]="","Job Target Kosong",IF(COUNT(IF('Data Assessment'!$N114:$Z114-OFFSET(Standar!$B$2,MATCH(Assessment[[#This Row],[JOB TARGET
(DEV)]],Standar[NAMA JABATAN],0)-1,1,1,13)&lt;0,1,""))&lt;=3,'9 Grid'!$B$4,IF(COUNT(IF('Data Assessment'!$N114:$Z114-OFFSET(Standar!$B$2,MATCH(Assessment[[#This Row],[JOB TARGET
(DEV)]],Standar[NAMA JABATAN],0)-1,1,1,13)&lt;0,1,""))&gt;=7,'9 Grid'!$B$6,'9 Grid'!$B$5)))</f>
        <v>Job Target Kosong</v>
      </c>
      <c r="N114" s="146" t="str">
        <f>IFERROR(IF(Data_Assessment[[#This Row],[IPP (3 YEARS AVERAGE)]]="","(IPP Belum Ada)",IF(Data_Assessment[[#This Row],[IPP (3 YEARS AVERAGE)]]&lt;2,'9 Grid'!$F$2,IF(Data_Assessment[[#This Row],[IPP (3 YEARS AVERAGE)]]&gt;=4,'9 Grid'!$D$2,'9 Grid'!$E$2))),"")</f>
        <v>Contributor</v>
      </c>
      <c r="O114" s="146" t="str">
        <f ca="1">IFERROR(INDEX('9 Grid'!$D$4:$F$6,MATCH('Rekomendasi HAV'!M114,'9 Grid'!$B$4:$B$6,0),MATCH('Rekomendasi HAV'!N114,'9 Grid'!$D$2:$F$2,0)),"")</f>
        <v/>
      </c>
      <c r="P114" s="147" t="str">
        <f>IFERROR(INDEX('9 Grid'!$D$8:$F$8,1,MATCH('Rekomendasi HAV'!N114,'9 Grid'!$D$2:$F$2,0)),"")</f>
        <v>(LT) More 2 - 3 year</v>
      </c>
    </row>
    <row r="115" spans="1:16" ht="28.5">
      <c r="A115" s="67">
        <v>114</v>
      </c>
      <c r="B115" s="68" t="str">
        <f>INDEX(Data_Assessment[],MATCH('Rekomendasi HAV'!$A115,Data_Assessment[[INDEX]:[INDEX]],0),MATCH('Rekomendasi HAV'!B$1,Data_Assessment[#Headers],0))</f>
        <v>Neni Julistiani</v>
      </c>
      <c r="C115" s="68" t="str">
        <f>INDEX(Data_Assessment[],MATCH('Rekomendasi HAV'!$A115,Data_Assessment[[INDEX]:[INDEX]],0),MATCH('Rekomendasi HAV'!C$1,Data_Assessment[#Headers],0))</f>
        <v>Medan</v>
      </c>
      <c r="D115" s="68" t="str">
        <f>INDEX(Data_Assessment[],MATCH('Rekomendasi HAV'!$A115,Data_Assessment[[INDEX]:[INDEX]],0),MATCH('Rekomendasi HAV'!D$1,Data_Assessment[#Headers],0))</f>
        <v>LSIP - RO Medan</v>
      </c>
      <c r="E115" s="68">
        <f>INDEX(Data_Assessment[],MATCH('Rekomendasi HAV'!$B115,Data_Assessment[[NAME]:[NAME]],0),MATCH('Rekomendasi HAV'!E$1,Data_Assessment[#Headers],0))</f>
        <v>0</v>
      </c>
      <c r="F115" s="68"/>
      <c r="G115" s="68">
        <f>IF(ISNUMBER(SEARCH("DEV",Assessment[[#This Row],[JOB TARGET]])),SUBSTITUTE(Assessment[[#This Row],[JOB TARGET]],"DEV","EST"),Assessment[[#This Row],[JOB TARGET]])</f>
        <v>0</v>
      </c>
      <c r="H115" s="146" t="str" cm="1">
        <f t="array" aca="1" ref="H115" ca="1">IF(Assessment[[#This Row],[JOB TARGET]]="","Job Target Kosong",IF(COUNT(IF('Data Assessment'!$N115:$Z115-OFFSET(Standar!$B$2,MATCH(Assessment[[#This Row],[JOB TARGET
(EST)]],Standar[NAMA JABATAN],0)-1,1,1,13)&lt;0,1,""))&lt;=3,'9 Grid'!$B$4,IF(COUNT(IF('Data Assessment'!$N115:$Z115-OFFSET(Standar!$B$2,MATCH(Assessment[[#This Row],[JOB TARGET]],Standar[NAMA JABATAN],0)-1,1,1,13)&lt;0,1,""))&gt;=7,'9 Grid'!$B$6,'9 Grid'!$B$5)))</f>
        <v>Job Target Kosong</v>
      </c>
      <c r="I115" s="146" t="str">
        <f>IFERROR(IF(Data_Assessment[[#This Row],[IPP (3 YEARS AVERAGE)]]="","(IPP Belum Ada)",IF(Data_Assessment[[#This Row],[IPP (3 YEARS AVERAGE)]]&lt;2,'9 Grid'!$F$2,IF(Data_Assessment[[#This Row],[IPP (3 YEARS AVERAGE)]]&gt;=4,'9 Grid'!$D$2,'9 Grid'!$E$2))),"")</f>
        <v>Fully Competence Performance</v>
      </c>
      <c r="J115" s="146" t="str">
        <f ca="1">IFERROR(INDEX('9 Grid'!$D$4:$F$6,MATCH('Rekomendasi HAV'!H115,'9 Grid'!$B$4:$B$6,0),MATCH('Rekomendasi HAV'!I115,'9 Grid'!$D$2:$F$2,0)),"")</f>
        <v/>
      </c>
      <c r="K115" s="146" t="str">
        <f>IFERROR(INDEX('9 Grid'!$D$8:$F$8,1,MATCH('Rekomendasi HAV'!I115,'9 Grid'!$D$2:$F$2,0)),"")</f>
        <v>(ST) Within 12 - 18 month</v>
      </c>
      <c r="L115" s="146">
        <f>IF(ISNUMBER(SEARCH("EST",Assessment[[#This Row],[JOB TARGET]])),SUBSTITUTE(Assessment[[#This Row],[JOB TARGET]],"EST","DEV"),Assessment[[#This Row],[JOB TARGET]])</f>
        <v>0</v>
      </c>
      <c r="M115" s="146" t="str" cm="1">
        <f t="array" aca="1" ref="M115" ca="1">IF(Assessment[[#This Row],[JOB TARGET]]="","Job Target Kosong",IF(COUNT(IF('Data Assessment'!$N115:$Z115-OFFSET(Standar!$B$2,MATCH(Assessment[[#This Row],[JOB TARGET
(DEV)]],Standar[NAMA JABATAN],0)-1,1,1,13)&lt;0,1,""))&lt;=3,'9 Grid'!$B$4,IF(COUNT(IF('Data Assessment'!$N115:$Z115-OFFSET(Standar!$B$2,MATCH(Assessment[[#This Row],[JOB TARGET
(DEV)]],Standar[NAMA JABATAN],0)-1,1,1,13)&lt;0,1,""))&gt;=7,'9 Grid'!$B$6,'9 Grid'!$B$5)))</f>
        <v>Job Target Kosong</v>
      </c>
      <c r="N115" s="146" t="str">
        <f>IFERROR(IF(Data_Assessment[[#This Row],[IPP (3 YEARS AVERAGE)]]="","(IPP Belum Ada)",IF(Data_Assessment[[#This Row],[IPP (3 YEARS AVERAGE)]]&lt;2,'9 Grid'!$F$2,IF(Data_Assessment[[#This Row],[IPP (3 YEARS AVERAGE)]]&gt;=4,'9 Grid'!$D$2,'9 Grid'!$E$2))),"")</f>
        <v>Fully Competence Performance</v>
      </c>
      <c r="O115" s="146" t="str">
        <f ca="1">IFERROR(INDEX('9 Grid'!$D$4:$F$6,MATCH('Rekomendasi HAV'!M115,'9 Grid'!$B$4:$B$6,0),MATCH('Rekomendasi HAV'!N115,'9 Grid'!$D$2:$F$2,0)),"")</f>
        <v/>
      </c>
      <c r="P115" s="147" t="str">
        <f>IFERROR(INDEX('9 Grid'!$D$8:$F$8,1,MATCH('Rekomendasi HAV'!N115,'9 Grid'!$D$2:$F$2,0)),"")</f>
        <v>(ST) Within 12 - 18 month</v>
      </c>
    </row>
    <row r="116" spans="1:16" ht="28.5">
      <c r="A116" s="67">
        <v>115</v>
      </c>
      <c r="B116" s="68" t="str">
        <f>INDEX(Data_Assessment[],MATCH('Rekomendasi HAV'!$A116,Data_Assessment[[INDEX]:[INDEX]],0),MATCH('Rekomendasi HAV'!B$1,Data_Assessment[#Headers],0))</f>
        <v>Rizki Dian Ringga</v>
      </c>
      <c r="C116" s="68" t="str">
        <f>INDEX(Data_Assessment[],MATCH('Rekomendasi HAV'!$A116,Data_Assessment[[INDEX]:[INDEX]],0),MATCH('Rekomendasi HAV'!C$1,Data_Assessment[#Headers],0))</f>
        <v>Sumatera Selatan</v>
      </c>
      <c r="D116" s="68" t="str">
        <f>INDEX(Data_Assessment[],MATCH('Rekomendasi HAV'!$A116,Data_Assessment[[INDEX]:[INDEX]],0),MATCH('Rekomendasi HAV'!D$1,Data_Assessment[#Headers],0))</f>
        <v>LSIP - RO Palembang</v>
      </c>
      <c r="E116" s="68">
        <f>INDEX(Data_Assessment[],MATCH('Rekomendasi HAV'!$B116,Data_Assessment[[NAME]:[NAME]],0),MATCH('Rekomendasi HAV'!E$1,Data_Assessment[#Headers],0))</f>
        <v>0</v>
      </c>
      <c r="F116" s="68"/>
      <c r="G116" s="68">
        <f>IF(ISNUMBER(SEARCH("DEV",Assessment[[#This Row],[JOB TARGET]])),SUBSTITUTE(Assessment[[#This Row],[JOB TARGET]],"DEV","EST"),Assessment[[#This Row],[JOB TARGET]])</f>
        <v>0</v>
      </c>
      <c r="H116" s="146" t="str" cm="1">
        <f t="array" aca="1" ref="H116" ca="1">IF(Assessment[[#This Row],[JOB TARGET]]="","Job Target Kosong",IF(COUNT(IF('Data Assessment'!$N116:$Z116-OFFSET(Standar!$B$2,MATCH(Assessment[[#This Row],[JOB TARGET
(EST)]],Standar[NAMA JABATAN],0)-1,1,1,13)&lt;0,1,""))&lt;=3,'9 Grid'!$B$4,IF(COUNT(IF('Data Assessment'!$N116:$Z116-OFFSET(Standar!$B$2,MATCH(Assessment[[#This Row],[JOB TARGET]],Standar[NAMA JABATAN],0)-1,1,1,13)&lt;0,1,""))&gt;=7,'9 Grid'!$B$6,'9 Grid'!$B$5)))</f>
        <v>Job Target Kosong</v>
      </c>
      <c r="I116" s="146" t="str">
        <f>IFERROR(IF(Data_Assessment[[#This Row],[IPP (3 YEARS AVERAGE)]]="","(IPP Belum Ada)",IF(Data_Assessment[[#This Row],[IPP (3 YEARS AVERAGE)]]&lt;2,'9 Grid'!$F$2,IF(Data_Assessment[[#This Row],[IPP (3 YEARS AVERAGE)]]&gt;=4,'9 Grid'!$D$2,'9 Grid'!$E$2))),"")</f>
        <v>Contributor</v>
      </c>
      <c r="J116" s="146" t="str">
        <f ca="1">IFERROR(INDEX('9 Grid'!$D$4:$F$6,MATCH('Rekomendasi HAV'!H116,'9 Grid'!$B$4:$B$6,0),MATCH('Rekomendasi HAV'!I116,'9 Grid'!$D$2:$F$2,0)),"")</f>
        <v/>
      </c>
      <c r="K116" s="146" t="str">
        <f>IFERROR(INDEX('9 Grid'!$D$8:$F$8,1,MATCH('Rekomendasi HAV'!I116,'9 Grid'!$D$2:$F$2,0)),"")</f>
        <v>(LT) More 2 - 3 year</v>
      </c>
      <c r="L116" s="146">
        <f>IF(ISNUMBER(SEARCH("EST",Assessment[[#This Row],[JOB TARGET]])),SUBSTITUTE(Assessment[[#This Row],[JOB TARGET]],"EST","DEV"),Assessment[[#This Row],[JOB TARGET]])</f>
        <v>0</v>
      </c>
      <c r="M116" s="146" t="str" cm="1">
        <f t="array" aca="1" ref="M116" ca="1">IF(Assessment[[#This Row],[JOB TARGET]]="","Job Target Kosong",IF(COUNT(IF('Data Assessment'!$N116:$Z116-OFFSET(Standar!$B$2,MATCH(Assessment[[#This Row],[JOB TARGET
(DEV)]],Standar[NAMA JABATAN],0)-1,1,1,13)&lt;0,1,""))&lt;=3,'9 Grid'!$B$4,IF(COUNT(IF('Data Assessment'!$N116:$Z116-OFFSET(Standar!$B$2,MATCH(Assessment[[#This Row],[JOB TARGET
(DEV)]],Standar[NAMA JABATAN],0)-1,1,1,13)&lt;0,1,""))&gt;=7,'9 Grid'!$B$6,'9 Grid'!$B$5)))</f>
        <v>Job Target Kosong</v>
      </c>
      <c r="N116" s="146" t="str">
        <f>IFERROR(IF(Data_Assessment[[#This Row],[IPP (3 YEARS AVERAGE)]]="","(IPP Belum Ada)",IF(Data_Assessment[[#This Row],[IPP (3 YEARS AVERAGE)]]&lt;2,'9 Grid'!$F$2,IF(Data_Assessment[[#This Row],[IPP (3 YEARS AVERAGE)]]&gt;=4,'9 Grid'!$D$2,'9 Grid'!$E$2))),"")</f>
        <v>Contributor</v>
      </c>
      <c r="O116" s="146" t="str">
        <f ca="1">IFERROR(INDEX('9 Grid'!$D$4:$F$6,MATCH('Rekomendasi HAV'!M116,'9 Grid'!$B$4:$B$6,0),MATCH('Rekomendasi HAV'!N116,'9 Grid'!$D$2:$F$2,0)),"")</f>
        <v/>
      </c>
      <c r="P116" s="147" t="str">
        <f>IFERROR(INDEX('9 Grid'!$D$8:$F$8,1,MATCH('Rekomendasi HAV'!N116,'9 Grid'!$D$2:$F$2,0)),"")</f>
        <v>(LT) More 2 - 3 year</v>
      </c>
    </row>
    <row r="117" spans="1:16" ht="28.5">
      <c r="A117" s="67">
        <v>116</v>
      </c>
      <c r="B117" s="68" t="str">
        <f>INDEX(Data_Assessment[],MATCH('Rekomendasi HAV'!$A117,Data_Assessment[[INDEX]:[INDEX]],0),MATCH('Rekomendasi HAV'!B$1,Data_Assessment[#Headers],0))</f>
        <v>Syahril, S.Sos</v>
      </c>
      <c r="C117" s="68" t="str">
        <f>INDEX(Data_Assessment[],MATCH('Rekomendasi HAV'!$A117,Data_Assessment[[INDEX]:[INDEX]],0),MATCH('Rekomendasi HAV'!C$1,Data_Assessment[#Headers],0))</f>
        <v>Medan</v>
      </c>
      <c r="D117" s="68" t="str">
        <f>INDEX(Data_Assessment[],MATCH('Rekomendasi HAV'!$A117,Data_Assessment[[INDEX]:[INDEX]],0),MATCH('Rekomendasi HAV'!D$1,Data_Assessment[#Headers],0))</f>
        <v>LSIP - RO Medan</v>
      </c>
      <c r="E117" s="68">
        <f>INDEX(Data_Assessment[],MATCH('Rekomendasi HAV'!$B117,Data_Assessment[[NAME]:[NAME]],0),MATCH('Rekomendasi HAV'!E$1,Data_Assessment[#Headers],0))</f>
        <v>0</v>
      </c>
      <c r="F117" s="68"/>
      <c r="G117" s="68">
        <f>IF(ISNUMBER(SEARCH("DEV",Assessment[[#This Row],[JOB TARGET]])),SUBSTITUTE(Assessment[[#This Row],[JOB TARGET]],"DEV","EST"),Assessment[[#This Row],[JOB TARGET]])</f>
        <v>0</v>
      </c>
      <c r="H117" s="146" t="str" cm="1">
        <f t="array" aca="1" ref="H117" ca="1">IF(Assessment[[#This Row],[JOB TARGET]]="","Job Target Kosong",IF(COUNT(IF('Data Assessment'!$N117:$Z117-OFFSET(Standar!$B$2,MATCH(Assessment[[#This Row],[JOB TARGET
(EST)]],Standar[NAMA JABATAN],0)-1,1,1,13)&lt;0,1,""))&lt;=3,'9 Grid'!$B$4,IF(COUNT(IF('Data Assessment'!$N117:$Z117-OFFSET(Standar!$B$2,MATCH(Assessment[[#This Row],[JOB TARGET]],Standar[NAMA JABATAN],0)-1,1,1,13)&lt;0,1,""))&gt;=7,'9 Grid'!$B$6,'9 Grid'!$B$5)))</f>
        <v>Job Target Kosong</v>
      </c>
      <c r="I117" s="146" t="str">
        <f>IFERROR(IF(Data_Assessment[[#This Row],[IPP (3 YEARS AVERAGE)]]="","(IPP Belum Ada)",IF(Data_Assessment[[#This Row],[IPP (3 YEARS AVERAGE)]]&lt;2,'9 Grid'!$F$2,IF(Data_Assessment[[#This Row],[IPP (3 YEARS AVERAGE)]]&gt;=4,'9 Grid'!$D$2,'9 Grid'!$E$2))),"")</f>
        <v>Fully Competence Performance</v>
      </c>
      <c r="J117" s="146" t="str">
        <f ca="1">IFERROR(INDEX('9 Grid'!$D$4:$F$6,MATCH('Rekomendasi HAV'!H117,'9 Grid'!$B$4:$B$6,0),MATCH('Rekomendasi HAV'!I117,'9 Grid'!$D$2:$F$2,0)),"")</f>
        <v/>
      </c>
      <c r="K117" s="146" t="str">
        <f>IFERROR(INDEX('9 Grid'!$D$8:$F$8,1,MATCH('Rekomendasi HAV'!I117,'9 Grid'!$D$2:$F$2,0)),"")</f>
        <v>(ST) Within 12 - 18 month</v>
      </c>
      <c r="L117" s="146">
        <f>IF(ISNUMBER(SEARCH("EST",Assessment[[#This Row],[JOB TARGET]])),SUBSTITUTE(Assessment[[#This Row],[JOB TARGET]],"EST","DEV"),Assessment[[#This Row],[JOB TARGET]])</f>
        <v>0</v>
      </c>
      <c r="M117" s="146" t="str" cm="1">
        <f t="array" aca="1" ref="M117" ca="1">IF(Assessment[[#This Row],[JOB TARGET]]="","Job Target Kosong",IF(COUNT(IF('Data Assessment'!$N117:$Z117-OFFSET(Standar!$B$2,MATCH(Assessment[[#This Row],[JOB TARGET
(DEV)]],Standar[NAMA JABATAN],0)-1,1,1,13)&lt;0,1,""))&lt;=3,'9 Grid'!$B$4,IF(COUNT(IF('Data Assessment'!$N117:$Z117-OFFSET(Standar!$B$2,MATCH(Assessment[[#This Row],[JOB TARGET
(DEV)]],Standar[NAMA JABATAN],0)-1,1,1,13)&lt;0,1,""))&gt;=7,'9 Grid'!$B$6,'9 Grid'!$B$5)))</f>
        <v>Job Target Kosong</v>
      </c>
      <c r="N117" s="146" t="str">
        <f>IFERROR(IF(Data_Assessment[[#This Row],[IPP (3 YEARS AVERAGE)]]="","(IPP Belum Ada)",IF(Data_Assessment[[#This Row],[IPP (3 YEARS AVERAGE)]]&lt;2,'9 Grid'!$F$2,IF(Data_Assessment[[#This Row],[IPP (3 YEARS AVERAGE)]]&gt;=4,'9 Grid'!$D$2,'9 Grid'!$E$2))),"")</f>
        <v>Fully Competence Performance</v>
      </c>
      <c r="O117" s="146" t="str">
        <f ca="1">IFERROR(INDEX('9 Grid'!$D$4:$F$6,MATCH('Rekomendasi HAV'!M117,'9 Grid'!$B$4:$B$6,0),MATCH('Rekomendasi HAV'!N117,'9 Grid'!$D$2:$F$2,0)),"")</f>
        <v/>
      </c>
      <c r="P117" s="147" t="str">
        <f>IFERROR(INDEX('9 Grid'!$D$8:$F$8,1,MATCH('Rekomendasi HAV'!N117,'9 Grid'!$D$2:$F$2,0)),"")</f>
        <v>(ST) Within 12 - 18 month</v>
      </c>
    </row>
    <row r="118" spans="1:16" ht="28.5">
      <c r="A118" s="67">
        <v>117</v>
      </c>
      <c r="B118" s="68" t="str">
        <f>INDEX(Data_Assessment[],MATCH('Rekomendasi HAV'!$A118,Data_Assessment[[INDEX]:[INDEX]],0),MATCH('Rekomendasi HAV'!B$1,Data_Assessment[#Headers],0))</f>
        <v>Dirja Rahmat</v>
      </c>
      <c r="C118" s="68" t="str">
        <f>INDEX(Data_Assessment[],MATCH('Rekomendasi HAV'!$A118,Data_Assessment[[INDEX]:[INDEX]],0),MATCH('Rekomendasi HAV'!C$1,Data_Assessment[#Headers],0))</f>
        <v>Sumatera Selatan</v>
      </c>
      <c r="D118" s="68" t="str">
        <f>INDEX(Data_Assessment[],MATCH('Rekomendasi HAV'!$A118,Data_Assessment[[INDEX]:[INDEX]],0),MATCH('Rekomendasi HAV'!D$1,Data_Assessment[#Headers],0))</f>
        <v>LSIP - RO Palembang</v>
      </c>
      <c r="E118" s="68">
        <f>INDEX(Data_Assessment[],MATCH('Rekomendasi HAV'!$B118,Data_Assessment[[NAME]:[NAME]],0),MATCH('Rekomendasi HAV'!E$1,Data_Assessment[#Headers],0))</f>
        <v>0</v>
      </c>
      <c r="F118" s="68"/>
      <c r="G118" s="68">
        <f>IF(ISNUMBER(SEARCH("DEV",Assessment[[#This Row],[JOB TARGET]])),SUBSTITUTE(Assessment[[#This Row],[JOB TARGET]],"DEV","EST"),Assessment[[#This Row],[JOB TARGET]])</f>
        <v>0</v>
      </c>
      <c r="H118" s="146" t="str" cm="1">
        <f t="array" aca="1" ref="H118" ca="1">IF(Assessment[[#This Row],[JOB TARGET]]="","Job Target Kosong",IF(COUNT(IF('Data Assessment'!$N118:$Z118-OFFSET(Standar!$B$2,MATCH(Assessment[[#This Row],[JOB TARGET
(EST)]],Standar[NAMA JABATAN],0)-1,1,1,13)&lt;0,1,""))&lt;=3,'9 Grid'!$B$4,IF(COUNT(IF('Data Assessment'!$N118:$Z118-OFFSET(Standar!$B$2,MATCH(Assessment[[#This Row],[JOB TARGET]],Standar[NAMA JABATAN],0)-1,1,1,13)&lt;0,1,""))&gt;=7,'9 Grid'!$B$6,'9 Grid'!$B$5)))</f>
        <v>Job Target Kosong</v>
      </c>
      <c r="I118" s="146" t="str">
        <f>IFERROR(IF(Data_Assessment[[#This Row],[IPP (3 YEARS AVERAGE)]]="","(IPP Belum Ada)",IF(Data_Assessment[[#This Row],[IPP (3 YEARS AVERAGE)]]&lt;2,'9 Grid'!$F$2,IF(Data_Assessment[[#This Row],[IPP (3 YEARS AVERAGE)]]&gt;=4,'9 Grid'!$D$2,'9 Grid'!$E$2))),"")</f>
        <v>Contributor</v>
      </c>
      <c r="J118" s="146" t="str">
        <f ca="1">IFERROR(INDEX('9 Grid'!$D$4:$F$6,MATCH('Rekomendasi HAV'!H118,'9 Grid'!$B$4:$B$6,0),MATCH('Rekomendasi HAV'!I118,'9 Grid'!$D$2:$F$2,0)),"")</f>
        <v/>
      </c>
      <c r="K118" s="146" t="str">
        <f>IFERROR(INDEX('9 Grid'!$D$8:$F$8,1,MATCH('Rekomendasi HAV'!I118,'9 Grid'!$D$2:$F$2,0)),"")</f>
        <v>(LT) More 2 - 3 year</v>
      </c>
      <c r="L118" s="146">
        <f>IF(ISNUMBER(SEARCH("EST",Assessment[[#This Row],[JOB TARGET]])),SUBSTITUTE(Assessment[[#This Row],[JOB TARGET]],"EST","DEV"),Assessment[[#This Row],[JOB TARGET]])</f>
        <v>0</v>
      </c>
      <c r="M118" s="146" t="str" cm="1">
        <f t="array" aca="1" ref="M118" ca="1">IF(Assessment[[#This Row],[JOB TARGET]]="","Job Target Kosong",IF(COUNT(IF('Data Assessment'!$N118:$Z118-OFFSET(Standar!$B$2,MATCH(Assessment[[#This Row],[JOB TARGET
(DEV)]],Standar[NAMA JABATAN],0)-1,1,1,13)&lt;0,1,""))&lt;=3,'9 Grid'!$B$4,IF(COUNT(IF('Data Assessment'!$N118:$Z118-OFFSET(Standar!$B$2,MATCH(Assessment[[#This Row],[JOB TARGET
(DEV)]],Standar[NAMA JABATAN],0)-1,1,1,13)&lt;0,1,""))&gt;=7,'9 Grid'!$B$6,'9 Grid'!$B$5)))</f>
        <v>Job Target Kosong</v>
      </c>
      <c r="N118" s="146" t="str">
        <f>IFERROR(IF(Data_Assessment[[#This Row],[IPP (3 YEARS AVERAGE)]]="","(IPP Belum Ada)",IF(Data_Assessment[[#This Row],[IPP (3 YEARS AVERAGE)]]&lt;2,'9 Grid'!$F$2,IF(Data_Assessment[[#This Row],[IPP (3 YEARS AVERAGE)]]&gt;=4,'9 Grid'!$D$2,'9 Grid'!$E$2))),"")</f>
        <v>Contributor</v>
      </c>
      <c r="O118" s="146" t="str">
        <f ca="1">IFERROR(INDEX('9 Grid'!$D$4:$F$6,MATCH('Rekomendasi HAV'!M118,'9 Grid'!$B$4:$B$6,0),MATCH('Rekomendasi HAV'!N118,'9 Grid'!$D$2:$F$2,0)),"")</f>
        <v/>
      </c>
      <c r="P118" s="147" t="str">
        <f>IFERROR(INDEX('9 Grid'!$D$8:$F$8,1,MATCH('Rekomendasi HAV'!N118,'9 Grid'!$D$2:$F$2,0)),"")</f>
        <v>(LT) More 2 - 3 year</v>
      </c>
    </row>
    <row r="119" spans="1:16" ht="28.5">
      <c r="A119" s="67">
        <v>118</v>
      </c>
      <c r="B119" s="68" t="str">
        <f>INDEX(Data_Assessment[],MATCH('Rekomendasi HAV'!$A119,Data_Assessment[[INDEX]:[INDEX]],0),MATCH('Rekomendasi HAV'!B$1,Data_Assessment[#Headers],0))</f>
        <v>Denri Purba</v>
      </c>
      <c r="C119" s="68" t="str">
        <f>INDEX(Data_Assessment[],MATCH('Rekomendasi HAV'!$A119,Data_Assessment[[INDEX]:[INDEX]],0),MATCH('Rekomendasi HAV'!C$1,Data_Assessment[#Headers],0))</f>
        <v>Medan</v>
      </c>
      <c r="D119" s="68" t="str">
        <f>INDEX(Data_Assessment[],MATCH('Rekomendasi HAV'!$A119,Data_Assessment[[INDEX]:[INDEX]],0),MATCH('Rekomendasi HAV'!D$1,Data_Assessment[#Headers],0))</f>
        <v>LSIP - RO Medan</v>
      </c>
      <c r="E119" s="68">
        <f>INDEX(Data_Assessment[],MATCH('Rekomendasi HAV'!$B119,Data_Assessment[[NAME]:[NAME]],0),MATCH('Rekomendasi HAV'!E$1,Data_Assessment[#Headers],0))</f>
        <v>0</v>
      </c>
      <c r="F119" s="68"/>
      <c r="G119" s="68">
        <f>IF(ISNUMBER(SEARCH("DEV",Assessment[[#This Row],[JOB TARGET]])),SUBSTITUTE(Assessment[[#This Row],[JOB TARGET]],"DEV","EST"),Assessment[[#This Row],[JOB TARGET]])</f>
        <v>0</v>
      </c>
      <c r="H119" s="146" t="str" cm="1">
        <f t="array" aca="1" ref="H119" ca="1">IF(Assessment[[#This Row],[JOB TARGET]]="","Job Target Kosong",IF(COUNT(IF('Data Assessment'!$N119:$Z119-OFFSET(Standar!$B$2,MATCH(Assessment[[#This Row],[JOB TARGET
(EST)]],Standar[NAMA JABATAN],0)-1,1,1,13)&lt;0,1,""))&lt;=3,'9 Grid'!$B$4,IF(COUNT(IF('Data Assessment'!$N119:$Z119-OFFSET(Standar!$B$2,MATCH(Assessment[[#This Row],[JOB TARGET]],Standar[NAMA JABATAN],0)-1,1,1,13)&lt;0,1,""))&gt;=7,'9 Grid'!$B$6,'9 Grid'!$B$5)))</f>
        <v>Job Target Kosong</v>
      </c>
      <c r="I119" s="146" t="str">
        <f>IFERROR(IF(Data_Assessment[[#This Row],[IPP (3 YEARS AVERAGE)]]="","(IPP Belum Ada)",IF(Data_Assessment[[#This Row],[IPP (3 YEARS AVERAGE)]]&lt;2,'9 Grid'!$F$2,IF(Data_Assessment[[#This Row],[IPP (3 YEARS AVERAGE)]]&gt;=4,'9 Grid'!$D$2,'9 Grid'!$E$2))),"")</f>
        <v>Fully Competence Performance</v>
      </c>
      <c r="J119" s="146" t="str">
        <f ca="1">IFERROR(INDEX('9 Grid'!$D$4:$F$6,MATCH('Rekomendasi HAV'!H119,'9 Grid'!$B$4:$B$6,0),MATCH('Rekomendasi HAV'!I119,'9 Grid'!$D$2:$F$2,0)),"")</f>
        <v/>
      </c>
      <c r="K119" s="146" t="str">
        <f>IFERROR(INDEX('9 Grid'!$D$8:$F$8,1,MATCH('Rekomendasi HAV'!I119,'9 Grid'!$D$2:$F$2,0)),"")</f>
        <v>(ST) Within 12 - 18 month</v>
      </c>
      <c r="L119" s="146">
        <f>IF(ISNUMBER(SEARCH("EST",Assessment[[#This Row],[JOB TARGET]])),SUBSTITUTE(Assessment[[#This Row],[JOB TARGET]],"EST","DEV"),Assessment[[#This Row],[JOB TARGET]])</f>
        <v>0</v>
      </c>
      <c r="M119" s="146" t="str" cm="1">
        <f t="array" aca="1" ref="M119" ca="1">IF(Assessment[[#This Row],[JOB TARGET]]="","Job Target Kosong",IF(COUNT(IF('Data Assessment'!$N119:$Z119-OFFSET(Standar!$B$2,MATCH(Assessment[[#This Row],[JOB TARGET
(DEV)]],Standar[NAMA JABATAN],0)-1,1,1,13)&lt;0,1,""))&lt;=3,'9 Grid'!$B$4,IF(COUNT(IF('Data Assessment'!$N119:$Z119-OFFSET(Standar!$B$2,MATCH(Assessment[[#This Row],[JOB TARGET
(DEV)]],Standar[NAMA JABATAN],0)-1,1,1,13)&lt;0,1,""))&gt;=7,'9 Grid'!$B$6,'9 Grid'!$B$5)))</f>
        <v>Job Target Kosong</v>
      </c>
      <c r="N119" s="146" t="str">
        <f>IFERROR(IF(Data_Assessment[[#This Row],[IPP (3 YEARS AVERAGE)]]="","(IPP Belum Ada)",IF(Data_Assessment[[#This Row],[IPP (3 YEARS AVERAGE)]]&lt;2,'9 Grid'!$F$2,IF(Data_Assessment[[#This Row],[IPP (3 YEARS AVERAGE)]]&gt;=4,'9 Grid'!$D$2,'9 Grid'!$E$2))),"")</f>
        <v>Fully Competence Performance</v>
      </c>
      <c r="O119" s="146" t="str">
        <f ca="1">IFERROR(INDEX('9 Grid'!$D$4:$F$6,MATCH('Rekomendasi HAV'!M119,'9 Grid'!$B$4:$B$6,0),MATCH('Rekomendasi HAV'!N119,'9 Grid'!$D$2:$F$2,0)),"")</f>
        <v/>
      </c>
      <c r="P119" s="147" t="str">
        <f>IFERROR(INDEX('9 Grid'!$D$8:$F$8,1,MATCH('Rekomendasi HAV'!N119,'9 Grid'!$D$2:$F$2,0)),"")</f>
        <v>(ST) Within 12 - 18 month</v>
      </c>
    </row>
    <row r="120" spans="1:16" ht="28.5">
      <c r="A120" s="67">
        <v>119</v>
      </c>
      <c r="B120" s="68" t="str">
        <f>INDEX(Data_Assessment[],MATCH('Rekomendasi HAV'!$A120,Data_Assessment[[INDEX]:[INDEX]],0),MATCH('Rekomendasi HAV'!B$1,Data_Assessment[#Headers],0))</f>
        <v>Arlon Hot Pangoloi</v>
      </c>
      <c r="C120" s="68" t="str">
        <f>INDEX(Data_Assessment[],MATCH('Rekomendasi HAV'!$A120,Data_Assessment[[INDEX]:[INDEX]],0),MATCH('Rekomendasi HAV'!C$1,Data_Assessment[#Headers],0))</f>
        <v>Sumatera Selatan</v>
      </c>
      <c r="D120" s="68" t="str">
        <f>INDEX(Data_Assessment[],MATCH('Rekomendasi HAV'!$A120,Data_Assessment[[INDEX]:[INDEX]],0),MATCH('Rekomendasi HAV'!D$1,Data_Assessment[#Headers],0))</f>
        <v>LSIP - RO Palembang</v>
      </c>
      <c r="E120" s="68">
        <f>INDEX(Data_Assessment[],MATCH('Rekomendasi HAV'!$B120,Data_Assessment[[NAME]:[NAME]],0),MATCH('Rekomendasi HAV'!E$1,Data_Assessment[#Headers],0))</f>
        <v>0</v>
      </c>
      <c r="F120" s="68"/>
      <c r="G120" s="68">
        <f>IF(ISNUMBER(SEARCH("DEV",Assessment[[#This Row],[JOB TARGET]])),SUBSTITUTE(Assessment[[#This Row],[JOB TARGET]],"DEV","EST"),Assessment[[#This Row],[JOB TARGET]])</f>
        <v>0</v>
      </c>
      <c r="H120" s="146" t="str" cm="1">
        <f t="array" aca="1" ref="H120" ca="1">IF(Assessment[[#This Row],[JOB TARGET]]="","Job Target Kosong",IF(COUNT(IF('Data Assessment'!$N120:$Z120-OFFSET(Standar!$B$2,MATCH(Assessment[[#This Row],[JOB TARGET
(EST)]],Standar[NAMA JABATAN],0)-1,1,1,13)&lt;0,1,""))&lt;=3,'9 Grid'!$B$4,IF(COUNT(IF('Data Assessment'!$N120:$Z120-OFFSET(Standar!$B$2,MATCH(Assessment[[#This Row],[JOB TARGET]],Standar[NAMA JABATAN],0)-1,1,1,13)&lt;0,1,""))&gt;=7,'9 Grid'!$B$6,'9 Grid'!$B$5)))</f>
        <v>Job Target Kosong</v>
      </c>
      <c r="I120" s="146" t="str">
        <f>IFERROR(IF(Data_Assessment[[#This Row],[IPP (3 YEARS AVERAGE)]]="","(IPP Belum Ada)",IF(Data_Assessment[[#This Row],[IPP (3 YEARS AVERAGE)]]&lt;2,'9 Grid'!$F$2,IF(Data_Assessment[[#This Row],[IPP (3 YEARS AVERAGE)]]&gt;=4,'9 Grid'!$D$2,'9 Grid'!$E$2))),"")</f>
        <v>Contributor</v>
      </c>
      <c r="J120" s="146" t="str">
        <f ca="1">IFERROR(INDEX('9 Grid'!$D$4:$F$6,MATCH('Rekomendasi HAV'!H120,'9 Grid'!$B$4:$B$6,0),MATCH('Rekomendasi HAV'!I120,'9 Grid'!$D$2:$F$2,0)),"")</f>
        <v/>
      </c>
      <c r="K120" s="146" t="str">
        <f>IFERROR(INDEX('9 Grid'!$D$8:$F$8,1,MATCH('Rekomendasi HAV'!I120,'9 Grid'!$D$2:$F$2,0)),"")</f>
        <v>(LT) More 2 - 3 year</v>
      </c>
      <c r="L120" s="146">
        <f>IF(ISNUMBER(SEARCH("EST",Assessment[[#This Row],[JOB TARGET]])),SUBSTITUTE(Assessment[[#This Row],[JOB TARGET]],"EST","DEV"),Assessment[[#This Row],[JOB TARGET]])</f>
        <v>0</v>
      </c>
      <c r="M120" s="146" t="str" cm="1">
        <f t="array" aca="1" ref="M120" ca="1">IF(Assessment[[#This Row],[JOB TARGET]]="","Job Target Kosong",IF(COUNT(IF('Data Assessment'!$N120:$Z120-OFFSET(Standar!$B$2,MATCH(Assessment[[#This Row],[JOB TARGET
(DEV)]],Standar[NAMA JABATAN],0)-1,1,1,13)&lt;0,1,""))&lt;=3,'9 Grid'!$B$4,IF(COUNT(IF('Data Assessment'!$N120:$Z120-OFFSET(Standar!$B$2,MATCH(Assessment[[#This Row],[JOB TARGET
(DEV)]],Standar[NAMA JABATAN],0)-1,1,1,13)&lt;0,1,""))&gt;=7,'9 Grid'!$B$6,'9 Grid'!$B$5)))</f>
        <v>Job Target Kosong</v>
      </c>
      <c r="N120" s="146" t="str">
        <f>IFERROR(IF(Data_Assessment[[#This Row],[IPP (3 YEARS AVERAGE)]]="","(IPP Belum Ada)",IF(Data_Assessment[[#This Row],[IPP (3 YEARS AVERAGE)]]&lt;2,'9 Grid'!$F$2,IF(Data_Assessment[[#This Row],[IPP (3 YEARS AVERAGE)]]&gt;=4,'9 Grid'!$D$2,'9 Grid'!$E$2))),"")</f>
        <v>Contributor</v>
      </c>
      <c r="O120" s="146" t="str">
        <f ca="1">IFERROR(INDEX('9 Grid'!$D$4:$F$6,MATCH('Rekomendasi HAV'!M120,'9 Grid'!$B$4:$B$6,0),MATCH('Rekomendasi HAV'!N120,'9 Grid'!$D$2:$F$2,0)),"")</f>
        <v/>
      </c>
      <c r="P120" s="147" t="str">
        <f>IFERROR(INDEX('9 Grid'!$D$8:$F$8,1,MATCH('Rekomendasi HAV'!N120,'9 Grid'!$D$2:$F$2,0)),"")</f>
        <v>(LT) More 2 - 3 year</v>
      </c>
    </row>
    <row r="121" spans="1:16" ht="28.5">
      <c r="A121" s="67">
        <v>120</v>
      </c>
      <c r="B121" s="68" t="str">
        <f>INDEX(Data_Assessment[],MATCH('Rekomendasi HAV'!$A121,Data_Assessment[[INDEX]:[INDEX]],0),MATCH('Rekomendasi HAV'!B$1,Data_Assessment[#Headers],0))</f>
        <v>Sopar Hutabarat</v>
      </c>
      <c r="C121" s="68" t="str">
        <f>INDEX(Data_Assessment[],MATCH('Rekomendasi HAV'!$A121,Data_Assessment[[INDEX]:[INDEX]],0),MATCH('Rekomendasi HAV'!C$1,Data_Assessment[#Headers],0))</f>
        <v>Medan</v>
      </c>
      <c r="D121" s="68" t="str">
        <f>INDEX(Data_Assessment[],MATCH('Rekomendasi HAV'!$A121,Data_Assessment[[INDEX]:[INDEX]],0),MATCH('Rekomendasi HAV'!D$1,Data_Assessment[#Headers],0))</f>
        <v>LSIP - RO Medan</v>
      </c>
      <c r="E121" s="68">
        <f>INDEX(Data_Assessment[],MATCH('Rekomendasi HAV'!$B121,Data_Assessment[[NAME]:[NAME]],0),MATCH('Rekomendasi HAV'!E$1,Data_Assessment[#Headers],0))</f>
        <v>0</v>
      </c>
      <c r="F121" s="68"/>
      <c r="G121" s="68">
        <f>IF(ISNUMBER(SEARCH("DEV",Assessment[[#This Row],[JOB TARGET]])),SUBSTITUTE(Assessment[[#This Row],[JOB TARGET]],"DEV","EST"),Assessment[[#This Row],[JOB TARGET]])</f>
        <v>0</v>
      </c>
      <c r="H121" s="146" t="str" cm="1">
        <f t="array" aca="1" ref="H121" ca="1">IF(Assessment[[#This Row],[JOB TARGET]]="","Job Target Kosong",IF(COUNT(IF('Data Assessment'!$N121:$Z121-OFFSET(Standar!$B$2,MATCH(Assessment[[#This Row],[JOB TARGET
(EST)]],Standar[NAMA JABATAN],0)-1,1,1,13)&lt;0,1,""))&lt;=3,'9 Grid'!$B$4,IF(COUNT(IF('Data Assessment'!$N121:$Z121-OFFSET(Standar!$B$2,MATCH(Assessment[[#This Row],[JOB TARGET]],Standar[NAMA JABATAN],0)-1,1,1,13)&lt;0,1,""))&gt;=7,'9 Grid'!$B$6,'9 Grid'!$B$5)))</f>
        <v>Job Target Kosong</v>
      </c>
      <c r="I121" s="146" t="str">
        <f>IFERROR(IF(Data_Assessment[[#This Row],[IPP (3 YEARS AVERAGE)]]="","(IPP Belum Ada)",IF(Data_Assessment[[#This Row],[IPP (3 YEARS AVERAGE)]]&lt;2,'9 Grid'!$F$2,IF(Data_Assessment[[#This Row],[IPP (3 YEARS AVERAGE)]]&gt;=4,'9 Grid'!$D$2,'9 Grid'!$E$2))),"")</f>
        <v>Fully Competence Performance</v>
      </c>
      <c r="J121" s="146" t="str">
        <f ca="1">IFERROR(INDEX('9 Grid'!$D$4:$F$6,MATCH('Rekomendasi HAV'!H121,'9 Grid'!$B$4:$B$6,0),MATCH('Rekomendasi HAV'!I121,'9 Grid'!$D$2:$F$2,0)),"")</f>
        <v/>
      </c>
      <c r="K121" s="146" t="str">
        <f>IFERROR(INDEX('9 Grid'!$D$8:$F$8,1,MATCH('Rekomendasi HAV'!I121,'9 Grid'!$D$2:$F$2,0)),"")</f>
        <v>(ST) Within 12 - 18 month</v>
      </c>
      <c r="L121" s="146">
        <f>IF(ISNUMBER(SEARCH("EST",Assessment[[#This Row],[JOB TARGET]])),SUBSTITUTE(Assessment[[#This Row],[JOB TARGET]],"EST","DEV"),Assessment[[#This Row],[JOB TARGET]])</f>
        <v>0</v>
      </c>
      <c r="M121" s="146" t="str" cm="1">
        <f t="array" aca="1" ref="M121" ca="1">IF(Assessment[[#This Row],[JOB TARGET]]="","Job Target Kosong",IF(COUNT(IF('Data Assessment'!$N121:$Z121-OFFSET(Standar!$B$2,MATCH(Assessment[[#This Row],[JOB TARGET
(DEV)]],Standar[NAMA JABATAN],0)-1,1,1,13)&lt;0,1,""))&lt;=3,'9 Grid'!$B$4,IF(COUNT(IF('Data Assessment'!$N121:$Z121-OFFSET(Standar!$B$2,MATCH(Assessment[[#This Row],[JOB TARGET
(DEV)]],Standar[NAMA JABATAN],0)-1,1,1,13)&lt;0,1,""))&gt;=7,'9 Grid'!$B$6,'9 Grid'!$B$5)))</f>
        <v>Job Target Kosong</v>
      </c>
      <c r="N121" s="146" t="str">
        <f>IFERROR(IF(Data_Assessment[[#This Row],[IPP (3 YEARS AVERAGE)]]="","(IPP Belum Ada)",IF(Data_Assessment[[#This Row],[IPP (3 YEARS AVERAGE)]]&lt;2,'9 Grid'!$F$2,IF(Data_Assessment[[#This Row],[IPP (3 YEARS AVERAGE)]]&gt;=4,'9 Grid'!$D$2,'9 Grid'!$E$2))),"")</f>
        <v>Fully Competence Performance</v>
      </c>
      <c r="O121" s="146" t="str">
        <f ca="1">IFERROR(INDEX('9 Grid'!$D$4:$F$6,MATCH('Rekomendasi HAV'!M121,'9 Grid'!$B$4:$B$6,0),MATCH('Rekomendasi HAV'!N121,'9 Grid'!$D$2:$F$2,0)),"")</f>
        <v/>
      </c>
      <c r="P121" s="147" t="str">
        <f>IFERROR(INDEX('9 Grid'!$D$8:$F$8,1,MATCH('Rekomendasi HAV'!N121,'9 Grid'!$D$2:$F$2,0)),"")</f>
        <v>(ST) Within 12 - 18 month</v>
      </c>
    </row>
    <row r="122" spans="1:16" ht="28.5">
      <c r="A122" s="67">
        <v>121</v>
      </c>
      <c r="B122" s="68" t="str">
        <f>INDEX(Data_Assessment[],MATCH('Rekomendasi HAV'!$A122,Data_Assessment[[INDEX]:[INDEX]],0),MATCH('Rekomendasi HAV'!B$1,Data_Assessment[#Headers],0))</f>
        <v>Ridho Maulia Buana</v>
      </c>
      <c r="C122" s="68" t="str">
        <f>INDEX(Data_Assessment[],MATCH('Rekomendasi HAV'!$A122,Data_Assessment[[INDEX]:[INDEX]],0),MATCH('Rekomendasi HAV'!C$1,Data_Assessment[#Headers],0))</f>
        <v>Kalimantan Timur</v>
      </c>
      <c r="D122" s="68" t="str">
        <f>INDEX(Data_Assessment[],MATCH('Rekomendasi HAV'!$A122,Data_Assessment[[INDEX]:[INDEX]],0),MATCH('Rekomendasi HAV'!D$1,Data_Assessment[#Headers],0))</f>
        <v>LSIP - Pahu Makmur Estate</v>
      </c>
      <c r="E122" s="68">
        <f>INDEX(Data_Assessment[],MATCH('Rekomendasi HAV'!$B122,Data_Assessment[[NAME]:[NAME]],0),MATCH('Rekomendasi HAV'!E$1,Data_Assessment[#Headers],0))</f>
        <v>0</v>
      </c>
      <c r="F122" s="68"/>
      <c r="G122" s="68">
        <f>IF(ISNUMBER(SEARCH("DEV",Assessment[[#This Row],[JOB TARGET]])),SUBSTITUTE(Assessment[[#This Row],[JOB TARGET]],"DEV","EST"),Assessment[[#This Row],[JOB TARGET]])</f>
        <v>0</v>
      </c>
      <c r="H122" s="146" t="str" cm="1">
        <f t="array" aca="1" ref="H122" ca="1">IF(Assessment[[#This Row],[JOB TARGET]]="","Job Target Kosong",IF(COUNT(IF('Data Assessment'!$N122:$Z122-OFFSET(Standar!$B$2,MATCH(Assessment[[#This Row],[JOB TARGET
(EST)]],Standar[NAMA JABATAN],0)-1,1,1,13)&lt;0,1,""))&lt;=3,'9 Grid'!$B$4,IF(COUNT(IF('Data Assessment'!$N122:$Z122-OFFSET(Standar!$B$2,MATCH(Assessment[[#This Row],[JOB TARGET]],Standar[NAMA JABATAN],0)-1,1,1,13)&lt;0,1,""))&gt;=7,'9 Grid'!$B$6,'9 Grid'!$B$5)))</f>
        <v>Job Target Kosong</v>
      </c>
      <c r="I122" s="146" t="str">
        <f>IFERROR(IF(Data_Assessment[[#This Row],[IPP (3 YEARS AVERAGE)]]="","(IPP Belum Ada)",IF(Data_Assessment[[#This Row],[IPP (3 YEARS AVERAGE)]]&lt;2,'9 Grid'!$F$2,IF(Data_Assessment[[#This Row],[IPP (3 YEARS AVERAGE)]]&gt;=4,'9 Grid'!$D$2,'9 Grid'!$E$2))),"")</f>
        <v>Fully Competence Performance</v>
      </c>
      <c r="J122" s="146" t="str">
        <f ca="1">IFERROR(INDEX('9 Grid'!$D$4:$F$6,MATCH('Rekomendasi HAV'!H122,'9 Grid'!$B$4:$B$6,0),MATCH('Rekomendasi HAV'!I122,'9 Grid'!$D$2:$F$2,0)),"")</f>
        <v/>
      </c>
      <c r="K122" s="146" t="str">
        <f>IFERROR(INDEX('9 Grid'!$D$8:$F$8,1,MATCH('Rekomendasi HAV'!I122,'9 Grid'!$D$2:$F$2,0)),"")</f>
        <v>(ST) Within 12 - 18 month</v>
      </c>
      <c r="L122" s="146">
        <f>IF(ISNUMBER(SEARCH("EST",Assessment[[#This Row],[JOB TARGET]])),SUBSTITUTE(Assessment[[#This Row],[JOB TARGET]],"EST","DEV"),Assessment[[#This Row],[JOB TARGET]])</f>
        <v>0</v>
      </c>
      <c r="M122" s="146" t="str" cm="1">
        <f t="array" aca="1" ref="M122" ca="1">IF(Assessment[[#This Row],[JOB TARGET]]="","Job Target Kosong",IF(COUNT(IF('Data Assessment'!$N122:$Z122-OFFSET(Standar!$B$2,MATCH(Assessment[[#This Row],[JOB TARGET
(DEV)]],Standar[NAMA JABATAN],0)-1,1,1,13)&lt;0,1,""))&lt;=3,'9 Grid'!$B$4,IF(COUNT(IF('Data Assessment'!$N122:$Z122-OFFSET(Standar!$B$2,MATCH(Assessment[[#This Row],[JOB TARGET
(DEV)]],Standar[NAMA JABATAN],0)-1,1,1,13)&lt;0,1,""))&gt;=7,'9 Grid'!$B$6,'9 Grid'!$B$5)))</f>
        <v>Job Target Kosong</v>
      </c>
      <c r="N122" s="146" t="str">
        <f>IFERROR(IF(Data_Assessment[[#This Row],[IPP (3 YEARS AVERAGE)]]="","(IPP Belum Ada)",IF(Data_Assessment[[#This Row],[IPP (3 YEARS AVERAGE)]]&lt;2,'9 Grid'!$F$2,IF(Data_Assessment[[#This Row],[IPP (3 YEARS AVERAGE)]]&gt;=4,'9 Grid'!$D$2,'9 Grid'!$E$2))),"")</f>
        <v>Fully Competence Performance</v>
      </c>
      <c r="O122" s="146" t="str">
        <f ca="1">IFERROR(INDEX('9 Grid'!$D$4:$F$6,MATCH('Rekomendasi HAV'!M122,'9 Grid'!$B$4:$B$6,0),MATCH('Rekomendasi HAV'!N122,'9 Grid'!$D$2:$F$2,0)),"")</f>
        <v/>
      </c>
      <c r="P122" s="147" t="str">
        <f>IFERROR(INDEX('9 Grid'!$D$8:$F$8,1,MATCH('Rekomendasi HAV'!N122,'9 Grid'!$D$2:$F$2,0)),"")</f>
        <v>(ST) Within 12 - 18 month</v>
      </c>
    </row>
    <row r="123" spans="1:16" ht="14.25">
      <c r="A123" s="67">
        <v>122</v>
      </c>
      <c r="B123" s="68" t="str">
        <f>INDEX(Data_Assessment[],MATCH('Rekomendasi HAV'!$A123,Data_Assessment[[INDEX]:[INDEX]],0),MATCH('Rekomendasi HAV'!B$1,Data_Assessment[#Headers],0))</f>
        <v>Aden Sudomo Siregar</v>
      </c>
      <c r="C123" s="68" t="str">
        <f>INDEX(Data_Assessment[],MATCH('Rekomendasi HAV'!$A123,Data_Assessment[[INDEX]:[INDEX]],0),MATCH('Rekomendasi HAV'!C$1,Data_Assessment[#Headers],0))</f>
        <v>Medan</v>
      </c>
      <c r="D123" s="68" t="str">
        <f>INDEX(Data_Assessment[],MATCH('Rekomendasi HAV'!$A123,Data_Assessment[[INDEX]:[INDEX]],0),MATCH('Rekomendasi HAV'!D$1,Data_Assessment[#Headers],0))</f>
        <v>LSIP - RO Medan</v>
      </c>
      <c r="E123" s="68">
        <f>INDEX(Data_Assessment[],MATCH('Rekomendasi HAV'!$B123,Data_Assessment[[NAME]:[NAME]],0),MATCH('Rekomendasi HAV'!E$1,Data_Assessment[#Headers],0))</f>
        <v>0</v>
      </c>
      <c r="F123" s="68"/>
      <c r="G123" s="68">
        <f>IF(ISNUMBER(SEARCH("DEV",Assessment[[#This Row],[JOB TARGET]])),SUBSTITUTE(Assessment[[#This Row],[JOB TARGET]],"DEV","EST"),Assessment[[#This Row],[JOB TARGET]])</f>
        <v>0</v>
      </c>
      <c r="H123" s="146" t="str" cm="1">
        <f t="array" aca="1" ref="H123" ca="1">IF(Assessment[[#This Row],[JOB TARGET]]="","Job Target Kosong",IF(COUNT(IF('Data Assessment'!$N123:$Z123-OFFSET(Standar!$B$2,MATCH(Assessment[[#This Row],[JOB TARGET
(EST)]],Standar[NAMA JABATAN],0)-1,1,1,13)&lt;0,1,""))&lt;=3,'9 Grid'!$B$4,IF(COUNT(IF('Data Assessment'!$N123:$Z123-OFFSET(Standar!$B$2,MATCH(Assessment[[#This Row],[JOB TARGET]],Standar[NAMA JABATAN],0)-1,1,1,13)&lt;0,1,""))&gt;=7,'9 Grid'!$B$6,'9 Grid'!$B$5)))</f>
        <v>Job Target Kosong</v>
      </c>
      <c r="I123" s="146" t="str">
        <f>IFERROR(IF(Data_Assessment[[#This Row],[IPP (3 YEARS AVERAGE)]]="","(IPP Belum Ada)",IF(Data_Assessment[[#This Row],[IPP (3 YEARS AVERAGE)]]&lt;2,'9 Grid'!$F$2,IF(Data_Assessment[[#This Row],[IPP (3 YEARS AVERAGE)]]&gt;=4,'9 Grid'!$D$2,'9 Grid'!$E$2))),"")</f>
        <v>Exceptional Performance</v>
      </c>
      <c r="J123" s="146" t="str">
        <f ca="1">IFERROR(INDEX('9 Grid'!$D$4:$F$6,MATCH('Rekomendasi HAV'!H123,'9 Grid'!$B$4:$B$6,0),MATCH('Rekomendasi HAV'!I123,'9 Grid'!$D$2:$F$2,0)),"")</f>
        <v/>
      </c>
      <c r="K123" s="146" t="str">
        <f>IFERROR(INDEX('9 Grid'!$D$8:$F$8,1,MATCH('Rekomendasi HAV'!I123,'9 Grid'!$D$2:$F$2,0)),"")</f>
        <v>(I) Immediately</v>
      </c>
      <c r="L123" s="146">
        <f>IF(ISNUMBER(SEARCH("EST",Assessment[[#This Row],[JOB TARGET]])),SUBSTITUTE(Assessment[[#This Row],[JOB TARGET]],"EST","DEV"),Assessment[[#This Row],[JOB TARGET]])</f>
        <v>0</v>
      </c>
      <c r="M123" s="146" t="str" cm="1">
        <f t="array" aca="1" ref="M123" ca="1">IF(Assessment[[#This Row],[JOB TARGET]]="","Job Target Kosong",IF(COUNT(IF('Data Assessment'!$N123:$Z123-OFFSET(Standar!$B$2,MATCH(Assessment[[#This Row],[JOB TARGET
(DEV)]],Standar[NAMA JABATAN],0)-1,1,1,13)&lt;0,1,""))&lt;=3,'9 Grid'!$B$4,IF(COUNT(IF('Data Assessment'!$N123:$Z123-OFFSET(Standar!$B$2,MATCH(Assessment[[#This Row],[JOB TARGET
(DEV)]],Standar[NAMA JABATAN],0)-1,1,1,13)&lt;0,1,""))&gt;=7,'9 Grid'!$B$6,'9 Grid'!$B$5)))</f>
        <v>Job Target Kosong</v>
      </c>
      <c r="N123" s="146" t="str">
        <f>IFERROR(IF(Data_Assessment[[#This Row],[IPP (3 YEARS AVERAGE)]]="","(IPP Belum Ada)",IF(Data_Assessment[[#This Row],[IPP (3 YEARS AVERAGE)]]&lt;2,'9 Grid'!$F$2,IF(Data_Assessment[[#This Row],[IPP (3 YEARS AVERAGE)]]&gt;=4,'9 Grid'!$D$2,'9 Grid'!$E$2))),"")</f>
        <v>Exceptional Performance</v>
      </c>
      <c r="O123" s="146" t="str">
        <f ca="1">IFERROR(INDEX('9 Grid'!$D$4:$F$6,MATCH('Rekomendasi HAV'!M123,'9 Grid'!$B$4:$B$6,0),MATCH('Rekomendasi HAV'!N123,'9 Grid'!$D$2:$F$2,0)),"")</f>
        <v/>
      </c>
      <c r="P123" s="147" t="str">
        <f>IFERROR(INDEX('9 Grid'!$D$8:$F$8,1,MATCH('Rekomendasi HAV'!N123,'9 Grid'!$D$2:$F$2,0)),"")</f>
        <v>(I) Immediately</v>
      </c>
    </row>
    <row r="124" spans="1:16" ht="28.5">
      <c r="A124" s="67">
        <v>123</v>
      </c>
      <c r="B124" s="68" t="str">
        <f>INDEX(Data_Assessment[],MATCH('Rekomendasi HAV'!$A124,Data_Assessment[[INDEX]:[INDEX]],0),MATCH('Rekomendasi HAV'!B$1,Data_Assessment[#Headers],0))</f>
        <v>Hendri Suprawono</v>
      </c>
      <c r="C124" s="68" t="str">
        <f>INDEX(Data_Assessment[],MATCH('Rekomendasi HAV'!$A124,Data_Assessment[[INDEX]:[INDEX]],0),MATCH('Rekomendasi HAV'!C$1,Data_Assessment[#Headers],0))</f>
        <v>Sumatera Selatan</v>
      </c>
      <c r="D124" s="68" t="str">
        <f>INDEX(Data_Assessment[],MATCH('Rekomendasi HAV'!$A124,Data_Assessment[[INDEX]:[INDEX]],0),MATCH('Rekomendasi HAV'!D$1,Data_Assessment[#Headers],0))</f>
        <v>LSIP - RO Palembang</v>
      </c>
      <c r="E124" s="68">
        <f>INDEX(Data_Assessment[],MATCH('Rekomendasi HAV'!$B124,Data_Assessment[[NAME]:[NAME]],0),MATCH('Rekomendasi HAV'!E$1,Data_Assessment[#Headers],0))</f>
        <v>0</v>
      </c>
      <c r="F124" s="68"/>
      <c r="G124" s="68">
        <f>IF(ISNUMBER(SEARCH("DEV",Assessment[[#This Row],[JOB TARGET]])),SUBSTITUTE(Assessment[[#This Row],[JOB TARGET]],"DEV","EST"),Assessment[[#This Row],[JOB TARGET]])</f>
        <v>0</v>
      </c>
      <c r="H124" s="146" t="str" cm="1">
        <f t="array" aca="1" ref="H124" ca="1">IF(Assessment[[#This Row],[JOB TARGET]]="","Job Target Kosong",IF(COUNT(IF('Data Assessment'!$N124:$Z124-OFFSET(Standar!$B$2,MATCH(Assessment[[#This Row],[JOB TARGET
(EST)]],Standar[NAMA JABATAN],0)-1,1,1,13)&lt;0,1,""))&lt;=3,'9 Grid'!$B$4,IF(COUNT(IF('Data Assessment'!$N124:$Z124-OFFSET(Standar!$B$2,MATCH(Assessment[[#This Row],[JOB TARGET]],Standar[NAMA JABATAN],0)-1,1,1,13)&lt;0,1,""))&gt;=7,'9 Grid'!$B$6,'9 Grid'!$B$5)))</f>
        <v>Job Target Kosong</v>
      </c>
      <c r="I124" s="146" t="str">
        <f>IFERROR(IF(Data_Assessment[[#This Row],[IPP (3 YEARS AVERAGE)]]="","(IPP Belum Ada)",IF(Data_Assessment[[#This Row],[IPP (3 YEARS AVERAGE)]]&lt;2,'9 Grid'!$F$2,IF(Data_Assessment[[#This Row],[IPP (3 YEARS AVERAGE)]]&gt;=4,'9 Grid'!$D$2,'9 Grid'!$E$2))),"")</f>
        <v>Contributor</v>
      </c>
      <c r="J124" s="146" t="str">
        <f ca="1">IFERROR(INDEX('9 Grid'!$D$4:$F$6,MATCH('Rekomendasi HAV'!H124,'9 Grid'!$B$4:$B$6,0),MATCH('Rekomendasi HAV'!I124,'9 Grid'!$D$2:$F$2,0)),"")</f>
        <v/>
      </c>
      <c r="K124" s="146" t="str">
        <f>IFERROR(INDEX('9 Grid'!$D$8:$F$8,1,MATCH('Rekomendasi HAV'!I124,'9 Grid'!$D$2:$F$2,0)),"")</f>
        <v>(LT) More 2 - 3 year</v>
      </c>
      <c r="L124" s="146">
        <f>IF(ISNUMBER(SEARCH("EST",Assessment[[#This Row],[JOB TARGET]])),SUBSTITUTE(Assessment[[#This Row],[JOB TARGET]],"EST","DEV"),Assessment[[#This Row],[JOB TARGET]])</f>
        <v>0</v>
      </c>
      <c r="M124" s="146" t="str" cm="1">
        <f t="array" aca="1" ref="M124" ca="1">IF(Assessment[[#This Row],[JOB TARGET]]="","Job Target Kosong",IF(COUNT(IF('Data Assessment'!$N124:$Z124-OFFSET(Standar!$B$2,MATCH(Assessment[[#This Row],[JOB TARGET
(DEV)]],Standar[NAMA JABATAN],0)-1,1,1,13)&lt;0,1,""))&lt;=3,'9 Grid'!$B$4,IF(COUNT(IF('Data Assessment'!$N124:$Z124-OFFSET(Standar!$B$2,MATCH(Assessment[[#This Row],[JOB TARGET
(DEV)]],Standar[NAMA JABATAN],0)-1,1,1,13)&lt;0,1,""))&gt;=7,'9 Grid'!$B$6,'9 Grid'!$B$5)))</f>
        <v>Job Target Kosong</v>
      </c>
      <c r="N124" s="146" t="str">
        <f>IFERROR(IF(Data_Assessment[[#This Row],[IPP (3 YEARS AVERAGE)]]="","(IPP Belum Ada)",IF(Data_Assessment[[#This Row],[IPP (3 YEARS AVERAGE)]]&lt;2,'9 Grid'!$F$2,IF(Data_Assessment[[#This Row],[IPP (3 YEARS AVERAGE)]]&gt;=4,'9 Grid'!$D$2,'9 Grid'!$E$2))),"")</f>
        <v>Contributor</v>
      </c>
      <c r="O124" s="146" t="str">
        <f ca="1">IFERROR(INDEX('9 Grid'!$D$4:$F$6,MATCH('Rekomendasi HAV'!M124,'9 Grid'!$B$4:$B$6,0),MATCH('Rekomendasi HAV'!N124,'9 Grid'!$D$2:$F$2,0)),"")</f>
        <v/>
      </c>
      <c r="P124" s="147" t="str">
        <f>IFERROR(INDEX('9 Grid'!$D$8:$F$8,1,MATCH('Rekomendasi HAV'!N124,'9 Grid'!$D$2:$F$2,0)),"")</f>
        <v>(LT) More 2 - 3 year</v>
      </c>
    </row>
    <row r="125" spans="1:16" ht="28.5">
      <c r="A125" s="67">
        <v>124</v>
      </c>
      <c r="B125" s="68" t="str">
        <f>INDEX(Data_Assessment[],MATCH('Rekomendasi HAV'!$A125,Data_Assessment[[INDEX]:[INDEX]],0),MATCH('Rekomendasi HAV'!B$1,Data_Assessment[#Headers],0))</f>
        <v>J. Tarigan</v>
      </c>
      <c r="C125" s="68" t="str">
        <f>INDEX(Data_Assessment[],MATCH('Rekomendasi HAV'!$A125,Data_Assessment[[INDEX]:[INDEX]],0),MATCH('Rekomendasi HAV'!C$1,Data_Assessment[#Headers],0))</f>
        <v>Medan</v>
      </c>
      <c r="D125" s="68" t="str">
        <f>INDEX(Data_Assessment[],MATCH('Rekomendasi HAV'!$A125,Data_Assessment[[INDEX]:[INDEX]],0),MATCH('Rekomendasi HAV'!D$1,Data_Assessment[#Headers],0))</f>
        <v>LSIP - RO Medan</v>
      </c>
      <c r="E125" s="68">
        <f>INDEX(Data_Assessment[],MATCH('Rekomendasi HAV'!$B125,Data_Assessment[[NAME]:[NAME]],0),MATCH('Rekomendasi HAV'!E$1,Data_Assessment[#Headers],0))</f>
        <v>0</v>
      </c>
      <c r="F125" s="68"/>
      <c r="G125" s="68">
        <f>IF(ISNUMBER(SEARCH("DEV",Assessment[[#This Row],[JOB TARGET]])),SUBSTITUTE(Assessment[[#This Row],[JOB TARGET]],"DEV","EST"),Assessment[[#This Row],[JOB TARGET]])</f>
        <v>0</v>
      </c>
      <c r="H125" s="146" t="str" cm="1">
        <f t="array" aca="1" ref="H125" ca="1">IF(Assessment[[#This Row],[JOB TARGET]]="","Job Target Kosong",IF(COUNT(IF('Data Assessment'!$N125:$Z125-OFFSET(Standar!$B$2,MATCH(Assessment[[#This Row],[JOB TARGET
(EST)]],Standar[NAMA JABATAN],0)-1,1,1,13)&lt;0,1,""))&lt;=3,'9 Grid'!$B$4,IF(COUNT(IF('Data Assessment'!$N125:$Z125-OFFSET(Standar!$B$2,MATCH(Assessment[[#This Row],[JOB TARGET]],Standar[NAMA JABATAN],0)-1,1,1,13)&lt;0,1,""))&gt;=7,'9 Grid'!$B$6,'9 Grid'!$B$5)))</f>
        <v>Job Target Kosong</v>
      </c>
      <c r="I125" s="146" t="str">
        <f>IFERROR(IF(Data_Assessment[[#This Row],[IPP (3 YEARS AVERAGE)]]="","(IPP Belum Ada)",IF(Data_Assessment[[#This Row],[IPP (3 YEARS AVERAGE)]]&lt;2,'9 Grid'!$F$2,IF(Data_Assessment[[#This Row],[IPP (3 YEARS AVERAGE)]]&gt;=4,'9 Grid'!$D$2,'9 Grid'!$E$2))),"")</f>
        <v>Fully Competence Performance</v>
      </c>
      <c r="J125" s="146" t="str">
        <f ca="1">IFERROR(INDEX('9 Grid'!$D$4:$F$6,MATCH('Rekomendasi HAV'!H125,'9 Grid'!$B$4:$B$6,0),MATCH('Rekomendasi HAV'!I125,'9 Grid'!$D$2:$F$2,0)),"")</f>
        <v/>
      </c>
      <c r="K125" s="146" t="str">
        <f>IFERROR(INDEX('9 Grid'!$D$8:$F$8,1,MATCH('Rekomendasi HAV'!I125,'9 Grid'!$D$2:$F$2,0)),"")</f>
        <v>(ST) Within 12 - 18 month</v>
      </c>
      <c r="L125" s="146">
        <f>IF(ISNUMBER(SEARCH("EST",Assessment[[#This Row],[JOB TARGET]])),SUBSTITUTE(Assessment[[#This Row],[JOB TARGET]],"EST","DEV"),Assessment[[#This Row],[JOB TARGET]])</f>
        <v>0</v>
      </c>
      <c r="M125" s="146" t="str" cm="1">
        <f t="array" aca="1" ref="M125" ca="1">IF(Assessment[[#This Row],[JOB TARGET]]="","Job Target Kosong",IF(COUNT(IF('Data Assessment'!$N125:$Z125-OFFSET(Standar!$B$2,MATCH(Assessment[[#This Row],[JOB TARGET
(DEV)]],Standar[NAMA JABATAN],0)-1,1,1,13)&lt;0,1,""))&lt;=3,'9 Grid'!$B$4,IF(COUNT(IF('Data Assessment'!$N125:$Z125-OFFSET(Standar!$B$2,MATCH(Assessment[[#This Row],[JOB TARGET
(DEV)]],Standar[NAMA JABATAN],0)-1,1,1,13)&lt;0,1,""))&gt;=7,'9 Grid'!$B$6,'9 Grid'!$B$5)))</f>
        <v>Job Target Kosong</v>
      </c>
      <c r="N125" s="146" t="str">
        <f>IFERROR(IF(Data_Assessment[[#This Row],[IPP (3 YEARS AVERAGE)]]="","(IPP Belum Ada)",IF(Data_Assessment[[#This Row],[IPP (3 YEARS AVERAGE)]]&lt;2,'9 Grid'!$F$2,IF(Data_Assessment[[#This Row],[IPP (3 YEARS AVERAGE)]]&gt;=4,'9 Grid'!$D$2,'9 Grid'!$E$2))),"")</f>
        <v>Fully Competence Performance</v>
      </c>
      <c r="O125" s="146" t="str">
        <f ca="1">IFERROR(INDEX('9 Grid'!$D$4:$F$6,MATCH('Rekomendasi HAV'!M125,'9 Grid'!$B$4:$B$6,0),MATCH('Rekomendasi HAV'!N125,'9 Grid'!$D$2:$F$2,0)),"")</f>
        <v/>
      </c>
      <c r="P125" s="147" t="str">
        <f>IFERROR(INDEX('9 Grid'!$D$8:$F$8,1,MATCH('Rekomendasi HAV'!N125,'9 Grid'!$D$2:$F$2,0)),"")</f>
        <v>(ST) Within 12 - 18 month</v>
      </c>
    </row>
    <row r="126" spans="1:16" ht="28.5">
      <c r="A126" s="67">
        <v>125</v>
      </c>
      <c r="B126" s="68" t="str">
        <f>INDEX(Data_Assessment[],MATCH('Rekomendasi HAV'!$A126,Data_Assessment[[INDEX]:[INDEX]],0),MATCH('Rekomendasi HAV'!B$1,Data_Assessment[#Headers],0))</f>
        <v>Pandu Winata</v>
      </c>
      <c r="C126" s="68" t="str">
        <f>INDEX(Data_Assessment[],MATCH('Rekomendasi HAV'!$A126,Data_Assessment[[INDEX]:[INDEX]],0),MATCH('Rekomendasi HAV'!C$1,Data_Assessment[#Headers],0))</f>
        <v>Sumatera Selatan</v>
      </c>
      <c r="D126" s="68" t="str">
        <f>INDEX(Data_Assessment[],MATCH('Rekomendasi HAV'!$A126,Data_Assessment[[INDEX]:[INDEX]],0),MATCH('Rekomendasi HAV'!D$1,Data_Assessment[#Headers],0))</f>
        <v>LSIP - RO Palembang</v>
      </c>
      <c r="E126" s="68">
        <f>INDEX(Data_Assessment[],MATCH('Rekomendasi HAV'!$B126,Data_Assessment[[NAME]:[NAME]],0),MATCH('Rekomendasi HAV'!E$1,Data_Assessment[#Headers],0))</f>
        <v>0</v>
      </c>
      <c r="F126" s="68"/>
      <c r="G126" s="68">
        <f>IF(ISNUMBER(SEARCH("DEV",Assessment[[#This Row],[JOB TARGET]])),SUBSTITUTE(Assessment[[#This Row],[JOB TARGET]],"DEV","EST"),Assessment[[#This Row],[JOB TARGET]])</f>
        <v>0</v>
      </c>
      <c r="H126" s="146" t="str" cm="1">
        <f t="array" aca="1" ref="H126" ca="1">IF(Assessment[[#This Row],[JOB TARGET]]="","Job Target Kosong",IF(COUNT(IF('Data Assessment'!$N126:$Z126-OFFSET(Standar!$B$2,MATCH(Assessment[[#This Row],[JOB TARGET
(EST)]],Standar[NAMA JABATAN],0)-1,1,1,13)&lt;0,1,""))&lt;=3,'9 Grid'!$B$4,IF(COUNT(IF('Data Assessment'!$N126:$Z126-OFFSET(Standar!$B$2,MATCH(Assessment[[#This Row],[JOB TARGET]],Standar[NAMA JABATAN],0)-1,1,1,13)&lt;0,1,""))&gt;=7,'9 Grid'!$B$6,'9 Grid'!$B$5)))</f>
        <v>Job Target Kosong</v>
      </c>
      <c r="I126" s="146" t="str">
        <f>IFERROR(IF(Data_Assessment[[#This Row],[IPP (3 YEARS AVERAGE)]]="","(IPP Belum Ada)",IF(Data_Assessment[[#This Row],[IPP (3 YEARS AVERAGE)]]&lt;2,'9 Grid'!$F$2,IF(Data_Assessment[[#This Row],[IPP (3 YEARS AVERAGE)]]&gt;=4,'9 Grid'!$D$2,'9 Grid'!$E$2))),"")</f>
        <v>Contributor</v>
      </c>
      <c r="J126" s="146" t="str">
        <f ca="1">IFERROR(INDEX('9 Grid'!$D$4:$F$6,MATCH('Rekomendasi HAV'!H126,'9 Grid'!$B$4:$B$6,0),MATCH('Rekomendasi HAV'!I126,'9 Grid'!$D$2:$F$2,0)),"")</f>
        <v/>
      </c>
      <c r="K126" s="146" t="str">
        <f>IFERROR(INDEX('9 Grid'!$D$8:$F$8,1,MATCH('Rekomendasi HAV'!I126,'9 Grid'!$D$2:$F$2,0)),"")</f>
        <v>(LT) More 2 - 3 year</v>
      </c>
      <c r="L126" s="146">
        <f>IF(ISNUMBER(SEARCH("EST",Assessment[[#This Row],[JOB TARGET]])),SUBSTITUTE(Assessment[[#This Row],[JOB TARGET]],"EST","DEV"),Assessment[[#This Row],[JOB TARGET]])</f>
        <v>0</v>
      </c>
      <c r="M126" s="146" t="str" cm="1">
        <f t="array" aca="1" ref="M126" ca="1">IF(Assessment[[#This Row],[JOB TARGET]]="","Job Target Kosong",IF(COUNT(IF('Data Assessment'!$N126:$Z126-OFFSET(Standar!$B$2,MATCH(Assessment[[#This Row],[JOB TARGET
(DEV)]],Standar[NAMA JABATAN],0)-1,1,1,13)&lt;0,1,""))&lt;=3,'9 Grid'!$B$4,IF(COUNT(IF('Data Assessment'!$N126:$Z126-OFFSET(Standar!$B$2,MATCH(Assessment[[#This Row],[JOB TARGET
(DEV)]],Standar[NAMA JABATAN],0)-1,1,1,13)&lt;0,1,""))&gt;=7,'9 Grid'!$B$6,'9 Grid'!$B$5)))</f>
        <v>Job Target Kosong</v>
      </c>
      <c r="N126" s="146" t="str">
        <f>IFERROR(IF(Data_Assessment[[#This Row],[IPP (3 YEARS AVERAGE)]]="","(IPP Belum Ada)",IF(Data_Assessment[[#This Row],[IPP (3 YEARS AVERAGE)]]&lt;2,'9 Grid'!$F$2,IF(Data_Assessment[[#This Row],[IPP (3 YEARS AVERAGE)]]&gt;=4,'9 Grid'!$D$2,'9 Grid'!$E$2))),"")</f>
        <v>Contributor</v>
      </c>
      <c r="O126" s="146" t="str">
        <f ca="1">IFERROR(INDEX('9 Grid'!$D$4:$F$6,MATCH('Rekomendasi HAV'!M126,'9 Grid'!$B$4:$B$6,0),MATCH('Rekomendasi HAV'!N126,'9 Grid'!$D$2:$F$2,0)),"")</f>
        <v/>
      </c>
      <c r="P126" s="147" t="str">
        <f>IFERROR(INDEX('9 Grid'!$D$8:$F$8,1,MATCH('Rekomendasi HAV'!N126,'9 Grid'!$D$2:$F$2,0)),"")</f>
        <v>(LT) More 2 - 3 year</v>
      </c>
    </row>
    <row r="127" spans="1:16" ht="28.5">
      <c r="A127" s="67">
        <v>126</v>
      </c>
      <c r="B127" s="68" t="str">
        <f>INDEX(Data_Assessment[],MATCH('Rekomendasi HAV'!$A127,Data_Assessment[[INDEX]:[INDEX]],0),MATCH('Rekomendasi HAV'!B$1,Data_Assessment[#Headers],0))</f>
        <v>Himawan Fazhly Siregar</v>
      </c>
      <c r="C127" s="68" t="str">
        <f>INDEX(Data_Assessment[],MATCH('Rekomendasi HAV'!$A127,Data_Assessment[[INDEX]:[INDEX]],0),MATCH('Rekomendasi HAV'!C$1,Data_Assessment[#Headers],0))</f>
        <v>Medan</v>
      </c>
      <c r="D127" s="68" t="str">
        <f>INDEX(Data_Assessment[],MATCH('Rekomendasi HAV'!$A127,Data_Assessment[[INDEX]:[INDEX]],0),MATCH('Rekomendasi HAV'!D$1,Data_Assessment[#Headers],0))</f>
        <v>LSIP - RO Medan</v>
      </c>
      <c r="E127" s="68">
        <f>INDEX(Data_Assessment[],MATCH('Rekomendasi HAV'!$B127,Data_Assessment[[NAME]:[NAME]],0),MATCH('Rekomendasi HAV'!E$1,Data_Assessment[#Headers],0))</f>
        <v>0</v>
      </c>
      <c r="F127" s="68"/>
      <c r="G127" s="68">
        <f>IF(ISNUMBER(SEARCH("DEV",Assessment[[#This Row],[JOB TARGET]])),SUBSTITUTE(Assessment[[#This Row],[JOB TARGET]],"DEV","EST"),Assessment[[#This Row],[JOB TARGET]])</f>
        <v>0</v>
      </c>
      <c r="H127" s="146" t="str" cm="1">
        <f t="array" aca="1" ref="H127" ca="1">IF(Assessment[[#This Row],[JOB TARGET]]="","Job Target Kosong",IF(COUNT(IF('Data Assessment'!$N127:$Z127-OFFSET(Standar!$B$2,MATCH(Assessment[[#This Row],[JOB TARGET
(EST)]],Standar[NAMA JABATAN],0)-1,1,1,13)&lt;0,1,""))&lt;=3,'9 Grid'!$B$4,IF(COUNT(IF('Data Assessment'!$N127:$Z127-OFFSET(Standar!$B$2,MATCH(Assessment[[#This Row],[JOB TARGET]],Standar[NAMA JABATAN],0)-1,1,1,13)&lt;0,1,""))&gt;=7,'9 Grid'!$B$6,'9 Grid'!$B$5)))</f>
        <v>Job Target Kosong</v>
      </c>
      <c r="I127" s="146" t="str">
        <f>IFERROR(IF(Data_Assessment[[#This Row],[IPP (3 YEARS AVERAGE)]]="","(IPP Belum Ada)",IF(Data_Assessment[[#This Row],[IPP (3 YEARS AVERAGE)]]&lt;2,'9 Grid'!$F$2,IF(Data_Assessment[[#This Row],[IPP (3 YEARS AVERAGE)]]&gt;=4,'9 Grid'!$D$2,'9 Grid'!$E$2))),"")</f>
        <v>Fully Competence Performance</v>
      </c>
      <c r="J127" s="146" t="str">
        <f ca="1">IFERROR(INDEX('9 Grid'!$D$4:$F$6,MATCH('Rekomendasi HAV'!H127,'9 Grid'!$B$4:$B$6,0),MATCH('Rekomendasi HAV'!I127,'9 Grid'!$D$2:$F$2,0)),"")</f>
        <v/>
      </c>
      <c r="K127" s="146" t="str">
        <f>IFERROR(INDEX('9 Grid'!$D$8:$F$8,1,MATCH('Rekomendasi HAV'!I127,'9 Grid'!$D$2:$F$2,0)),"")</f>
        <v>(ST) Within 12 - 18 month</v>
      </c>
      <c r="L127" s="146">
        <f>IF(ISNUMBER(SEARCH("EST",Assessment[[#This Row],[JOB TARGET]])),SUBSTITUTE(Assessment[[#This Row],[JOB TARGET]],"EST","DEV"),Assessment[[#This Row],[JOB TARGET]])</f>
        <v>0</v>
      </c>
      <c r="M127" s="146" t="str" cm="1">
        <f t="array" aca="1" ref="M127" ca="1">IF(Assessment[[#This Row],[JOB TARGET]]="","Job Target Kosong",IF(COUNT(IF('Data Assessment'!$N127:$Z127-OFFSET(Standar!$B$2,MATCH(Assessment[[#This Row],[JOB TARGET
(DEV)]],Standar[NAMA JABATAN],0)-1,1,1,13)&lt;0,1,""))&lt;=3,'9 Grid'!$B$4,IF(COUNT(IF('Data Assessment'!$N127:$Z127-OFFSET(Standar!$B$2,MATCH(Assessment[[#This Row],[JOB TARGET
(DEV)]],Standar[NAMA JABATAN],0)-1,1,1,13)&lt;0,1,""))&gt;=7,'9 Grid'!$B$6,'9 Grid'!$B$5)))</f>
        <v>Job Target Kosong</v>
      </c>
      <c r="N127" s="146" t="str">
        <f>IFERROR(IF(Data_Assessment[[#This Row],[IPP (3 YEARS AVERAGE)]]="","(IPP Belum Ada)",IF(Data_Assessment[[#This Row],[IPP (3 YEARS AVERAGE)]]&lt;2,'9 Grid'!$F$2,IF(Data_Assessment[[#This Row],[IPP (3 YEARS AVERAGE)]]&gt;=4,'9 Grid'!$D$2,'9 Grid'!$E$2))),"")</f>
        <v>Fully Competence Performance</v>
      </c>
      <c r="O127" s="146" t="str">
        <f ca="1">IFERROR(INDEX('9 Grid'!$D$4:$F$6,MATCH('Rekomendasi HAV'!M127,'9 Grid'!$B$4:$B$6,0),MATCH('Rekomendasi HAV'!N127,'9 Grid'!$D$2:$F$2,0)),"")</f>
        <v/>
      </c>
      <c r="P127" s="147" t="str">
        <f>IFERROR(INDEX('9 Grid'!$D$8:$F$8,1,MATCH('Rekomendasi HAV'!N127,'9 Grid'!$D$2:$F$2,0)),"")</f>
        <v>(ST) Within 12 - 18 month</v>
      </c>
    </row>
    <row r="128" spans="1:16" ht="28.5">
      <c r="A128" s="67">
        <v>127</v>
      </c>
      <c r="B128" s="68" t="str">
        <f>INDEX(Data_Assessment[],MATCH('Rekomendasi HAV'!$A128,Data_Assessment[[INDEX]:[INDEX]],0),MATCH('Rekomendasi HAV'!B$1,Data_Assessment[#Headers],0))</f>
        <v>Fiyang Arfiyanto</v>
      </c>
      <c r="C128" s="68" t="str">
        <f>INDEX(Data_Assessment[],MATCH('Rekomendasi HAV'!$A128,Data_Assessment[[INDEX]:[INDEX]],0),MATCH('Rekomendasi HAV'!C$1,Data_Assessment[#Headers],0))</f>
        <v>Sumatera Selatan</v>
      </c>
      <c r="D128" s="68" t="str">
        <f>INDEX(Data_Assessment[],MATCH('Rekomendasi HAV'!$A128,Data_Assessment[[INDEX]:[INDEX]],0),MATCH('Rekomendasi HAV'!D$1,Data_Assessment[#Headers],0))</f>
        <v>LSIP - RO Palembang</v>
      </c>
      <c r="E128" s="68">
        <f>INDEX(Data_Assessment[],MATCH('Rekomendasi HAV'!$B128,Data_Assessment[[NAME]:[NAME]],0),MATCH('Rekomendasi HAV'!E$1,Data_Assessment[#Headers],0))</f>
        <v>0</v>
      </c>
      <c r="F128" s="68"/>
      <c r="G128" s="68">
        <f>IF(ISNUMBER(SEARCH("DEV",Assessment[[#This Row],[JOB TARGET]])),SUBSTITUTE(Assessment[[#This Row],[JOB TARGET]],"DEV","EST"),Assessment[[#This Row],[JOB TARGET]])</f>
        <v>0</v>
      </c>
      <c r="H128" s="146" t="str" cm="1">
        <f t="array" aca="1" ref="H128" ca="1">IF(Assessment[[#This Row],[JOB TARGET]]="","Job Target Kosong",IF(COUNT(IF('Data Assessment'!$N128:$Z128-OFFSET(Standar!$B$2,MATCH(Assessment[[#This Row],[JOB TARGET
(EST)]],Standar[NAMA JABATAN],0)-1,1,1,13)&lt;0,1,""))&lt;=3,'9 Grid'!$B$4,IF(COUNT(IF('Data Assessment'!$N128:$Z128-OFFSET(Standar!$B$2,MATCH(Assessment[[#This Row],[JOB TARGET]],Standar[NAMA JABATAN],0)-1,1,1,13)&lt;0,1,""))&gt;=7,'9 Grid'!$B$6,'9 Grid'!$B$5)))</f>
        <v>Job Target Kosong</v>
      </c>
      <c r="I128" s="146" t="str">
        <f>IFERROR(IF(Data_Assessment[[#This Row],[IPP (3 YEARS AVERAGE)]]="","(IPP Belum Ada)",IF(Data_Assessment[[#This Row],[IPP (3 YEARS AVERAGE)]]&lt;2,'9 Grid'!$F$2,IF(Data_Assessment[[#This Row],[IPP (3 YEARS AVERAGE)]]&gt;=4,'9 Grid'!$D$2,'9 Grid'!$E$2))),"")</f>
        <v>Contributor</v>
      </c>
      <c r="J128" s="146" t="str">
        <f ca="1">IFERROR(INDEX('9 Grid'!$D$4:$F$6,MATCH('Rekomendasi HAV'!H128,'9 Grid'!$B$4:$B$6,0),MATCH('Rekomendasi HAV'!I128,'9 Grid'!$D$2:$F$2,0)),"")</f>
        <v/>
      </c>
      <c r="K128" s="146" t="str">
        <f>IFERROR(INDEX('9 Grid'!$D$8:$F$8,1,MATCH('Rekomendasi HAV'!I128,'9 Grid'!$D$2:$F$2,0)),"")</f>
        <v>(LT) More 2 - 3 year</v>
      </c>
      <c r="L128" s="146">
        <f>IF(ISNUMBER(SEARCH("EST",Assessment[[#This Row],[JOB TARGET]])),SUBSTITUTE(Assessment[[#This Row],[JOB TARGET]],"EST","DEV"),Assessment[[#This Row],[JOB TARGET]])</f>
        <v>0</v>
      </c>
      <c r="M128" s="146" t="str" cm="1">
        <f t="array" aca="1" ref="M128" ca="1">IF(Assessment[[#This Row],[JOB TARGET]]="","Job Target Kosong",IF(COUNT(IF('Data Assessment'!$N128:$Z128-OFFSET(Standar!$B$2,MATCH(Assessment[[#This Row],[JOB TARGET
(DEV)]],Standar[NAMA JABATAN],0)-1,1,1,13)&lt;0,1,""))&lt;=3,'9 Grid'!$B$4,IF(COUNT(IF('Data Assessment'!$N128:$Z128-OFFSET(Standar!$B$2,MATCH(Assessment[[#This Row],[JOB TARGET
(DEV)]],Standar[NAMA JABATAN],0)-1,1,1,13)&lt;0,1,""))&gt;=7,'9 Grid'!$B$6,'9 Grid'!$B$5)))</f>
        <v>Job Target Kosong</v>
      </c>
      <c r="N128" s="146" t="str">
        <f>IFERROR(IF(Data_Assessment[[#This Row],[IPP (3 YEARS AVERAGE)]]="","(IPP Belum Ada)",IF(Data_Assessment[[#This Row],[IPP (3 YEARS AVERAGE)]]&lt;2,'9 Grid'!$F$2,IF(Data_Assessment[[#This Row],[IPP (3 YEARS AVERAGE)]]&gt;=4,'9 Grid'!$D$2,'9 Grid'!$E$2))),"")</f>
        <v>Contributor</v>
      </c>
      <c r="O128" s="146" t="str">
        <f ca="1">IFERROR(INDEX('9 Grid'!$D$4:$F$6,MATCH('Rekomendasi HAV'!M128,'9 Grid'!$B$4:$B$6,0),MATCH('Rekomendasi HAV'!N128,'9 Grid'!$D$2:$F$2,0)),"")</f>
        <v/>
      </c>
      <c r="P128" s="147" t="str">
        <f>IFERROR(INDEX('9 Grid'!$D$8:$F$8,1,MATCH('Rekomendasi HAV'!N128,'9 Grid'!$D$2:$F$2,0)),"")</f>
        <v>(LT) More 2 - 3 year</v>
      </c>
    </row>
    <row r="129" spans="1:16" ht="28.5">
      <c r="A129" s="67">
        <v>128</v>
      </c>
      <c r="B129" s="68" t="str">
        <f>INDEX(Data_Assessment[],MATCH('Rekomendasi HAV'!$A129,Data_Assessment[[INDEX]:[INDEX]],0),MATCH('Rekomendasi HAV'!B$1,Data_Assessment[#Headers],0))</f>
        <v>Ian Rulo Sembiring</v>
      </c>
      <c r="C129" s="68" t="str">
        <f>INDEX(Data_Assessment[],MATCH('Rekomendasi HAV'!$A129,Data_Assessment[[INDEX]:[INDEX]],0),MATCH('Rekomendasi HAV'!C$1,Data_Assessment[#Headers],0))</f>
        <v>Medan</v>
      </c>
      <c r="D129" s="68" t="str">
        <f>INDEX(Data_Assessment[],MATCH('Rekomendasi HAV'!$A129,Data_Assessment[[INDEX]:[INDEX]],0),MATCH('Rekomendasi HAV'!D$1,Data_Assessment[#Headers],0))</f>
        <v>LSIP - RO Medan</v>
      </c>
      <c r="E129" s="68">
        <f>INDEX(Data_Assessment[],MATCH('Rekomendasi HAV'!$B129,Data_Assessment[[NAME]:[NAME]],0),MATCH('Rekomendasi HAV'!E$1,Data_Assessment[#Headers],0))</f>
        <v>0</v>
      </c>
      <c r="F129" s="68"/>
      <c r="G129" s="68">
        <f>IF(ISNUMBER(SEARCH("DEV",Assessment[[#This Row],[JOB TARGET]])),SUBSTITUTE(Assessment[[#This Row],[JOB TARGET]],"DEV","EST"),Assessment[[#This Row],[JOB TARGET]])</f>
        <v>0</v>
      </c>
      <c r="H129" s="146" t="str" cm="1">
        <f t="array" aca="1" ref="H129" ca="1">IF(Assessment[[#This Row],[JOB TARGET]]="","Job Target Kosong",IF(COUNT(IF('Data Assessment'!$N129:$Z129-OFFSET(Standar!$B$2,MATCH(Assessment[[#This Row],[JOB TARGET
(EST)]],Standar[NAMA JABATAN],0)-1,1,1,13)&lt;0,1,""))&lt;=3,'9 Grid'!$B$4,IF(COUNT(IF('Data Assessment'!$N129:$Z129-OFFSET(Standar!$B$2,MATCH(Assessment[[#This Row],[JOB TARGET]],Standar[NAMA JABATAN],0)-1,1,1,13)&lt;0,1,""))&gt;=7,'9 Grid'!$B$6,'9 Grid'!$B$5)))</f>
        <v>Job Target Kosong</v>
      </c>
      <c r="I129" s="146" t="str">
        <f>IFERROR(IF(Data_Assessment[[#This Row],[IPP (3 YEARS AVERAGE)]]="","(IPP Belum Ada)",IF(Data_Assessment[[#This Row],[IPP (3 YEARS AVERAGE)]]&lt;2,'9 Grid'!$F$2,IF(Data_Assessment[[#This Row],[IPP (3 YEARS AVERAGE)]]&gt;=4,'9 Grid'!$D$2,'9 Grid'!$E$2))),"")</f>
        <v>Fully Competence Performance</v>
      </c>
      <c r="J129" s="146" t="str">
        <f ca="1">IFERROR(INDEX('9 Grid'!$D$4:$F$6,MATCH('Rekomendasi HAV'!H129,'9 Grid'!$B$4:$B$6,0),MATCH('Rekomendasi HAV'!I129,'9 Grid'!$D$2:$F$2,0)),"")</f>
        <v/>
      </c>
      <c r="K129" s="146" t="str">
        <f>IFERROR(INDEX('9 Grid'!$D$8:$F$8,1,MATCH('Rekomendasi HAV'!I129,'9 Grid'!$D$2:$F$2,0)),"")</f>
        <v>(ST) Within 12 - 18 month</v>
      </c>
      <c r="L129" s="146">
        <f>IF(ISNUMBER(SEARCH("EST",Assessment[[#This Row],[JOB TARGET]])),SUBSTITUTE(Assessment[[#This Row],[JOB TARGET]],"EST","DEV"),Assessment[[#This Row],[JOB TARGET]])</f>
        <v>0</v>
      </c>
      <c r="M129" s="146" t="str" cm="1">
        <f t="array" aca="1" ref="M129" ca="1">IF(Assessment[[#This Row],[JOB TARGET]]="","Job Target Kosong",IF(COUNT(IF('Data Assessment'!$N129:$Z129-OFFSET(Standar!$B$2,MATCH(Assessment[[#This Row],[JOB TARGET
(DEV)]],Standar[NAMA JABATAN],0)-1,1,1,13)&lt;0,1,""))&lt;=3,'9 Grid'!$B$4,IF(COUNT(IF('Data Assessment'!$N129:$Z129-OFFSET(Standar!$B$2,MATCH(Assessment[[#This Row],[JOB TARGET
(DEV)]],Standar[NAMA JABATAN],0)-1,1,1,13)&lt;0,1,""))&gt;=7,'9 Grid'!$B$6,'9 Grid'!$B$5)))</f>
        <v>Job Target Kosong</v>
      </c>
      <c r="N129" s="146" t="str">
        <f>IFERROR(IF(Data_Assessment[[#This Row],[IPP (3 YEARS AVERAGE)]]="","(IPP Belum Ada)",IF(Data_Assessment[[#This Row],[IPP (3 YEARS AVERAGE)]]&lt;2,'9 Grid'!$F$2,IF(Data_Assessment[[#This Row],[IPP (3 YEARS AVERAGE)]]&gt;=4,'9 Grid'!$D$2,'9 Grid'!$E$2))),"")</f>
        <v>Fully Competence Performance</v>
      </c>
      <c r="O129" s="146" t="str">
        <f ca="1">IFERROR(INDEX('9 Grid'!$D$4:$F$6,MATCH('Rekomendasi HAV'!M129,'9 Grid'!$B$4:$B$6,0),MATCH('Rekomendasi HAV'!N129,'9 Grid'!$D$2:$F$2,0)),"")</f>
        <v/>
      </c>
      <c r="P129" s="147" t="str">
        <f>IFERROR(INDEX('9 Grid'!$D$8:$F$8,1,MATCH('Rekomendasi HAV'!N129,'9 Grid'!$D$2:$F$2,0)),"")</f>
        <v>(ST) Within 12 - 18 month</v>
      </c>
    </row>
    <row r="130" spans="1:16" ht="28.5">
      <c r="A130" s="67">
        <v>129</v>
      </c>
      <c r="B130" s="68" t="str">
        <f>INDEX(Data_Assessment[],MATCH('Rekomendasi HAV'!$A130,Data_Assessment[[INDEX]:[INDEX]],0),MATCH('Rekomendasi HAV'!B$1,Data_Assessment[#Headers],0))</f>
        <v>Firman Rizki Harahap</v>
      </c>
      <c r="C130" s="68" t="str">
        <f>INDEX(Data_Assessment[],MATCH('Rekomendasi HAV'!$A130,Data_Assessment[[INDEX]:[INDEX]],0),MATCH('Rekomendasi HAV'!C$1,Data_Assessment[#Headers],0))</f>
        <v>Sumatera Utara</v>
      </c>
      <c r="D130" s="68" t="str">
        <f>INDEX(Data_Assessment[],MATCH('Rekomendasi HAV'!$A130,Data_Assessment[[INDEX]:[INDEX]],0),MATCH('Rekomendasi HAV'!D$1,Data_Assessment[#Headers],0))</f>
        <v>LSIP - Pahu Makmur Estate</v>
      </c>
      <c r="E130" s="68">
        <f>INDEX(Data_Assessment[],MATCH('Rekomendasi HAV'!$B130,Data_Assessment[[NAME]:[NAME]],0),MATCH('Rekomendasi HAV'!E$1,Data_Assessment[#Headers],0))</f>
        <v>0</v>
      </c>
      <c r="F130" s="68"/>
      <c r="G130" s="68">
        <f>IF(ISNUMBER(SEARCH("DEV",Assessment[[#This Row],[JOB TARGET]])),SUBSTITUTE(Assessment[[#This Row],[JOB TARGET]],"DEV","EST"),Assessment[[#This Row],[JOB TARGET]])</f>
        <v>0</v>
      </c>
      <c r="H130" s="146" t="str" cm="1">
        <f t="array" aca="1" ref="H130" ca="1">IF(Assessment[[#This Row],[JOB TARGET]]="","Job Target Kosong",IF(COUNT(IF('Data Assessment'!$N130:$Z130-OFFSET(Standar!$B$2,MATCH(Assessment[[#This Row],[JOB TARGET
(EST)]],Standar[NAMA JABATAN],0)-1,1,1,13)&lt;0,1,""))&lt;=3,'9 Grid'!$B$4,IF(COUNT(IF('Data Assessment'!$N130:$Z130-OFFSET(Standar!$B$2,MATCH(Assessment[[#This Row],[JOB TARGET]],Standar[NAMA JABATAN],0)-1,1,1,13)&lt;0,1,""))&gt;=7,'9 Grid'!$B$6,'9 Grid'!$B$5)))</f>
        <v>Job Target Kosong</v>
      </c>
      <c r="I130" s="146" t="str">
        <f>IFERROR(IF(Data_Assessment[[#This Row],[IPP (3 YEARS AVERAGE)]]="","(IPP Belum Ada)",IF(Data_Assessment[[#This Row],[IPP (3 YEARS AVERAGE)]]&lt;2,'9 Grid'!$F$2,IF(Data_Assessment[[#This Row],[IPP (3 YEARS AVERAGE)]]&gt;=4,'9 Grid'!$D$2,'9 Grid'!$E$2))),"")</f>
        <v>Contributor</v>
      </c>
      <c r="J130" s="146" t="str">
        <f ca="1">IFERROR(INDEX('9 Grid'!$D$4:$F$6,MATCH('Rekomendasi HAV'!H130,'9 Grid'!$B$4:$B$6,0),MATCH('Rekomendasi HAV'!I130,'9 Grid'!$D$2:$F$2,0)),"")</f>
        <v/>
      </c>
      <c r="K130" s="146" t="str">
        <f>IFERROR(INDEX('9 Grid'!$D$8:$F$8,1,MATCH('Rekomendasi HAV'!I130,'9 Grid'!$D$2:$F$2,0)),"")</f>
        <v>(LT) More 2 - 3 year</v>
      </c>
      <c r="L130" s="146">
        <f>IF(ISNUMBER(SEARCH("EST",Assessment[[#This Row],[JOB TARGET]])),SUBSTITUTE(Assessment[[#This Row],[JOB TARGET]],"EST","DEV"),Assessment[[#This Row],[JOB TARGET]])</f>
        <v>0</v>
      </c>
      <c r="M130" s="146" t="str" cm="1">
        <f t="array" aca="1" ref="M130" ca="1">IF(Assessment[[#This Row],[JOB TARGET]]="","Job Target Kosong",IF(COUNT(IF('Data Assessment'!$N130:$Z130-OFFSET(Standar!$B$2,MATCH(Assessment[[#This Row],[JOB TARGET
(DEV)]],Standar[NAMA JABATAN],0)-1,1,1,13)&lt;0,1,""))&lt;=3,'9 Grid'!$B$4,IF(COUNT(IF('Data Assessment'!$N130:$Z130-OFFSET(Standar!$B$2,MATCH(Assessment[[#This Row],[JOB TARGET
(DEV)]],Standar[NAMA JABATAN],0)-1,1,1,13)&lt;0,1,""))&gt;=7,'9 Grid'!$B$6,'9 Grid'!$B$5)))</f>
        <v>Job Target Kosong</v>
      </c>
      <c r="N130" s="146" t="str">
        <f>IFERROR(IF(Data_Assessment[[#This Row],[IPP (3 YEARS AVERAGE)]]="","(IPP Belum Ada)",IF(Data_Assessment[[#This Row],[IPP (3 YEARS AVERAGE)]]&lt;2,'9 Grid'!$F$2,IF(Data_Assessment[[#This Row],[IPP (3 YEARS AVERAGE)]]&gt;=4,'9 Grid'!$D$2,'9 Grid'!$E$2))),"")</f>
        <v>Contributor</v>
      </c>
      <c r="O130" s="146" t="str">
        <f ca="1">IFERROR(INDEX('9 Grid'!$D$4:$F$6,MATCH('Rekomendasi HAV'!M130,'9 Grid'!$B$4:$B$6,0),MATCH('Rekomendasi HAV'!N130,'9 Grid'!$D$2:$F$2,0)),"")</f>
        <v/>
      </c>
      <c r="P130" s="147" t="str">
        <f>IFERROR(INDEX('9 Grid'!$D$8:$F$8,1,MATCH('Rekomendasi HAV'!N130,'9 Grid'!$D$2:$F$2,0)),"")</f>
        <v>(LT) More 2 - 3 year</v>
      </c>
    </row>
    <row r="131" spans="1:16" ht="28.5">
      <c r="A131" s="67">
        <v>130</v>
      </c>
      <c r="B131" s="68" t="str">
        <f>INDEX(Data_Assessment[],MATCH('Rekomendasi HAV'!$A131,Data_Assessment[[INDEX]:[INDEX]],0),MATCH('Rekomendasi HAV'!B$1,Data_Assessment[#Headers],0))</f>
        <v>Pang Stephani Tejo</v>
      </c>
      <c r="C131" s="68" t="str">
        <f>INDEX(Data_Assessment[],MATCH('Rekomendasi HAV'!$A131,Data_Assessment[[INDEX]:[INDEX]],0),MATCH('Rekomendasi HAV'!C$1,Data_Assessment[#Headers],0))</f>
        <v>Jakarta</v>
      </c>
      <c r="D131" s="68" t="str">
        <f>INDEX(Data_Assessment[],MATCH('Rekomendasi HAV'!$A131,Data_Assessment[[INDEX]:[INDEX]],0),MATCH('Rekomendasi HAV'!D$1,Data_Assessment[#Headers],0))</f>
        <v>LSIP - HO Jakarta</v>
      </c>
      <c r="E131" s="68">
        <f>INDEX(Data_Assessment[],MATCH('Rekomendasi HAV'!$B131,Data_Assessment[[NAME]:[NAME]],0),MATCH('Rekomendasi HAV'!E$1,Data_Assessment[#Headers],0))</f>
        <v>0</v>
      </c>
      <c r="F131" s="68"/>
      <c r="G131" s="68">
        <f>IF(ISNUMBER(SEARCH("DEV",Assessment[[#This Row],[JOB TARGET]])),SUBSTITUTE(Assessment[[#This Row],[JOB TARGET]],"DEV","EST"),Assessment[[#This Row],[JOB TARGET]])</f>
        <v>0</v>
      </c>
      <c r="H131" s="146" t="str" cm="1">
        <f t="array" aca="1" ref="H131" ca="1">IF(Assessment[[#This Row],[JOB TARGET]]="","Job Target Kosong",IF(COUNT(IF('Data Assessment'!$N131:$Z131-OFFSET(Standar!$B$2,MATCH(Assessment[[#This Row],[JOB TARGET
(EST)]],Standar[NAMA JABATAN],0)-1,1,1,13)&lt;0,1,""))&lt;=3,'9 Grid'!$B$4,IF(COUNT(IF('Data Assessment'!$N131:$Z131-OFFSET(Standar!$B$2,MATCH(Assessment[[#This Row],[JOB TARGET]],Standar[NAMA JABATAN],0)-1,1,1,13)&lt;0,1,""))&gt;=7,'9 Grid'!$B$6,'9 Grid'!$B$5)))</f>
        <v>Job Target Kosong</v>
      </c>
      <c r="I131" s="146" t="str">
        <f>IFERROR(IF(Data_Assessment[[#This Row],[IPP (3 YEARS AVERAGE)]]="","(IPP Belum Ada)",IF(Data_Assessment[[#This Row],[IPP (3 YEARS AVERAGE)]]&lt;2,'9 Grid'!$F$2,IF(Data_Assessment[[#This Row],[IPP (3 YEARS AVERAGE)]]&gt;=4,'9 Grid'!$D$2,'9 Grid'!$E$2))),"")</f>
        <v>Fully Competence Performance</v>
      </c>
      <c r="J131" s="146" t="str">
        <f ca="1">IFERROR(INDEX('9 Grid'!$D$4:$F$6,MATCH('Rekomendasi HAV'!H131,'9 Grid'!$B$4:$B$6,0),MATCH('Rekomendasi HAV'!I131,'9 Grid'!$D$2:$F$2,0)),"")</f>
        <v/>
      </c>
      <c r="K131" s="146" t="str">
        <f>IFERROR(INDEX('9 Grid'!$D$8:$F$8,1,MATCH('Rekomendasi HAV'!I131,'9 Grid'!$D$2:$F$2,0)),"")</f>
        <v>(ST) Within 12 - 18 month</v>
      </c>
      <c r="L131" s="146">
        <f>IF(ISNUMBER(SEARCH("EST",Assessment[[#This Row],[JOB TARGET]])),SUBSTITUTE(Assessment[[#This Row],[JOB TARGET]],"EST","DEV"),Assessment[[#This Row],[JOB TARGET]])</f>
        <v>0</v>
      </c>
      <c r="M131" s="146" t="str" cm="1">
        <f t="array" aca="1" ref="M131" ca="1">IF(Assessment[[#This Row],[JOB TARGET]]="","Job Target Kosong",IF(COUNT(IF('Data Assessment'!$N131:$Z131-OFFSET(Standar!$B$2,MATCH(Assessment[[#This Row],[JOB TARGET
(DEV)]],Standar[NAMA JABATAN],0)-1,1,1,13)&lt;0,1,""))&lt;=3,'9 Grid'!$B$4,IF(COUNT(IF('Data Assessment'!$N131:$Z131-OFFSET(Standar!$B$2,MATCH(Assessment[[#This Row],[JOB TARGET
(DEV)]],Standar[NAMA JABATAN],0)-1,1,1,13)&lt;0,1,""))&gt;=7,'9 Grid'!$B$6,'9 Grid'!$B$5)))</f>
        <v>Job Target Kosong</v>
      </c>
      <c r="N131" s="146" t="str">
        <f>IFERROR(IF(Data_Assessment[[#This Row],[IPP (3 YEARS AVERAGE)]]="","(IPP Belum Ada)",IF(Data_Assessment[[#This Row],[IPP (3 YEARS AVERAGE)]]&lt;2,'9 Grid'!$F$2,IF(Data_Assessment[[#This Row],[IPP (3 YEARS AVERAGE)]]&gt;=4,'9 Grid'!$D$2,'9 Grid'!$E$2))),"")</f>
        <v>Fully Competence Performance</v>
      </c>
      <c r="O131" s="146" t="str">
        <f ca="1">IFERROR(INDEX('9 Grid'!$D$4:$F$6,MATCH('Rekomendasi HAV'!M131,'9 Grid'!$B$4:$B$6,0),MATCH('Rekomendasi HAV'!N131,'9 Grid'!$D$2:$F$2,0)),"")</f>
        <v/>
      </c>
      <c r="P131" s="147" t="str">
        <f>IFERROR(INDEX('9 Grid'!$D$8:$F$8,1,MATCH('Rekomendasi HAV'!N131,'9 Grid'!$D$2:$F$2,0)),"")</f>
        <v>(ST) Within 12 - 18 month</v>
      </c>
    </row>
    <row r="132" spans="1:16" ht="14.25">
      <c r="A132" s="67">
        <v>131</v>
      </c>
      <c r="B132" s="68" t="str">
        <f>INDEX(Data_Assessment[],MATCH('Rekomendasi HAV'!$A132,Data_Assessment[[INDEX]:[INDEX]],0),MATCH('Rekomendasi HAV'!B$1,Data_Assessment[#Headers],0))</f>
        <v>Surya Darma</v>
      </c>
      <c r="C132" s="68" t="str">
        <f>INDEX(Data_Assessment[],MATCH('Rekomendasi HAV'!$A132,Data_Assessment[[INDEX]:[INDEX]],0),MATCH('Rekomendasi HAV'!C$1,Data_Assessment[#Headers],0))</f>
        <v>Medan</v>
      </c>
      <c r="D132" s="68" t="str">
        <f>INDEX(Data_Assessment[],MATCH('Rekomendasi HAV'!$A132,Data_Assessment[[INDEX]:[INDEX]],0),MATCH('Rekomendasi HAV'!D$1,Data_Assessment[#Headers],0))</f>
        <v>LSIP - RO Medan</v>
      </c>
      <c r="E132" s="68">
        <f>INDEX(Data_Assessment[],MATCH('Rekomendasi HAV'!$B132,Data_Assessment[[NAME]:[NAME]],0),MATCH('Rekomendasi HAV'!E$1,Data_Assessment[#Headers],0))</f>
        <v>0</v>
      </c>
      <c r="F132" s="68"/>
      <c r="G132" s="68">
        <f>IF(ISNUMBER(SEARCH("DEV",Assessment[[#This Row],[JOB TARGET]])),SUBSTITUTE(Assessment[[#This Row],[JOB TARGET]],"DEV","EST"),Assessment[[#This Row],[JOB TARGET]])</f>
        <v>0</v>
      </c>
      <c r="H132" s="146" t="str" cm="1">
        <f t="array" aca="1" ref="H132" ca="1">IF(Assessment[[#This Row],[JOB TARGET]]="","Job Target Kosong",IF(COUNT(IF('Data Assessment'!$N132:$Z132-OFFSET(Standar!$B$2,MATCH(Assessment[[#This Row],[JOB TARGET
(EST)]],Standar[NAMA JABATAN],0)-1,1,1,13)&lt;0,1,""))&lt;=3,'9 Grid'!$B$4,IF(COUNT(IF('Data Assessment'!$N132:$Z132-OFFSET(Standar!$B$2,MATCH(Assessment[[#This Row],[JOB TARGET]],Standar[NAMA JABATAN],0)-1,1,1,13)&lt;0,1,""))&gt;=7,'9 Grid'!$B$6,'9 Grid'!$B$5)))</f>
        <v>Job Target Kosong</v>
      </c>
      <c r="I132" s="146" t="str">
        <f>IFERROR(IF(Data_Assessment[[#This Row],[IPP (3 YEARS AVERAGE)]]="","(IPP Belum Ada)",IF(Data_Assessment[[#This Row],[IPP (3 YEARS AVERAGE)]]&lt;2,'9 Grid'!$F$2,IF(Data_Assessment[[#This Row],[IPP (3 YEARS AVERAGE)]]&gt;=4,'9 Grid'!$D$2,'9 Grid'!$E$2))),"")</f>
        <v>Exceptional Performance</v>
      </c>
      <c r="J132" s="146" t="str">
        <f ca="1">IFERROR(INDEX('9 Grid'!$D$4:$F$6,MATCH('Rekomendasi HAV'!H132,'9 Grid'!$B$4:$B$6,0),MATCH('Rekomendasi HAV'!I132,'9 Grid'!$D$2:$F$2,0)),"")</f>
        <v/>
      </c>
      <c r="K132" s="146" t="str">
        <f>IFERROR(INDEX('9 Grid'!$D$8:$F$8,1,MATCH('Rekomendasi HAV'!I132,'9 Grid'!$D$2:$F$2,0)),"")</f>
        <v>(I) Immediately</v>
      </c>
      <c r="L132" s="146">
        <f>IF(ISNUMBER(SEARCH("EST",Assessment[[#This Row],[JOB TARGET]])),SUBSTITUTE(Assessment[[#This Row],[JOB TARGET]],"EST","DEV"),Assessment[[#This Row],[JOB TARGET]])</f>
        <v>0</v>
      </c>
      <c r="M132" s="146" t="str" cm="1">
        <f t="array" aca="1" ref="M132" ca="1">IF(Assessment[[#This Row],[JOB TARGET]]="","Job Target Kosong",IF(COUNT(IF('Data Assessment'!$N132:$Z132-OFFSET(Standar!$B$2,MATCH(Assessment[[#This Row],[JOB TARGET
(DEV)]],Standar[NAMA JABATAN],0)-1,1,1,13)&lt;0,1,""))&lt;=3,'9 Grid'!$B$4,IF(COUNT(IF('Data Assessment'!$N132:$Z132-OFFSET(Standar!$B$2,MATCH(Assessment[[#This Row],[JOB TARGET
(DEV)]],Standar[NAMA JABATAN],0)-1,1,1,13)&lt;0,1,""))&gt;=7,'9 Grid'!$B$6,'9 Grid'!$B$5)))</f>
        <v>Job Target Kosong</v>
      </c>
      <c r="N132" s="146" t="str">
        <f>IFERROR(IF(Data_Assessment[[#This Row],[IPP (3 YEARS AVERAGE)]]="","(IPP Belum Ada)",IF(Data_Assessment[[#This Row],[IPP (3 YEARS AVERAGE)]]&lt;2,'9 Grid'!$F$2,IF(Data_Assessment[[#This Row],[IPP (3 YEARS AVERAGE)]]&gt;=4,'9 Grid'!$D$2,'9 Grid'!$E$2))),"")</f>
        <v>Exceptional Performance</v>
      </c>
      <c r="O132" s="146" t="str">
        <f ca="1">IFERROR(INDEX('9 Grid'!$D$4:$F$6,MATCH('Rekomendasi HAV'!M132,'9 Grid'!$B$4:$B$6,0),MATCH('Rekomendasi HAV'!N132,'9 Grid'!$D$2:$F$2,0)),"")</f>
        <v/>
      </c>
      <c r="P132" s="147" t="str">
        <f>IFERROR(INDEX('9 Grid'!$D$8:$F$8,1,MATCH('Rekomendasi HAV'!N132,'9 Grid'!$D$2:$F$2,0)),"")</f>
        <v>(I) Immediately</v>
      </c>
    </row>
    <row r="133" spans="1:16" ht="14.25">
      <c r="A133" s="67">
        <v>132</v>
      </c>
      <c r="B133" s="68" t="str">
        <f>INDEX(Data_Assessment[],MATCH('Rekomendasi HAV'!$A133,Data_Assessment[[INDEX]:[INDEX]],0),MATCH('Rekomendasi HAV'!B$1,Data_Assessment[#Headers],0))</f>
        <v>Arief Syarifudin</v>
      </c>
      <c r="C133" s="68" t="str">
        <f>INDEX(Data_Assessment[],MATCH('Rekomendasi HAV'!$A133,Data_Assessment[[INDEX]:[INDEX]],0),MATCH('Rekomendasi HAV'!C$1,Data_Assessment[#Headers],0))</f>
        <v>Jakarta</v>
      </c>
      <c r="D133" s="68" t="str">
        <f>INDEX(Data_Assessment[],MATCH('Rekomendasi HAV'!$A133,Data_Assessment[[INDEX]:[INDEX]],0),MATCH('Rekomendasi HAV'!D$1,Data_Assessment[#Headers],0))</f>
        <v>LSIP - HO Jakarta</v>
      </c>
      <c r="E133" s="68">
        <f>INDEX(Data_Assessment[],MATCH('Rekomendasi HAV'!$B133,Data_Assessment[[NAME]:[NAME]],0),MATCH('Rekomendasi HAV'!E$1,Data_Assessment[#Headers],0))</f>
        <v>0</v>
      </c>
      <c r="F133" s="68"/>
      <c r="G133" s="68">
        <f>IF(ISNUMBER(SEARCH("DEV",Assessment[[#This Row],[JOB TARGET]])),SUBSTITUTE(Assessment[[#This Row],[JOB TARGET]],"DEV","EST"),Assessment[[#This Row],[JOB TARGET]])</f>
        <v>0</v>
      </c>
      <c r="H133" s="146" t="str" cm="1">
        <f t="array" aca="1" ref="H133" ca="1">IF(Assessment[[#This Row],[JOB TARGET]]="","Job Target Kosong",IF(COUNT(IF('Data Assessment'!$N133:$Z133-OFFSET(Standar!$B$2,MATCH(Assessment[[#This Row],[JOB TARGET
(EST)]],Standar[NAMA JABATAN],0)-1,1,1,13)&lt;0,1,""))&lt;=3,'9 Grid'!$B$4,IF(COUNT(IF('Data Assessment'!$N133:$Z133-OFFSET(Standar!$B$2,MATCH(Assessment[[#This Row],[JOB TARGET]],Standar[NAMA JABATAN],0)-1,1,1,13)&lt;0,1,""))&gt;=7,'9 Grid'!$B$6,'9 Grid'!$B$5)))</f>
        <v>Job Target Kosong</v>
      </c>
      <c r="I133" s="146" t="str">
        <f>IFERROR(IF(Data_Assessment[[#This Row],[IPP (3 YEARS AVERAGE)]]="","(IPP Belum Ada)",IF(Data_Assessment[[#This Row],[IPP (3 YEARS AVERAGE)]]&lt;2,'9 Grid'!$F$2,IF(Data_Assessment[[#This Row],[IPP (3 YEARS AVERAGE)]]&gt;=4,'9 Grid'!$D$2,'9 Grid'!$E$2))),"")</f>
        <v>Exceptional Performance</v>
      </c>
      <c r="J133" s="146" t="str">
        <f ca="1">IFERROR(INDEX('9 Grid'!$D$4:$F$6,MATCH('Rekomendasi HAV'!H133,'9 Grid'!$B$4:$B$6,0),MATCH('Rekomendasi HAV'!I133,'9 Grid'!$D$2:$F$2,0)),"")</f>
        <v/>
      </c>
      <c r="K133" s="146" t="str">
        <f>IFERROR(INDEX('9 Grid'!$D$8:$F$8,1,MATCH('Rekomendasi HAV'!I133,'9 Grid'!$D$2:$F$2,0)),"")</f>
        <v>(I) Immediately</v>
      </c>
      <c r="L133" s="146">
        <f>IF(ISNUMBER(SEARCH("EST",Assessment[[#This Row],[JOB TARGET]])),SUBSTITUTE(Assessment[[#This Row],[JOB TARGET]],"EST","DEV"),Assessment[[#This Row],[JOB TARGET]])</f>
        <v>0</v>
      </c>
      <c r="M133" s="146" t="str" cm="1">
        <f t="array" aca="1" ref="M133" ca="1">IF(Assessment[[#This Row],[JOB TARGET]]="","Job Target Kosong",IF(COUNT(IF('Data Assessment'!$N133:$Z133-OFFSET(Standar!$B$2,MATCH(Assessment[[#This Row],[JOB TARGET
(DEV)]],Standar[NAMA JABATAN],0)-1,1,1,13)&lt;0,1,""))&lt;=3,'9 Grid'!$B$4,IF(COUNT(IF('Data Assessment'!$N133:$Z133-OFFSET(Standar!$B$2,MATCH(Assessment[[#This Row],[JOB TARGET
(DEV)]],Standar[NAMA JABATAN],0)-1,1,1,13)&lt;0,1,""))&gt;=7,'9 Grid'!$B$6,'9 Grid'!$B$5)))</f>
        <v>Job Target Kosong</v>
      </c>
      <c r="N133" s="146" t="str">
        <f>IFERROR(IF(Data_Assessment[[#This Row],[IPP (3 YEARS AVERAGE)]]="","(IPP Belum Ada)",IF(Data_Assessment[[#This Row],[IPP (3 YEARS AVERAGE)]]&lt;2,'9 Grid'!$F$2,IF(Data_Assessment[[#This Row],[IPP (3 YEARS AVERAGE)]]&gt;=4,'9 Grid'!$D$2,'9 Grid'!$E$2))),"")</f>
        <v>Exceptional Performance</v>
      </c>
      <c r="O133" s="146" t="str">
        <f ca="1">IFERROR(INDEX('9 Grid'!$D$4:$F$6,MATCH('Rekomendasi HAV'!M133,'9 Grid'!$B$4:$B$6,0),MATCH('Rekomendasi HAV'!N133,'9 Grid'!$D$2:$F$2,0)),"")</f>
        <v/>
      </c>
      <c r="P133" s="147" t="str">
        <f>IFERROR(INDEX('9 Grid'!$D$8:$F$8,1,MATCH('Rekomendasi HAV'!N133,'9 Grid'!$D$2:$F$2,0)),"")</f>
        <v>(I) Immediately</v>
      </c>
    </row>
    <row r="134" spans="1:16" ht="14.25">
      <c r="A134" s="67">
        <v>133</v>
      </c>
      <c r="B134" s="68" t="str">
        <f>INDEX(Data_Assessment[],MATCH('Rekomendasi HAV'!$A134,Data_Assessment[[INDEX]:[INDEX]],0),MATCH('Rekomendasi HAV'!B$1,Data_Assessment[#Headers],0))</f>
        <v>Mugiyanto</v>
      </c>
      <c r="C134" s="68" t="str">
        <f>INDEX(Data_Assessment[],MATCH('Rekomendasi HAV'!$A134,Data_Assessment[[INDEX]:[INDEX]],0),MATCH('Rekomendasi HAV'!C$1,Data_Assessment[#Headers],0))</f>
        <v>Medan</v>
      </c>
      <c r="D134" s="68" t="str">
        <f>INDEX(Data_Assessment[],MATCH('Rekomendasi HAV'!$A134,Data_Assessment[[INDEX]:[INDEX]],0),MATCH('Rekomendasi HAV'!D$1,Data_Assessment[#Headers],0))</f>
        <v>LSIP - RO Medan</v>
      </c>
      <c r="E134" s="68">
        <f>INDEX(Data_Assessment[],MATCH('Rekomendasi HAV'!$B134,Data_Assessment[[NAME]:[NAME]],0),MATCH('Rekomendasi HAV'!E$1,Data_Assessment[#Headers],0))</f>
        <v>0</v>
      </c>
      <c r="F134" s="68"/>
      <c r="G134" s="68">
        <f>IF(ISNUMBER(SEARCH("DEV",Assessment[[#This Row],[JOB TARGET]])),SUBSTITUTE(Assessment[[#This Row],[JOB TARGET]],"DEV","EST"),Assessment[[#This Row],[JOB TARGET]])</f>
        <v>0</v>
      </c>
      <c r="H134" s="146" t="str" cm="1">
        <f t="array" aca="1" ref="H134" ca="1">IF(Assessment[[#This Row],[JOB TARGET]]="","Job Target Kosong",IF(COUNT(IF('Data Assessment'!$N134:$Z134-OFFSET(Standar!$B$2,MATCH(Assessment[[#This Row],[JOB TARGET
(EST)]],Standar[NAMA JABATAN],0)-1,1,1,13)&lt;0,1,""))&lt;=3,'9 Grid'!$B$4,IF(COUNT(IF('Data Assessment'!$N134:$Z134-OFFSET(Standar!$B$2,MATCH(Assessment[[#This Row],[JOB TARGET]],Standar[NAMA JABATAN],0)-1,1,1,13)&lt;0,1,""))&gt;=7,'9 Grid'!$B$6,'9 Grid'!$B$5)))</f>
        <v>Job Target Kosong</v>
      </c>
      <c r="I134" s="146" t="str">
        <f>IFERROR(IF(Data_Assessment[[#This Row],[IPP (3 YEARS AVERAGE)]]="","(IPP Belum Ada)",IF(Data_Assessment[[#This Row],[IPP (3 YEARS AVERAGE)]]&lt;2,'9 Grid'!$F$2,IF(Data_Assessment[[#This Row],[IPP (3 YEARS AVERAGE)]]&gt;=4,'9 Grid'!$D$2,'9 Grid'!$E$2))),"")</f>
        <v>Exceptional Performance</v>
      </c>
      <c r="J134" s="146" t="str">
        <f ca="1">IFERROR(INDEX('9 Grid'!$D$4:$F$6,MATCH('Rekomendasi HAV'!H134,'9 Grid'!$B$4:$B$6,0),MATCH('Rekomendasi HAV'!I134,'9 Grid'!$D$2:$F$2,0)),"")</f>
        <v/>
      </c>
      <c r="K134" s="146" t="str">
        <f>IFERROR(INDEX('9 Grid'!$D$8:$F$8,1,MATCH('Rekomendasi HAV'!I134,'9 Grid'!$D$2:$F$2,0)),"")</f>
        <v>(I) Immediately</v>
      </c>
      <c r="L134" s="146">
        <f>IF(ISNUMBER(SEARCH("EST",Assessment[[#This Row],[JOB TARGET]])),SUBSTITUTE(Assessment[[#This Row],[JOB TARGET]],"EST","DEV"),Assessment[[#This Row],[JOB TARGET]])</f>
        <v>0</v>
      </c>
      <c r="M134" s="146" t="str" cm="1">
        <f t="array" aca="1" ref="M134" ca="1">IF(Assessment[[#This Row],[JOB TARGET]]="","Job Target Kosong",IF(COUNT(IF('Data Assessment'!$N134:$Z134-OFFSET(Standar!$B$2,MATCH(Assessment[[#This Row],[JOB TARGET
(DEV)]],Standar[NAMA JABATAN],0)-1,1,1,13)&lt;0,1,""))&lt;=3,'9 Grid'!$B$4,IF(COUNT(IF('Data Assessment'!$N134:$Z134-OFFSET(Standar!$B$2,MATCH(Assessment[[#This Row],[JOB TARGET
(DEV)]],Standar[NAMA JABATAN],0)-1,1,1,13)&lt;0,1,""))&gt;=7,'9 Grid'!$B$6,'9 Grid'!$B$5)))</f>
        <v>Job Target Kosong</v>
      </c>
      <c r="N134" s="146" t="str">
        <f>IFERROR(IF(Data_Assessment[[#This Row],[IPP (3 YEARS AVERAGE)]]="","(IPP Belum Ada)",IF(Data_Assessment[[#This Row],[IPP (3 YEARS AVERAGE)]]&lt;2,'9 Grid'!$F$2,IF(Data_Assessment[[#This Row],[IPP (3 YEARS AVERAGE)]]&gt;=4,'9 Grid'!$D$2,'9 Grid'!$E$2))),"")</f>
        <v>Exceptional Performance</v>
      </c>
      <c r="O134" s="146" t="str">
        <f ca="1">IFERROR(INDEX('9 Grid'!$D$4:$F$6,MATCH('Rekomendasi HAV'!M134,'9 Grid'!$B$4:$B$6,0),MATCH('Rekomendasi HAV'!N134,'9 Grid'!$D$2:$F$2,0)),"")</f>
        <v/>
      </c>
      <c r="P134" s="147" t="str">
        <f>IFERROR(INDEX('9 Grid'!$D$8:$F$8,1,MATCH('Rekomendasi HAV'!N134,'9 Grid'!$D$2:$F$2,0)),"")</f>
        <v>(I) Immediately</v>
      </c>
    </row>
    <row r="135" spans="1:16" ht="28.5">
      <c r="A135" s="67">
        <v>134</v>
      </c>
      <c r="B135" s="68" t="str">
        <f>INDEX(Data_Assessment[],MATCH('Rekomendasi HAV'!$A135,Data_Assessment[[INDEX]:[INDEX]],0),MATCH('Rekomendasi HAV'!B$1,Data_Assessment[#Headers],0))</f>
        <v>M. Syarif Hidayat</v>
      </c>
      <c r="C135" s="68" t="str">
        <f>INDEX(Data_Assessment[],MATCH('Rekomendasi HAV'!$A135,Data_Assessment[[INDEX]:[INDEX]],0),MATCH('Rekomendasi HAV'!C$1,Data_Assessment[#Headers],0))</f>
        <v>Jakarta</v>
      </c>
      <c r="D135" s="68" t="str">
        <f>INDEX(Data_Assessment[],MATCH('Rekomendasi HAV'!$A135,Data_Assessment[[INDEX]:[INDEX]],0),MATCH('Rekomendasi HAV'!D$1,Data_Assessment[#Headers],0))</f>
        <v>LSIP - HO Jakarta</v>
      </c>
      <c r="E135" s="68">
        <f>INDEX(Data_Assessment[],MATCH('Rekomendasi HAV'!$B135,Data_Assessment[[NAME]:[NAME]],0),MATCH('Rekomendasi HAV'!E$1,Data_Assessment[#Headers],0))</f>
        <v>0</v>
      </c>
      <c r="F135" s="68"/>
      <c r="G135" s="68">
        <f>IF(ISNUMBER(SEARCH("DEV",Assessment[[#This Row],[JOB TARGET]])),SUBSTITUTE(Assessment[[#This Row],[JOB TARGET]],"DEV","EST"),Assessment[[#This Row],[JOB TARGET]])</f>
        <v>0</v>
      </c>
      <c r="H135" s="146" t="str" cm="1">
        <f t="array" aca="1" ref="H135" ca="1">IF(Assessment[[#This Row],[JOB TARGET]]="","Job Target Kosong",IF(COUNT(IF('Data Assessment'!$N135:$Z135-OFFSET(Standar!$B$2,MATCH(Assessment[[#This Row],[JOB TARGET
(EST)]],Standar[NAMA JABATAN],0)-1,1,1,13)&lt;0,1,""))&lt;=3,'9 Grid'!$B$4,IF(COUNT(IF('Data Assessment'!$N135:$Z135-OFFSET(Standar!$B$2,MATCH(Assessment[[#This Row],[JOB TARGET]],Standar[NAMA JABATAN],0)-1,1,1,13)&lt;0,1,""))&gt;=7,'9 Grid'!$B$6,'9 Grid'!$B$5)))</f>
        <v>Job Target Kosong</v>
      </c>
      <c r="I135" s="146" t="str">
        <f>IFERROR(IF(Data_Assessment[[#This Row],[IPP (3 YEARS AVERAGE)]]="","(IPP Belum Ada)",IF(Data_Assessment[[#This Row],[IPP (3 YEARS AVERAGE)]]&lt;2,'9 Grid'!$F$2,IF(Data_Assessment[[#This Row],[IPP (3 YEARS AVERAGE)]]&gt;=4,'9 Grid'!$D$2,'9 Grid'!$E$2))),"")</f>
        <v>Fully Competence Performance</v>
      </c>
      <c r="J135" s="146" t="str">
        <f ca="1">IFERROR(INDEX('9 Grid'!$D$4:$F$6,MATCH('Rekomendasi HAV'!H135,'9 Grid'!$B$4:$B$6,0),MATCH('Rekomendasi HAV'!I135,'9 Grid'!$D$2:$F$2,0)),"")</f>
        <v/>
      </c>
      <c r="K135" s="146" t="str">
        <f>IFERROR(INDEX('9 Grid'!$D$8:$F$8,1,MATCH('Rekomendasi HAV'!I135,'9 Grid'!$D$2:$F$2,0)),"")</f>
        <v>(ST) Within 12 - 18 month</v>
      </c>
      <c r="L135" s="146">
        <f>IF(ISNUMBER(SEARCH("EST",Assessment[[#This Row],[JOB TARGET]])),SUBSTITUTE(Assessment[[#This Row],[JOB TARGET]],"EST","DEV"),Assessment[[#This Row],[JOB TARGET]])</f>
        <v>0</v>
      </c>
      <c r="M135" s="146" t="str" cm="1">
        <f t="array" aca="1" ref="M135" ca="1">IF(Assessment[[#This Row],[JOB TARGET]]="","Job Target Kosong",IF(COUNT(IF('Data Assessment'!$N135:$Z135-OFFSET(Standar!$B$2,MATCH(Assessment[[#This Row],[JOB TARGET
(DEV)]],Standar[NAMA JABATAN],0)-1,1,1,13)&lt;0,1,""))&lt;=3,'9 Grid'!$B$4,IF(COUNT(IF('Data Assessment'!$N135:$Z135-OFFSET(Standar!$B$2,MATCH(Assessment[[#This Row],[JOB TARGET
(DEV)]],Standar[NAMA JABATAN],0)-1,1,1,13)&lt;0,1,""))&gt;=7,'9 Grid'!$B$6,'9 Grid'!$B$5)))</f>
        <v>Job Target Kosong</v>
      </c>
      <c r="N135" s="146" t="str">
        <f>IFERROR(IF(Data_Assessment[[#This Row],[IPP (3 YEARS AVERAGE)]]="","(IPP Belum Ada)",IF(Data_Assessment[[#This Row],[IPP (3 YEARS AVERAGE)]]&lt;2,'9 Grid'!$F$2,IF(Data_Assessment[[#This Row],[IPP (3 YEARS AVERAGE)]]&gt;=4,'9 Grid'!$D$2,'9 Grid'!$E$2))),"")</f>
        <v>Fully Competence Performance</v>
      </c>
      <c r="O135" s="146" t="str">
        <f ca="1">IFERROR(INDEX('9 Grid'!$D$4:$F$6,MATCH('Rekomendasi HAV'!M135,'9 Grid'!$B$4:$B$6,0),MATCH('Rekomendasi HAV'!N135,'9 Grid'!$D$2:$F$2,0)),"")</f>
        <v/>
      </c>
      <c r="P135" s="147" t="str">
        <f>IFERROR(INDEX('9 Grid'!$D$8:$F$8,1,MATCH('Rekomendasi HAV'!N135,'9 Grid'!$D$2:$F$2,0)),"")</f>
        <v>(ST) Within 12 - 18 month</v>
      </c>
    </row>
    <row r="136" spans="1:16" ht="28.5">
      <c r="A136" s="67">
        <v>135</v>
      </c>
      <c r="B136" s="68" t="str">
        <f>INDEX(Data_Assessment[],MATCH('Rekomendasi HAV'!$A136,Data_Assessment[[INDEX]:[INDEX]],0),MATCH('Rekomendasi HAV'!B$1,Data_Assessment[#Headers],0))</f>
        <v>Hendri Yanto</v>
      </c>
      <c r="C136" s="68" t="str">
        <f>INDEX(Data_Assessment[],MATCH('Rekomendasi HAV'!$A136,Data_Assessment[[INDEX]:[INDEX]],0),MATCH('Rekomendasi HAV'!C$1,Data_Assessment[#Headers],0))</f>
        <v>Sumatera Selatan</v>
      </c>
      <c r="D136" s="68" t="str">
        <f>INDEX(Data_Assessment[],MATCH('Rekomendasi HAV'!$A136,Data_Assessment[[INDEX]:[INDEX]],0),MATCH('Rekomendasi HAV'!D$1,Data_Assessment[#Headers],0))</f>
        <v>LSIP - RO Palembang</v>
      </c>
      <c r="E136" s="68">
        <f>INDEX(Data_Assessment[],MATCH('Rekomendasi HAV'!$B136,Data_Assessment[[NAME]:[NAME]],0),MATCH('Rekomendasi HAV'!E$1,Data_Assessment[#Headers],0))</f>
        <v>0</v>
      </c>
      <c r="F136" s="68"/>
      <c r="G136" s="68">
        <f>IF(ISNUMBER(SEARCH("DEV",Assessment[[#This Row],[JOB TARGET]])),SUBSTITUTE(Assessment[[#This Row],[JOB TARGET]],"DEV","EST"),Assessment[[#This Row],[JOB TARGET]])</f>
        <v>0</v>
      </c>
      <c r="H136" s="146" t="str" cm="1">
        <f t="array" aca="1" ref="H136" ca="1">IF(Assessment[[#This Row],[JOB TARGET]]="","Job Target Kosong",IF(COUNT(IF('Data Assessment'!$N136:$Z136-OFFSET(Standar!$B$2,MATCH(Assessment[[#This Row],[JOB TARGET
(EST)]],Standar[NAMA JABATAN],0)-1,1,1,13)&lt;0,1,""))&lt;=3,'9 Grid'!$B$4,IF(COUNT(IF('Data Assessment'!$N136:$Z136-OFFSET(Standar!$B$2,MATCH(Assessment[[#This Row],[JOB TARGET]],Standar[NAMA JABATAN],0)-1,1,1,13)&lt;0,1,""))&gt;=7,'9 Grid'!$B$6,'9 Grid'!$B$5)))</f>
        <v>Job Target Kosong</v>
      </c>
      <c r="I136" s="146" t="str">
        <f>IFERROR(IF(Data_Assessment[[#This Row],[IPP (3 YEARS AVERAGE)]]="","(IPP Belum Ada)",IF(Data_Assessment[[#This Row],[IPP (3 YEARS AVERAGE)]]&lt;2,'9 Grid'!$F$2,IF(Data_Assessment[[#This Row],[IPP (3 YEARS AVERAGE)]]&gt;=4,'9 Grid'!$D$2,'9 Grid'!$E$2))),"")</f>
        <v>Fully Competence Performance</v>
      </c>
      <c r="J136" s="146" t="str">
        <f ca="1">IFERROR(INDEX('9 Grid'!$D$4:$F$6,MATCH('Rekomendasi HAV'!H136,'9 Grid'!$B$4:$B$6,0),MATCH('Rekomendasi HAV'!I136,'9 Grid'!$D$2:$F$2,0)),"")</f>
        <v/>
      </c>
      <c r="K136" s="146" t="str">
        <f>IFERROR(INDEX('9 Grid'!$D$8:$F$8,1,MATCH('Rekomendasi HAV'!I136,'9 Grid'!$D$2:$F$2,0)),"")</f>
        <v>(ST) Within 12 - 18 month</v>
      </c>
      <c r="L136" s="146">
        <f>IF(ISNUMBER(SEARCH("EST",Assessment[[#This Row],[JOB TARGET]])),SUBSTITUTE(Assessment[[#This Row],[JOB TARGET]],"EST","DEV"),Assessment[[#This Row],[JOB TARGET]])</f>
        <v>0</v>
      </c>
      <c r="M136" s="146" t="str" cm="1">
        <f t="array" aca="1" ref="M136" ca="1">IF(Assessment[[#This Row],[JOB TARGET]]="","Job Target Kosong",IF(COUNT(IF('Data Assessment'!$N136:$Z136-OFFSET(Standar!$B$2,MATCH(Assessment[[#This Row],[JOB TARGET
(DEV)]],Standar[NAMA JABATAN],0)-1,1,1,13)&lt;0,1,""))&lt;=3,'9 Grid'!$B$4,IF(COUNT(IF('Data Assessment'!$N136:$Z136-OFFSET(Standar!$B$2,MATCH(Assessment[[#This Row],[JOB TARGET
(DEV)]],Standar[NAMA JABATAN],0)-1,1,1,13)&lt;0,1,""))&gt;=7,'9 Grid'!$B$6,'9 Grid'!$B$5)))</f>
        <v>Job Target Kosong</v>
      </c>
      <c r="N136" s="146" t="str">
        <f>IFERROR(IF(Data_Assessment[[#This Row],[IPP (3 YEARS AVERAGE)]]="","(IPP Belum Ada)",IF(Data_Assessment[[#This Row],[IPP (3 YEARS AVERAGE)]]&lt;2,'9 Grid'!$F$2,IF(Data_Assessment[[#This Row],[IPP (3 YEARS AVERAGE)]]&gt;=4,'9 Grid'!$D$2,'9 Grid'!$E$2))),"")</f>
        <v>Fully Competence Performance</v>
      </c>
      <c r="O136" s="146" t="str">
        <f ca="1">IFERROR(INDEX('9 Grid'!$D$4:$F$6,MATCH('Rekomendasi HAV'!M136,'9 Grid'!$B$4:$B$6,0),MATCH('Rekomendasi HAV'!N136,'9 Grid'!$D$2:$F$2,0)),"")</f>
        <v/>
      </c>
      <c r="P136" s="147" t="str">
        <f>IFERROR(INDEX('9 Grid'!$D$8:$F$8,1,MATCH('Rekomendasi HAV'!N136,'9 Grid'!$D$2:$F$2,0)),"")</f>
        <v>(ST) Within 12 - 18 month</v>
      </c>
    </row>
    <row r="137" spans="1:16" ht="28.5">
      <c r="A137" s="67">
        <v>136</v>
      </c>
      <c r="B137" s="68" t="str">
        <f>INDEX(Data_Assessment[],MATCH('Rekomendasi HAV'!$A137,Data_Assessment[[INDEX]:[INDEX]],0),MATCH('Rekomendasi HAV'!B$1,Data_Assessment[#Headers],0))</f>
        <v>Arbie Wijaya</v>
      </c>
      <c r="C137" s="68" t="str">
        <f>INDEX(Data_Assessment[],MATCH('Rekomendasi HAV'!$A137,Data_Assessment[[INDEX]:[INDEX]],0),MATCH('Rekomendasi HAV'!C$1,Data_Assessment[#Headers],0))</f>
        <v>Medan</v>
      </c>
      <c r="D137" s="68" t="str">
        <f>INDEX(Data_Assessment[],MATCH('Rekomendasi HAV'!$A137,Data_Assessment[[INDEX]:[INDEX]],0),MATCH('Rekomendasi HAV'!D$1,Data_Assessment[#Headers],0))</f>
        <v>LSIP - RO Medan</v>
      </c>
      <c r="E137" s="68">
        <f>INDEX(Data_Assessment[],MATCH('Rekomendasi HAV'!$B137,Data_Assessment[[NAME]:[NAME]],0),MATCH('Rekomendasi HAV'!E$1,Data_Assessment[#Headers],0))</f>
        <v>0</v>
      </c>
      <c r="F137" s="68"/>
      <c r="G137" s="68">
        <f>IF(ISNUMBER(SEARCH("DEV",Assessment[[#This Row],[JOB TARGET]])),SUBSTITUTE(Assessment[[#This Row],[JOB TARGET]],"DEV","EST"),Assessment[[#This Row],[JOB TARGET]])</f>
        <v>0</v>
      </c>
      <c r="H137" s="146" t="str" cm="1">
        <f t="array" aca="1" ref="H137" ca="1">IF(Assessment[[#This Row],[JOB TARGET]]="","Job Target Kosong",IF(COUNT(IF('Data Assessment'!$N137:$Z137-OFFSET(Standar!$B$2,MATCH(Assessment[[#This Row],[JOB TARGET
(EST)]],Standar[NAMA JABATAN],0)-1,1,1,13)&lt;0,1,""))&lt;=3,'9 Grid'!$B$4,IF(COUNT(IF('Data Assessment'!$N137:$Z137-OFFSET(Standar!$B$2,MATCH(Assessment[[#This Row],[JOB TARGET]],Standar[NAMA JABATAN],0)-1,1,1,13)&lt;0,1,""))&gt;=7,'9 Grid'!$B$6,'9 Grid'!$B$5)))</f>
        <v>Job Target Kosong</v>
      </c>
      <c r="I137" s="146" t="str">
        <f>IFERROR(IF(Data_Assessment[[#This Row],[IPP (3 YEARS AVERAGE)]]="","(IPP Belum Ada)",IF(Data_Assessment[[#This Row],[IPP (3 YEARS AVERAGE)]]&lt;2,'9 Grid'!$F$2,IF(Data_Assessment[[#This Row],[IPP (3 YEARS AVERAGE)]]&gt;=4,'9 Grid'!$D$2,'9 Grid'!$E$2))),"")</f>
        <v>Fully Competence Performance</v>
      </c>
      <c r="J137" s="146" t="str">
        <f ca="1">IFERROR(INDEX('9 Grid'!$D$4:$F$6,MATCH('Rekomendasi HAV'!H137,'9 Grid'!$B$4:$B$6,0),MATCH('Rekomendasi HAV'!I137,'9 Grid'!$D$2:$F$2,0)),"")</f>
        <v/>
      </c>
      <c r="K137" s="146" t="str">
        <f>IFERROR(INDEX('9 Grid'!$D$8:$F$8,1,MATCH('Rekomendasi HAV'!I137,'9 Grid'!$D$2:$F$2,0)),"")</f>
        <v>(ST) Within 12 - 18 month</v>
      </c>
      <c r="L137" s="146">
        <f>IF(ISNUMBER(SEARCH("EST",Assessment[[#This Row],[JOB TARGET]])),SUBSTITUTE(Assessment[[#This Row],[JOB TARGET]],"EST","DEV"),Assessment[[#This Row],[JOB TARGET]])</f>
        <v>0</v>
      </c>
      <c r="M137" s="146" t="str" cm="1">
        <f t="array" aca="1" ref="M137" ca="1">IF(Assessment[[#This Row],[JOB TARGET]]="","Job Target Kosong",IF(COUNT(IF('Data Assessment'!$N137:$Z137-OFFSET(Standar!$B$2,MATCH(Assessment[[#This Row],[JOB TARGET
(DEV)]],Standar[NAMA JABATAN],0)-1,1,1,13)&lt;0,1,""))&lt;=3,'9 Grid'!$B$4,IF(COUNT(IF('Data Assessment'!$N137:$Z137-OFFSET(Standar!$B$2,MATCH(Assessment[[#This Row],[JOB TARGET
(DEV)]],Standar[NAMA JABATAN],0)-1,1,1,13)&lt;0,1,""))&gt;=7,'9 Grid'!$B$6,'9 Grid'!$B$5)))</f>
        <v>Job Target Kosong</v>
      </c>
      <c r="N137" s="146" t="str">
        <f>IFERROR(IF(Data_Assessment[[#This Row],[IPP (3 YEARS AVERAGE)]]="","(IPP Belum Ada)",IF(Data_Assessment[[#This Row],[IPP (3 YEARS AVERAGE)]]&lt;2,'9 Grid'!$F$2,IF(Data_Assessment[[#This Row],[IPP (3 YEARS AVERAGE)]]&gt;=4,'9 Grid'!$D$2,'9 Grid'!$E$2))),"")</f>
        <v>Fully Competence Performance</v>
      </c>
      <c r="O137" s="146" t="str">
        <f ca="1">IFERROR(INDEX('9 Grid'!$D$4:$F$6,MATCH('Rekomendasi HAV'!M137,'9 Grid'!$B$4:$B$6,0),MATCH('Rekomendasi HAV'!N137,'9 Grid'!$D$2:$F$2,0)),"")</f>
        <v/>
      </c>
      <c r="P137" s="147" t="str">
        <f>IFERROR(INDEX('9 Grid'!$D$8:$F$8,1,MATCH('Rekomendasi HAV'!N137,'9 Grid'!$D$2:$F$2,0)),"")</f>
        <v>(ST) Within 12 - 18 month</v>
      </c>
    </row>
    <row r="138" spans="1:16" ht="28.5">
      <c r="A138" s="67">
        <v>137</v>
      </c>
      <c r="B138" s="68" t="str">
        <f>INDEX(Data_Assessment[],MATCH('Rekomendasi HAV'!$A138,Data_Assessment[[INDEX]:[INDEX]],0),MATCH('Rekomendasi HAV'!B$1,Data_Assessment[#Headers],0))</f>
        <v>Wantoro</v>
      </c>
      <c r="C138" s="68" t="str">
        <f>INDEX(Data_Assessment[],MATCH('Rekomendasi HAV'!$A138,Data_Assessment[[INDEX]:[INDEX]],0),MATCH('Rekomendasi HAV'!C$1,Data_Assessment[#Headers],0))</f>
        <v>Sumatera Selatan</v>
      </c>
      <c r="D138" s="68" t="str">
        <f>INDEX(Data_Assessment[],MATCH('Rekomendasi HAV'!$A138,Data_Assessment[[INDEX]:[INDEX]],0),MATCH('Rekomendasi HAV'!D$1,Data_Assessment[#Headers],0))</f>
        <v>LSIP - RO Palembang</v>
      </c>
      <c r="E138" s="68">
        <f>INDEX(Data_Assessment[],MATCH('Rekomendasi HAV'!$B138,Data_Assessment[[NAME]:[NAME]],0),MATCH('Rekomendasi HAV'!E$1,Data_Assessment[#Headers],0))</f>
        <v>0</v>
      </c>
      <c r="F138" s="68"/>
      <c r="G138" s="68">
        <f>IF(ISNUMBER(SEARCH("DEV",Assessment[[#This Row],[JOB TARGET]])),SUBSTITUTE(Assessment[[#This Row],[JOB TARGET]],"DEV","EST"),Assessment[[#This Row],[JOB TARGET]])</f>
        <v>0</v>
      </c>
      <c r="H138" s="146" t="str" cm="1">
        <f t="array" aca="1" ref="H138" ca="1">IF(Assessment[[#This Row],[JOB TARGET]]="","Job Target Kosong",IF(COUNT(IF('Data Assessment'!$N138:$Z138-OFFSET(Standar!$B$2,MATCH(Assessment[[#This Row],[JOB TARGET
(EST)]],Standar[NAMA JABATAN],0)-1,1,1,13)&lt;0,1,""))&lt;=3,'9 Grid'!$B$4,IF(COUNT(IF('Data Assessment'!$N138:$Z138-OFFSET(Standar!$B$2,MATCH(Assessment[[#This Row],[JOB TARGET]],Standar[NAMA JABATAN],0)-1,1,1,13)&lt;0,1,""))&gt;=7,'9 Grid'!$B$6,'9 Grid'!$B$5)))</f>
        <v>Job Target Kosong</v>
      </c>
      <c r="I138" s="146" t="str">
        <f>IFERROR(IF(Data_Assessment[[#This Row],[IPP (3 YEARS AVERAGE)]]="","(IPP Belum Ada)",IF(Data_Assessment[[#This Row],[IPP (3 YEARS AVERAGE)]]&lt;2,'9 Grid'!$F$2,IF(Data_Assessment[[#This Row],[IPP (3 YEARS AVERAGE)]]&gt;=4,'9 Grid'!$D$2,'9 Grid'!$E$2))),"")</f>
        <v>Fully Competence Performance</v>
      </c>
      <c r="J138" s="146" t="str">
        <f ca="1">IFERROR(INDEX('9 Grid'!$D$4:$F$6,MATCH('Rekomendasi HAV'!H138,'9 Grid'!$B$4:$B$6,0),MATCH('Rekomendasi HAV'!I138,'9 Grid'!$D$2:$F$2,0)),"")</f>
        <v/>
      </c>
      <c r="K138" s="146" t="str">
        <f>IFERROR(INDEX('9 Grid'!$D$8:$F$8,1,MATCH('Rekomendasi HAV'!I138,'9 Grid'!$D$2:$F$2,0)),"")</f>
        <v>(ST) Within 12 - 18 month</v>
      </c>
      <c r="L138" s="146">
        <f>IF(ISNUMBER(SEARCH("EST",Assessment[[#This Row],[JOB TARGET]])),SUBSTITUTE(Assessment[[#This Row],[JOB TARGET]],"EST","DEV"),Assessment[[#This Row],[JOB TARGET]])</f>
        <v>0</v>
      </c>
      <c r="M138" s="146" t="str" cm="1">
        <f t="array" aca="1" ref="M138" ca="1">IF(Assessment[[#This Row],[JOB TARGET]]="","Job Target Kosong",IF(COUNT(IF('Data Assessment'!$N138:$Z138-OFFSET(Standar!$B$2,MATCH(Assessment[[#This Row],[JOB TARGET
(DEV)]],Standar[NAMA JABATAN],0)-1,1,1,13)&lt;0,1,""))&lt;=3,'9 Grid'!$B$4,IF(COUNT(IF('Data Assessment'!$N138:$Z138-OFFSET(Standar!$B$2,MATCH(Assessment[[#This Row],[JOB TARGET
(DEV)]],Standar[NAMA JABATAN],0)-1,1,1,13)&lt;0,1,""))&gt;=7,'9 Grid'!$B$6,'9 Grid'!$B$5)))</f>
        <v>Job Target Kosong</v>
      </c>
      <c r="N138" s="146" t="str">
        <f>IFERROR(IF(Data_Assessment[[#This Row],[IPP (3 YEARS AVERAGE)]]="","(IPP Belum Ada)",IF(Data_Assessment[[#This Row],[IPP (3 YEARS AVERAGE)]]&lt;2,'9 Grid'!$F$2,IF(Data_Assessment[[#This Row],[IPP (3 YEARS AVERAGE)]]&gt;=4,'9 Grid'!$D$2,'9 Grid'!$E$2))),"")</f>
        <v>Fully Competence Performance</v>
      </c>
      <c r="O138" s="146" t="str">
        <f ca="1">IFERROR(INDEX('9 Grid'!$D$4:$F$6,MATCH('Rekomendasi HAV'!M138,'9 Grid'!$B$4:$B$6,0),MATCH('Rekomendasi HAV'!N138,'9 Grid'!$D$2:$F$2,0)),"")</f>
        <v/>
      </c>
      <c r="P138" s="147" t="str">
        <f>IFERROR(INDEX('9 Grid'!$D$8:$F$8,1,MATCH('Rekomendasi HAV'!N138,'9 Grid'!$D$2:$F$2,0)),"")</f>
        <v>(ST) Within 12 - 18 month</v>
      </c>
    </row>
    <row r="139" spans="1:16" ht="28.5">
      <c r="A139" s="67">
        <v>138</v>
      </c>
      <c r="B139" s="68" t="str">
        <f>INDEX(Data_Assessment[],MATCH('Rekomendasi HAV'!$A139,Data_Assessment[[INDEX]:[INDEX]],0),MATCH('Rekomendasi HAV'!B$1,Data_Assessment[#Headers],0))</f>
        <v>Rizki Pratiwi Ningrum</v>
      </c>
      <c r="C139" s="68" t="str">
        <f>INDEX(Data_Assessment[],MATCH('Rekomendasi HAV'!$A139,Data_Assessment[[INDEX]:[INDEX]],0),MATCH('Rekomendasi HAV'!C$1,Data_Assessment[#Headers],0))</f>
        <v>Medan</v>
      </c>
      <c r="D139" s="68" t="str">
        <f>INDEX(Data_Assessment[],MATCH('Rekomendasi HAV'!$A139,Data_Assessment[[INDEX]:[INDEX]],0),MATCH('Rekomendasi HAV'!D$1,Data_Assessment[#Headers],0))</f>
        <v>LSIP - RO Medan</v>
      </c>
      <c r="E139" s="68">
        <f>INDEX(Data_Assessment[],MATCH('Rekomendasi HAV'!$B139,Data_Assessment[[NAME]:[NAME]],0),MATCH('Rekomendasi HAV'!E$1,Data_Assessment[#Headers],0))</f>
        <v>0</v>
      </c>
      <c r="F139" s="68"/>
      <c r="G139" s="68">
        <f>IF(ISNUMBER(SEARCH("DEV",Assessment[[#This Row],[JOB TARGET]])),SUBSTITUTE(Assessment[[#This Row],[JOB TARGET]],"DEV","EST"),Assessment[[#This Row],[JOB TARGET]])</f>
        <v>0</v>
      </c>
      <c r="H139" s="146" t="str" cm="1">
        <f t="array" aca="1" ref="H139" ca="1">IF(Assessment[[#This Row],[JOB TARGET]]="","Job Target Kosong",IF(COUNT(IF('Data Assessment'!$N139:$Z139-OFFSET(Standar!$B$2,MATCH(Assessment[[#This Row],[JOB TARGET
(EST)]],Standar[NAMA JABATAN],0)-1,1,1,13)&lt;0,1,""))&lt;=3,'9 Grid'!$B$4,IF(COUNT(IF('Data Assessment'!$N139:$Z139-OFFSET(Standar!$B$2,MATCH(Assessment[[#This Row],[JOB TARGET]],Standar[NAMA JABATAN],0)-1,1,1,13)&lt;0,1,""))&gt;=7,'9 Grid'!$B$6,'9 Grid'!$B$5)))</f>
        <v>Job Target Kosong</v>
      </c>
      <c r="I139" s="146" t="str">
        <f>IFERROR(IF(Data_Assessment[[#This Row],[IPP (3 YEARS AVERAGE)]]="","(IPP Belum Ada)",IF(Data_Assessment[[#This Row],[IPP (3 YEARS AVERAGE)]]&lt;2,'9 Grid'!$F$2,IF(Data_Assessment[[#This Row],[IPP (3 YEARS AVERAGE)]]&gt;=4,'9 Grid'!$D$2,'9 Grid'!$E$2))),"")</f>
        <v>Fully Competence Performance</v>
      </c>
      <c r="J139" s="146" t="str">
        <f ca="1">IFERROR(INDEX('9 Grid'!$D$4:$F$6,MATCH('Rekomendasi HAV'!H139,'9 Grid'!$B$4:$B$6,0),MATCH('Rekomendasi HAV'!I139,'9 Grid'!$D$2:$F$2,0)),"")</f>
        <v/>
      </c>
      <c r="K139" s="146" t="str">
        <f>IFERROR(INDEX('9 Grid'!$D$8:$F$8,1,MATCH('Rekomendasi HAV'!I139,'9 Grid'!$D$2:$F$2,0)),"")</f>
        <v>(ST) Within 12 - 18 month</v>
      </c>
      <c r="L139" s="146">
        <f>IF(ISNUMBER(SEARCH("EST",Assessment[[#This Row],[JOB TARGET]])),SUBSTITUTE(Assessment[[#This Row],[JOB TARGET]],"EST","DEV"),Assessment[[#This Row],[JOB TARGET]])</f>
        <v>0</v>
      </c>
      <c r="M139" s="146" t="str" cm="1">
        <f t="array" aca="1" ref="M139" ca="1">IF(Assessment[[#This Row],[JOB TARGET]]="","Job Target Kosong",IF(COUNT(IF('Data Assessment'!$N139:$Z139-OFFSET(Standar!$B$2,MATCH(Assessment[[#This Row],[JOB TARGET
(DEV)]],Standar[NAMA JABATAN],0)-1,1,1,13)&lt;0,1,""))&lt;=3,'9 Grid'!$B$4,IF(COUNT(IF('Data Assessment'!$N139:$Z139-OFFSET(Standar!$B$2,MATCH(Assessment[[#This Row],[JOB TARGET
(DEV)]],Standar[NAMA JABATAN],0)-1,1,1,13)&lt;0,1,""))&gt;=7,'9 Grid'!$B$6,'9 Grid'!$B$5)))</f>
        <v>Job Target Kosong</v>
      </c>
      <c r="N139" s="146" t="str">
        <f>IFERROR(IF(Data_Assessment[[#This Row],[IPP (3 YEARS AVERAGE)]]="","(IPP Belum Ada)",IF(Data_Assessment[[#This Row],[IPP (3 YEARS AVERAGE)]]&lt;2,'9 Grid'!$F$2,IF(Data_Assessment[[#This Row],[IPP (3 YEARS AVERAGE)]]&gt;=4,'9 Grid'!$D$2,'9 Grid'!$E$2))),"")</f>
        <v>Fully Competence Performance</v>
      </c>
      <c r="O139" s="146" t="str">
        <f ca="1">IFERROR(INDEX('9 Grid'!$D$4:$F$6,MATCH('Rekomendasi HAV'!M139,'9 Grid'!$B$4:$B$6,0),MATCH('Rekomendasi HAV'!N139,'9 Grid'!$D$2:$F$2,0)),"")</f>
        <v/>
      </c>
      <c r="P139" s="147" t="str">
        <f>IFERROR(INDEX('9 Grid'!$D$8:$F$8,1,MATCH('Rekomendasi HAV'!N139,'9 Grid'!$D$2:$F$2,0)),"")</f>
        <v>(ST) Within 12 - 18 month</v>
      </c>
    </row>
    <row r="140" spans="1:16" ht="28.5">
      <c r="A140" s="67">
        <v>139</v>
      </c>
      <c r="B140" s="68" t="str">
        <f>INDEX(Data_Assessment[],MATCH('Rekomendasi HAV'!$A140,Data_Assessment[[INDEX]:[INDEX]],0),MATCH('Rekomendasi HAV'!B$1,Data_Assessment[#Headers],0))</f>
        <v>Dudi Hermawan, SE</v>
      </c>
      <c r="C140" s="68" t="str">
        <f>INDEX(Data_Assessment[],MATCH('Rekomendasi HAV'!$A140,Data_Assessment[[INDEX]:[INDEX]],0),MATCH('Rekomendasi HAV'!C$1,Data_Assessment[#Headers],0))</f>
        <v>Jawa Timur</v>
      </c>
      <c r="D140" s="68" t="str">
        <f>INDEX(Data_Assessment[],MATCH('Rekomendasi HAV'!$A140,Data_Assessment[[INDEX]:[INDEX]],0),MATCH('Rekomendasi HAV'!D$1,Data_Assessment[#Headers],0))</f>
        <v>LSIP - RO Surabaya</v>
      </c>
      <c r="E140" s="68">
        <f>INDEX(Data_Assessment[],MATCH('Rekomendasi HAV'!$B140,Data_Assessment[[NAME]:[NAME]],0),MATCH('Rekomendasi HAV'!E$1,Data_Assessment[#Headers],0))</f>
        <v>0</v>
      </c>
      <c r="F140" s="68"/>
      <c r="G140" s="68">
        <f>IF(ISNUMBER(SEARCH("DEV",Assessment[[#This Row],[JOB TARGET]])),SUBSTITUTE(Assessment[[#This Row],[JOB TARGET]],"DEV","EST"),Assessment[[#This Row],[JOB TARGET]])</f>
        <v>0</v>
      </c>
      <c r="H140" s="146" t="str" cm="1">
        <f t="array" aca="1" ref="H140" ca="1">IF(Assessment[[#This Row],[JOB TARGET]]="","Job Target Kosong",IF(COUNT(IF('Data Assessment'!$N140:$Z140-OFFSET(Standar!$B$2,MATCH(Assessment[[#This Row],[JOB TARGET
(EST)]],Standar[NAMA JABATAN],0)-1,1,1,13)&lt;0,1,""))&lt;=3,'9 Grid'!$B$4,IF(COUNT(IF('Data Assessment'!$N140:$Z140-OFFSET(Standar!$B$2,MATCH(Assessment[[#This Row],[JOB TARGET]],Standar[NAMA JABATAN],0)-1,1,1,13)&lt;0,1,""))&gt;=7,'9 Grid'!$B$6,'9 Grid'!$B$5)))</f>
        <v>Job Target Kosong</v>
      </c>
      <c r="I140" s="146" t="str">
        <f>IFERROR(IF(Data_Assessment[[#This Row],[IPP (3 YEARS AVERAGE)]]="","(IPP Belum Ada)",IF(Data_Assessment[[#This Row],[IPP (3 YEARS AVERAGE)]]&lt;2,'9 Grid'!$F$2,IF(Data_Assessment[[#This Row],[IPP (3 YEARS AVERAGE)]]&gt;=4,'9 Grid'!$D$2,'9 Grid'!$E$2))),"")</f>
        <v>Contributor</v>
      </c>
      <c r="J140" s="146" t="str">
        <f ca="1">IFERROR(INDEX('9 Grid'!$D$4:$F$6,MATCH('Rekomendasi HAV'!H140,'9 Grid'!$B$4:$B$6,0),MATCH('Rekomendasi HAV'!I140,'9 Grid'!$D$2:$F$2,0)),"")</f>
        <v/>
      </c>
      <c r="K140" s="146" t="str">
        <f>IFERROR(INDEX('9 Grid'!$D$8:$F$8,1,MATCH('Rekomendasi HAV'!I140,'9 Grid'!$D$2:$F$2,0)),"")</f>
        <v>(LT) More 2 - 3 year</v>
      </c>
      <c r="L140" s="146">
        <f>IF(ISNUMBER(SEARCH("EST",Assessment[[#This Row],[JOB TARGET]])),SUBSTITUTE(Assessment[[#This Row],[JOB TARGET]],"EST","DEV"),Assessment[[#This Row],[JOB TARGET]])</f>
        <v>0</v>
      </c>
      <c r="M140" s="146" t="str" cm="1">
        <f t="array" aca="1" ref="M140" ca="1">IF(Assessment[[#This Row],[JOB TARGET]]="","Job Target Kosong",IF(COUNT(IF('Data Assessment'!$N140:$Z140-OFFSET(Standar!$B$2,MATCH(Assessment[[#This Row],[JOB TARGET
(DEV)]],Standar[NAMA JABATAN],0)-1,1,1,13)&lt;0,1,""))&lt;=3,'9 Grid'!$B$4,IF(COUNT(IF('Data Assessment'!$N140:$Z140-OFFSET(Standar!$B$2,MATCH(Assessment[[#This Row],[JOB TARGET
(DEV)]],Standar[NAMA JABATAN],0)-1,1,1,13)&lt;0,1,""))&gt;=7,'9 Grid'!$B$6,'9 Grid'!$B$5)))</f>
        <v>Job Target Kosong</v>
      </c>
      <c r="N140" s="146" t="str">
        <f>IFERROR(IF(Data_Assessment[[#This Row],[IPP (3 YEARS AVERAGE)]]="","(IPP Belum Ada)",IF(Data_Assessment[[#This Row],[IPP (3 YEARS AVERAGE)]]&lt;2,'9 Grid'!$F$2,IF(Data_Assessment[[#This Row],[IPP (3 YEARS AVERAGE)]]&gt;=4,'9 Grid'!$D$2,'9 Grid'!$E$2))),"")</f>
        <v>Contributor</v>
      </c>
      <c r="O140" s="146" t="str">
        <f ca="1">IFERROR(INDEX('9 Grid'!$D$4:$F$6,MATCH('Rekomendasi HAV'!M140,'9 Grid'!$B$4:$B$6,0),MATCH('Rekomendasi HAV'!N140,'9 Grid'!$D$2:$F$2,0)),"")</f>
        <v/>
      </c>
      <c r="P140" s="147" t="str">
        <f>IFERROR(INDEX('9 Grid'!$D$8:$F$8,1,MATCH('Rekomendasi HAV'!N140,'9 Grid'!$D$2:$F$2,0)),"")</f>
        <v>(LT) More 2 - 3 year</v>
      </c>
    </row>
    <row r="141" spans="1:16" ht="28.5">
      <c r="A141" s="67">
        <v>140</v>
      </c>
      <c r="B141" s="68" t="str">
        <f>INDEX(Data_Assessment[],MATCH('Rekomendasi HAV'!$A141,Data_Assessment[[INDEX]:[INDEX]],0),MATCH('Rekomendasi HAV'!B$1,Data_Assessment[#Headers],0))</f>
        <v>Andry Roy P.S., SE</v>
      </c>
      <c r="C141" s="68" t="str">
        <f>INDEX(Data_Assessment[],MATCH('Rekomendasi HAV'!$A141,Data_Assessment[[INDEX]:[INDEX]],0),MATCH('Rekomendasi HAV'!C$1,Data_Assessment[#Headers],0))</f>
        <v>Medan</v>
      </c>
      <c r="D141" s="68" t="str">
        <f>INDEX(Data_Assessment[],MATCH('Rekomendasi HAV'!$A141,Data_Assessment[[INDEX]:[INDEX]],0),MATCH('Rekomendasi HAV'!D$1,Data_Assessment[#Headers],0))</f>
        <v>LSIP - RO Medan</v>
      </c>
      <c r="E141" s="68">
        <f>INDEX(Data_Assessment[],MATCH('Rekomendasi HAV'!$B141,Data_Assessment[[NAME]:[NAME]],0),MATCH('Rekomendasi HAV'!E$1,Data_Assessment[#Headers],0))</f>
        <v>0</v>
      </c>
      <c r="F141" s="68"/>
      <c r="G141" s="68">
        <f>IF(ISNUMBER(SEARCH("DEV",Assessment[[#This Row],[JOB TARGET]])),SUBSTITUTE(Assessment[[#This Row],[JOB TARGET]],"DEV","EST"),Assessment[[#This Row],[JOB TARGET]])</f>
        <v>0</v>
      </c>
      <c r="H141" s="146" t="str" cm="1">
        <f t="array" aca="1" ref="H141" ca="1">IF(Assessment[[#This Row],[JOB TARGET]]="","Job Target Kosong",IF(COUNT(IF('Data Assessment'!$N141:$Z141-OFFSET(Standar!$B$2,MATCH(Assessment[[#This Row],[JOB TARGET
(EST)]],Standar[NAMA JABATAN],0)-1,1,1,13)&lt;0,1,""))&lt;=3,'9 Grid'!$B$4,IF(COUNT(IF('Data Assessment'!$N141:$Z141-OFFSET(Standar!$B$2,MATCH(Assessment[[#This Row],[JOB TARGET]],Standar[NAMA JABATAN],0)-1,1,1,13)&lt;0,1,""))&gt;=7,'9 Grid'!$B$6,'9 Grid'!$B$5)))</f>
        <v>Job Target Kosong</v>
      </c>
      <c r="I141" s="146" t="str">
        <f>IFERROR(IF(Data_Assessment[[#This Row],[IPP (3 YEARS AVERAGE)]]="","(IPP Belum Ada)",IF(Data_Assessment[[#This Row],[IPP (3 YEARS AVERAGE)]]&lt;2,'9 Grid'!$F$2,IF(Data_Assessment[[#This Row],[IPP (3 YEARS AVERAGE)]]&gt;=4,'9 Grid'!$D$2,'9 Grid'!$E$2))),"")</f>
        <v>Fully Competence Performance</v>
      </c>
      <c r="J141" s="146" t="str">
        <f ca="1">IFERROR(INDEX('9 Grid'!$D$4:$F$6,MATCH('Rekomendasi HAV'!H141,'9 Grid'!$B$4:$B$6,0),MATCH('Rekomendasi HAV'!I141,'9 Grid'!$D$2:$F$2,0)),"")</f>
        <v/>
      </c>
      <c r="K141" s="146" t="str">
        <f>IFERROR(INDEX('9 Grid'!$D$8:$F$8,1,MATCH('Rekomendasi HAV'!I141,'9 Grid'!$D$2:$F$2,0)),"")</f>
        <v>(ST) Within 12 - 18 month</v>
      </c>
      <c r="L141" s="146">
        <f>IF(ISNUMBER(SEARCH("EST",Assessment[[#This Row],[JOB TARGET]])),SUBSTITUTE(Assessment[[#This Row],[JOB TARGET]],"EST","DEV"),Assessment[[#This Row],[JOB TARGET]])</f>
        <v>0</v>
      </c>
      <c r="M141" s="146" t="str" cm="1">
        <f t="array" aca="1" ref="M141" ca="1">IF(Assessment[[#This Row],[JOB TARGET]]="","Job Target Kosong",IF(COUNT(IF('Data Assessment'!$N141:$Z141-OFFSET(Standar!$B$2,MATCH(Assessment[[#This Row],[JOB TARGET
(DEV)]],Standar[NAMA JABATAN],0)-1,1,1,13)&lt;0,1,""))&lt;=3,'9 Grid'!$B$4,IF(COUNT(IF('Data Assessment'!$N141:$Z141-OFFSET(Standar!$B$2,MATCH(Assessment[[#This Row],[JOB TARGET
(DEV)]],Standar[NAMA JABATAN],0)-1,1,1,13)&lt;0,1,""))&gt;=7,'9 Grid'!$B$6,'9 Grid'!$B$5)))</f>
        <v>Job Target Kosong</v>
      </c>
      <c r="N141" s="146" t="str">
        <f>IFERROR(IF(Data_Assessment[[#This Row],[IPP (3 YEARS AVERAGE)]]="","(IPP Belum Ada)",IF(Data_Assessment[[#This Row],[IPP (3 YEARS AVERAGE)]]&lt;2,'9 Grid'!$F$2,IF(Data_Assessment[[#This Row],[IPP (3 YEARS AVERAGE)]]&gt;=4,'9 Grid'!$D$2,'9 Grid'!$E$2))),"")</f>
        <v>Fully Competence Performance</v>
      </c>
      <c r="O141" s="146" t="str">
        <f ca="1">IFERROR(INDEX('9 Grid'!$D$4:$F$6,MATCH('Rekomendasi HAV'!M141,'9 Grid'!$B$4:$B$6,0),MATCH('Rekomendasi HAV'!N141,'9 Grid'!$D$2:$F$2,0)),"")</f>
        <v/>
      </c>
      <c r="P141" s="147" t="str">
        <f>IFERROR(INDEX('9 Grid'!$D$8:$F$8,1,MATCH('Rekomendasi HAV'!N141,'9 Grid'!$D$2:$F$2,0)),"")</f>
        <v>(ST) Within 12 - 18 month</v>
      </c>
    </row>
    <row r="142" spans="1:16" ht="28.5">
      <c r="A142" s="67">
        <v>141</v>
      </c>
      <c r="B142" s="68" t="str">
        <f>INDEX(Data_Assessment[],MATCH('Rekomendasi HAV'!$A142,Data_Assessment[[INDEX]:[INDEX]],0),MATCH('Rekomendasi HAV'!B$1,Data_Assessment[#Headers],0))</f>
        <v>Muhammad Syarifuddin</v>
      </c>
      <c r="C142" s="68" t="str">
        <f>INDEX(Data_Assessment[],MATCH('Rekomendasi HAV'!$A142,Data_Assessment[[INDEX]:[INDEX]],0),MATCH('Rekomendasi HAV'!C$1,Data_Assessment[#Headers],0))</f>
        <v>Jawa Timur</v>
      </c>
      <c r="D142" s="68" t="str">
        <f>INDEX(Data_Assessment[],MATCH('Rekomendasi HAV'!$A142,Data_Assessment[[INDEX]:[INDEX]],0),MATCH('Rekomendasi HAV'!D$1,Data_Assessment[#Headers],0))</f>
        <v>LSIP - RO Surabaya</v>
      </c>
      <c r="E142" s="68">
        <f>INDEX(Data_Assessment[],MATCH('Rekomendasi HAV'!$B142,Data_Assessment[[NAME]:[NAME]],0),MATCH('Rekomendasi HAV'!E$1,Data_Assessment[#Headers],0))</f>
        <v>0</v>
      </c>
      <c r="F142" s="68"/>
      <c r="G142" s="68">
        <f>IF(ISNUMBER(SEARCH("DEV",Assessment[[#This Row],[JOB TARGET]])),SUBSTITUTE(Assessment[[#This Row],[JOB TARGET]],"DEV","EST"),Assessment[[#This Row],[JOB TARGET]])</f>
        <v>0</v>
      </c>
      <c r="H142" s="146" t="str" cm="1">
        <f t="array" aca="1" ref="H142" ca="1">IF(Assessment[[#This Row],[JOB TARGET]]="","Job Target Kosong",IF(COUNT(IF('Data Assessment'!$N142:$Z142-OFFSET(Standar!$B$2,MATCH(Assessment[[#This Row],[JOB TARGET
(EST)]],Standar[NAMA JABATAN],0)-1,1,1,13)&lt;0,1,""))&lt;=3,'9 Grid'!$B$4,IF(COUNT(IF('Data Assessment'!$N142:$Z142-OFFSET(Standar!$B$2,MATCH(Assessment[[#This Row],[JOB TARGET]],Standar[NAMA JABATAN],0)-1,1,1,13)&lt;0,1,""))&gt;=7,'9 Grid'!$B$6,'9 Grid'!$B$5)))</f>
        <v>Job Target Kosong</v>
      </c>
      <c r="I142" s="146" t="str">
        <f>IFERROR(IF(Data_Assessment[[#This Row],[IPP (3 YEARS AVERAGE)]]="","(IPP Belum Ada)",IF(Data_Assessment[[#This Row],[IPP (3 YEARS AVERAGE)]]&lt;2,'9 Grid'!$F$2,IF(Data_Assessment[[#This Row],[IPP (3 YEARS AVERAGE)]]&gt;=4,'9 Grid'!$D$2,'9 Grid'!$E$2))),"")</f>
        <v>Fully Competence Performance</v>
      </c>
      <c r="J142" s="146" t="str">
        <f ca="1">IFERROR(INDEX('9 Grid'!$D$4:$F$6,MATCH('Rekomendasi HAV'!H142,'9 Grid'!$B$4:$B$6,0),MATCH('Rekomendasi HAV'!I142,'9 Grid'!$D$2:$F$2,0)),"")</f>
        <v/>
      </c>
      <c r="K142" s="146" t="str">
        <f>IFERROR(INDEX('9 Grid'!$D$8:$F$8,1,MATCH('Rekomendasi HAV'!I142,'9 Grid'!$D$2:$F$2,0)),"")</f>
        <v>(ST) Within 12 - 18 month</v>
      </c>
      <c r="L142" s="146">
        <f>IF(ISNUMBER(SEARCH("EST",Assessment[[#This Row],[JOB TARGET]])),SUBSTITUTE(Assessment[[#This Row],[JOB TARGET]],"EST","DEV"),Assessment[[#This Row],[JOB TARGET]])</f>
        <v>0</v>
      </c>
      <c r="M142" s="146" t="str" cm="1">
        <f t="array" aca="1" ref="M142" ca="1">IF(Assessment[[#This Row],[JOB TARGET]]="","Job Target Kosong",IF(COUNT(IF('Data Assessment'!$N142:$Z142-OFFSET(Standar!$B$2,MATCH(Assessment[[#This Row],[JOB TARGET
(DEV)]],Standar[NAMA JABATAN],0)-1,1,1,13)&lt;0,1,""))&lt;=3,'9 Grid'!$B$4,IF(COUNT(IF('Data Assessment'!$N142:$Z142-OFFSET(Standar!$B$2,MATCH(Assessment[[#This Row],[JOB TARGET
(DEV)]],Standar[NAMA JABATAN],0)-1,1,1,13)&lt;0,1,""))&gt;=7,'9 Grid'!$B$6,'9 Grid'!$B$5)))</f>
        <v>Job Target Kosong</v>
      </c>
      <c r="N142" s="146" t="str">
        <f>IFERROR(IF(Data_Assessment[[#This Row],[IPP (3 YEARS AVERAGE)]]="","(IPP Belum Ada)",IF(Data_Assessment[[#This Row],[IPP (3 YEARS AVERAGE)]]&lt;2,'9 Grid'!$F$2,IF(Data_Assessment[[#This Row],[IPP (3 YEARS AVERAGE)]]&gt;=4,'9 Grid'!$D$2,'9 Grid'!$E$2))),"")</f>
        <v>Fully Competence Performance</v>
      </c>
      <c r="O142" s="146" t="str">
        <f ca="1">IFERROR(INDEX('9 Grid'!$D$4:$F$6,MATCH('Rekomendasi HAV'!M142,'9 Grid'!$B$4:$B$6,0),MATCH('Rekomendasi HAV'!N142,'9 Grid'!$D$2:$F$2,0)),"")</f>
        <v/>
      </c>
      <c r="P142" s="147" t="str">
        <f>IFERROR(INDEX('9 Grid'!$D$8:$F$8,1,MATCH('Rekomendasi HAV'!N142,'9 Grid'!$D$2:$F$2,0)),"")</f>
        <v>(ST) Within 12 - 18 month</v>
      </c>
    </row>
    <row r="143" spans="1:16" ht="28.5">
      <c r="A143" s="67">
        <v>142</v>
      </c>
      <c r="B143" s="68" t="str">
        <f>INDEX(Data_Assessment[],MATCH('Rekomendasi HAV'!$A143,Data_Assessment[[INDEX]:[INDEX]],0),MATCH('Rekomendasi HAV'!B$1,Data_Assessment[#Headers],0))</f>
        <v>Sunaryo Sitopu</v>
      </c>
      <c r="C143" s="68" t="str">
        <f>INDEX(Data_Assessment[],MATCH('Rekomendasi HAV'!$A143,Data_Assessment[[INDEX]:[INDEX]],0),MATCH('Rekomendasi HAV'!C$1,Data_Assessment[#Headers],0))</f>
        <v>Medan</v>
      </c>
      <c r="D143" s="68" t="str">
        <f>INDEX(Data_Assessment[],MATCH('Rekomendasi HAV'!$A143,Data_Assessment[[INDEX]:[INDEX]],0),MATCH('Rekomendasi HAV'!D$1,Data_Assessment[#Headers],0))</f>
        <v>LSIP - RO Medan</v>
      </c>
      <c r="E143" s="68">
        <f>INDEX(Data_Assessment[],MATCH('Rekomendasi HAV'!$B143,Data_Assessment[[NAME]:[NAME]],0),MATCH('Rekomendasi HAV'!E$1,Data_Assessment[#Headers],0))</f>
        <v>0</v>
      </c>
      <c r="F143" s="68"/>
      <c r="G143" s="68">
        <f>IF(ISNUMBER(SEARCH("DEV",Assessment[[#This Row],[JOB TARGET]])),SUBSTITUTE(Assessment[[#This Row],[JOB TARGET]],"DEV","EST"),Assessment[[#This Row],[JOB TARGET]])</f>
        <v>0</v>
      </c>
      <c r="H143" s="146" t="str" cm="1">
        <f t="array" aca="1" ref="H143" ca="1">IF(Assessment[[#This Row],[JOB TARGET]]="","Job Target Kosong",IF(COUNT(IF('Data Assessment'!$N143:$Z143-OFFSET(Standar!$B$2,MATCH(Assessment[[#This Row],[JOB TARGET
(EST)]],Standar[NAMA JABATAN],0)-1,1,1,13)&lt;0,1,""))&lt;=3,'9 Grid'!$B$4,IF(COUNT(IF('Data Assessment'!$N143:$Z143-OFFSET(Standar!$B$2,MATCH(Assessment[[#This Row],[JOB TARGET]],Standar[NAMA JABATAN],0)-1,1,1,13)&lt;0,1,""))&gt;=7,'9 Grid'!$B$6,'9 Grid'!$B$5)))</f>
        <v>Job Target Kosong</v>
      </c>
      <c r="I143" s="146" t="str">
        <f>IFERROR(IF(Data_Assessment[[#This Row],[IPP (3 YEARS AVERAGE)]]="","(IPP Belum Ada)",IF(Data_Assessment[[#This Row],[IPP (3 YEARS AVERAGE)]]&lt;2,'9 Grid'!$F$2,IF(Data_Assessment[[#This Row],[IPP (3 YEARS AVERAGE)]]&gt;=4,'9 Grid'!$D$2,'9 Grid'!$E$2))),"")</f>
        <v>Fully Competence Performance</v>
      </c>
      <c r="J143" s="146" t="str">
        <f ca="1">IFERROR(INDEX('9 Grid'!$D$4:$F$6,MATCH('Rekomendasi HAV'!H143,'9 Grid'!$B$4:$B$6,0),MATCH('Rekomendasi HAV'!I143,'9 Grid'!$D$2:$F$2,0)),"")</f>
        <v/>
      </c>
      <c r="K143" s="146" t="str">
        <f>IFERROR(INDEX('9 Grid'!$D$8:$F$8,1,MATCH('Rekomendasi HAV'!I143,'9 Grid'!$D$2:$F$2,0)),"")</f>
        <v>(ST) Within 12 - 18 month</v>
      </c>
      <c r="L143" s="146">
        <f>IF(ISNUMBER(SEARCH("EST",Assessment[[#This Row],[JOB TARGET]])),SUBSTITUTE(Assessment[[#This Row],[JOB TARGET]],"EST","DEV"),Assessment[[#This Row],[JOB TARGET]])</f>
        <v>0</v>
      </c>
      <c r="M143" s="146" t="str" cm="1">
        <f t="array" aca="1" ref="M143" ca="1">IF(Assessment[[#This Row],[JOB TARGET]]="","Job Target Kosong",IF(COUNT(IF('Data Assessment'!$N143:$Z143-OFFSET(Standar!$B$2,MATCH(Assessment[[#This Row],[JOB TARGET
(DEV)]],Standar[NAMA JABATAN],0)-1,1,1,13)&lt;0,1,""))&lt;=3,'9 Grid'!$B$4,IF(COUNT(IF('Data Assessment'!$N143:$Z143-OFFSET(Standar!$B$2,MATCH(Assessment[[#This Row],[JOB TARGET
(DEV)]],Standar[NAMA JABATAN],0)-1,1,1,13)&lt;0,1,""))&gt;=7,'9 Grid'!$B$6,'9 Grid'!$B$5)))</f>
        <v>Job Target Kosong</v>
      </c>
      <c r="N143" s="146" t="str">
        <f>IFERROR(IF(Data_Assessment[[#This Row],[IPP (3 YEARS AVERAGE)]]="","(IPP Belum Ada)",IF(Data_Assessment[[#This Row],[IPP (3 YEARS AVERAGE)]]&lt;2,'9 Grid'!$F$2,IF(Data_Assessment[[#This Row],[IPP (3 YEARS AVERAGE)]]&gt;=4,'9 Grid'!$D$2,'9 Grid'!$E$2))),"")</f>
        <v>Fully Competence Performance</v>
      </c>
      <c r="O143" s="146" t="str">
        <f ca="1">IFERROR(INDEX('9 Grid'!$D$4:$F$6,MATCH('Rekomendasi HAV'!M143,'9 Grid'!$B$4:$B$6,0),MATCH('Rekomendasi HAV'!N143,'9 Grid'!$D$2:$F$2,0)),"")</f>
        <v/>
      </c>
      <c r="P143" s="147" t="str">
        <f>IFERROR(INDEX('9 Grid'!$D$8:$F$8,1,MATCH('Rekomendasi HAV'!N143,'9 Grid'!$D$2:$F$2,0)),"")</f>
        <v>(ST) Within 12 - 18 month</v>
      </c>
    </row>
    <row r="144" spans="1:16" ht="28.5">
      <c r="A144" s="67">
        <v>143</v>
      </c>
      <c r="B144" s="68" t="str">
        <f>INDEX(Data_Assessment[],MATCH('Rekomendasi HAV'!$A144,Data_Assessment[[INDEX]:[INDEX]],0),MATCH('Rekomendasi HAV'!B$1,Data_Assessment[#Headers],0))</f>
        <v>Gabriel Zulfiker</v>
      </c>
      <c r="C144" s="68" t="str">
        <f>INDEX(Data_Assessment[],MATCH('Rekomendasi HAV'!$A144,Data_Assessment[[INDEX]:[INDEX]],0),MATCH('Rekomendasi HAV'!C$1,Data_Assessment[#Headers],0))</f>
        <v>Jawa Timur</v>
      </c>
      <c r="D144" s="68" t="str">
        <f>INDEX(Data_Assessment[],MATCH('Rekomendasi HAV'!$A144,Data_Assessment[[INDEX]:[INDEX]],0),MATCH('Rekomendasi HAV'!D$1,Data_Assessment[#Headers],0))</f>
        <v>LSIP - RO Surabaya</v>
      </c>
      <c r="E144" s="68">
        <f>INDEX(Data_Assessment[],MATCH('Rekomendasi HAV'!$B144,Data_Assessment[[NAME]:[NAME]],0),MATCH('Rekomendasi HAV'!E$1,Data_Assessment[#Headers],0))</f>
        <v>0</v>
      </c>
      <c r="F144" s="68"/>
      <c r="G144" s="68">
        <f>IF(ISNUMBER(SEARCH("DEV",Assessment[[#This Row],[JOB TARGET]])),SUBSTITUTE(Assessment[[#This Row],[JOB TARGET]],"DEV","EST"),Assessment[[#This Row],[JOB TARGET]])</f>
        <v>0</v>
      </c>
      <c r="H144" s="146" t="str" cm="1">
        <f t="array" aca="1" ref="H144" ca="1">IF(Assessment[[#This Row],[JOB TARGET]]="","Job Target Kosong",IF(COUNT(IF('Data Assessment'!$N144:$Z144-OFFSET(Standar!$B$2,MATCH(Assessment[[#This Row],[JOB TARGET
(EST)]],Standar[NAMA JABATAN],0)-1,1,1,13)&lt;0,1,""))&lt;=3,'9 Grid'!$B$4,IF(COUNT(IF('Data Assessment'!$N144:$Z144-OFFSET(Standar!$B$2,MATCH(Assessment[[#This Row],[JOB TARGET]],Standar[NAMA JABATAN],0)-1,1,1,13)&lt;0,1,""))&gt;=7,'9 Grid'!$B$6,'9 Grid'!$B$5)))</f>
        <v>Job Target Kosong</v>
      </c>
      <c r="I144" s="146" t="str">
        <f>IFERROR(IF(Data_Assessment[[#This Row],[IPP (3 YEARS AVERAGE)]]="","(IPP Belum Ada)",IF(Data_Assessment[[#This Row],[IPP (3 YEARS AVERAGE)]]&lt;2,'9 Grid'!$F$2,IF(Data_Assessment[[#This Row],[IPP (3 YEARS AVERAGE)]]&gt;=4,'9 Grid'!$D$2,'9 Grid'!$E$2))),"")</f>
        <v>Contributor</v>
      </c>
      <c r="J144" s="146" t="str">
        <f ca="1">IFERROR(INDEX('9 Grid'!$D$4:$F$6,MATCH('Rekomendasi HAV'!H144,'9 Grid'!$B$4:$B$6,0),MATCH('Rekomendasi HAV'!I144,'9 Grid'!$D$2:$F$2,0)),"")</f>
        <v/>
      </c>
      <c r="K144" s="146" t="str">
        <f>IFERROR(INDEX('9 Grid'!$D$8:$F$8,1,MATCH('Rekomendasi HAV'!I144,'9 Grid'!$D$2:$F$2,0)),"")</f>
        <v>(LT) More 2 - 3 year</v>
      </c>
      <c r="L144" s="146">
        <f>IF(ISNUMBER(SEARCH("EST",Assessment[[#This Row],[JOB TARGET]])),SUBSTITUTE(Assessment[[#This Row],[JOB TARGET]],"EST","DEV"),Assessment[[#This Row],[JOB TARGET]])</f>
        <v>0</v>
      </c>
      <c r="M144" s="146" t="str" cm="1">
        <f t="array" aca="1" ref="M144" ca="1">IF(Assessment[[#This Row],[JOB TARGET]]="","Job Target Kosong",IF(COUNT(IF('Data Assessment'!$N144:$Z144-OFFSET(Standar!$B$2,MATCH(Assessment[[#This Row],[JOB TARGET
(DEV)]],Standar[NAMA JABATAN],0)-1,1,1,13)&lt;0,1,""))&lt;=3,'9 Grid'!$B$4,IF(COUNT(IF('Data Assessment'!$N144:$Z144-OFFSET(Standar!$B$2,MATCH(Assessment[[#This Row],[JOB TARGET
(DEV)]],Standar[NAMA JABATAN],0)-1,1,1,13)&lt;0,1,""))&gt;=7,'9 Grid'!$B$6,'9 Grid'!$B$5)))</f>
        <v>Job Target Kosong</v>
      </c>
      <c r="N144" s="146" t="str">
        <f>IFERROR(IF(Data_Assessment[[#This Row],[IPP (3 YEARS AVERAGE)]]="","(IPP Belum Ada)",IF(Data_Assessment[[#This Row],[IPP (3 YEARS AVERAGE)]]&lt;2,'9 Grid'!$F$2,IF(Data_Assessment[[#This Row],[IPP (3 YEARS AVERAGE)]]&gt;=4,'9 Grid'!$D$2,'9 Grid'!$E$2))),"")</f>
        <v>Contributor</v>
      </c>
      <c r="O144" s="146" t="str">
        <f ca="1">IFERROR(INDEX('9 Grid'!$D$4:$F$6,MATCH('Rekomendasi HAV'!M144,'9 Grid'!$B$4:$B$6,0),MATCH('Rekomendasi HAV'!N144,'9 Grid'!$D$2:$F$2,0)),"")</f>
        <v/>
      </c>
      <c r="P144" s="147" t="str">
        <f>IFERROR(INDEX('9 Grid'!$D$8:$F$8,1,MATCH('Rekomendasi HAV'!N144,'9 Grid'!$D$2:$F$2,0)),"")</f>
        <v>(LT) More 2 - 3 year</v>
      </c>
    </row>
    <row r="145" spans="1:16" ht="14.25">
      <c r="A145" s="67">
        <v>144</v>
      </c>
      <c r="B145" s="68" t="str">
        <f>INDEX(Data_Assessment[],MATCH('Rekomendasi HAV'!$A145,Data_Assessment[[INDEX]:[INDEX]],0),MATCH('Rekomendasi HAV'!B$1,Data_Assessment[#Headers],0))</f>
        <v>M. Zaimi Arif SPY</v>
      </c>
      <c r="C145" s="68" t="str">
        <f>INDEX(Data_Assessment[],MATCH('Rekomendasi HAV'!$A145,Data_Assessment[[INDEX]:[INDEX]],0),MATCH('Rekomendasi HAV'!C$1,Data_Assessment[#Headers],0))</f>
        <v>Medan</v>
      </c>
      <c r="D145" s="68" t="str">
        <f>INDEX(Data_Assessment[],MATCH('Rekomendasi HAV'!$A145,Data_Assessment[[INDEX]:[INDEX]],0),MATCH('Rekomendasi HAV'!D$1,Data_Assessment[#Headers],0))</f>
        <v>LSIP - RO Medan</v>
      </c>
      <c r="E145" s="68">
        <f>INDEX(Data_Assessment[],MATCH('Rekomendasi HAV'!$B145,Data_Assessment[[NAME]:[NAME]],0),MATCH('Rekomendasi HAV'!E$1,Data_Assessment[#Headers],0))</f>
        <v>0</v>
      </c>
      <c r="F145" s="68"/>
      <c r="G145" s="68">
        <f>IF(ISNUMBER(SEARCH("DEV",Assessment[[#This Row],[JOB TARGET]])),SUBSTITUTE(Assessment[[#This Row],[JOB TARGET]],"DEV","EST"),Assessment[[#This Row],[JOB TARGET]])</f>
        <v>0</v>
      </c>
      <c r="H145" s="146" t="str" cm="1">
        <f t="array" aca="1" ref="H145" ca="1">IF(Assessment[[#This Row],[JOB TARGET]]="","Job Target Kosong",IF(COUNT(IF('Data Assessment'!$N145:$Z145-OFFSET(Standar!$B$2,MATCH(Assessment[[#This Row],[JOB TARGET
(EST)]],Standar[NAMA JABATAN],0)-1,1,1,13)&lt;0,1,""))&lt;=3,'9 Grid'!$B$4,IF(COUNT(IF('Data Assessment'!$N145:$Z145-OFFSET(Standar!$B$2,MATCH(Assessment[[#This Row],[JOB TARGET]],Standar[NAMA JABATAN],0)-1,1,1,13)&lt;0,1,""))&gt;=7,'9 Grid'!$B$6,'9 Grid'!$B$5)))</f>
        <v>Job Target Kosong</v>
      </c>
      <c r="I145" s="146" t="str">
        <f>IFERROR(IF(Data_Assessment[[#This Row],[IPP (3 YEARS AVERAGE)]]="","(IPP Belum Ada)",IF(Data_Assessment[[#This Row],[IPP (3 YEARS AVERAGE)]]&lt;2,'9 Grid'!$F$2,IF(Data_Assessment[[#This Row],[IPP (3 YEARS AVERAGE)]]&gt;=4,'9 Grid'!$D$2,'9 Grid'!$E$2))),"")</f>
        <v>Exceptional Performance</v>
      </c>
      <c r="J145" s="146" t="str">
        <f ca="1">IFERROR(INDEX('9 Grid'!$D$4:$F$6,MATCH('Rekomendasi HAV'!H145,'9 Grid'!$B$4:$B$6,0),MATCH('Rekomendasi HAV'!I145,'9 Grid'!$D$2:$F$2,0)),"")</f>
        <v/>
      </c>
      <c r="K145" s="146" t="str">
        <f>IFERROR(INDEX('9 Grid'!$D$8:$F$8,1,MATCH('Rekomendasi HAV'!I145,'9 Grid'!$D$2:$F$2,0)),"")</f>
        <v>(I) Immediately</v>
      </c>
      <c r="L145" s="146">
        <f>IF(ISNUMBER(SEARCH("EST",Assessment[[#This Row],[JOB TARGET]])),SUBSTITUTE(Assessment[[#This Row],[JOB TARGET]],"EST","DEV"),Assessment[[#This Row],[JOB TARGET]])</f>
        <v>0</v>
      </c>
      <c r="M145" s="146" t="str" cm="1">
        <f t="array" aca="1" ref="M145" ca="1">IF(Assessment[[#This Row],[JOB TARGET]]="","Job Target Kosong",IF(COUNT(IF('Data Assessment'!$N145:$Z145-OFFSET(Standar!$B$2,MATCH(Assessment[[#This Row],[JOB TARGET
(DEV)]],Standar[NAMA JABATAN],0)-1,1,1,13)&lt;0,1,""))&lt;=3,'9 Grid'!$B$4,IF(COUNT(IF('Data Assessment'!$N145:$Z145-OFFSET(Standar!$B$2,MATCH(Assessment[[#This Row],[JOB TARGET
(DEV)]],Standar[NAMA JABATAN],0)-1,1,1,13)&lt;0,1,""))&gt;=7,'9 Grid'!$B$6,'9 Grid'!$B$5)))</f>
        <v>Job Target Kosong</v>
      </c>
      <c r="N145" s="146" t="str">
        <f>IFERROR(IF(Data_Assessment[[#This Row],[IPP (3 YEARS AVERAGE)]]="","(IPP Belum Ada)",IF(Data_Assessment[[#This Row],[IPP (3 YEARS AVERAGE)]]&lt;2,'9 Grid'!$F$2,IF(Data_Assessment[[#This Row],[IPP (3 YEARS AVERAGE)]]&gt;=4,'9 Grid'!$D$2,'9 Grid'!$E$2))),"")</f>
        <v>Exceptional Performance</v>
      </c>
      <c r="O145" s="146" t="str">
        <f ca="1">IFERROR(INDEX('9 Grid'!$D$4:$F$6,MATCH('Rekomendasi HAV'!M145,'9 Grid'!$B$4:$B$6,0),MATCH('Rekomendasi HAV'!N145,'9 Grid'!$D$2:$F$2,0)),"")</f>
        <v/>
      </c>
      <c r="P145" s="147" t="str">
        <f>IFERROR(INDEX('9 Grid'!$D$8:$F$8,1,MATCH('Rekomendasi HAV'!N145,'9 Grid'!$D$2:$F$2,0)),"")</f>
        <v>(I) Immediately</v>
      </c>
    </row>
    <row r="146" spans="1:16" ht="28.5">
      <c r="A146" s="67">
        <v>145</v>
      </c>
      <c r="B146" s="68" t="str">
        <f>INDEX(Data_Assessment[],MATCH('Rekomendasi HAV'!$A146,Data_Assessment[[INDEX]:[INDEX]],0),MATCH('Rekomendasi HAV'!B$1,Data_Assessment[#Headers],0))</f>
        <v>Ika Yunita Kartikasari</v>
      </c>
      <c r="C146" s="68" t="str">
        <f>INDEX(Data_Assessment[],MATCH('Rekomendasi HAV'!$A146,Data_Assessment[[INDEX]:[INDEX]],0),MATCH('Rekomendasi HAV'!C$1,Data_Assessment[#Headers],0))</f>
        <v>Jakarta</v>
      </c>
      <c r="D146" s="68" t="str">
        <f>INDEX(Data_Assessment[],MATCH('Rekomendasi HAV'!$A146,Data_Assessment[[INDEX]:[INDEX]],0),MATCH('Rekomendasi HAV'!D$1,Data_Assessment[#Headers],0))</f>
        <v>LSIP - HO Jakarta</v>
      </c>
      <c r="E146" s="68">
        <f>INDEX(Data_Assessment[],MATCH('Rekomendasi HAV'!$B146,Data_Assessment[[NAME]:[NAME]],0),MATCH('Rekomendasi HAV'!E$1,Data_Assessment[#Headers],0))</f>
        <v>0</v>
      </c>
      <c r="F146" s="68"/>
      <c r="G146" s="68">
        <f>IF(ISNUMBER(SEARCH("DEV",Assessment[[#This Row],[JOB TARGET]])),SUBSTITUTE(Assessment[[#This Row],[JOB TARGET]],"DEV","EST"),Assessment[[#This Row],[JOB TARGET]])</f>
        <v>0</v>
      </c>
      <c r="H146" s="146" t="str" cm="1">
        <f t="array" aca="1" ref="H146" ca="1">IF(Assessment[[#This Row],[JOB TARGET]]="","Job Target Kosong",IF(COUNT(IF('Data Assessment'!$N146:$Z146-OFFSET(Standar!$B$2,MATCH(Assessment[[#This Row],[JOB TARGET
(EST)]],Standar[NAMA JABATAN],0)-1,1,1,13)&lt;0,1,""))&lt;=3,'9 Grid'!$B$4,IF(COUNT(IF('Data Assessment'!$N146:$Z146-OFFSET(Standar!$B$2,MATCH(Assessment[[#This Row],[JOB TARGET]],Standar[NAMA JABATAN],0)-1,1,1,13)&lt;0,1,""))&gt;=7,'9 Grid'!$B$6,'9 Grid'!$B$5)))</f>
        <v>Job Target Kosong</v>
      </c>
      <c r="I146" s="146" t="str">
        <f>IFERROR(IF(Data_Assessment[[#This Row],[IPP (3 YEARS AVERAGE)]]="","(IPP Belum Ada)",IF(Data_Assessment[[#This Row],[IPP (3 YEARS AVERAGE)]]&lt;2,'9 Grid'!$F$2,IF(Data_Assessment[[#This Row],[IPP (3 YEARS AVERAGE)]]&gt;=4,'9 Grid'!$D$2,'9 Grid'!$E$2))),"")</f>
        <v>Contributor</v>
      </c>
      <c r="J146" s="146" t="str">
        <f ca="1">IFERROR(INDEX('9 Grid'!$D$4:$F$6,MATCH('Rekomendasi HAV'!H146,'9 Grid'!$B$4:$B$6,0),MATCH('Rekomendasi HAV'!I146,'9 Grid'!$D$2:$F$2,0)),"")</f>
        <v/>
      </c>
      <c r="K146" s="146" t="str">
        <f>IFERROR(INDEX('9 Grid'!$D$8:$F$8,1,MATCH('Rekomendasi HAV'!I146,'9 Grid'!$D$2:$F$2,0)),"")</f>
        <v>(LT) More 2 - 3 year</v>
      </c>
      <c r="L146" s="146">
        <f>IF(ISNUMBER(SEARCH("EST",Assessment[[#This Row],[JOB TARGET]])),SUBSTITUTE(Assessment[[#This Row],[JOB TARGET]],"EST","DEV"),Assessment[[#This Row],[JOB TARGET]])</f>
        <v>0</v>
      </c>
      <c r="M146" s="146" t="str" cm="1">
        <f t="array" aca="1" ref="M146" ca="1">IF(Assessment[[#This Row],[JOB TARGET]]="","Job Target Kosong",IF(COUNT(IF('Data Assessment'!$N146:$Z146-OFFSET(Standar!$B$2,MATCH(Assessment[[#This Row],[JOB TARGET
(DEV)]],Standar[NAMA JABATAN],0)-1,1,1,13)&lt;0,1,""))&lt;=3,'9 Grid'!$B$4,IF(COUNT(IF('Data Assessment'!$N146:$Z146-OFFSET(Standar!$B$2,MATCH(Assessment[[#This Row],[JOB TARGET
(DEV)]],Standar[NAMA JABATAN],0)-1,1,1,13)&lt;0,1,""))&gt;=7,'9 Grid'!$B$6,'9 Grid'!$B$5)))</f>
        <v>Job Target Kosong</v>
      </c>
      <c r="N146" s="146" t="str">
        <f>IFERROR(IF(Data_Assessment[[#This Row],[IPP (3 YEARS AVERAGE)]]="","(IPP Belum Ada)",IF(Data_Assessment[[#This Row],[IPP (3 YEARS AVERAGE)]]&lt;2,'9 Grid'!$F$2,IF(Data_Assessment[[#This Row],[IPP (3 YEARS AVERAGE)]]&gt;=4,'9 Grid'!$D$2,'9 Grid'!$E$2))),"")</f>
        <v>Contributor</v>
      </c>
      <c r="O146" s="146" t="str">
        <f ca="1">IFERROR(INDEX('9 Grid'!$D$4:$F$6,MATCH('Rekomendasi HAV'!M146,'9 Grid'!$B$4:$B$6,0),MATCH('Rekomendasi HAV'!N146,'9 Grid'!$D$2:$F$2,0)),"")</f>
        <v/>
      </c>
      <c r="P146" s="147" t="str">
        <f>IFERROR(INDEX('9 Grid'!$D$8:$F$8,1,MATCH('Rekomendasi HAV'!N146,'9 Grid'!$D$2:$F$2,0)),"")</f>
        <v>(LT) More 2 - 3 year</v>
      </c>
    </row>
    <row r="147" spans="1:16" ht="28.5">
      <c r="A147" s="67">
        <v>146</v>
      </c>
      <c r="B147" s="68" t="str">
        <f>INDEX(Data_Assessment[],MATCH('Rekomendasi HAV'!$A147,Data_Assessment[[INDEX]:[INDEX]],0),MATCH('Rekomendasi HAV'!B$1,Data_Assessment[#Headers],0))</f>
        <v>Hesron Tarigan</v>
      </c>
      <c r="C147" s="68" t="str">
        <f>INDEX(Data_Assessment[],MATCH('Rekomendasi HAV'!$A147,Data_Assessment[[INDEX]:[INDEX]],0),MATCH('Rekomendasi HAV'!C$1,Data_Assessment[#Headers],0))</f>
        <v>Medan</v>
      </c>
      <c r="D147" s="68" t="str">
        <f>INDEX(Data_Assessment[],MATCH('Rekomendasi HAV'!$A147,Data_Assessment[[INDEX]:[INDEX]],0),MATCH('Rekomendasi HAV'!D$1,Data_Assessment[#Headers],0))</f>
        <v>LSIP - RO Medan</v>
      </c>
      <c r="E147" s="68">
        <f>INDEX(Data_Assessment[],MATCH('Rekomendasi HAV'!$B147,Data_Assessment[[NAME]:[NAME]],0),MATCH('Rekomendasi HAV'!E$1,Data_Assessment[#Headers],0))</f>
        <v>0</v>
      </c>
      <c r="F147" s="68"/>
      <c r="G147" s="68">
        <f>IF(ISNUMBER(SEARCH("DEV",Assessment[[#This Row],[JOB TARGET]])),SUBSTITUTE(Assessment[[#This Row],[JOB TARGET]],"DEV","EST"),Assessment[[#This Row],[JOB TARGET]])</f>
        <v>0</v>
      </c>
      <c r="H147" s="146" t="str" cm="1">
        <f t="array" aca="1" ref="H147" ca="1">IF(Assessment[[#This Row],[JOB TARGET]]="","Job Target Kosong",IF(COUNT(IF('Data Assessment'!$N147:$Z147-OFFSET(Standar!$B$2,MATCH(Assessment[[#This Row],[JOB TARGET
(EST)]],Standar[NAMA JABATAN],0)-1,1,1,13)&lt;0,1,""))&lt;=3,'9 Grid'!$B$4,IF(COUNT(IF('Data Assessment'!$N147:$Z147-OFFSET(Standar!$B$2,MATCH(Assessment[[#This Row],[JOB TARGET]],Standar[NAMA JABATAN],0)-1,1,1,13)&lt;0,1,""))&gt;=7,'9 Grid'!$B$6,'9 Grid'!$B$5)))</f>
        <v>Job Target Kosong</v>
      </c>
      <c r="I147" s="146" t="str">
        <f>IFERROR(IF(Data_Assessment[[#This Row],[IPP (3 YEARS AVERAGE)]]="","(IPP Belum Ada)",IF(Data_Assessment[[#This Row],[IPP (3 YEARS AVERAGE)]]&lt;2,'9 Grid'!$F$2,IF(Data_Assessment[[#This Row],[IPP (3 YEARS AVERAGE)]]&gt;=4,'9 Grid'!$D$2,'9 Grid'!$E$2))),"")</f>
        <v>Fully Competence Performance</v>
      </c>
      <c r="J147" s="146" t="str">
        <f ca="1">IFERROR(INDEX('9 Grid'!$D$4:$F$6,MATCH('Rekomendasi HAV'!H147,'9 Grid'!$B$4:$B$6,0),MATCH('Rekomendasi HAV'!I147,'9 Grid'!$D$2:$F$2,0)),"")</f>
        <v/>
      </c>
      <c r="K147" s="146" t="str">
        <f>IFERROR(INDEX('9 Grid'!$D$8:$F$8,1,MATCH('Rekomendasi HAV'!I147,'9 Grid'!$D$2:$F$2,0)),"")</f>
        <v>(ST) Within 12 - 18 month</v>
      </c>
      <c r="L147" s="146">
        <f>IF(ISNUMBER(SEARCH("EST",Assessment[[#This Row],[JOB TARGET]])),SUBSTITUTE(Assessment[[#This Row],[JOB TARGET]],"EST","DEV"),Assessment[[#This Row],[JOB TARGET]])</f>
        <v>0</v>
      </c>
      <c r="M147" s="146" t="str" cm="1">
        <f t="array" aca="1" ref="M147" ca="1">IF(Assessment[[#This Row],[JOB TARGET]]="","Job Target Kosong",IF(COUNT(IF('Data Assessment'!$N147:$Z147-OFFSET(Standar!$B$2,MATCH(Assessment[[#This Row],[JOB TARGET
(DEV)]],Standar[NAMA JABATAN],0)-1,1,1,13)&lt;0,1,""))&lt;=3,'9 Grid'!$B$4,IF(COUNT(IF('Data Assessment'!$N147:$Z147-OFFSET(Standar!$B$2,MATCH(Assessment[[#This Row],[JOB TARGET
(DEV)]],Standar[NAMA JABATAN],0)-1,1,1,13)&lt;0,1,""))&gt;=7,'9 Grid'!$B$6,'9 Grid'!$B$5)))</f>
        <v>Job Target Kosong</v>
      </c>
      <c r="N147" s="146" t="str">
        <f>IFERROR(IF(Data_Assessment[[#This Row],[IPP (3 YEARS AVERAGE)]]="","(IPP Belum Ada)",IF(Data_Assessment[[#This Row],[IPP (3 YEARS AVERAGE)]]&lt;2,'9 Grid'!$F$2,IF(Data_Assessment[[#This Row],[IPP (3 YEARS AVERAGE)]]&gt;=4,'9 Grid'!$D$2,'9 Grid'!$E$2))),"")</f>
        <v>Fully Competence Performance</v>
      </c>
      <c r="O147" s="146" t="str">
        <f ca="1">IFERROR(INDEX('9 Grid'!$D$4:$F$6,MATCH('Rekomendasi HAV'!M147,'9 Grid'!$B$4:$B$6,0),MATCH('Rekomendasi HAV'!N147,'9 Grid'!$D$2:$F$2,0)),"")</f>
        <v/>
      </c>
      <c r="P147" s="147" t="str">
        <f>IFERROR(INDEX('9 Grid'!$D$8:$F$8,1,MATCH('Rekomendasi HAV'!N147,'9 Grid'!$D$2:$F$2,0)),"")</f>
        <v>(ST) Within 12 - 18 month</v>
      </c>
    </row>
    <row r="148" spans="1:16" ht="28.5">
      <c r="A148" s="67">
        <v>147</v>
      </c>
      <c r="B148" s="68" t="str">
        <f>INDEX(Data_Assessment[],MATCH('Rekomendasi HAV'!$A148,Data_Assessment[[INDEX]:[INDEX]],0),MATCH('Rekomendasi HAV'!B$1,Data_Assessment[#Headers],0))</f>
        <v>Gunawan Sakti</v>
      </c>
      <c r="C148" s="68" t="str">
        <f>INDEX(Data_Assessment[],MATCH('Rekomendasi HAV'!$A148,Data_Assessment[[INDEX]:[INDEX]],0),MATCH('Rekomendasi HAV'!C$1,Data_Assessment[#Headers],0))</f>
        <v>Sumatera Selatan</v>
      </c>
      <c r="D148" s="68" t="str">
        <f>INDEX(Data_Assessment[],MATCH('Rekomendasi HAV'!$A148,Data_Assessment[[INDEX]:[INDEX]],0),MATCH('Rekomendasi HAV'!D$1,Data_Assessment[#Headers],0))</f>
        <v>LSIP - RO Palembang</v>
      </c>
      <c r="E148" s="68">
        <f>INDEX(Data_Assessment[],MATCH('Rekomendasi HAV'!$B148,Data_Assessment[[NAME]:[NAME]],0),MATCH('Rekomendasi HAV'!E$1,Data_Assessment[#Headers],0))</f>
        <v>0</v>
      </c>
      <c r="F148" s="68"/>
      <c r="G148" s="68">
        <f>IF(ISNUMBER(SEARCH("DEV",Assessment[[#This Row],[JOB TARGET]])),SUBSTITUTE(Assessment[[#This Row],[JOB TARGET]],"DEV","EST"),Assessment[[#This Row],[JOB TARGET]])</f>
        <v>0</v>
      </c>
      <c r="H148" s="146" t="str" cm="1">
        <f t="array" aca="1" ref="H148" ca="1">IF(Assessment[[#This Row],[JOB TARGET]]="","Job Target Kosong",IF(COUNT(IF('Data Assessment'!$N148:$Z148-OFFSET(Standar!$B$2,MATCH(Assessment[[#This Row],[JOB TARGET
(EST)]],Standar[NAMA JABATAN],0)-1,1,1,13)&lt;0,1,""))&lt;=3,'9 Grid'!$B$4,IF(COUNT(IF('Data Assessment'!$N148:$Z148-OFFSET(Standar!$B$2,MATCH(Assessment[[#This Row],[JOB TARGET]],Standar[NAMA JABATAN],0)-1,1,1,13)&lt;0,1,""))&gt;=7,'9 Grid'!$B$6,'9 Grid'!$B$5)))</f>
        <v>Job Target Kosong</v>
      </c>
      <c r="I148" s="146" t="str">
        <f>IFERROR(IF(Data_Assessment[[#This Row],[IPP (3 YEARS AVERAGE)]]="","(IPP Belum Ada)",IF(Data_Assessment[[#This Row],[IPP (3 YEARS AVERAGE)]]&lt;2,'9 Grid'!$F$2,IF(Data_Assessment[[#This Row],[IPP (3 YEARS AVERAGE)]]&gt;=4,'9 Grid'!$D$2,'9 Grid'!$E$2))),"")</f>
        <v>Fully Competence Performance</v>
      </c>
      <c r="J148" s="146" t="str">
        <f ca="1">IFERROR(INDEX('9 Grid'!$D$4:$F$6,MATCH('Rekomendasi HAV'!H148,'9 Grid'!$B$4:$B$6,0),MATCH('Rekomendasi HAV'!I148,'9 Grid'!$D$2:$F$2,0)),"")</f>
        <v/>
      </c>
      <c r="K148" s="146" t="str">
        <f>IFERROR(INDEX('9 Grid'!$D$8:$F$8,1,MATCH('Rekomendasi HAV'!I148,'9 Grid'!$D$2:$F$2,0)),"")</f>
        <v>(ST) Within 12 - 18 month</v>
      </c>
      <c r="L148" s="146">
        <f>IF(ISNUMBER(SEARCH("EST",Assessment[[#This Row],[JOB TARGET]])),SUBSTITUTE(Assessment[[#This Row],[JOB TARGET]],"EST","DEV"),Assessment[[#This Row],[JOB TARGET]])</f>
        <v>0</v>
      </c>
      <c r="M148" s="146" t="str" cm="1">
        <f t="array" aca="1" ref="M148" ca="1">IF(Assessment[[#This Row],[JOB TARGET]]="","Job Target Kosong",IF(COUNT(IF('Data Assessment'!$N148:$Z148-OFFSET(Standar!$B$2,MATCH(Assessment[[#This Row],[JOB TARGET
(DEV)]],Standar[NAMA JABATAN],0)-1,1,1,13)&lt;0,1,""))&lt;=3,'9 Grid'!$B$4,IF(COUNT(IF('Data Assessment'!$N148:$Z148-OFFSET(Standar!$B$2,MATCH(Assessment[[#This Row],[JOB TARGET
(DEV)]],Standar[NAMA JABATAN],0)-1,1,1,13)&lt;0,1,""))&gt;=7,'9 Grid'!$B$6,'9 Grid'!$B$5)))</f>
        <v>Job Target Kosong</v>
      </c>
      <c r="N148" s="146" t="str">
        <f>IFERROR(IF(Data_Assessment[[#This Row],[IPP (3 YEARS AVERAGE)]]="","(IPP Belum Ada)",IF(Data_Assessment[[#This Row],[IPP (3 YEARS AVERAGE)]]&lt;2,'9 Grid'!$F$2,IF(Data_Assessment[[#This Row],[IPP (3 YEARS AVERAGE)]]&gt;=4,'9 Grid'!$D$2,'9 Grid'!$E$2))),"")</f>
        <v>Fully Competence Performance</v>
      </c>
      <c r="O148" s="146" t="str">
        <f ca="1">IFERROR(INDEX('9 Grid'!$D$4:$F$6,MATCH('Rekomendasi HAV'!M148,'9 Grid'!$B$4:$B$6,0),MATCH('Rekomendasi HAV'!N148,'9 Grid'!$D$2:$F$2,0)),"")</f>
        <v/>
      </c>
      <c r="P148" s="147" t="str">
        <f>IFERROR(INDEX('9 Grid'!$D$8:$F$8,1,MATCH('Rekomendasi HAV'!N148,'9 Grid'!$D$2:$F$2,0)),"")</f>
        <v>(ST) Within 12 - 18 month</v>
      </c>
    </row>
    <row r="149" spans="1:16" ht="14.25">
      <c r="A149" s="67">
        <v>148</v>
      </c>
      <c r="B149" s="68" t="str">
        <f>INDEX(Data_Assessment[],MATCH('Rekomendasi HAV'!$A149,Data_Assessment[[INDEX]:[INDEX]],0),MATCH('Rekomendasi HAV'!B$1,Data_Assessment[#Headers],0))</f>
        <v>Indra Feriadi</v>
      </c>
      <c r="C149" s="68" t="str">
        <f>INDEX(Data_Assessment[],MATCH('Rekomendasi HAV'!$A149,Data_Assessment[[INDEX]:[INDEX]],0),MATCH('Rekomendasi HAV'!C$1,Data_Assessment[#Headers],0))</f>
        <v>Medan</v>
      </c>
      <c r="D149" s="68" t="str">
        <f>INDEX(Data_Assessment[],MATCH('Rekomendasi HAV'!$A149,Data_Assessment[[INDEX]:[INDEX]],0),MATCH('Rekomendasi HAV'!D$1,Data_Assessment[#Headers],0))</f>
        <v>LSIP - RO Medan</v>
      </c>
      <c r="E149" s="68">
        <f>INDEX(Data_Assessment[],MATCH('Rekomendasi HAV'!$B149,Data_Assessment[[NAME]:[NAME]],0),MATCH('Rekomendasi HAV'!E$1,Data_Assessment[#Headers],0))</f>
        <v>0</v>
      </c>
      <c r="F149" s="68"/>
      <c r="G149" s="68">
        <f>IF(ISNUMBER(SEARCH("DEV",Assessment[[#This Row],[JOB TARGET]])),SUBSTITUTE(Assessment[[#This Row],[JOB TARGET]],"DEV","EST"),Assessment[[#This Row],[JOB TARGET]])</f>
        <v>0</v>
      </c>
      <c r="H149" s="146" t="str" cm="1">
        <f t="array" aca="1" ref="H149" ca="1">IF(Assessment[[#This Row],[JOB TARGET]]="","Job Target Kosong",IF(COUNT(IF('Data Assessment'!$N149:$Z149-OFFSET(Standar!$B$2,MATCH(Assessment[[#This Row],[JOB TARGET
(EST)]],Standar[NAMA JABATAN],0)-1,1,1,13)&lt;0,1,""))&lt;=3,'9 Grid'!$B$4,IF(COUNT(IF('Data Assessment'!$N149:$Z149-OFFSET(Standar!$B$2,MATCH(Assessment[[#This Row],[JOB TARGET]],Standar[NAMA JABATAN],0)-1,1,1,13)&lt;0,1,""))&gt;=7,'9 Grid'!$B$6,'9 Grid'!$B$5)))</f>
        <v>Job Target Kosong</v>
      </c>
      <c r="I149" s="146" t="str">
        <f>IFERROR(IF(Data_Assessment[[#This Row],[IPP (3 YEARS AVERAGE)]]="","(IPP Belum Ada)",IF(Data_Assessment[[#This Row],[IPP (3 YEARS AVERAGE)]]&lt;2,'9 Grid'!$F$2,IF(Data_Assessment[[#This Row],[IPP (3 YEARS AVERAGE)]]&gt;=4,'9 Grid'!$D$2,'9 Grid'!$E$2))),"")</f>
        <v>Exceptional Performance</v>
      </c>
      <c r="J149" s="146" t="str">
        <f ca="1">IFERROR(INDEX('9 Grid'!$D$4:$F$6,MATCH('Rekomendasi HAV'!H149,'9 Grid'!$B$4:$B$6,0),MATCH('Rekomendasi HAV'!I149,'9 Grid'!$D$2:$F$2,0)),"")</f>
        <v/>
      </c>
      <c r="K149" s="146" t="str">
        <f>IFERROR(INDEX('9 Grid'!$D$8:$F$8,1,MATCH('Rekomendasi HAV'!I149,'9 Grid'!$D$2:$F$2,0)),"")</f>
        <v>(I) Immediately</v>
      </c>
      <c r="L149" s="146">
        <f>IF(ISNUMBER(SEARCH("EST",Assessment[[#This Row],[JOB TARGET]])),SUBSTITUTE(Assessment[[#This Row],[JOB TARGET]],"EST","DEV"),Assessment[[#This Row],[JOB TARGET]])</f>
        <v>0</v>
      </c>
      <c r="M149" s="146" t="str" cm="1">
        <f t="array" aca="1" ref="M149" ca="1">IF(Assessment[[#This Row],[JOB TARGET]]="","Job Target Kosong",IF(COUNT(IF('Data Assessment'!$N149:$Z149-OFFSET(Standar!$B$2,MATCH(Assessment[[#This Row],[JOB TARGET
(DEV)]],Standar[NAMA JABATAN],0)-1,1,1,13)&lt;0,1,""))&lt;=3,'9 Grid'!$B$4,IF(COUNT(IF('Data Assessment'!$N149:$Z149-OFFSET(Standar!$B$2,MATCH(Assessment[[#This Row],[JOB TARGET
(DEV)]],Standar[NAMA JABATAN],0)-1,1,1,13)&lt;0,1,""))&gt;=7,'9 Grid'!$B$6,'9 Grid'!$B$5)))</f>
        <v>Job Target Kosong</v>
      </c>
      <c r="N149" s="146" t="str">
        <f>IFERROR(IF(Data_Assessment[[#This Row],[IPP (3 YEARS AVERAGE)]]="","(IPP Belum Ada)",IF(Data_Assessment[[#This Row],[IPP (3 YEARS AVERAGE)]]&lt;2,'9 Grid'!$F$2,IF(Data_Assessment[[#This Row],[IPP (3 YEARS AVERAGE)]]&gt;=4,'9 Grid'!$D$2,'9 Grid'!$E$2))),"")</f>
        <v>Exceptional Performance</v>
      </c>
      <c r="O149" s="146" t="str">
        <f ca="1">IFERROR(INDEX('9 Grid'!$D$4:$F$6,MATCH('Rekomendasi HAV'!M149,'9 Grid'!$B$4:$B$6,0),MATCH('Rekomendasi HAV'!N149,'9 Grid'!$D$2:$F$2,0)),"")</f>
        <v/>
      </c>
      <c r="P149" s="147" t="str">
        <f>IFERROR(INDEX('9 Grid'!$D$8:$F$8,1,MATCH('Rekomendasi HAV'!N149,'9 Grid'!$D$2:$F$2,0)),"")</f>
        <v>(I) Immediately</v>
      </c>
    </row>
    <row r="150" spans="1:16" ht="28.5">
      <c r="A150" s="67">
        <v>149</v>
      </c>
      <c r="B150" s="68" t="str">
        <f>INDEX(Data_Assessment[],MATCH('Rekomendasi HAV'!$A150,Data_Assessment[[INDEX]:[INDEX]],0),MATCH('Rekomendasi HAV'!B$1,Data_Assessment[#Headers],0))</f>
        <v>Hasan Akmal Alatas</v>
      </c>
      <c r="C150" s="68" t="str">
        <f>INDEX(Data_Assessment[],MATCH('Rekomendasi HAV'!$A150,Data_Assessment[[INDEX]:[INDEX]],0),MATCH('Rekomendasi HAV'!C$1,Data_Assessment[#Headers],0))</f>
        <v>Jakarta</v>
      </c>
      <c r="D150" s="68" t="str">
        <f>INDEX(Data_Assessment[],MATCH('Rekomendasi HAV'!$A150,Data_Assessment[[INDEX]:[INDEX]],0),MATCH('Rekomendasi HAV'!D$1,Data_Assessment[#Headers],0))</f>
        <v>LSIP - HO Jakarta</v>
      </c>
      <c r="E150" s="68">
        <f>INDEX(Data_Assessment[],MATCH('Rekomendasi HAV'!$B150,Data_Assessment[[NAME]:[NAME]],0),MATCH('Rekomendasi HAV'!E$1,Data_Assessment[#Headers],0))</f>
        <v>0</v>
      </c>
      <c r="F150" s="68"/>
      <c r="G150" s="68">
        <f>IF(ISNUMBER(SEARCH("DEV",Assessment[[#This Row],[JOB TARGET]])),SUBSTITUTE(Assessment[[#This Row],[JOB TARGET]],"DEV","EST"),Assessment[[#This Row],[JOB TARGET]])</f>
        <v>0</v>
      </c>
      <c r="H150" s="146" t="str" cm="1">
        <f t="array" aca="1" ref="H150" ca="1">IF(Assessment[[#This Row],[JOB TARGET]]="","Job Target Kosong",IF(COUNT(IF('Data Assessment'!$N150:$Z150-OFFSET(Standar!$B$2,MATCH(Assessment[[#This Row],[JOB TARGET
(EST)]],Standar[NAMA JABATAN],0)-1,1,1,13)&lt;0,1,""))&lt;=3,'9 Grid'!$B$4,IF(COUNT(IF('Data Assessment'!$N150:$Z150-OFFSET(Standar!$B$2,MATCH(Assessment[[#This Row],[JOB TARGET]],Standar[NAMA JABATAN],0)-1,1,1,13)&lt;0,1,""))&gt;=7,'9 Grid'!$B$6,'9 Grid'!$B$5)))</f>
        <v>Job Target Kosong</v>
      </c>
      <c r="I150" s="146" t="str">
        <f>IFERROR(IF(Data_Assessment[[#This Row],[IPP (3 YEARS AVERAGE)]]="","(IPP Belum Ada)",IF(Data_Assessment[[#This Row],[IPP (3 YEARS AVERAGE)]]&lt;2,'9 Grid'!$F$2,IF(Data_Assessment[[#This Row],[IPP (3 YEARS AVERAGE)]]&gt;=4,'9 Grid'!$D$2,'9 Grid'!$E$2))),"")</f>
        <v>Contributor</v>
      </c>
      <c r="J150" s="146" t="str">
        <f ca="1">IFERROR(INDEX('9 Grid'!$D$4:$F$6,MATCH('Rekomendasi HAV'!H150,'9 Grid'!$B$4:$B$6,0),MATCH('Rekomendasi HAV'!I150,'9 Grid'!$D$2:$F$2,0)),"")</f>
        <v/>
      </c>
      <c r="K150" s="146" t="str">
        <f>IFERROR(INDEX('9 Grid'!$D$8:$F$8,1,MATCH('Rekomendasi HAV'!I150,'9 Grid'!$D$2:$F$2,0)),"")</f>
        <v>(LT) More 2 - 3 year</v>
      </c>
      <c r="L150" s="146">
        <f>IF(ISNUMBER(SEARCH("EST",Assessment[[#This Row],[JOB TARGET]])),SUBSTITUTE(Assessment[[#This Row],[JOB TARGET]],"EST","DEV"),Assessment[[#This Row],[JOB TARGET]])</f>
        <v>0</v>
      </c>
      <c r="M150" s="146" t="str" cm="1">
        <f t="array" aca="1" ref="M150" ca="1">IF(Assessment[[#This Row],[JOB TARGET]]="","Job Target Kosong",IF(COUNT(IF('Data Assessment'!$N150:$Z150-OFFSET(Standar!$B$2,MATCH(Assessment[[#This Row],[JOB TARGET
(DEV)]],Standar[NAMA JABATAN],0)-1,1,1,13)&lt;0,1,""))&lt;=3,'9 Grid'!$B$4,IF(COUNT(IF('Data Assessment'!$N150:$Z150-OFFSET(Standar!$B$2,MATCH(Assessment[[#This Row],[JOB TARGET
(DEV)]],Standar[NAMA JABATAN],0)-1,1,1,13)&lt;0,1,""))&gt;=7,'9 Grid'!$B$6,'9 Grid'!$B$5)))</f>
        <v>Job Target Kosong</v>
      </c>
      <c r="N150" s="146" t="str">
        <f>IFERROR(IF(Data_Assessment[[#This Row],[IPP (3 YEARS AVERAGE)]]="","(IPP Belum Ada)",IF(Data_Assessment[[#This Row],[IPP (3 YEARS AVERAGE)]]&lt;2,'9 Grid'!$F$2,IF(Data_Assessment[[#This Row],[IPP (3 YEARS AVERAGE)]]&gt;=4,'9 Grid'!$D$2,'9 Grid'!$E$2))),"")</f>
        <v>Contributor</v>
      </c>
      <c r="O150" s="146" t="str">
        <f ca="1">IFERROR(INDEX('9 Grid'!$D$4:$F$6,MATCH('Rekomendasi HAV'!M150,'9 Grid'!$B$4:$B$6,0),MATCH('Rekomendasi HAV'!N150,'9 Grid'!$D$2:$F$2,0)),"")</f>
        <v/>
      </c>
      <c r="P150" s="147" t="str">
        <f>IFERROR(INDEX('9 Grid'!$D$8:$F$8,1,MATCH('Rekomendasi HAV'!N150,'9 Grid'!$D$2:$F$2,0)),"")</f>
        <v>(LT) More 2 - 3 year</v>
      </c>
    </row>
    <row r="151" spans="1:16" ht="28.5">
      <c r="A151" s="67">
        <v>150</v>
      </c>
      <c r="B151" s="68" t="str">
        <f>INDEX(Data_Assessment[],MATCH('Rekomendasi HAV'!$A151,Data_Assessment[[INDEX]:[INDEX]],0),MATCH('Rekomendasi HAV'!B$1,Data_Assessment[#Headers],0))</f>
        <v>Dedi Kristanto</v>
      </c>
      <c r="C151" s="68" t="str">
        <f>INDEX(Data_Assessment[],MATCH('Rekomendasi HAV'!$A151,Data_Assessment[[INDEX]:[INDEX]],0),MATCH('Rekomendasi HAV'!C$1,Data_Assessment[#Headers],0))</f>
        <v>Medan</v>
      </c>
      <c r="D151" s="68" t="str">
        <f>INDEX(Data_Assessment[],MATCH('Rekomendasi HAV'!$A151,Data_Assessment[[INDEX]:[INDEX]],0),MATCH('Rekomendasi HAV'!D$1,Data_Assessment[#Headers],0))</f>
        <v>LSIP - RO Medan</v>
      </c>
      <c r="E151" s="68">
        <f>INDEX(Data_Assessment[],MATCH('Rekomendasi HAV'!$B151,Data_Assessment[[NAME]:[NAME]],0),MATCH('Rekomendasi HAV'!E$1,Data_Assessment[#Headers],0))</f>
        <v>0</v>
      </c>
      <c r="F151" s="68"/>
      <c r="G151" s="68">
        <f>IF(ISNUMBER(SEARCH("DEV",Assessment[[#This Row],[JOB TARGET]])),SUBSTITUTE(Assessment[[#This Row],[JOB TARGET]],"DEV","EST"),Assessment[[#This Row],[JOB TARGET]])</f>
        <v>0</v>
      </c>
      <c r="H151" s="146" t="str" cm="1">
        <f t="array" aca="1" ref="H151" ca="1">IF(Assessment[[#This Row],[JOB TARGET]]="","Job Target Kosong",IF(COUNT(IF('Data Assessment'!$N151:$Z151-OFFSET(Standar!$B$2,MATCH(Assessment[[#This Row],[JOB TARGET
(EST)]],Standar[NAMA JABATAN],0)-1,1,1,13)&lt;0,1,""))&lt;=3,'9 Grid'!$B$4,IF(COUNT(IF('Data Assessment'!$N151:$Z151-OFFSET(Standar!$B$2,MATCH(Assessment[[#This Row],[JOB TARGET]],Standar[NAMA JABATAN],0)-1,1,1,13)&lt;0,1,""))&gt;=7,'9 Grid'!$B$6,'9 Grid'!$B$5)))</f>
        <v>Job Target Kosong</v>
      </c>
      <c r="I151" s="146" t="str">
        <f>IFERROR(IF(Data_Assessment[[#This Row],[IPP (3 YEARS AVERAGE)]]="","(IPP Belum Ada)",IF(Data_Assessment[[#This Row],[IPP (3 YEARS AVERAGE)]]&lt;2,'9 Grid'!$F$2,IF(Data_Assessment[[#This Row],[IPP (3 YEARS AVERAGE)]]&gt;=4,'9 Grid'!$D$2,'9 Grid'!$E$2))),"")</f>
        <v>Fully Competence Performance</v>
      </c>
      <c r="J151" s="146" t="str">
        <f ca="1">IFERROR(INDEX('9 Grid'!$D$4:$F$6,MATCH('Rekomendasi HAV'!H151,'9 Grid'!$B$4:$B$6,0),MATCH('Rekomendasi HAV'!I151,'9 Grid'!$D$2:$F$2,0)),"")</f>
        <v/>
      </c>
      <c r="K151" s="146" t="str">
        <f>IFERROR(INDEX('9 Grid'!$D$8:$F$8,1,MATCH('Rekomendasi HAV'!I151,'9 Grid'!$D$2:$F$2,0)),"")</f>
        <v>(ST) Within 12 - 18 month</v>
      </c>
      <c r="L151" s="146">
        <f>IF(ISNUMBER(SEARCH("EST",Assessment[[#This Row],[JOB TARGET]])),SUBSTITUTE(Assessment[[#This Row],[JOB TARGET]],"EST","DEV"),Assessment[[#This Row],[JOB TARGET]])</f>
        <v>0</v>
      </c>
      <c r="M151" s="146" t="str" cm="1">
        <f t="array" aca="1" ref="M151" ca="1">IF(Assessment[[#This Row],[JOB TARGET]]="","Job Target Kosong",IF(COUNT(IF('Data Assessment'!$N151:$Z151-OFFSET(Standar!$B$2,MATCH(Assessment[[#This Row],[JOB TARGET
(DEV)]],Standar[NAMA JABATAN],0)-1,1,1,13)&lt;0,1,""))&lt;=3,'9 Grid'!$B$4,IF(COUNT(IF('Data Assessment'!$N151:$Z151-OFFSET(Standar!$B$2,MATCH(Assessment[[#This Row],[JOB TARGET
(DEV)]],Standar[NAMA JABATAN],0)-1,1,1,13)&lt;0,1,""))&gt;=7,'9 Grid'!$B$6,'9 Grid'!$B$5)))</f>
        <v>Job Target Kosong</v>
      </c>
      <c r="N151" s="146" t="str">
        <f>IFERROR(IF(Data_Assessment[[#This Row],[IPP (3 YEARS AVERAGE)]]="","(IPP Belum Ada)",IF(Data_Assessment[[#This Row],[IPP (3 YEARS AVERAGE)]]&lt;2,'9 Grid'!$F$2,IF(Data_Assessment[[#This Row],[IPP (3 YEARS AVERAGE)]]&gt;=4,'9 Grid'!$D$2,'9 Grid'!$E$2))),"")</f>
        <v>Fully Competence Performance</v>
      </c>
      <c r="O151" s="146" t="str">
        <f ca="1">IFERROR(INDEX('9 Grid'!$D$4:$F$6,MATCH('Rekomendasi HAV'!M151,'9 Grid'!$B$4:$B$6,0),MATCH('Rekomendasi HAV'!N151,'9 Grid'!$D$2:$F$2,0)),"")</f>
        <v/>
      </c>
      <c r="P151" s="147" t="str">
        <f>IFERROR(INDEX('9 Grid'!$D$8:$F$8,1,MATCH('Rekomendasi HAV'!N151,'9 Grid'!$D$2:$F$2,0)),"")</f>
        <v>(ST) Within 12 - 18 month</v>
      </c>
    </row>
    <row r="152" spans="1:16" ht="28.5">
      <c r="A152" s="67">
        <v>151</v>
      </c>
      <c r="B152" s="68" t="str">
        <f>INDEX(Data_Assessment[],MATCH('Rekomendasi HAV'!$A152,Data_Assessment[[INDEX]:[INDEX]],0),MATCH('Rekomendasi HAV'!B$1,Data_Assessment[#Headers],0))</f>
        <v>Henry Wijaya Purwa</v>
      </c>
      <c r="C152" s="68" t="str">
        <f>INDEX(Data_Assessment[],MATCH('Rekomendasi HAV'!$A152,Data_Assessment[[INDEX]:[INDEX]],0),MATCH('Rekomendasi HAV'!C$1,Data_Assessment[#Headers],0))</f>
        <v>Jakarta</v>
      </c>
      <c r="D152" s="68" t="str">
        <f>INDEX(Data_Assessment[],MATCH('Rekomendasi HAV'!$A152,Data_Assessment[[INDEX]:[INDEX]],0),MATCH('Rekomendasi HAV'!D$1,Data_Assessment[#Headers],0))</f>
        <v>LSIP - HO Jakarta</v>
      </c>
      <c r="E152" s="68">
        <f>INDEX(Data_Assessment[],MATCH('Rekomendasi HAV'!$B152,Data_Assessment[[NAME]:[NAME]],0),MATCH('Rekomendasi HAV'!E$1,Data_Assessment[#Headers],0))</f>
        <v>0</v>
      </c>
      <c r="F152" s="68"/>
      <c r="G152" s="68">
        <f>IF(ISNUMBER(SEARCH("DEV",Assessment[[#This Row],[JOB TARGET]])),SUBSTITUTE(Assessment[[#This Row],[JOB TARGET]],"DEV","EST"),Assessment[[#This Row],[JOB TARGET]])</f>
        <v>0</v>
      </c>
      <c r="H152" s="146" t="str" cm="1">
        <f t="array" aca="1" ref="H152" ca="1">IF(Assessment[[#This Row],[JOB TARGET]]="","Job Target Kosong",IF(COUNT(IF('Data Assessment'!$N152:$Z152-OFFSET(Standar!$B$2,MATCH(Assessment[[#This Row],[JOB TARGET
(EST)]],Standar[NAMA JABATAN],0)-1,1,1,13)&lt;0,1,""))&lt;=3,'9 Grid'!$B$4,IF(COUNT(IF('Data Assessment'!$N152:$Z152-OFFSET(Standar!$B$2,MATCH(Assessment[[#This Row],[JOB TARGET]],Standar[NAMA JABATAN],0)-1,1,1,13)&lt;0,1,""))&gt;=7,'9 Grid'!$B$6,'9 Grid'!$B$5)))</f>
        <v>Job Target Kosong</v>
      </c>
      <c r="I152" s="146" t="str">
        <f>IFERROR(IF(Data_Assessment[[#This Row],[IPP (3 YEARS AVERAGE)]]="","(IPP Belum Ada)",IF(Data_Assessment[[#This Row],[IPP (3 YEARS AVERAGE)]]&lt;2,'9 Grid'!$F$2,IF(Data_Assessment[[#This Row],[IPP (3 YEARS AVERAGE)]]&gt;=4,'9 Grid'!$D$2,'9 Grid'!$E$2))),"")</f>
        <v>Fully Competence Performance</v>
      </c>
      <c r="J152" s="146" t="str">
        <f ca="1">IFERROR(INDEX('9 Grid'!$D$4:$F$6,MATCH('Rekomendasi HAV'!H152,'9 Grid'!$B$4:$B$6,0),MATCH('Rekomendasi HAV'!I152,'9 Grid'!$D$2:$F$2,0)),"")</f>
        <v/>
      </c>
      <c r="K152" s="146" t="str">
        <f>IFERROR(INDEX('9 Grid'!$D$8:$F$8,1,MATCH('Rekomendasi HAV'!I152,'9 Grid'!$D$2:$F$2,0)),"")</f>
        <v>(ST) Within 12 - 18 month</v>
      </c>
      <c r="L152" s="146">
        <f>IF(ISNUMBER(SEARCH("EST",Assessment[[#This Row],[JOB TARGET]])),SUBSTITUTE(Assessment[[#This Row],[JOB TARGET]],"EST","DEV"),Assessment[[#This Row],[JOB TARGET]])</f>
        <v>0</v>
      </c>
      <c r="M152" s="146" t="str" cm="1">
        <f t="array" aca="1" ref="M152" ca="1">IF(Assessment[[#This Row],[JOB TARGET]]="","Job Target Kosong",IF(COUNT(IF('Data Assessment'!$N152:$Z152-OFFSET(Standar!$B$2,MATCH(Assessment[[#This Row],[JOB TARGET
(DEV)]],Standar[NAMA JABATAN],0)-1,1,1,13)&lt;0,1,""))&lt;=3,'9 Grid'!$B$4,IF(COUNT(IF('Data Assessment'!$N152:$Z152-OFFSET(Standar!$B$2,MATCH(Assessment[[#This Row],[JOB TARGET
(DEV)]],Standar[NAMA JABATAN],0)-1,1,1,13)&lt;0,1,""))&gt;=7,'9 Grid'!$B$6,'9 Grid'!$B$5)))</f>
        <v>Job Target Kosong</v>
      </c>
      <c r="N152" s="146" t="str">
        <f>IFERROR(IF(Data_Assessment[[#This Row],[IPP (3 YEARS AVERAGE)]]="","(IPP Belum Ada)",IF(Data_Assessment[[#This Row],[IPP (3 YEARS AVERAGE)]]&lt;2,'9 Grid'!$F$2,IF(Data_Assessment[[#This Row],[IPP (3 YEARS AVERAGE)]]&gt;=4,'9 Grid'!$D$2,'9 Grid'!$E$2))),"")</f>
        <v>Fully Competence Performance</v>
      </c>
      <c r="O152" s="146" t="str">
        <f ca="1">IFERROR(INDEX('9 Grid'!$D$4:$F$6,MATCH('Rekomendasi HAV'!M152,'9 Grid'!$B$4:$B$6,0),MATCH('Rekomendasi HAV'!N152,'9 Grid'!$D$2:$F$2,0)),"")</f>
        <v/>
      </c>
      <c r="P152" s="147" t="str">
        <f>IFERROR(INDEX('9 Grid'!$D$8:$F$8,1,MATCH('Rekomendasi HAV'!N152,'9 Grid'!$D$2:$F$2,0)),"")</f>
        <v>(ST) Within 12 - 18 month</v>
      </c>
    </row>
    <row r="153" spans="1:16" ht="28.5">
      <c r="A153" s="67">
        <v>152</v>
      </c>
      <c r="B153" s="68" t="str">
        <f>INDEX(Data_Assessment[],MATCH('Rekomendasi HAV'!$A153,Data_Assessment[[INDEX]:[INDEX]],0),MATCH('Rekomendasi HAV'!B$1,Data_Assessment[#Headers],0))</f>
        <v>Zulkarnaen</v>
      </c>
      <c r="C153" s="68" t="str">
        <f>INDEX(Data_Assessment[],MATCH('Rekomendasi HAV'!$A153,Data_Assessment[[INDEX]:[INDEX]],0),MATCH('Rekomendasi HAV'!C$1,Data_Assessment[#Headers],0))</f>
        <v>Medan</v>
      </c>
      <c r="D153" s="68" t="str">
        <f>INDEX(Data_Assessment[],MATCH('Rekomendasi HAV'!$A153,Data_Assessment[[INDEX]:[INDEX]],0),MATCH('Rekomendasi HAV'!D$1,Data_Assessment[#Headers],0))</f>
        <v>LSIP - RO Medan</v>
      </c>
      <c r="E153" s="68">
        <f>INDEX(Data_Assessment[],MATCH('Rekomendasi HAV'!$B153,Data_Assessment[[NAME]:[NAME]],0),MATCH('Rekomendasi HAV'!E$1,Data_Assessment[#Headers],0))</f>
        <v>0</v>
      </c>
      <c r="F153" s="68"/>
      <c r="G153" s="68">
        <f>IF(ISNUMBER(SEARCH("DEV",Assessment[[#This Row],[JOB TARGET]])),SUBSTITUTE(Assessment[[#This Row],[JOB TARGET]],"DEV","EST"),Assessment[[#This Row],[JOB TARGET]])</f>
        <v>0</v>
      </c>
      <c r="H153" s="146" t="str" cm="1">
        <f t="array" aca="1" ref="H153" ca="1">IF(Assessment[[#This Row],[JOB TARGET]]="","Job Target Kosong",IF(COUNT(IF('Data Assessment'!$N153:$Z153-OFFSET(Standar!$B$2,MATCH(Assessment[[#This Row],[JOB TARGET
(EST)]],Standar[NAMA JABATAN],0)-1,1,1,13)&lt;0,1,""))&lt;=3,'9 Grid'!$B$4,IF(COUNT(IF('Data Assessment'!$N153:$Z153-OFFSET(Standar!$B$2,MATCH(Assessment[[#This Row],[JOB TARGET]],Standar[NAMA JABATAN],0)-1,1,1,13)&lt;0,1,""))&gt;=7,'9 Grid'!$B$6,'9 Grid'!$B$5)))</f>
        <v>Job Target Kosong</v>
      </c>
      <c r="I153" s="146" t="str">
        <f>IFERROR(IF(Data_Assessment[[#This Row],[IPP (3 YEARS AVERAGE)]]="","(IPP Belum Ada)",IF(Data_Assessment[[#This Row],[IPP (3 YEARS AVERAGE)]]&lt;2,'9 Grid'!$F$2,IF(Data_Assessment[[#This Row],[IPP (3 YEARS AVERAGE)]]&gt;=4,'9 Grid'!$D$2,'9 Grid'!$E$2))),"")</f>
        <v>Fully Competence Performance</v>
      </c>
      <c r="J153" s="146" t="str">
        <f ca="1">IFERROR(INDEX('9 Grid'!$D$4:$F$6,MATCH('Rekomendasi HAV'!H153,'9 Grid'!$B$4:$B$6,0),MATCH('Rekomendasi HAV'!I153,'9 Grid'!$D$2:$F$2,0)),"")</f>
        <v/>
      </c>
      <c r="K153" s="146" t="str">
        <f>IFERROR(INDEX('9 Grid'!$D$8:$F$8,1,MATCH('Rekomendasi HAV'!I153,'9 Grid'!$D$2:$F$2,0)),"")</f>
        <v>(ST) Within 12 - 18 month</v>
      </c>
      <c r="L153" s="146">
        <f>IF(ISNUMBER(SEARCH("EST",Assessment[[#This Row],[JOB TARGET]])),SUBSTITUTE(Assessment[[#This Row],[JOB TARGET]],"EST","DEV"),Assessment[[#This Row],[JOB TARGET]])</f>
        <v>0</v>
      </c>
      <c r="M153" s="146" t="str" cm="1">
        <f t="array" aca="1" ref="M153" ca="1">IF(Assessment[[#This Row],[JOB TARGET]]="","Job Target Kosong",IF(COUNT(IF('Data Assessment'!$N153:$Z153-OFFSET(Standar!$B$2,MATCH(Assessment[[#This Row],[JOB TARGET
(DEV)]],Standar[NAMA JABATAN],0)-1,1,1,13)&lt;0,1,""))&lt;=3,'9 Grid'!$B$4,IF(COUNT(IF('Data Assessment'!$N153:$Z153-OFFSET(Standar!$B$2,MATCH(Assessment[[#This Row],[JOB TARGET
(DEV)]],Standar[NAMA JABATAN],0)-1,1,1,13)&lt;0,1,""))&gt;=7,'9 Grid'!$B$6,'9 Grid'!$B$5)))</f>
        <v>Job Target Kosong</v>
      </c>
      <c r="N153" s="146" t="str">
        <f>IFERROR(IF(Data_Assessment[[#This Row],[IPP (3 YEARS AVERAGE)]]="","(IPP Belum Ada)",IF(Data_Assessment[[#This Row],[IPP (3 YEARS AVERAGE)]]&lt;2,'9 Grid'!$F$2,IF(Data_Assessment[[#This Row],[IPP (3 YEARS AVERAGE)]]&gt;=4,'9 Grid'!$D$2,'9 Grid'!$E$2))),"")</f>
        <v>Fully Competence Performance</v>
      </c>
      <c r="O153" s="146" t="str">
        <f ca="1">IFERROR(INDEX('9 Grid'!$D$4:$F$6,MATCH('Rekomendasi HAV'!M153,'9 Grid'!$B$4:$B$6,0),MATCH('Rekomendasi HAV'!N153,'9 Grid'!$D$2:$F$2,0)),"")</f>
        <v/>
      </c>
      <c r="P153" s="147" t="str">
        <f>IFERROR(INDEX('9 Grid'!$D$8:$F$8,1,MATCH('Rekomendasi HAV'!N153,'9 Grid'!$D$2:$F$2,0)),"")</f>
        <v>(ST) Within 12 - 18 month</v>
      </c>
    </row>
    <row r="154" spans="1:16" ht="28.5">
      <c r="A154" s="67">
        <v>153</v>
      </c>
      <c r="B154" s="68" t="str">
        <f>INDEX(Data_Assessment[],MATCH('Rekomendasi HAV'!$A154,Data_Assessment[[INDEX]:[INDEX]],0),MATCH('Rekomendasi HAV'!B$1,Data_Assessment[#Headers],0))</f>
        <v>Devin</v>
      </c>
      <c r="C154" s="68" t="str">
        <f>INDEX(Data_Assessment[],MATCH('Rekomendasi HAV'!$A154,Data_Assessment[[INDEX]:[INDEX]],0),MATCH('Rekomendasi HAV'!C$1,Data_Assessment[#Headers],0))</f>
        <v>Jakarta</v>
      </c>
      <c r="D154" s="68" t="str">
        <f>INDEX(Data_Assessment[],MATCH('Rekomendasi HAV'!$A154,Data_Assessment[[INDEX]:[INDEX]],0),MATCH('Rekomendasi HAV'!D$1,Data_Assessment[#Headers],0))</f>
        <v>LSIP - HO Jakarta</v>
      </c>
      <c r="E154" s="68">
        <f>INDEX(Data_Assessment[],MATCH('Rekomendasi HAV'!$B154,Data_Assessment[[NAME]:[NAME]],0),MATCH('Rekomendasi HAV'!E$1,Data_Assessment[#Headers],0))</f>
        <v>0</v>
      </c>
      <c r="F154" s="68"/>
      <c r="G154" s="68">
        <f>IF(ISNUMBER(SEARCH("DEV",Assessment[[#This Row],[JOB TARGET]])),SUBSTITUTE(Assessment[[#This Row],[JOB TARGET]],"DEV","EST"),Assessment[[#This Row],[JOB TARGET]])</f>
        <v>0</v>
      </c>
      <c r="H154" s="146" t="str" cm="1">
        <f t="array" aca="1" ref="H154" ca="1">IF(Assessment[[#This Row],[JOB TARGET]]="","Job Target Kosong",IF(COUNT(IF('Data Assessment'!$N154:$Z154-OFFSET(Standar!$B$2,MATCH(Assessment[[#This Row],[JOB TARGET
(EST)]],Standar[NAMA JABATAN],0)-1,1,1,13)&lt;0,1,""))&lt;=3,'9 Grid'!$B$4,IF(COUNT(IF('Data Assessment'!$N154:$Z154-OFFSET(Standar!$B$2,MATCH(Assessment[[#This Row],[JOB TARGET]],Standar[NAMA JABATAN],0)-1,1,1,13)&lt;0,1,""))&gt;=7,'9 Grid'!$B$6,'9 Grid'!$B$5)))</f>
        <v>Job Target Kosong</v>
      </c>
      <c r="I154" s="146" t="str">
        <f>IFERROR(IF(Data_Assessment[[#This Row],[IPP (3 YEARS AVERAGE)]]="","(IPP Belum Ada)",IF(Data_Assessment[[#This Row],[IPP (3 YEARS AVERAGE)]]&lt;2,'9 Grid'!$F$2,IF(Data_Assessment[[#This Row],[IPP (3 YEARS AVERAGE)]]&gt;=4,'9 Grid'!$D$2,'9 Grid'!$E$2))),"")</f>
        <v>Contributor</v>
      </c>
      <c r="J154" s="146" t="str">
        <f ca="1">IFERROR(INDEX('9 Grid'!$D$4:$F$6,MATCH('Rekomendasi HAV'!H154,'9 Grid'!$B$4:$B$6,0),MATCH('Rekomendasi HAV'!I154,'9 Grid'!$D$2:$F$2,0)),"")</f>
        <v/>
      </c>
      <c r="K154" s="146" t="str">
        <f>IFERROR(INDEX('9 Grid'!$D$8:$F$8,1,MATCH('Rekomendasi HAV'!I154,'9 Grid'!$D$2:$F$2,0)),"")</f>
        <v>(LT) More 2 - 3 year</v>
      </c>
      <c r="L154" s="146">
        <f>IF(ISNUMBER(SEARCH("EST",Assessment[[#This Row],[JOB TARGET]])),SUBSTITUTE(Assessment[[#This Row],[JOB TARGET]],"EST","DEV"),Assessment[[#This Row],[JOB TARGET]])</f>
        <v>0</v>
      </c>
      <c r="M154" s="146" t="str" cm="1">
        <f t="array" aca="1" ref="M154" ca="1">IF(Assessment[[#This Row],[JOB TARGET]]="","Job Target Kosong",IF(COUNT(IF('Data Assessment'!$N154:$Z154-OFFSET(Standar!$B$2,MATCH(Assessment[[#This Row],[JOB TARGET
(DEV)]],Standar[NAMA JABATAN],0)-1,1,1,13)&lt;0,1,""))&lt;=3,'9 Grid'!$B$4,IF(COUNT(IF('Data Assessment'!$N154:$Z154-OFFSET(Standar!$B$2,MATCH(Assessment[[#This Row],[JOB TARGET
(DEV)]],Standar[NAMA JABATAN],0)-1,1,1,13)&lt;0,1,""))&gt;=7,'9 Grid'!$B$6,'9 Grid'!$B$5)))</f>
        <v>Job Target Kosong</v>
      </c>
      <c r="N154" s="146" t="str">
        <f>IFERROR(IF(Data_Assessment[[#This Row],[IPP (3 YEARS AVERAGE)]]="","(IPP Belum Ada)",IF(Data_Assessment[[#This Row],[IPP (3 YEARS AVERAGE)]]&lt;2,'9 Grid'!$F$2,IF(Data_Assessment[[#This Row],[IPP (3 YEARS AVERAGE)]]&gt;=4,'9 Grid'!$D$2,'9 Grid'!$E$2))),"")</f>
        <v>Contributor</v>
      </c>
      <c r="O154" s="146" t="str">
        <f ca="1">IFERROR(INDEX('9 Grid'!$D$4:$F$6,MATCH('Rekomendasi HAV'!M154,'9 Grid'!$B$4:$B$6,0),MATCH('Rekomendasi HAV'!N154,'9 Grid'!$D$2:$F$2,0)),"")</f>
        <v/>
      </c>
      <c r="P154" s="147" t="str">
        <f>IFERROR(INDEX('9 Grid'!$D$8:$F$8,1,MATCH('Rekomendasi HAV'!N154,'9 Grid'!$D$2:$F$2,0)),"")</f>
        <v>(LT) More 2 - 3 year</v>
      </c>
    </row>
    <row r="155" spans="1:16" ht="28.5">
      <c r="A155" s="67">
        <v>154</v>
      </c>
      <c r="B155" s="68" t="str">
        <f>INDEX(Data_Assessment[],MATCH('Rekomendasi HAV'!$A155,Data_Assessment[[INDEX]:[INDEX]],0),MATCH('Rekomendasi HAV'!B$1,Data_Assessment[#Headers],0))</f>
        <v>Widy Astuty, SE</v>
      </c>
      <c r="C155" s="68" t="str">
        <f>INDEX(Data_Assessment[],MATCH('Rekomendasi HAV'!$A155,Data_Assessment[[INDEX]:[INDEX]],0),MATCH('Rekomendasi HAV'!C$1,Data_Assessment[#Headers],0))</f>
        <v>Medan</v>
      </c>
      <c r="D155" s="68" t="str">
        <f>INDEX(Data_Assessment[],MATCH('Rekomendasi HAV'!$A155,Data_Assessment[[INDEX]:[INDEX]],0),MATCH('Rekomendasi HAV'!D$1,Data_Assessment[#Headers],0))</f>
        <v>LSIP - RO Medan</v>
      </c>
      <c r="E155" s="68">
        <f>INDEX(Data_Assessment[],MATCH('Rekomendasi HAV'!$B155,Data_Assessment[[NAME]:[NAME]],0),MATCH('Rekomendasi HAV'!E$1,Data_Assessment[#Headers],0))</f>
        <v>0</v>
      </c>
      <c r="F155" s="68"/>
      <c r="G155" s="68">
        <f>IF(ISNUMBER(SEARCH("DEV",Assessment[[#This Row],[JOB TARGET]])),SUBSTITUTE(Assessment[[#This Row],[JOB TARGET]],"DEV","EST"),Assessment[[#This Row],[JOB TARGET]])</f>
        <v>0</v>
      </c>
      <c r="H155" s="146" t="str" cm="1">
        <f t="array" aca="1" ref="H155" ca="1">IF(Assessment[[#This Row],[JOB TARGET]]="","Job Target Kosong",IF(COUNT(IF('Data Assessment'!$N155:$Z155-OFFSET(Standar!$B$2,MATCH(Assessment[[#This Row],[JOB TARGET
(EST)]],Standar[NAMA JABATAN],0)-1,1,1,13)&lt;0,1,""))&lt;=3,'9 Grid'!$B$4,IF(COUNT(IF('Data Assessment'!$N155:$Z155-OFFSET(Standar!$B$2,MATCH(Assessment[[#This Row],[JOB TARGET]],Standar[NAMA JABATAN],0)-1,1,1,13)&lt;0,1,""))&gt;=7,'9 Grid'!$B$6,'9 Grid'!$B$5)))</f>
        <v>Job Target Kosong</v>
      </c>
      <c r="I155" s="146" t="str">
        <f>IFERROR(IF(Data_Assessment[[#This Row],[IPP (3 YEARS AVERAGE)]]="","(IPP Belum Ada)",IF(Data_Assessment[[#This Row],[IPP (3 YEARS AVERAGE)]]&lt;2,'9 Grid'!$F$2,IF(Data_Assessment[[#This Row],[IPP (3 YEARS AVERAGE)]]&gt;=4,'9 Grid'!$D$2,'9 Grid'!$E$2))),"")</f>
        <v>Fully Competence Performance</v>
      </c>
      <c r="J155" s="146" t="str">
        <f ca="1">IFERROR(INDEX('9 Grid'!$D$4:$F$6,MATCH('Rekomendasi HAV'!H155,'9 Grid'!$B$4:$B$6,0),MATCH('Rekomendasi HAV'!I155,'9 Grid'!$D$2:$F$2,0)),"")</f>
        <v/>
      </c>
      <c r="K155" s="146" t="str">
        <f>IFERROR(INDEX('9 Grid'!$D$8:$F$8,1,MATCH('Rekomendasi HAV'!I155,'9 Grid'!$D$2:$F$2,0)),"")</f>
        <v>(ST) Within 12 - 18 month</v>
      </c>
      <c r="L155" s="146">
        <f>IF(ISNUMBER(SEARCH("EST",Assessment[[#This Row],[JOB TARGET]])),SUBSTITUTE(Assessment[[#This Row],[JOB TARGET]],"EST","DEV"),Assessment[[#This Row],[JOB TARGET]])</f>
        <v>0</v>
      </c>
      <c r="M155" s="146" t="str" cm="1">
        <f t="array" aca="1" ref="M155" ca="1">IF(Assessment[[#This Row],[JOB TARGET]]="","Job Target Kosong",IF(COUNT(IF('Data Assessment'!$N155:$Z155-OFFSET(Standar!$B$2,MATCH(Assessment[[#This Row],[JOB TARGET
(DEV)]],Standar[NAMA JABATAN],0)-1,1,1,13)&lt;0,1,""))&lt;=3,'9 Grid'!$B$4,IF(COUNT(IF('Data Assessment'!$N155:$Z155-OFFSET(Standar!$B$2,MATCH(Assessment[[#This Row],[JOB TARGET
(DEV)]],Standar[NAMA JABATAN],0)-1,1,1,13)&lt;0,1,""))&gt;=7,'9 Grid'!$B$6,'9 Grid'!$B$5)))</f>
        <v>Job Target Kosong</v>
      </c>
      <c r="N155" s="146" t="str">
        <f>IFERROR(IF(Data_Assessment[[#This Row],[IPP (3 YEARS AVERAGE)]]="","(IPP Belum Ada)",IF(Data_Assessment[[#This Row],[IPP (3 YEARS AVERAGE)]]&lt;2,'9 Grid'!$F$2,IF(Data_Assessment[[#This Row],[IPP (3 YEARS AVERAGE)]]&gt;=4,'9 Grid'!$D$2,'9 Grid'!$E$2))),"")</f>
        <v>Fully Competence Performance</v>
      </c>
      <c r="O155" s="146" t="str">
        <f ca="1">IFERROR(INDEX('9 Grid'!$D$4:$F$6,MATCH('Rekomendasi HAV'!M155,'9 Grid'!$B$4:$B$6,0),MATCH('Rekomendasi HAV'!N155,'9 Grid'!$D$2:$F$2,0)),"")</f>
        <v/>
      </c>
      <c r="P155" s="147" t="str">
        <f>IFERROR(INDEX('9 Grid'!$D$8:$F$8,1,MATCH('Rekomendasi HAV'!N155,'9 Grid'!$D$2:$F$2,0)),"")</f>
        <v>(ST) Within 12 - 18 month</v>
      </c>
    </row>
    <row r="156" spans="1:16" ht="28.5">
      <c r="A156" s="67">
        <v>155</v>
      </c>
      <c r="B156" s="68" t="str">
        <f>INDEX(Data_Assessment[],MATCH('Rekomendasi HAV'!$A156,Data_Assessment[[INDEX]:[INDEX]],0),MATCH('Rekomendasi HAV'!B$1,Data_Assessment[#Headers],0))</f>
        <v>Eko Matra Tantowie</v>
      </c>
      <c r="C156" s="68" t="str">
        <f>INDEX(Data_Assessment[],MATCH('Rekomendasi HAV'!$A156,Data_Assessment[[INDEX]:[INDEX]],0),MATCH('Rekomendasi HAV'!C$1,Data_Assessment[#Headers],0))</f>
        <v>Jakarta</v>
      </c>
      <c r="D156" s="68" t="str">
        <f>INDEX(Data_Assessment[],MATCH('Rekomendasi HAV'!$A156,Data_Assessment[[INDEX]:[INDEX]],0),MATCH('Rekomendasi HAV'!D$1,Data_Assessment[#Headers],0))</f>
        <v>LSIP - HO Jakarta</v>
      </c>
      <c r="E156" s="68">
        <f>INDEX(Data_Assessment[],MATCH('Rekomendasi HAV'!$B156,Data_Assessment[[NAME]:[NAME]],0),MATCH('Rekomendasi HAV'!E$1,Data_Assessment[#Headers],0))</f>
        <v>0</v>
      </c>
      <c r="F156" s="68"/>
      <c r="G156" s="68">
        <f>IF(ISNUMBER(SEARCH("DEV",Assessment[[#This Row],[JOB TARGET]])),SUBSTITUTE(Assessment[[#This Row],[JOB TARGET]],"DEV","EST"),Assessment[[#This Row],[JOB TARGET]])</f>
        <v>0</v>
      </c>
      <c r="H156" s="146" t="str" cm="1">
        <f t="array" aca="1" ref="H156" ca="1">IF(Assessment[[#This Row],[JOB TARGET]]="","Job Target Kosong",IF(COUNT(IF('Data Assessment'!$N156:$Z156-OFFSET(Standar!$B$2,MATCH(Assessment[[#This Row],[JOB TARGET
(EST)]],Standar[NAMA JABATAN],0)-1,1,1,13)&lt;0,1,""))&lt;=3,'9 Grid'!$B$4,IF(COUNT(IF('Data Assessment'!$N156:$Z156-OFFSET(Standar!$B$2,MATCH(Assessment[[#This Row],[JOB TARGET]],Standar[NAMA JABATAN],0)-1,1,1,13)&lt;0,1,""))&gt;=7,'9 Grid'!$B$6,'9 Grid'!$B$5)))</f>
        <v>Job Target Kosong</v>
      </c>
      <c r="I156" s="146" t="str">
        <f>IFERROR(IF(Data_Assessment[[#This Row],[IPP (3 YEARS AVERAGE)]]="","(IPP Belum Ada)",IF(Data_Assessment[[#This Row],[IPP (3 YEARS AVERAGE)]]&lt;2,'9 Grid'!$F$2,IF(Data_Assessment[[#This Row],[IPP (3 YEARS AVERAGE)]]&gt;=4,'9 Grid'!$D$2,'9 Grid'!$E$2))),"")</f>
        <v>Contributor</v>
      </c>
      <c r="J156" s="146" t="str">
        <f ca="1">IFERROR(INDEX('9 Grid'!$D$4:$F$6,MATCH('Rekomendasi HAV'!H156,'9 Grid'!$B$4:$B$6,0),MATCH('Rekomendasi HAV'!I156,'9 Grid'!$D$2:$F$2,0)),"")</f>
        <v/>
      </c>
      <c r="K156" s="146" t="str">
        <f>IFERROR(INDEX('9 Grid'!$D$8:$F$8,1,MATCH('Rekomendasi HAV'!I156,'9 Grid'!$D$2:$F$2,0)),"")</f>
        <v>(LT) More 2 - 3 year</v>
      </c>
      <c r="L156" s="146">
        <f>IF(ISNUMBER(SEARCH("EST",Assessment[[#This Row],[JOB TARGET]])),SUBSTITUTE(Assessment[[#This Row],[JOB TARGET]],"EST","DEV"),Assessment[[#This Row],[JOB TARGET]])</f>
        <v>0</v>
      </c>
      <c r="M156" s="146" t="str" cm="1">
        <f t="array" aca="1" ref="M156" ca="1">IF(Assessment[[#This Row],[JOB TARGET]]="","Job Target Kosong",IF(COUNT(IF('Data Assessment'!$N156:$Z156-OFFSET(Standar!$B$2,MATCH(Assessment[[#This Row],[JOB TARGET
(DEV)]],Standar[NAMA JABATAN],0)-1,1,1,13)&lt;0,1,""))&lt;=3,'9 Grid'!$B$4,IF(COUNT(IF('Data Assessment'!$N156:$Z156-OFFSET(Standar!$B$2,MATCH(Assessment[[#This Row],[JOB TARGET
(DEV)]],Standar[NAMA JABATAN],0)-1,1,1,13)&lt;0,1,""))&gt;=7,'9 Grid'!$B$6,'9 Grid'!$B$5)))</f>
        <v>Job Target Kosong</v>
      </c>
      <c r="N156" s="146" t="str">
        <f>IFERROR(IF(Data_Assessment[[#This Row],[IPP (3 YEARS AVERAGE)]]="","(IPP Belum Ada)",IF(Data_Assessment[[#This Row],[IPP (3 YEARS AVERAGE)]]&lt;2,'9 Grid'!$F$2,IF(Data_Assessment[[#This Row],[IPP (3 YEARS AVERAGE)]]&gt;=4,'9 Grid'!$D$2,'9 Grid'!$E$2))),"")</f>
        <v>Contributor</v>
      </c>
      <c r="O156" s="146" t="str">
        <f ca="1">IFERROR(INDEX('9 Grid'!$D$4:$F$6,MATCH('Rekomendasi HAV'!M156,'9 Grid'!$B$4:$B$6,0),MATCH('Rekomendasi HAV'!N156,'9 Grid'!$D$2:$F$2,0)),"")</f>
        <v/>
      </c>
      <c r="P156" s="147" t="str">
        <f>IFERROR(INDEX('9 Grid'!$D$8:$F$8,1,MATCH('Rekomendasi HAV'!N156,'9 Grid'!$D$2:$F$2,0)),"")</f>
        <v>(LT) More 2 - 3 year</v>
      </c>
    </row>
    <row r="157" spans="1:16" ht="28.5">
      <c r="A157" s="67">
        <v>156</v>
      </c>
      <c r="B157" s="68" t="str">
        <f>INDEX(Data_Assessment[],MATCH('Rekomendasi HAV'!$A157,Data_Assessment[[INDEX]:[INDEX]],0),MATCH('Rekomendasi HAV'!B$1,Data_Assessment[#Headers],0))</f>
        <v>Supriyani</v>
      </c>
      <c r="C157" s="68" t="str">
        <f>INDEX(Data_Assessment[],MATCH('Rekomendasi HAV'!$A157,Data_Assessment[[INDEX]:[INDEX]],0),MATCH('Rekomendasi HAV'!C$1,Data_Assessment[#Headers],0))</f>
        <v>Medan</v>
      </c>
      <c r="D157" s="68" t="str">
        <f>INDEX(Data_Assessment[],MATCH('Rekomendasi HAV'!$A157,Data_Assessment[[INDEX]:[INDEX]],0),MATCH('Rekomendasi HAV'!D$1,Data_Assessment[#Headers],0))</f>
        <v>LSIP - RO Medan</v>
      </c>
      <c r="E157" s="68">
        <f>INDEX(Data_Assessment[],MATCH('Rekomendasi HAV'!$B157,Data_Assessment[[NAME]:[NAME]],0),MATCH('Rekomendasi HAV'!E$1,Data_Assessment[#Headers],0))</f>
        <v>0</v>
      </c>
      <c r="F157" s="68"/>
      <c r="G157" s="68">
        <f>IF(ISNUMBER(SEARCH("DEV",Assessment[[#This Row],[JOB TARGET]])),SUBSTITUTE(Assessment[[#This Row],[JOB TARGET]],"DEV","EST"),Assessment[[#This Row],[JOB TARGET]])</f>
        <v>0</v>
      </c>
      <c r="H157" s="146" t="str" cm="1">
        <f t="array" aca="1" ref="H157" ca="1">IF(Assessment[[#This Row],[JOB TARGET]]="","Job Target Kosong",IF(COUNT(IF('Data Assessment'!$N157:$Z157-OFFSET(Standar!$B$2,MATCH(Assessment[[#This Row],[JOB TARGET
(EST)]],Standar[NAMA JABATAN],0)-1,1,1,13)&lt;0,1,""))&lt;=3,'9 Grid'!$B$4,IF(COUNT(IF('Data Assessment'!$N157:$Z157-OFFSET(Standar!$B$2,MATCH(Assessment[[#This Row],[JOB TARGET]],Standar[NAMA JABATAN],0)-1,1,1,13)&lt;0,1,""))&gt;=7,'9 Grid'!$B$6,'9 Grid'!$B$5)))</f>
        <v>Job Target Kosong</v>
      </c>
      <c r="I157" s="146" t="str">
        <f>IFERROR(IF(Data_Assessment[[#This Row],[IPP (3 YEARS AVERAGE)]]="","(IPP Belum Ada)",IF(Data_Assessment[[#This Row],[IPP (3 YEARS AVERAGE)]]&lt;2,'9 Grid'!$F$2,IF(Data_Assessment[[#This Row],[IPP (3 YEARS AVERAGE)]]&gt;=4,'9 Grid'!$D$2,'9 Grid'!$E$2))),"")</f>
        <v>Fully Competence Performance</v>
      </c>
      <c r="J157" s="146" t="str">
        <f ca="1">IFERROR(INDEX('9 Grid'!$D$4:$F$6,MATCH('Rekomendasi HAV'!H157,'9 Grid'!$B$4:$B$6,0),MATCH('Rekomendasi HAV'!I157,'9 Grid'!$D$2:$F$2,0)),"")</f>
        <v/>
      </c>
      <c r="K157" s="146" t="str">
        <f>IFERROR(INDEX('9 Grid'!$D$8:$F$8,1,MATCH('Rekomendasi HAV'!I157,'9 Grid'!$D$2:$F$2,0)),"")</f>
        <v>(ST) Within 12 - 18 month</v>
      </c>
      <c r="L157" s="146">
        <f>IF(ISNUMBER(SEARCH("EST",Assessment[[#This Row],[JOB TARGET]])),SUBSTITUTE(Assessment[[#This Row],[JOB TARGET]],"EST","DEV"),Assessment[[#This Row],[JOB TARGET]])</f>
        <v>0</v>
      </c>
      <c r="M157" s="146" t="str" cm="1">
        <f t="array" aca="1" ref="M157" ca="1">IF(Assessment[[#This Row],[JOB TARGET]]="","Job Target Kosong",IF(COUNT(IF('Data Assessment'!$N157:$Z157-OFFSET(Standar!$B$2,MATCH(Assessment[[#This Row],[JOB TARGET
(DEV)]],Standar[NAMA JABATAN],0)-1,1,1,13)&lt;0,1,""))&lt;=3,'9 Grid'!$B$4,IF(COUNT(IF('Data Assessment'!$N157:$Z157-OFFSET(Standar!$B$2,MATCH(Assessment[[#This Row],[JOB TARGET
(DEV)]],Standar[NAMA JABATAN],0)-1,1,1,13)&lt;0,1,""))&gt;=7,'9 Grid'!$B$6,'9 Grid'!$B$5)))</f>
        <v>Job Target Kosong</v>
      </c>
      <c r="N157" s="146" t="str">
        <f>IFERROR(IF(Data_Assessment[[#This Row],[IPP (3 YEARS AVERAGE)]]="","(IPP Belum Ada)",IF(Data_Assessment[[#This Row],[IPP (3 YEARS AVERAGE)]]&lt;2,'9 Grid'!$F$2,IF(Data_Assessment[[#This Row],[IPP (3 YEARS AVERAGE)]]&gt;=4,'9 Grid'!$D$2,'9 Grid'!$E$2))),"")</f>
        <v>Fully Competence Performance</v>
      </c>
      <c r="O157" s="146" t="str">
        <f ca="1">IFERROR(INDEX('9 Grid'!$D$4:$F$6,MATCH('Rekomendasi HAV'!M157,'9 Grid'!$B$4:$B$6,0),MATCH('Rekomendasi HAV'!N157,'9 Grid'!$D$2:$F$2,0)),"")</f>
        <v/>
      </c>
      <c r="P157" s="147" t="str">
        <f>IFERROR(INDEX('9 Grid'!$D$8:$F$8,1,MATCH('Rekomendasi HAV'!N157,'9 Grid'!$D$2:$F$2,0)),"")</f>
        <v>(ST) Within 12 - 18 month</v>
      </c>
    </row>
    <row r="158" spans="1:16" ht="28.5">
      <c r="A158" s="67">
        <v>157</v>
      </c>
      <c r="B158" s="68" t="str">
        <f>INDEX(Data_Assessment[],MATCH('Rekomendasi HAV'!$A158,Data_Assessment[[INDEX]:[INDEX]],0),MATCH('Rekomendasi HAV'!B$1,Data_Assessment[#Headers],0))</f>
        <v>Yudi Setiawan</v>
      </c>
      <c r="C158" s="68" t="str">
        <f>INDEX(Data_Assessment[],MATCH('Rekomendasi HAV'!$A158,Data_Assessment[[INDEX]:[INDEX]],0),MATCH('Rekomendasi HAV'!C$1,Data_Assessment[#Headers],0))</f>
        <v>Jakarta</v>
      </c>
      <c r="D158" s="68" t="str">
        <f>INDEX(Data_Assessment[],MATCH('Rekomendasi HAV'!$A158,Data_Assessment[[INDEX]:[INDEX]],0),MATCH('Rekomendasi HAV'!D$1,Data_Assessment[#Headers],0))</f>
        <v>LSIP - HO Jakarta</v>
      </c>
      <c r="E158" s="68">
        <f>INDEX(Data_Assessment[],MATCH('Rekomendasi HAV'!$B158,Data_Assessment[[NAME]:[NAME]],0),MATCH('Rekomendasi HAV'!E$1,Data_Assessment[#Headers],0))</f>
        <v>0</v>
      </c>
      <c r="F158" s="68"/>
      <c r="G158" s="68">
        <f>IF(ISNUMBER(SEARCH("DEV",Assessment[[#This Row],[JOB TARGET]])),SUBSTITUTE(Assessment[[#This Row],[JOB TARGET]],"DEV","EST"),Assessment[[#This Row],[JOB TARGET]])</f>
        <v>0</v>
      </c>
      <c r="H158" s="146" t="str" cm="1">
        <f t="array" aca="1" ref="H158" ca="1">IF(Assessment[[#This Row],[JOB TARGET]]="","Job Target Kosong",IF(COUNT(IF('Data Assessment'!$N158:$Z158-OFFSET(Standar!$B$2,MATCH(Assessment[[#This Row],[JOB TARGET
(EST)]],Standar[NAMA JABATAN],0)-1,1,1,13)&lt;0,1,""))&lt;=3,'9 Grid'!$B$4,IF(COUNT(IF('Data Assessment'!$N158:$Z158-OFFSET(Standar!$B$2,MATCH(Assessment[[#This Row],[JOB TARGET]],Standar[NAMA JABATAN],0)-1,1,1,13)&lt;0,1,""))&gt;=7,'9 Grid'!$B$6,'9 Grid'!$B$5)))</f>
        <v>Job Target Kosong</v>
      </c>
      <c r="I158" s="146" t="str">
        <f>IFERROR(IF(Data_Assessment[[#This Row],[IPP (3 YEARS AVERAGE)]]="","(IPP Belum Ada)",IF(Data_Assessment[[#This Row],[IPP (3 YEARS AVERAGE)]]&lt;2,'9 Grid'!$F$2,IF(Data_Assessment[[#This Row],[IPP (3 YEARS AVERAGE)]]&gt;=4,'9 Grid'!$D$2,'9 Grid'!$E$2))),"")</f>
        <v>Contributor</v>
      </c>
      <c r="J158" s="146" t="str">
        <f ca="1">IFERROR(INDEX('9 Grid'!$D$4:$F$6,MATCH('Rekomendasi HAV'!H158,'9 Grid'!$B$4:$B$6,0),MATCH('Rekomendasi HAV'!I158,'9 Grid'!$D$2:$F$2,0)),"")</f>
        <v/>
      </c>
      <c r="K158" s="146" t="str">
        <f>IFERROR(INDEX('9 Grid'!$D$8:$F$8,1,MATCH('Rekomendasi HAV'!I158,'9 Grid'!$D$2:$F$2,0)),"")</f>
        <v>(LT) More 2 - 3 year</v>
      </c>
      <c r="L158" s="146">
        <f>IF(ISNUMBER(SEARCH("EST",Assessment[[#This Row],[JOB TARGET]])),SUBSTITUTE(Assessment[[#This Row],[JOB TARGET]],"EST","DEV"),Assessment[[#This Row],[JOB TARGET]])</f>
        <v>0</v>
      </c>
      <c r="M158" s="146" t="str" cm="1">
        <f t="array" aca="1" ref="M158" ca="1">IF(Assessment[[#This Row],[JOB TARGET]]="","Job Target Kosong",IF(COUNT(IF('Data Assessment'!$N158:$Z158-OFFSET(Standar!$B$2,MATCH(Assessment[[#This Row],[JOB TARGET
(DEV)]],Standar[NAMA JABATAN],0)-1,1,1,13)&lt;0,1,""))&lt;=3,'9 Grid'!$B$4,IF(COUNT(IF('Data Assessment'!$N158:$Z158-OFFSET(Standar!$B$2,MATCH(Assessment[[#This Row],[JOB TARGET
(DEV)]],Standar[NAMA JABATAN],0)-1,1,1,13)&lt;0,1,""))&gt;=7,'9 Grid'!$B$6,'9 Grid'!$B$5)))</f>
        <v>Job Target Kosong</v>
      </c>
      <c r="N158" s="146" t="str">
        <f>IFERROR(IF(Data_Assessment[[#This Row],[IPP (3 YEARS AVERAGE)]]="","(IPP Belum Ada)",IF(Data_Assessment[[#This Row],[IPP (3 YEARS AVERAGE)]]&lt;2,'9 Grid'!$F$2,IF(Data_Assessment[[#This Row],[IPP (3 YEARS AVERAGE)]]&gt;=4,'9 Grid'!$D$2,'9 Grid'!$E$2))),"")</f>
        <v>Contributor</v>
      </c>
      <c r="O158" s="146" t="str">
        <f ca="1">IFERROR(INDEX('9 Grid'!$D$4:$F$6,MATCH('Rekomendasi HAV'!M158,'9 Grid'!$B$4:$B$6,0),MATCH('Rekomendasi HAV'!N158,'9 Grid'!$D$2:$F$2,0)),"")</f>
        <v/>
      </c>
      <c r="P158" s="147" t="str">
        <f>IFERROR(INDEX('9 Grid'!$D$8:$F$8,1,MATCH('Rekomendasi HAV'!N158,'9 Grid'!$D$2:$F$2,0)),"")</f>
        <v>(LT) More 2 - 3 year</v>
      </c>
    </row>
    <row r="159" spans="1:16" ht="28.5">
      <c r="A159" s="67">
        <v>158</v>
      </c>
      <c r="B159" s="68" t="str">
        <f>INDEX(Data_Assessment[],MATCH('Rekomendasi HAV'!$A159,Data_Assessment[[INDEX]:[INDEX]],0),MATCH('Rekomendasi HAV'!B$1,Data_Assessment[#Headers],0))</f>
        <v>Ikrama Anwar</v>
      </c>
      <c r="C159" s="68" t="str">
        <f>INDEX(Data_Assessment[],MATCH('Rekomendasi HAV'!$A159,Data_Assessment[[INDEX]:[INDEX]],0),MATCH('Rekomendasi HAV'!C$1,Data_Assessment[#Headers],0))</f>
        <v>Medan</v>
      </c>
      <c r="D159" s="68" t="str">
        <f>INDEX(Data_Assessment[],MATCH('Rekomendasi HAV'!$A159,Data_Assessment[[INDEX]:[INDEX]],0),MATCH('Rekomendasi HAV'!D$1,Data_Assessment[#Headers],0))</f>
        <v>LSIP - RO Medan</v>
      </c>
      <c r="E159" s="68">
        <f>INDEX(Data_Assessment[],MATCH('Rekomendasi HAV'!$B159,Data_Assessment[[NAME]:[NAME]],0),MATCH('Rekomendasi HAV'!E$1,Data_Assessment[#Headers],0))</f>
        <v>0</v>
      </c>
      <c r="F159" s="68"/>
      <c r="G159" s="68">
        <f>IF(ISNUMBER(SEARCH("DEV",Assessment[[#This Row],[JOB TARGET]])),SUBSTITUTE(Assessment[[#This Row],[JOB TARGET]],"DEV","EST"),Assessment[[#This Row],[JOB TARGET]])</f>
        <v>0</v>
      </c>
      <c r="H159" s="146" t="str" cm="1">
        <f t="array" aca="1" ref="H159" ca="1">IF(Assessment[[#This Row],[JOB TARGET]]="","Job Target Kosong",IF(COUNT(IF('Data Assessment'!$N159:$Z159-OFFSET(Standar!$B$2,MATCH(Assessment[[#This Row],[JOB TARGET
(EST)]],Standar[NAMA JABATAN],0)-1,1,1,13)&lt;0,1,""))&lt;=3,'9 Grid'!$B$4,IF(COUNT(IF('Data Assessment'!$N159:$Z159-OFFSET(Standar!$B$2,MATCH(Assessment[[#This Row],[JOB TARGET]],Standar[NAMA JABATAN],0)-1,1,1,13)&lt;0,1,""))&gt;=7,'9 Grid'!$B$6,'9 Grid'!$B$5)))</f>
        <v>Job Target Kosong</v>
      </c>
      <c r="I159" s="146" t="str">
        <f>IFERROR(IF(Data_Assessment[[#This Row],[IPP (3 YEARS AVERAGE)]]="","(IPP Belum Ada)",IF(Data_Assessment[[#This Row],[IPP (3 YEARS AVERAGE)]]&lt;2,'9 Grid'!$F$2,IF(Data_Assessment[[#This Row],[IPP (3 YEARS AVERAGE)]]&gt;=4,'9 Grid'!$D$2,'9 Grid'!$E$2))),"")</f>
        <v>Fully Competence Performance</v>
      </c>
      <c r="J159" s="146" t="str">
        <f ca="1">IFERROR(INDEX('9 Grid'!$D$4:$F$6,MATCH('Rekomendasi HAV'!H159,'9 Grid'!$B$4:$B$6,0),MATCH('Rekomendasi HAV'!I159,'9 Grid'!$D$2:$F$2,0)),"")</f>
        <v/>
      </c>
      <c r="K159" s="146" t="str">
        <f>IFERROR(INDEX('9 Grid'!$D$8:$F$8,1,MATCH('Rekomendasi HAV'!I159,'9 Grid'!$D$2:$F$2,0)),"")</f>
        <v>(ST) Within 12 - 18 month</v>
      </c>
      <c r="L159" s="146">
        <f>IF(ISNUMBER(SEARCH("EST",Assessment[[#This Row],[JOB TARGET]])),SUBSTITUTE(Assessment[[#This Row],[JOB TARGET]],"EST","DEV"),Assessment[[#This Row],[JOB TARGET]])</f>
        <v>0</v>
      </c>
      <c r="M159" s="146" t="str" cm="1">
        <f t="array" aca="1" ref="M159" ca="1">IF(Assessment[[#This Row],[JOB TARGET]]="","Job Target Kosong",IF(COUNT(IF('Data Assessment'!$N159:$Z159-OFFSET(Standar!$B$2,MATCH(Assessment[[#This Row],[JOB TARGET
(DEV)]],Standar[NAMA JABATAN],0)-1,1,1,13)&lt;0,1,""))&lt;=3,'9 Grid'!$B$4,IF(COUNT(IF('Data Assessment'!$N159:$Z159-OFFSET(Standar!$B$2,MATCH(Assessment[[#This Row],[JOB TARGET
(DEV)]],Standar[NAMA JABATAN],0)-1,1,1,13)&lt;0,1,""))&gt;=7,'9 Grid'!$B$6,'9 Grid'!$B$5)))</f>
        <v>Job Target Kosong</v>
      </c>
      <c r="N159" s="146" t="str">
        <f>IFERROR(IF(Data_Assessment[[#This Row],[IPP (3 YEARS AVERAGE)]]="","(IPP Belum Ada)",IF(Data_Assessment[[#This Row],[IPP (3 YEARS AVERAGE)]]&lt;2,'9 Grid'!$F$2,IF(Data_Assessment[[#This Row],[IPP (3 YEARS AVERAGE)]]&gt;=4,'9 Grid'!$D$2,'9 Grid'!$E$2))),"")</f>
        <v>Fully Competence Performance</v>
      </c>
      <c r="O159" s="146" t="str">
        <f ca="1">IFERROR(INDEX('9 Grid'!$D$4:$F$6,MATCH('Rekomendasi HAV'!M159,'9 Grid'!$B$4:$B$6,0),MATCH('Rekomendasi HAV'!N159,'9 Grid'!$D$2:$F$2,0)),"")</f>
        <v/>
      </c>
      <c r="P159" s="147" t="str">
        <f>IFERROR(INDEX('9 Grid'!$D$8:$F$8,1,MATCH('Rekomendasi HAV'!N159,'9 Grid'!$D$2:$F$2,0)),"")</f>
        <v>(ST) Within 12 - 18 month</v>
      </c>
    </row>
    <row r="160" spans="1:16" ht="28.5">
      <c r="A160" s="67">
        <v>159</v>
      </c>
      <c r="B160" s="68" t="str">
        <f>INDEX(Data_Assessment[],MATCH('Rekomendasi HAV'!$A160,Data_Assessment[[INDEX]:[INDEX]],0),MATCH('Rekomendasi HAV'!B$1,Data_Assessment[#Headers],0))</f>
        <v>Albert Halomoan Simarmata</v>
      </c>
      <c r="C160" s="68" t="str">
        <f>INDEX(Data_Assessment[],MATCH('Rekomendasi HAV'!$A160,Data_Assessment[[INDEX]:[INDEX]],0),MATCH('Rekomendasi HAV'!C$1,Data_Assessment[#Headers],0))</f>
        <v>Sumatera Selatan</v>
      </c>
      <c r="D160" s="68" t="str">
        <f>INDEX(Data_Assessment[],MATCH('Rekomendasi HAV'!$A160,Data_Assessment[[INDEX]:[INDEX]],0),MATCH('Rekomendasi HAV'!D$1,Data_Assessment[#Headers],0))</f>
        <v>LSIP - Cengal Rubber Factory</v>
      </c>
      <c r="E160" s="68">
        <f>INDEX(Data_Assessment[],MATCH('Rekomendasi HAV'!$B160,Data_Assessment[[NAME]:[NAME]],0),MATCH('Rekomendasi HAV'!E$1,Data_Assessment[#Headers],0))</f>
        <v>0</v>
      </c>
      <c r="F160" s="68"/>
      <c r="G160" s="68">
        <f>IF(ISNUMBER(SEARCH("DEV",Assessment[[#This Row],[JOB TARGET]])),SUBSTITUTE(Assessment[[#This Row],[JOB TARGET]],"DEV","EST"),Assessment[[#This Row],[JOB TARGET]])</f>
        <v>0</v>
      </c>
      <c r="H160" s="146" t="str" cm="1">
        <f t="array" aca="1" ref="H160" ca="1">IF(Assessment[[#This Row],[JOB TARGET]]="","Job Target Kosong",IF(COUNT(IF('Data Assessment'!$N160:$Z160-OFFSET(Standar!$B$2,MATCH(Assessment[[#This Row],[JOB TARGET
(EST)]],Standar[NAMA JABATAN],0)-1,1,1,13)&lt;0,1,""))&lt;=3,'9 Grid'!$B$4,IF(COUNT(IF('Data Assessment'!$N160:$Z160-OFFSET(Standar!$B$2,MATCH(Assessment[[#This Row],[JOB TARGET]],Standar[NAMA JABATAN],0)-1,1,1,13)&lt;0,1,""))&gt;=7,'9 Grid'!$B$6,'9 Grid'!$B$5)))</f>
        <v>Job Target Kosong</v>
      </c>
      <c r="I160" s="146" t="str">
        <f>IFERROR(IF(Data_Assessment[[#This Row],[IPP (3 YEARS AVERAGE)]]="","(IPP Belum Ada)",IF(Data_Assessment[[#This Row],[IPP (3 YEARS AVERAGE)]]&lt;2,'9 Grid'!$F$2,IF(Data_Assessment[[#This Row],[IPP (3 YEARS AVERAGE)]]&gt;=4,'9 Grid'!$D$2,'9 Grid'!$E$2))),"")</f>
        <v>Fully Competence Performance</v>
      </c>
      <c r="J160" s="146" t="str">
        <f ca="1">IFERROR(INDEX('9 Grid'!$D$4:$F$6,MATCH('Rekomendasi HAV'!H160,'9 Grid'!$B$4:$B$6,0),MATCH('Rekomendasi HAV'!I160,'9 Grid'!$D$2:$F$2,0)),"")</f>
        <v/>
      </c>
      <c r="K160" s="146" t="str">
        <f>IFERROR(INDEX('9 Grid'!$D$8:$F$8,1,MATCH('Rekomendasi HAV'!I160,'9 Grid'!$D$2:$F$2,0)),"")</f>
        <v>(ST) Within 12 - 18 month</v>
      </c>
      <c r="L160" s="146">
        <f>IF(ISNUMBER(SEARCH("EST",Assessment[[#This Row],[JOB TARGET]])),SUBSTITUTE(Assessment[[#This Row],[JOB TARGET]],"EST","DEV"),Assessment[[#This Row],[JOB TARGET]])</f>
        <v>0</v>
      </c>
      <c r="M160" s="146" t="str" cm="1">
        <f t="array" aca="1" ref="M160" ca="1">IF(Assessment[[#This Row],[JOB TARGET]]="","Job Target Kosong",IF(COUNT(IF('Data Assessment'!$N160:$Z160-OFFSET(Standar!$B$2,MATCH(Assessment[[#This Row],[JOB TARGET
(DEV)]],Standar[NAMA JABATAN],0)-1,1,1,13)&lt;0,1,""))&lt;=3,'9 Grid'!$B$4,IF(COUNT(IF('Data Assessment'!$N160:$Z160-OFFSET(Standar!$B$2,MATCH(Assessment[[#This Row],[JOB TARGET
(DEV)]],Standar[NAMA JABATAN],0)-1,1,1,13)&lt;0,1,""))&gt;=7,'9 Grid'!$B$6,'9 Grid'!$B$5)))</f>
        <v>Job Target Kosong</v>
      </c>
      <c r="N160" s="146" t="str">
        <f>IFERROR(IF(Data_Assessment[[#This Row],[IPP (3 YEARS AVERAGE)]]="","(IPP Belum Ada)",IF(Data_Assessment[[#This Row],[IPP (3 YEARS AVERAGE)]]&lt;2,'9 Grid'!$F$2,IF(Data_Assessment[[#This Row],[IPP (3 YEARS AVERAGE)]]&gt;=4,'9 Grid'!$D$2,'9 Grid'!$E$2))),"")</f>
        <v>Fully Competence Performance</v>
      </c>
      <c r="O160" s="146" t="str">
        <f ca="1">IFERROR(INDEX('9 Grid'!$D$4:$F$6,MATCH('Rekomendasi HAV'!M160,'9 Grid'!$B$4:$B$6,0),MATCH('Rekomendasi HAV'!N160,'9 Grid'!$D$2:$F$2,0)),"")</f>
        <v/>
      </c>
      <c r="P160" s="147" t="str">
        <f>IFERROR(INDEX('9 Grid'!$D$8:$F$8,1,MATCH('Rekomendasi HAV'!N160,'9 Grid'!$D$2:$F$2,0)),"")</f>
        <v>(ST) Within 12 - 18 month</v>
      </c>
    </row>
    <row r="161" spans="1:16" ht="28.5">
      <c r="A161" s="67">
        <v>160</v>
      </c>
      <c r="B161" s="68" t="str">
        <f>INDEX(Data_Assessment[],MATCH('Rekomendasi HAV'!$A161,Data_Assessment[[INDEX]:[INDEX]],0),MATCH('Rekomendasi HAV'!B$1,Data_Assessment[#Headers],0))</f>
        <v>Kurnia Ramadani Purba</v>
      </c>
      <c r="C161" s="68" t="str">
        <f>INDEX(Data_Assessment[],MATCH('Rekomendasi HAV'!$A161,Data_Assessment[[INDEX]:[INDEX]],0),MATCH('Rekomendasi HAV'!C$1,Data_Assessment[#Headers],0))</f>
        <v>Sumatera Utara</v>
      </c>
      <c r="D161" s="68" t="str">
        <f>INDEX(Data_Assessment[],MATCH('Rekomendasi HAV'!$A161,Data_Assessment[[INDEX]:[INDEX]],0),MATCH('Rekomendasi HAV'!D$1,Data_Assessment[#Headers],0))</f>
        <v>LSIP - BLRS - NS</v>
      </c>
      <c r="E161" s="68">
        <f>INDEX(Data_Assessment[],MATCH('Rekomendasi HAV'!$B161,Data_Assessment[[NAME]:[NAME]],0),MATCH('Rekomendasi HAV'!E$1,Data_Assessment[#Headers],0))</f>
        <v>0</v>
      </c>
      <c r="F161" s="68"/>
      <c r="G161" s="68">
        <f>IF(ISNUMBER(SEARCH("DEV",Assessment[[#This Row],[JOB TARGET]])),SUBSTITUTE(Assessment[[#This Row],[JOB TARGET]],"DEV","EST"),Assessment[[#This Row],[JOB TARGET]])</f>
        <v>0</v>
      </c>
      <c r="H161" s="146" t="str" cm="1">
        <f t="array" aca="1" ref="H161" ca="1">IF(Assessment[[#This Row],[JOB TARGET]]="","Job Target Kosong",IF(COUNT(IF('Data Assessment'!$N161:$Z161-OFFSET(Standar!$B$2,MATCH(Assessment[[#This Row],[JOB TARGET
(EST)]],Standar[NAMA JABATAN],0)-1,1,1,13)&lt;0,1,""))&lt;=3,'9 Grid'!$B$4,IF(COUNT(IF('Data Assessment'!$N161:$Z161-OFFSET(Standar!$B$2,MATCH(Assessment[[#This Row],[JOB TARGET]],Standar[NAMA JABATAN],0)-1,1,1,13)&lt;0,1,""))&gt;=7,'9 Grid'!$B$6,'9 Grid'!$B$5)))</f>
        <v>Job Target Kosong</v>
      </c>
      <c r="I161" s="146" t="str">
        <f>IFERROR(IF(Data_Assessment[[#This Row],[IPP (3 YEARS AVERAGE)]]="","(IPP Belum Ada)",IF(Data_Assessment[[#This Row],[IPP (3 YEARS AVERAGE)]]&lt;2,'9 Grid'!$F$2,IF(Data_Assessment[[#This Row],[IPP (3 YEARS AVERAGE)]]&gt;=4,'9 Grid'!$D$2,'9 Grid'!$E$2))),"")</f>
        <v>Fully Competence Performance</v>
      </c>
      <c r="J161" s="146" t="str">
        <f ca="1">IFERROR(INDEX('9 Grid'!$D$4:$F$6,MATCH('Rekomendasi HAV'!H161,'9 Grid'!$B$4:$B$6,0),MATCH('Rekomendasi HAV'!I161,'9 Grid'!$D$2:$F$2,0)),"")</f>
        <v/>
      </c>
      <c r="K161" s="146" t="str">
        <f>IFERROR(INDEX('9 Grid'!$D$8:$F$8,1,MATCH('Rekomendasi HAV'!I161,'9 Grid'!$D$2:$F$2,0)),"")</f>
        <v>(ST) Within 12 - 18 month</v>
      </c>
      <c r="L161" s="146">
        <f>IF(ISNUMBER(SEARCH("EST",Assessment[[#This Row],[JOB TARGET]])),SUBSTITUTE(Assessment[[#This Row],[JOB TARGET]],"EST","DEV"),Assessment[[#This Row],[JOB TARGET]])</f>
        <v>0</v>
      </c>
      <c r="M161" s="146" t="str" cm="1">
        <f t="array" aca="1" ref="M161" ca="1">IF(Assessment[[#This Row],[JOB TARGET]]="","Job Target Kosong",IF(COUNT(IF('Data Assessment'!$N161:$Z161-OFFSET(Standar!$B$2,MATCH(Assessment[[#This Row],[JOB TARGET
(DEV)]],Standar[NAMA JABATAN],0)-1,1,1,13)&lt;0,1,""))&lt;=3,'9 Grid'!$B$4,IF(COUNT(IF('Data Assessment'!$N161:$Z161-OFFSET(Standar!$B$2,MATCH(Assessment[[#This Row],[JOB TARGET
(DEV)]],Standar[NAMA JABATAN],0)-1,1,1,13)&lt;0,1,""))&gt;=7,'9 Grid'!$B$6,'9 Grid'!$B$5)))</f>
        <v>Job Target Kosong</v>
      </c>
      <c r="N161" s="146" t="str">
        <f>IFERROR(IF(Data_Assessment[[#This Row],[IPP (3 YEARS AVERAGE)]]="","(IPP Belum Ada)",IF(Data_Assessment[[#This Row],[IPP (3 YEARS AVERAGE)]]&lt;2,'9 Grid'!$F$2,IF(Data_Assessment[[#This Row],[IPP (3 YEARS AVERAGE)]]&gt;=4,'9 Grid'!$D$2,'9 Grid'!$E$2))),"")</f>
        <v>Fully Competence Performance</v>
      </c>
      <c r="O161" s="146" t="str">
        <f ca="1">IFERROR(INDEX('9 Grid'!$D$4:$F$6,MATCH('Rekomendasi HAV'!M161,'9 Grid'!$B$4:$B$6,0),MATCH('Rekomendasi HAV'!N161,'9 Grid'!$D$2:$F$2,0)),"")</f>
        <v/>
      </c>
      <c r="P161" s="147" t="str">
        <f>IFERROR(INDEX('9 Grid'!$D$8:$F$8,1,MATCH('Rekomendasi HAV'!N161,'9 Grid'!$D$2:$F$2,0)),"")</f>
        <v>(ST) Within 12 - 18 month</v>
      </c>
    </row>
    <row r="162" spans="1:16" ht="28.5">
      <c r="A162" s="67">
        <v>161</v>
      </c>
      <c r="B162" s="68" t="str">
        <f>INDEX(Data_Assessment[],MATCH('Rekomendasi HAV'!$A162,Data_Assessment[[INDEX]:[INDEX]],0),MATCH('Rekomendasi HAV'!B$1,Data_Assessment[#Headers],0))</f>
        <v>Ririn Fitriana Lubis</v>
      </c>
      <c r="C162" s="68" t="str">
        <f>INDEX(Data_Assessment[],MATCH('Rekomendasi HAV'!$A162,Data_Assessment[[INDEX]:[INDEX]],0),MATCH('Rekomendasi HAV'!C$1,Data_Assessment[#Headers],0))</f>
        <v>Sumatera Utara</v>
      </c>
      <c r="D162" s="68" t="str">
        <f>INDEX(Data_Assessment[],MATCH('Rekomendasi HAV'!$A162,Data_Assessment[[INDEX]:[INDEX]],0),MATCH('Rekomendasi HAV'!D$1,Data_Assessment[#Headers],0))</f>
        <v>LSIP - BLRS - NS</v>
      </c>
      <c r="E162" s="68">
        <f>INDEX(Data_Assessment[],MATCH('Rekomendasi HAV'!$B162,Data_Assessment[[NAME]:[NAME]],0),MATCH('Rekomendasi HAV'!E$1,Data_Assessment[#Headers],0))</f>
        <v>0</v>
      </c>
      <c r="F162" s="68"/>
      <c r="G162" s="68">
        <f>IF(ISNUMBER(SEARCH("DEV",Assessment[[#This Row],[JOB TARGET]])),SUBSTITUTE(Assessment[[#This Row],[JOB TARGET]],"DEV","EST"),Assessment[[#This Row],[JOB TARGET]])</f>
        <v>0</v>
      </c>
      <c r="H162" s="146" t="str" cm="1">
        <f t="array" aca="1" ref="H162" ca="1">IF(Assessment[[#This Row],[JOB TARGET]]="","Job Target Kosong",IF(COUNT(IF('Data Assessment'!$N162:$Z162-OFFSET(Standar!$B$2,MATCH(Assessment[[#This Row],[JOB TARGET
(EST)]],Standar[NAMA JABATAN],0)-1,1,1,13)&lt;0,1,""))&lt;=3,'9 Grid'!$B$4,IF(COUNT(IF('Data Assessment'!$N162:$Z162-OFFSET(Standar!$B$2,MATCH(Assessment[[#This Row],[JOB TARGET]],Standar[NAMA JABATAN],0)-1,1,1,13)&lt;0,1,""))&gt;=7,'9 Grid'!$B$6,'9 Grid'!$B$5)))</f>
        <v>Job Target Kosong</v>
      </c>
      <c r="I162" s="146" t="str">
        <f>IFERROR(IF(Data_Assessment[[#This Row],[IPP (3 YEARS AVERAGE)]]="","(IPP Belum Ada)",IF(Data_Assessment[[#This Row],[IPP (3 YEARS AVERAGE)]]&lt;2,'9 Grid'!$F$2,IF(Data_Assessment[[#This Row],[IPP (3 YEARS AVERAGE)]]&gt;=4,'9 Grid'!$D$2,'9 Grid'!$E$2))),"")</f>
        <v>Fully Competence Performance</v>
      </c>
      <c r="J162" s="146" t="str">
        <f ca="1">IFERROR(INDEX('9 Grid'!$D$4:$F$6,MATCH('Rekomendasi HAV'!H162,'9 Grid'!$B$4:$B$6,0),MATCH('Rekomendasi HAV'!I162,'9 Grid'!$D$2:$F$2,0)),"")</f>
        <v/>
      </c>
      <c r="K162" s="146" t="str">
        <f>IFERROR(INDEX('9 Grid'!$D$8:$F$8,1,MATCH('Rekomendasi HAV'!I162,'9 Grid'!$D$2:$F$2,0)),"")</f>
        <v>(ST) Within 12 - 18 month</v>
      </c>
      <c r="L162" s="146">
        <f>IF(ISNUMBER(SEARCH("EST",Assessment[[#This Row],[JOB TARGET]])),SUBSTITUTE(Assessment[[#This Row],[JOB TARGET]],"EST","DEV"),Assessment[[#This Row],[JOB TARGET]])</f>
        <v>0</v>
      </c>
      <c r="M162" s="146" t="str" cm="1">
        <f t="array" aca="1" ref="M162" ca="1">IF(Assessment[[#This Row],[JOB TARGET]]="","Job Target Kosong",IF(COUNT(IF('Data Assessment'!$N162:$Z162-OFFSET(Standar!$B$2,MATCH(Assessment[[#This Row],[JOB TARGET
(DEV)]],Standar[NAMA JABATAN],0)-1,1,1,13)&lt;0,1,""))&lt;=3,'9 Grid'!$B$4,IF(COUNT(IF('Data Assessment'!$N162:$Z162-OFFSET(Standar!$B$2,MATCH(Assessment[[#This Row],[JOB TARGET
(DEV)]],Standar[NAMA JABATAN],0)-1,1,1,13)&lt;0,1,""))&gt;=7,'9 Grid'!$B$6,'9 Grid'!$B$5)))</f>
        <v>Job Target Kosong</v>
      </c>
      <c r="N162" s="146" t="str">
        <f>IFERROR(IF(Data_Assessment[[#This Row],[IPP (3 YEARS AVERAGE)]]="","(IPP Belum Ada)",IF(Data_Assessment[[#This Row],[IPP (3 YEARS AVERAGE)]]&lt;2,'9 Grid'!$F$2,IF(Data_Assessment[[#This Row],[IPP (3 YEARS AVERAGE)]]&gt;=4,'9 Grid'!$D$2,'9 Grid'!$E$2))),"")</f>
        <v>Fully Competence Performance</v>
      </c>
      <c r="O162" s="146" t="str">
        <f ca="1">IFERROR(INDEX('9 Grid'!$D$4:$F$6,MATCH('Rekomendasi HAV'!M162,'9 Grid'!$B$4:$B$6,0),MATCH('Rekomendasi HAV'!N162,'9 Grid'!$D$2:$F$2,0)),"")</f>
        <v/>
      </c>
      <c r="P162" s="147" t="str">
        <f>IFERROR(INDEX('9 Grid'!$D$8:$F$8,1,MATCH('Rekomendasi HAV'!N162,'9 Grid'!$D$2:$F$2,0)),"")</f>
        <v>(ST) Within 12 - 18 month</v>
      </c>
    </row>
    <row r="163" spans="1:16" ht="28.5">
      <c r="A163" s="67">
        <v>162</v>
      </c>
      <c r="B163" s="68" t="str">
        <f>INDEX(Data_Assessment[],MATCH('Rekomendasi HAV'!$A163,Data_Assessment[[INDEX]:[INDEX]],0),MATCH('Rekomendasi HAV'!B$1,Data_Assessment[#Headers],0))</f>
        <v>Hardeep Kaur, SE</v>
      </c>
      <c r="C163" s="68" t="str">
        <f>INDEX(Data_Assessment[],MATCH('Rekomendasi HAV'!$A163,Data_Assessment[[INDEX]:[INDEX]],0),MATCH('Rekomendasi HAV'!C$1,Data_Assessment[#Headers],0))</f>
        <v>Medan</v>
      </c>
      <c r="D163" s="68" t="str">
        <f>INDEX(Data_Assessment[],MATCH('Rekomendasi HAV'!$A163,Data_Assessment[[INDEX]:[INDEX]],0),MATCH('Rekomendasi HAV'!D$1,Data_Assessment[#Headers],0))</f>
        <v>LSIP - RO Medan</v>
      </c>
      <c r="E163" s="68">
        <f>INDEX(Data_Assessment[],MATCH('Rekomendasi HAV'!$B163,Data_Assessment[[NAME]:[NAME]],0),MATCH('Rekomendasi HAV'!E$1,Data_Assessment[#Headers],0))</f>
        <v>0</v>
      </c>
      <c r="F163" s="68"/>
      <c r="G163" s="68">
        <f>IF(ISNUMBER(SEARCH("DEV",Assessment[[#This Row],[JOB TARGET]])),SUBSTITUTE(Assessment[[#This Row],[JOB TARGET]],"DEV","EST"),Assessment[[#This Row],[JOB TARGET]])</f>
        <v>0</v>
      </c>
      <c r="H163" s="146" t="str" cm="1">
        <f t="array" aca="1" ref="H163" ca="1">IF(Assessment[[#This Row],[JOB TARGET]]="","Job Target Kosong",IF(COUNT(IF('Data Assessment'!$N163:$Z163-OFFSET(Standar!$B$2,MATCH(Assessment[[#This Row],[JOB TARGET
(EST)]],Standar[NAMA JABATAN],0)-1,1,1,13)&lt;0,1,""))&lt;=3,'9 Grid'!$B$4,IF(COUNT(IF('Data Assessment'!$N163:$Z163-OFFSET(Standar!$B$2,MATCH(Assessment[[#This Row],[JOB TARGET]],Standar[NAMA JABATAN],0)-1,1,1,13)&lt;0,1,""))&gt;=7,'9 Grid'!$B$6,'9 Grid'!$B$5)))</f>
        <v>Job Target Kosong</v>
      </c>
      <c r="I163" s="146" t="str">
        <f>IFERROR(IF(Data_Assessment[[#This Row],[IPP (3 YEARS AVERAGE)]]="","(IPP Belum Ada)",IF(Data_Assessment[[#This Row],[IPP (3 YEARS AVERAGE)]]&lt;2,'9 Grid'!$F$2,IF(Data_Assessment[[#This Row],[IPP (3 YEARS AVERAGE)]]&gt;=4,'9 Grid'!$D$2,'9 Grid'!$E$2))),"")</f>
        <v>Fully Competence Performance</v>
      </c>
      <c r="J163" s="146" t="str">
        <f ca="1">IFERROR(INDEX('9 Grid'!$D$4:$F$6,MATCH('Rekomendasi HAV'!H163,'9 Grid'!$B$4:$B$6,0),MATCH('Rekomendasi HAV'!I163,'9 Grid'!$D$2:$F$2,0)),"")</f>
        <v/>
      </c>
      <c r="K163" s="146" t="str">
        <f>IFERROR(INDEX('9 Grid'!$D$8:$F$8,1,MATCH('Rekomendasi HAV'!I163,'9 Grid'!$D$2:$F$2,0)),"")</f>
        <v>(ST) Within 12 - 18 month</v>
      </c>
      <c r="L163" s="146">
        <f>IF(ISNUMBER(SEARCH("EST",Assessment[[#This Row],[JOB TARGET]])),SUBSTITUTE(Assessment[[#This Row],[JOB TARGET]],"EST","DEV"),Assessment[[#This Row],[JOB TARGET]])</f>
        <v>0</v>
      </c>
      <c r="M163" s="146" t="str" cm="1">
        <f t="array" aca="1" ref="M163" ca="1">IF(Assessment[[#This Row],[JOB TARGET]]="","Job Target Kosong",IF(COUNT(IF('Data Assessment'!$N163:$Z163-OFFSET(Standar!$B$2,MATCH(Assessment[[#This Row],[JOB TARGET
(DEV)]],Standar[NAMA JABATAN],0)-1,1,1,13)&lt;0,1,""))&lt;=3,'9 Grid'!$B$4,IF(COUNT(IF('Data Assessment'!$N163:$Z163-OFFSET(Standar!$B$2,MATCH(Assessment[[#This Row],[JOB TARGET
(DEV)]],Standar[NAMA JABATAN],0)-1,1,1,13)&lt;0,1,""))&gt;=7,'9 Grid'!$B$6,'9 Grid'!$B$5)))</f>
        <v>Job Target Kosong</v>
      </c>
      <c r="N163" s="146" t="str">
        <f>IFERROR(IF(Data_Assessment[[#This Row],[IPP (3 YEARS AVERAGE)]]="","(IPP Belum Ada)",IF(Data_Assessment[[#This Row],[IPP (3 YEARS AVERAGE)]]&lt;2,'9 Grid'!$F$2,IF(Data_Assessment[[#This Row],[IPP (3 YEARS AVERAGE)]]&gt;=4,'9 Grid'!$D$2,'9 Grid'!$E$2))),"")</f>
        <v>Fully Competence Performance</v>
      </c>
      <c r="O163" s="146" t="str">
        <f ca="1">IFERROR(INDEX('9 Grid'!$D$4:$F$6,MATCH('Rekomendasi HAV'!M163,'9 Grid'!$B$4:$B$6,0),MATCH('Rekomendasi HAV'!N163,'9 Grid'!$D$2:$F$2,0)),"")</f>
        <v/>
      </c>
      <c r="P163" s="147" t="str">
        <f>IFERROR(INDEX('9 Grid'!$D$8:$F$8,1,MATCH('Rekomendasi HAV'!N163,'9 Grid'!$D$2:$F$2,0)),"")</f>
        <v>(ST) Within 12 - 18 month</v>
      </c>
    </row>
    <row r="164" spans="1:16" ht="28.5">
      <c r="A164" s="67">
        <v>163</v>
      </c>
      <c r="B164" s="68" t="str">
        <f>INDEX(Data_Assessment[],MATCH('Rekomendasi HAV'!$A164,Data_Assessment[[INDEX]:[INDEX]],0),MATCH('Rekomendasi HAV'!B$1,Data_Assessment[#Headers],0))</f>
        <v>Raabiah</v>
      </c>
      <c r="C164" s="68" t="str">
        <f>INDEX(Data_Assessment[],MATCH('Rekomendasi HAV'!$A164,Data_Assessment[[INDEX]:[INDEX]],0),MATCH('Rekomendasi HAV'!C$1,Data_Assessment[#Headers],0))</f>
        <v>Jakarta</v>
      </c>
      <c r="D164" s="68" t="str">
        <f>INDEX(Data_Assessment[],MATCH('Rekomendasi HAV'!$A164,Data_Assessment[[INDEX]:[INDEX]],0),MATCH('Rekomendasi HAV'!D$1,Data_Assessment[#Headers],0))</f>
        <v>LSIP - HO Jakarta</v>
      </c>
      <c r="E164" s="68">
        <f>INDEX(Data_Assessment[],MATCH('Rekomendasi HAV'!$B164,Data_Assessment[[NAME]:[NAME]],0),MATCH('Rekomendasi HAV'!E$1,Data_Assessment[#Headers],0))</f>
        <v>0</v>
      </c>
      <c r="F164" s="68"/>
      <c r="G164" s="68">
        <f>IF(ISNUMBER(SEARCH("DEV",Assessment[[#This Row],[JOB TARGET]])),SUBSTITUTE(Assessment[[#This Row],[JOB TARGET]],"DEV","EST"),Assessment[[#This Row],[JOB TARGET]])</f>
        <v>0</v>
      </c>
      <c r="H164" s="146" t="str" cm="1">
        <f t="array" aca="1" ref="H164" ca="1">IF(Assessment[[#This Row],[JOB TARGET]]="","Job Target Kosong",IF(COUNT(IF('Data Assessment'!$N164:$Z164-OFFSET(Standar!$B$2,MATCH(Assessment[[#This Row],[JOB TARGET
(EST)]],Standar[NAMA JABATAN],0)-1,1,1,13)&lt;0,1,""))&lt;=3,'9 Grid'!$B$4,IF(COUNT(IF('Data Assessment'!$N164:$Z164-OFFSET(Standar!$B$2,MATCH(Assessment[[#This Row],[JOB TARGET]],Standar[NAMA JABATAN],0)-1,1,1,13)&lt;0,1,""))&gt;=7,'9 Grid'!$B$6,'9 Grid'!$B$5)))</f>
        <v>Job Target Kosong</v>
      </c>
      <c r="I164" s="146" t="str">
        <f>IFERROR(IF(Data_Assessment[[#This Row],[IPP (3 YEARS AVERAGE)]]="","(IPP Belum Ada)",IF(Data_Assessment[[#This Row],[IPP (3 YEARS AVERAGE)]]&lt;2,'9 Grid'!$F$2,IF(Data_Assessment[[#This Row],[IPP (3 YEARS AVERAGE)]]&gt;=4,'9 Grid'!$D$2,'9 Grid'!$E$2))),"")</f>
        <v>Fully Competence Performance</v>
      </c>
      <c r="J164" s="146" t="str">
        <f ca="1">IFERROR(INDEX('9 Grid'!$D$4:$F$6,MATCH('Rekomendasi HAV'!H164,'9 Grid'!$B$4:$B$6,0),MATCH('Rekomendasi HAV'!I164,'9 Grid'!$D$2:$F$2,0)),"")</f>
        <v/>
      </c>
      <c r="K164" s="146" t="str">
        <f>IFERROR(INDEX('9 Grid'!$D$8:$F$8,1,MATCH('Rekomendasi HAV'!I164,'9 Grid'!$D$2:$F$2,0)),"")</f>
        <v>(ST) Within 12 - 18 month</v>
      </c>
      <c r="L164" s="146">
        <f>IF(ISNUMBER(SEARCH("EST",Assessment[[#This Row],[JOB TARGET]])),SUBSTITUTE(Assessment[[#This Row],[JOB TARGET]],"EST","DEV"),Assessment[[#This Row],[JOB TARGET]])</f>
        <v>0</v>
      </c>
      <c r="M164" s="146" t="str" cm="1">
        <f t="array" aca="1" ref="M164" ca="1">IF(Assessment[[#This Row],[JOB TARGET]]="","Job Target Kosong",IF(COUNT(IF('Data Assessment'!$N164:$Z164-OFFSET(Standar!$B$2,MATCH(Assessment[[#This Row],[JOB TARGET
(DEV)]],Standar[NAMA JABATAN],0)-1,1,1,13)&lt;0,1,""))&lt;=3,'9 Grid'!$B$4,IF(COUNT(IF('Data Assessment'!$N164:$Z164-OFFSET(Standar!$B$2,MATCH(Assessment[[#This Row],[JOB TARGET
(DEV)]],Standar[NAMA JABATAN],0)-1,1,1,13)&lt;0,1,""))&gt;=7,'9 Grid'!$B$6,'9 Grid'!$B$5)))</f>
        <v>Job Target Kosong</v>
      </c>
      <c r="N164" s="146" t="str">
        <f>IFERROR(IF(Data_Assessment[[#This Row],[IPP (3 YEARS AVERAGE)]]="","(IPP Belum Ada)",IF(Data_Assessment[[#This Row],[IPP (3 YEARS AVERAGE)]]&lt;2,'9 Grid'!$F$2,IF(Data_Assessment[[#This Row],[IPP (3 YEARS AVERAGE)]]&gt;=4,'9 Grid'!$D$2,'9 Grid'!$E$2))),"")</f>
        <v>Fully Competence Performance</v>
      </c>
      <c r="O164" s="146" t="str">
        <f ca="1">IFERROR(INDEX('9 Grid'!$D$4:$F$6,MATCH('Rekomendasi HAV'!M164,'9 Grid'!$B$4:$B$6,0),MATCH('Rekomendasi HAV'!N164,'9 Grid'!$D$2:$F$2,0)),"")</f>
        <v/>
      </c>
      <c r="P164" s="147" t="str">
        <f>IFERROR(INDEX('9 Grid'!$D$8:$F$8,1,MATCH('Rekomendasi HAV'!N164,'9 Grid'!$D$2:$F$2,0)),"")</f>
        <v>(ST) Within 12 - 18 month</v>
      </c>
    </row>
    <row r="165" spans="1:16" ht="28.5">
      <c r="A165" s="67">
        <v>164</v>
      </c>
      <c r="B165" s="68" t="str">
        <f>INDEX(Data_Assessment[],MATCH('Rekomendasi HAV'!$A165,Data_Assessment[[INDEX]:[INDEX]],0),MATCH('Rekomendasi HAV'!B$1,Data_Assessment[#Headers],0))</f>
        <v>Wihawaty Wiharta</v>
      </c>
      <c r="C165" s="68" t="str">
        <f>INDEX(Data_Assessment[],MATCH('Rekomendasi HAV'!$A165,Data_Assessment[[INDEX]:[INDEX]],0),MATCH('Rekomendasi HAV'!C$1,Data_Assessment[#Headers],0))</f>
        <v>Medan</v>
      </c>
      <c r="D165" s="68" t="str">
        <f>INDEX(Data_Assessment[],MATCH('Rekomendasi HAV'!$A165,Data_Assessment[[INDEX]:[INDEX]],0),MATCH('Rekomendasi HAV'!D$1,Data_Assessment[#Headers],0))</f>
        <v>LSIP - RO Medan</v>
      </c>
      <c r="E165" s="68">
        <f>INDEX(Data_Assessment[],MATCH('Rekomendasi HAV'!$B165,Data_Assessment[[NAME]:[NAME]],0),MATCH('Rekomendasi HAV'!E$1,Data_Assessment[#Headers],0))</f>
        <v>0</v>
      </c>
      <c r="F165" s="68"/>
      <c r="G165" s="68">
        <f>IF(ISNUMBER(SEARCH("DEV",Assessment[[#This Row],[JOB TARGET]])),SUBSTITUTE(Assessment[[#This Row],[JOB TARGET]],"DEV","EST"),Assessment[[#This Row],[JOB TARGET]])</f>
        <v>0</v>
      </c>
      <c r="H165" s="146" t="str" cm="1">
        <f t="array" aca="1" ref="H165" ca="1">IF(Assessment[[#This Row],[JOB TARGET]]="","Job Target Kosong",IF(COUNT(IF('Data Assessment'!$N165:$Z165-OFFSET(Standar!$B$2,MATCH(Assessment[[#This Row],[JOB TARGET
(EST)]],Standar[NAMA JABATAN],0)-1,1,1,13)&lt;0,1,""))&lt;=3,'9 Grid'!$B$4,IF(COUNT(IF('Data Assessment'!$N165:$Z165-OFFSET(Standar!$B$2,MATCH(Assessment[[#This Row],[JOB TARGET]],Standar[NAMA JABATAN],0)-1,1,1,13)&lt;0,1,""))&gt;=7,'9 Grid'!$B$6,'9 Grid'!$B$5)))</f>
        <v>Job Target Kosong</v>
      </c>
      <c r="I165" s="146" t="str">
        <f>IFERROR(IF(Data_Assessment[[#This Row],[IPP (3 YEARS AVERAGE)]]="","(IPP Belum Ada)",IF(Data_Assessment[[#This Row],[IPP (3 YEARS AVERAGE)]]&lt;2,'9 Grid'!$F$2,IF(Data_Assessment[[#This Row],[IPP (3 YEARS AVERAGE)]]&gt;=4,'9 Grid'!$D$2,'9 Grid'!$E$2))),"")</f>
        <v>Fully Competence Performance</v>
      </c>
      <c r="J165" s="146" t="str">
        <f ca="1">IFERROR(INDEX('9 Grid'!$D$4:$F$6,MATCH('Rekomendasi HAV'!H165,'9 Grid'!$B$4:$B$6,0),MATCH('Rekomendasi HAV'!I165,'9 Grid'!$D$2:$F$2,0)),"")</f>
        <v/>
      </c>
      <c r="K165" s="146" t="str">
        <f>IFERROR(INDEX('9 Grid'!$D$8:$F$8,1,MATCH('Rekomendasi HAV'!I165,'9 Grid'!$D$2:$F$2,0)),"")</f>
        <v>(ST) Within 12 - 18 month</v>
      </c>
      <c r="L165" s="146">
        <f>IF(ISNUMBER(SEARCH("EST",Assessment[[#This Row],[JOB TARGET]])),SUBSTITUTE(Assessment[[#This Row],[JOB TARGET]],"EST","DEV"),Assessment[[#This Row],[JOB TARGET]])</f>
        <v>0</v>
      </c>
      <c r="M165" s="146" t="str" cm="1">
        <f t="array" aca="1" ref="M165" ca="1">IF(Assessment[[#This Row],[JOB TARGET]]="","Job Target Kosong",IF(COUNT(IF('Data Assessment'!$N165:$Z165-OFFSET(Standar!$B$2,MATCH(Assessment[[#This Row],[JOB TARGET
(DEV)]],Standar[NAMA JABATAN],0)-1,1,1,13)&lt;0,1,""))&lt;=3,'9 Grid'!$B$4,IF(COUNT(IF('Data Assessment'!$N165:$Z165-OFFSET(Standar!$B$2,MATCH(Assessment[[#This Row],[JOB TARGET
(DEV)]],Standar[NAMA JABATAN],0)-1,1,1,13)&lt;0,1,""))&gt;=7,'9 Grid'!$B$6,'9 Grid'!$B$5)))</f>
        <v>Job Target Kosong</v>
      </c>
      <c r="N165" s="146" t="str">
        <f>IFERROR(IF(Data_Assessment[[#This Row],[IPP (3 YEARS AVERAGE)]]="","(IPP Belum Ada)",IF(Data_Assessment[[#This Row],[IPP (3 YEARS AVERAGE)]]&lt;2,'9 Grid'!$F$2,IF(Data_Assessment[[#This Row],[IPP (3 YEARS AVERAGE)]]&gt;=4,'9 Grid'!$D$2,'9 Grid'!$E$2))),"")</f>
        <v>Fully Competence Performance</v>
      </c>
      <c r="O165" s="146" t="str">
        <f ca="1">IFERROR(INDEX('9 Grid'!$D$4:$F$6,MATCH('Rekomendasi HAV'!M165,'9 Grid'!$B$4:$B$6,0),MATCH('Rekomendasi HAV'!N165,'9 Grid'!$D$2:$F$2,0)),"")</f>
        <v/>
      </c>
      <c r="P165" s="147" t="str">
        <f>IFERROR(INDEX('9 Grid'!$D$8:$F$8,1,MATCH('Rekomendasi HAV'!N165,'9 Grid'!$D$2:$F$2,0)),"")</f>
        <v>(ST) Within 12 - 18 month</v>
      </c>
    </row>
    <row r="166" spans="1:16" ht="28.5">
      <c r="A166" s="67">
        <v>165</v>
      </c>
      <c r="B166" s="68" t="str">
        <f>INDEX(Data_Assessment[],MATCH('Rekomendasi HAV'!$A166,Data_Assessment[[INDEX]:[INDEX]],0),MATCH('Rekomendasi HAV'!B$1,Data_Assessment[#Headers],0))</f>
        <v>Himas Puspito Putra</v>
      </c>
      <c r="C166" s="68" t="str">
        <f>INDEX(Data_Assessment[],MATCH('Rekomendasi HAV'!$A166,Data_Assessment[[INDEX]:[INDEX]],0),MATCH('Rekomendasi HAV'!C$1,Data_Assessment[#Headers],0))</f>
        <v>Jakarta</v>
      </c>
      <c r="D166" s="68" t="str">
        <f>INDEX(Data_Assessment[],MATCH('Rekomendasi HAV'!$A166,Data_Assessment[[INDEX]:[INDEX]],0),MATCH('Rekomendasi HAV'!D$1,Data_Assessment[#Headers],0))</f>
        <v>LSIP - HO Jakarta</v>
      </c>
      <c r="E166" s="68">
        <f>INDEX(Data_Assessment[],MATCH('Rekomendasi HAV'!$B166,Data_Assessment[[NAME]:[NAME]],0),MATCH('Rekomendasi HAV'!E$1,Data_Assessment[#Headers],0))</f>
        <v>0</v>
      </c>
      <c r="F166" s="68"/>
      <c r="G166" s="68">
        <f>IF(ISNUMBER(SEARCH("DEV",Assessment[[#This Row],[JOB TARGET]])),SUBSTITUTE(Assessment[[#This Row],[JOB TARGET]],"DEV","EST"),Assessment[[#This Row],[JOB TARGET]])</f>
        <v>0</v>
      </c>
      <c r="H166" s="146" t="str" cm="1">
        <f t="array" aca="1" ref="H166" ca="1">IF(Assessment[[#This Row],[JOB TARGET]]="","Job Target Kosong",IF(COUNT(IF('Data Assessment'!$N166:$Z166-OFFSET(Standar!$B$2,MATCH(Assessment[[#This Row],[JOB TARGET
(EST)]],Standar[NAMA JABATAN],0)-1,1,1,13)&lt;0,1,""))&lt;=3,'9 Grid'!$B$4,IF(COUNT(IF('Data Assessment'!$N166:$Z166-OFFSET(Standar!$B$2,MATCH(Assessment[[#This Row],[JOB TARGET]],Standar[NAMA JABATAN],0)-1,1,1,13)&lt;0,1,""))&gt;=7,'9 Grid'!$B$6,'9 Grid'!$B$5)))</f>
        <v>Job Target Kosong</v>
      </c>
      <c r="I166" s="146" t="str">
        <f>IFERROR(IF(Data_Assessment[[#This Row],[IPP (3 YEARS AVERAGE)]]="","(IPP Belum Ada)",IF(Data_Assessment[[#This Row],[IPP (3 YEARS AVERAGE)]]&lt;2,'9 Grid'!$F$2,IF(Data_Assessment[[#This Row],[IPP (3 YEARS AVERAGE)]]&gt;=4,'9 Grid'!$D$2,'9 Grid'!$E$2))),"")</f>
        <v>Fully Competence Performance</v>
      </c>
      <c r="J166" s="146" t="str">
        <f ca="1">IFERROR(INDEX('9 Grid'!$D$4:$F$6,MATCH('Rekomendasi HAV'!H166,'9 Grid'!$B$4:$B$6,0),MATCH('Rekomendasi HAV'!I166,'9 Grid'!$D$2:$F$2,0)),"")</f>
        <v/>
      </c>
      <c r="K166" s="146" t="str">
        <f>IFERROR(INDEX('9 Grid'!$D$8:$F$8,1,MATCH('Rekomendasi HAV'!I166,'9 Grid'!$D$2:$F$2,0)),"")</f>
        <v>(ST) Within 12 - 18 month</v>
      </c>
      <c r="L166" s="146">
        <f>IF(ISNUMBER(SEARCH("EST",Assessment[[#This Row],[JOB TARGET]])),SUBSTITUTE(Assessment[[#This Row],[JOB TARGET]],"EST","DEV"),Assessment[[#This Row],[JOB TARGET]])</f>
        <v>0</v>
      </c>
      <c r="M166" s="146" t="str" cm="1">
        <f t="array" aca="1" ref="M166" ca="1">IF(Assessment[[#This Row],[JOB TARGET]]="","Job Target Kosong",IF(COUNT(IF('Data Assessment'!$N166:$Z166-OFFSET(Standar!$B$2,MATCH(Assessment[[#This Row],[JOB TARGET
(DEV)]],Standar[NAMA JABATAN],0)-1,1,1,13)&lt;0,1,""))&lt;=3,'9 Grid'!$B$4,IF(COUNT(IF('Data Assessment'!$N166:$Z166-OFFSET(Standar!$B$2,MATCH(Assessment[[#This Row],[JOB TARGET
(DEV)]],Standar[NAMA JABATAN],0)-1,1,1,13)&lt;0,1,""))&gt;=7,'9 Grid'!$B$6,'9 Grid'!$B$5)))</f>
        <v>Job Target Kosong</v>
      </c>
      <c r="N166" s="146" t="str">
        <f>IFERROR(IF(Data_Assessment[[#This Row],[IPP (3 YEARS AVERAGE)]]="","(IPP Belum Ada)",IF(Data_Assessment[[#This Row],[IPP (3 YEARS AVERAGE)]]&lt;2,'9 Grid'!$F$2,IF(Data_Assessment[[#This Row],[IPP (3 YEARS AVERAGE)]]&gt;=4,'9 Grid'!$D$2,'9 Grid'!$E$2))),"")</f>
        <v>Fully Competence Performance</v>
      </c>
      <c r="O166" s="146" t="str">
        <f ca="1">IFERROR(INDEX('9 Grid'!$D$4:$F$6,MATCH('Rekomendasi HAV'!M166,'9 Grid'!$B$4:$B$6,0),MATCH('Rekomendasi HAV'!N166,'9 Grid'!$D$2:$F$2,0)),"")</f>
        <v/>
      </c>
      <c r="P166" s="147" t="str">
        <f>IFERROR(INDEX('9 Grid'!$D$8:$F$8,1,MATCH('Rekomendasi HAV'!N166,'9 Grid'!$D$2:$F$2,0)),"")</f>
        <v>(ST) Within 12 - 18 month</v>
      </c>
    </row>
    <row r="167" spans="1:16" ht="28.5">
      <c r="A167" s="67">
        <v>166</v>
      </c>
      <c r="B167" s="68" t="str">
        <f>INDEX(Data_Assessment[],MATCH('Rekomendasi HAV'!$A167,Data_Assessment[[INDEX]:[INDEX]],0),MATCH('Rekomendasi HAV'!B$1,Data_Assessment[#Headers],0))</f>
        <v>Anjena Dewi</v>
      </c>
      <c r="C167" s="68" t="str">
        <f>INDEX(Data_Assessment[],MATCH('Rekomendasi HAV'!$A167,Data_Assessment[[INDEX]:[INDEX]],0),MATCH('Rekomendasi HAV'!C$1,Data_Assessment[#Headers],0))</f>
        <v>Medan</v>
      </c>
      <c r="D167" s="68" t="str">
        <f>INDEX(Data_Assessment[],MATCH('Rekomendasi HAV'!$A167,Data_Assessment[[INDEX]:[INDEX]],0),MATCH('Rekomendasi HAV'!D$1,Data_Assessment[#Headers],0))</f>
        <v>LSIP - RO Medan</v>
      </c>
      <c r="E167" s="68">
        <f>INDEX(Data_Assessment[],MATCH('Rekomendasi HAV'!$B167,Data_Assessment[[NAME]:[NAME]],0),MATCH('Rekomendasi HAV'!E$1,Data_Assessment[#Headers],0))</f>
        <v>0</v>
      </c>
      <c r="F167" s="68"/>
      <c r="G167" s="68">
        <f>IF(ISNUMBER(SEARCH("DEV",Assessment[[#This Row],[JOB TARGET]])),SUBSTITUTE(Assessment[[#This Row],[JOB TARGET]],"DEV","EST"),Assessment[[#This Row],[JOB TARGET]])</f>
        <v>0</v>
      </c>
      <c r="H167" s="146" t="str" cm="1">
        <f t="array" aca="1" ref="H167" ca="1">IF(Assessment[[#This Row],[JOB TARGET]]="","Job Target Kosong",IF(COUNT(IF('Data Assessment'!$N167:$Z167-OFFSET(Standar!$B$2,MATCH(Assessment[[#This Row],[JOB TARGET
(EST)]],Standar[NAMA JABATAN],0)-1,1,1,13)&lt;0,1,""))&lt;=3,'9 Grid'!$B$4,IF(COUNT(IF('Data Assessment'!$N167:$Z167-OFFSET(Standar!$B$2,MATCH(Assessment[[#This Row],[JOB TARGET]],Standar[NAMA JABATAN],0)-1,1,1,13)&lt;0,1,""))&gt;=7,'9 Grid'!$B$6,'9 Grid'!$B$5)))</f>
        <v>Job Target Kosong</v>
      </c>
      <c r="I167" s="146" t="str">
        <f>IFERROR(IF(Data_Assessment[[#This Row],[IPP (3 YEARS AVERAGE)]]="","(IPP Belum Ada)",IF(Data_Assessment[[#This Row],[IPP (3 YEARS AVERAGE)]]&lt;2,'9 Grid'!$F$2,IF(Data_Assessment[[#This Row],[IPP (3 YEARS AVERAGE)]]&gt;=4,'9 Grid'!$D$2,'9 Grid'!$E$2))),"")</f>
        <v>Fully Competence Performance</v>
      </c>
      <c r="J167" s="146" t="str">
        <f ca="1">IFERROR(INDEX('9 Grid'!$D$4:$F$6,MATCH('Rekomendasi HAV'!H167,'9 Grid'!$B$4:$B$6,0),MATCH('Rekomendasi HAV'!I167,'9 Grid'!$D$2:$F$2,0)),"")</f>
        <v/>
      </c>
      <c r="K167" s="146" t="str">
        <f>IFERROR(INDEX('9 Grid'!$D$8:$F$8,1,MATCH('Rekomendasi HAV'!I167,'9 Grid'!$D$2:$F$2,0)),"")</f>
        <v>(ST) Within 12 - 18 month</v>
      </c>
      <c r="L167" s="146">
        <f>IF(ISNUMBER(SEARCH("EST",Assessment[[#This Row],[JOB TARGET]])),SUBSTITUTE(Assessment[[#This Row],[JOB TARGET]],"EST","DEV"),Assessment[[#This Row],[JOB TARGET]])</f>
        <v>0</v>
      </c>
      <c r="M167" s="146" t="str" cm="1">
        <f t="array" aca="1" ref="M167" ca="1">IF(Assessment[[#This Row],[JOB TARGET]]="","Job Target Kosong",IF(COUNT(IF('Data Assessment'!$N167:$Z167-OFFSET(Standar!$B$2,MATCH(Assessment[[#This Row],[JOB TARGET
(DEV)]],Standar[NAMA JABATAN],0)-1,1,1,13)&lt;0,1,""))&lt;=3,'9 Grid'!$B$4,IF(COUNT(IF('Data Assessment'!$N167:$Z167-OFFSET(Standar!$B$2,MATCH(Assessment[[#This Row],[JOB TARGET
(DEV)]],Standar[NAMA JABATAN],0)-1,1,1,13)&lt;0,1,""))&gt;=7,'9 Grid'!$B$6,'9 Grid'!$B$5)))</f>
        <v>Job Target Kosong</v>
      </c>
      <c r="N167" s="146" t="str">
        <f>IFERROR(IF(Data_Assessment[[#This Row],[IPP (3 YEARS AVERAGE)]]="","(IPP Belum Ada)",IF(Data_Assessment[[#This Row],[IPP (3 YEARS AVERAGE)]]&lt;2,'9 Grid'!$F$2,IF(Data_Assessment[[#This Row],[IPP (3 YEARS AVERAGE)]]&gt;=4,'9 Grid'!$D$2,'9 Grid'!$E$2))),"")</f>
        <v>Fully Competence Performance</v>
      </c>
      <c r="O167" s="146" t="str">
        <f ca="1">IFERROR(INDEX('9 Grid'!$D$4:$F$6,MATCH('Rekomendasi HAV'!M167,'9 Grid'!$B$4:$B$6,0),MATCH('Rekomendasi HAV'!N167,'9 Grid'!$D$2:$F$2,0)),"")</f>
        <v/>
      </c>
      <c r="P167" s="147" t="str">
        <f>IFERROR(INDEX('9 Grid'!$D$8:$F$8,1,MATCH('Rekomendasi HAV'!N167,'9 Grid'!$D$2:$F$2,0)),"")</f>
        <v>(ST) Within 12 - 18 month</v>
      </c>
    </row>
    <row r="168" spans="1:16" ht="28.5">
      <c r="A168" s="67">
        <v>167</v>
      </c>
      <c r="B168" s="68" t="str">
        <f>INDEX(Data_Assessment[],MATCH('Rekomendasi HAV'!$A168,Data_Assessment[[INDEX]:[INDEX]],0),MATCH('Rekomendasi HAV'!B$1,Data_Assessment[#Headers],0))</f>
        <v>Mayenni Saudur Simamora</v>
      </c>
      <c r="C168" s="68" t="str">
        <f>INDEX(Data_Assessment[],MATCH('Rekomendasi HAV'!$A168,Data_Assessment[[INDEX]:[INDEX]],0),MATCH('Rekomendasi HAV'!C$1,Data_Assessment[#Headers],0))</f>
        <v>Jakarta</v>
      </c>
      <c r="D168" s="68" t="str">
        <f>INDEX(Data_Assessment[],MATCH('Rekomendasi HAV'!$A168,Data_Assessment[[INDEX]:[INDEX]],0),MATCH('Rekomendasi HAV'!D$1,Data_Assessment[#Headers],0))</f>
        <v>LSIP - HO Jakarta</v>
      </c>
      <c r="E168" s="68">
        <f>INDEX(Data_Assessment[],MATCH('Rekomendasi HAV'!$B168,Data_Assessment[[NAME]:[NAME]],0),MATCH('Rekomendasi HAV'!E$1,Data_Assessment[#Headers],0))</f>
        <v>0</v>
      </c>
      <c r="F168" s="68"/>
      <c r="G168" s="68">
        <f>IF(ISNUMBER(SEARCH("DEV",Assessment[[#This Row],[JOB TARGET]])),SUBSTITUTE(Assessment[[#This Row],[JOB TARGET]],"DEV","EST"),Assessment[[#This Row],[JOB TARGET]])</f>
        <v>0</v>
      </c>
      <c r="H168" s="146" t="str" cm="1">
        <f t="array" aca="1" ref="H168" ca="1">IF(Assessment[[#This Row],[JOB TARGET]]="","Job Target Kosong",IF(COUNT(IF('Data Assessment'!$N168:$Z168-OFFSET(Standar!$B$2,MATCH(Assessment[[#This Row],[JOB TARGET
(EST)]],Standar[NAMA JABATAN],0)-1,1,1,13)&lt;0,1,""))&lt;=3,'9 Grid'!$B$4,IF(COUNT(IF('Data Assessment'!$N168:$Z168-OFFSET(Standar!$B$2,MATCH(Assessment[[#This Row],[JOB TARGET]],Standar[NAMA JABATAN],0)-1,1,1,13)&lt;0,1,""))&gt;=7,'9 Grid'!$B$6,'9 Grid'!$B$5)))</f>
        <v>Job Target Kosong</v>
      </c>
      <c r="I168" s="146" t="str">
        <f>IFERROR(IF(Data_Assessment[[#This Row],[IPP (3 YEARS AVERAGE)]]="","(IPP Belum Ada)",IF(Data_Assessment[[#This Row],[IPP (3 YEARS AVERAGE)]]&lt;2,'9 Grid'!$F$2,IF(Data_Assessment[[#This Row],[IPP (3 YEARS AVERAGE)]]&gt;=4,'9 Grid'!$D$2,'9 Grid'!$E$2))),"")</f>
        <v>Fully Competence Performance</v>
      </c>
      <c r="J168" s="146" t="str">
        <f ca="1">IFERROR(INDEX('9 Grid'!$D$4:$F$6,MATCH('Rekomendasi HAV'!H168,'9 Grid'!$B$4:$B$6,0),MATCH('Rekomendasi HAV'!I168,'9 Grid'!$D$2:$F$2,0)),"")</f>
        <v/>
      </c>
      <c r="K168" s="146" t="str">
        <f>IFERROR(INDEX('9 Grid'!$D$8:$F$8,1,MATCH('Rekomendasi HAV'!I168,'9 Grid'!$D$2:$F$2,0)),"")</f>
        <v>(ST) Within 12 - 18 month</v>
      </c>
      <c r="L168" s="146">
        <f>IF(ISNUMBER(SEARCH("EST",Assessment[[#This Row],[JOB TARGET]])),SUBSTITUTE(Assessment[[#This Row],[JOB TARGET]],"EST","DEV"),Assessment[[#This Row],[JOB TARGET]])</f>
        <v>0</v>
      </c>
      <c r="M168" s="146" t="str" cm="1">
        <f t="array" aca="1" ref="M168" ca="1">IF(Assessment[[#This Row],[JOB TARGET]]="","Job Target Kosong",IF(COUNT(IF('Data Assessment'!$N168:$Z168-OFFSET(Standar!$B$2,MATCH(Assessment[[#This Row],[JOB TARGET
(DEV)]],Standar[NAMA JABATAN],0)-1,1,1,13)&lt;0,1,""))&lt;=3,'9 Grid'!$B$4,IF(COUNT(IF('Data Assessment'!$N168:$Z168-OFFSET(Standar!$B$2,MATCH(Assessment[[#This Row],[JOB TARGET
(DEV)]],Standar[NAMA JABATAN],0)-1,1,1,13)&lt;0,1,""))&gt;=7,'9 Grid'!$B$6,'9 Grid'!$B$5)))</f>
        <v>Job Target Kosong</v>
      </c>
      <c r="N168" s="146" t="str">
        <f>IFERROR(IF(Data_Assessment[[#This Row],[IPP (3 YEARS AVERAGE)]]="","(IPP Belum Ada)",IF(Data_Assessment[[#This Row],[IPP (3 YEARS AVERAGE)]]&lt;2,'9 Grid'!$F$2,IF(Data_Assessment[[#This Row],[IPP (3 YEARS AVERAGE)]]&gt;=4,'9 Grid'!$D$2,'9 Grid'!$E$2))),"")</f>
        <v>Fully Competence Performance</v>
      </c>
      <c r="O168" s="146" t="str">
        <f ca="1">IFERROR(INDEX('9 Grid'!$D$4:$F$6,MATCH('Rekomendasi HAV'!M168,'9 Grid'!$B$4:$B$6,0),MATCH('Rekomendasi HAV'!N168,'9 Grid'!$D$2:$F$2,0)),"")</f>
        <v/>
      </c>
      <c r="P168" s="147" t="str">
        <f>IFERROR(INDEX('9 Grid'!$D$8:$F$8,1,MATCH('Rekomendasi HAV'!N168,'9 Grid'!$D$2:$F$2,0)),"")</f>
        <v>(ST) Within 12 - 18 month</v>
      </c>
    </row>
    <row r="169" spans="1:16" ht="28.5">
      <c r="A169" s="67">
        <v>168</v>
      </c>
      <c r="B169" s="68" t="str">
        <f>INDEX(Data_Assessment[],MATCH('Rekomendasi HAV'!$A169,Data_Assessment[[INDEX]:[INDEX]],0),MATCH('Rekomendasi HAV'!B$1,Data_Assessment[#Headers],0))</f>
        <v>Dewi Sumarliah</v>
      </c>
      <c r="C169" s="68" t="str">
        <f>INDEX(Data_Assessment[],MATCH('Rekomendasi HAV'!$A169,Data_Assessment[[INDEX]:[INDEX]],0),MATCH('Rekomendasi HAV'!C$1,Data_Assessment[#Headers],0))</f>
        <v>Medan</v>
      </c>
      <c r="D169" s="68" t="str">
        <f>INDEX(Data_Assessment[],MATCH('Rekomendasi HAV'!$A169,Data_Assessment[[INDEX]:[INDEX]],0),MATCH('Rekomendasi HAV'!D$1,Data_Assessment[#Headers],0))</f>
        <v>LSIP - RO Medan</v>
      </c>
      <c r="E169" s="68">
        <f>INDEX(Data_Assessment[],MATCH('Rekomendasi HAV'!$B169,Data_Assessment[[NAME]:[NAME]],0),MATCH('Rekomendasi HAV'!E$1,Data_Assessment[#Headers],0))</f>
        <v>0</v>
      </c>
      <c r="F169" s="68"/>
      <c r="G169" s="68">
        <f>IF(ISNUMBER(SEARCH("DEV",Assessment[[#This Row],[JOB TARGET]])),SUBSTITUTE(Assessment[[#This Row],[JOB TARGET]],"DEV","EST"),Assessment[[#This Row],[JOB TARGET]])</f>
        <v>0</v>
      </c>
      <c r="H169" s="146" t="str" cm="1">
        <f t="array" aca="1" ref="H169" ca="1">IF(Assessment[[#This Row],[JOB TARGET]]="","Job Target Kosong",IF(COUNT(IF('Data Assessment'!$N169:$Z169-OFFSET(Standar!$B$2,MATCH(Assessment[[#This Row],[JOB TARGET
(EST)]],Standar[NAMA JABATAN],0)-1,1,1,13)&lt;0,1,""))&lt;=3,'9 Grid'!$B$4,IF(COUNT(IF('Data Assessment'!$N169:$Z169-OFFSET(Standar!$B$2,MATCH(Assessment[[#This Row],[JOB TARGET]],Standar[NAMA JABATAN],0)-1,1,1,13)&lt;0,1,""))&gt;=7,'9 Grid'!$B$6,'9 Grid'!$B$5)))</f>
        <v>Job Target Kosong</v>
      </c>
      <c r="I169" s="146" t="str">
        <f>IFERROR(IF(Data_Assessment[[#This Row],[IPP (3 YEARS AVERAGE)]]="","(IPP Belum Ada)",IF(Data_Assessment[[#This Row],[IPP (3 YEARS AVERAGE)]]&lt;2,'9 Grid'!$F$2,IF(Data_Assessment[[#This Row],[IPP (3 YEARS AVERAGE)]]&gt;=4,'9 Grid'!$D$2,'9 Grid'!$E$2))),"")</f>
        <v>Fully Competence Performance</v>
      </c>
      <c r="J169" s="146" t="str">
        <f ca="1">IFERROR(INDEX('9 Grid'!$D$4:$F$6,MATCH('Rekomendasi HAV'!H169,'9 Grid'!$B$4:$B$6,0),MATCH('Rekomendasi HAV'!I169,'9 Grid'!$D$2:$F$2,0)),"")</f>
        <v/>
      </c>
      <c r="K169" s="146" t="str">
        <f>IFERROR(INDEX('9 Grid'!$D$8:$F$8,1,MATCH('Rekomendasi HAV'!I169,'9 Grid'!$D$2:$F$2,0)),"")</f>
        <v>(ST) Within 12 - 18 month</v>
      </c>
      <c r="L169" s="146">
        <f>IF(ISNUMBER(SEARCH("EST",Assessment[[#This Row],[JOB TARGET]])),SUBSTITUTE(Assessment[[#This Row],[JOB TARGET]],"EST","DEV"),Assessment[[#This Row],[JOB TARGET]])</f>
        <v>0</v>
      </c>
      <c r="M169" s="146" t="str" cm="1">
        <f t="array" aca="1" ref="M169" ca="1">IF(Assessment[[#This Row],[JOB TARGET]]="","Job Target Kosong",IF(COUNT(IF('Data Assessment'!$N169:$Z169-OFFSET(Standar!$B$2,MATCH(Assessment[[#This Row],[JOB TARGET
(DEV)]],Standar[NAMA JABATAN],0)-1,1,1,13)&lt;0,1,""))&lt;=3,'9 Grid'!$B$4,IF(COUNT(IF('Data Assessment'!$N169:$Z169-OFFSET(Standar!$B$2,MATCH(Assessment[[#This Row],[JOB TARGET
(DEV)]],Standar[NAMA JABATAN],0)-1,1,1,13)&lt;0,1,""))&gt;=7,'9 Grid'!$B$6,'9 Grid'!$B$5)))</f>
        <v>Job Target Kosong</v>
      </c>
      <c r="N169" s="146" t="str">
        <f>IFERROR(IF(Data_Assessment[[#This Row],[IPP (3 YEARS AVERAGE)]]="","(IPP Belum Ada)",IF(Data_Assessment[[#This Row],[IPP (3 YEARS AVERAGE)]]&lt;2,'9 Grid'!$F$2,IF(Data_Assessment[[#This Row],[IPP (3 YEARS AVERAGE)]]&gt;=4,'9 Grid'!$D$2,'9 Grid'!$E$2))),"")</f>
        <v>Fully Competence Performance</v>
      </c>
      <c r="O169" s="146" t="str">
        <f ca="1">IFERROR(INDEX('9 Grid'!$D$4:$F$6,MATCH('Rekomendasi HAV'!M169,'9 Grid'!$B$4:$B$6,0),MATCH('Rekomendasi HAV'!N169,'9 Grid'!$D$2:$F$2,0)),"")</f>
        <v/>
      </c>
      <c r="P169" s="147" t="str">
        <f>IFERROR(INDEX('9 Grid'!$D$8:$F$8,1,MATCH('Rekomendasi HAV'!N169,'9 Grid'!$D$2:$F$2,0)),"")</f>
        <v>(ST) Within 12 - 18 month</v>
      </c>
    </row>
    <row r="170" spans="1:16" ht="28.5">
      <c r="A170" s="67">
        <v>169</v>
      </c>
      <c r="B170" s="68" t="str">
        <f>INDEX(Data_Assessment[],MATCH('Rekomendasi HAV'!$A170,Data_Assessment[[INDEX]:[INDEX]],0),MATCH('Rekomendasi HAV'!B$1,Data_Assessment[#Headers],0))</f>
        <v>Dwi Zunianti</v>
      </c>
      <c r="C170" s="68" t="str">
        <f>INDEX(Data_Assessment[],MATCH('Rekomendasi HAV'!$A170,Data_Assessment[[INDEX]:[INDEX]],0),MATCH('Rekomendasi HAV'!C$1,Data_Assessment[#Headers],0))</f>
        <v>Jakarta</v>
      </c>
      <c r="D170" s="68" t="str">
        <f>INDEX(Data_Assessment[],MATCH('Rekomendasi HAV'!$A170,Data_Assessment[[INDEX]:[INDEX]],0),MATCH('Rekomendasi HAV'!D$1,Data_Assessment[#Headers],0))</f>
        <v>LSIP - HO Jakarta</v>
      </c>
      <c r="E170" s="68">
        <f>INDEX(Data_Assessment[],MATCH('Rekomendasi HAV'!$B170,Data_Assessment[[NAME]:[NAME]],0),MATCH('Rekomendasi HAV'!E$1,Data_Assessment[#Headers],0))</f>
        <v>0</v>
      </c>
      <c r="F170" s="68"/>
      <c r="G170" s="68">
        <f>IF(ISNUMBER(SEARCH("DEV",Assessment[[#This Row],[JOB TARGET]])),SUBSTITUTE(Assessment[[#This Row],[JOB TARGET]],"DEV","EST"),Assessment[[#This Row],[JOB TARGET]])</f>
        <v>0</v>
      </c>
      <c r="H170" s="146" t="str" cm="1">
        <f t="array" aca="1" ref="H170" ca="1">IF(Assessment[[#This Row],[JOB TARGET]]="","Job Target Kosong",IF(COUNT(IF('Data Assessment'!$N170:$Z170-OFFSET(Standar!$B$2,MATCH(Assessment[[#This Row],[JOB TARGET
(EST)]],Standar[NAMA JABATAN],0)-1,1,1,13)&lt;0,1,""))&lt;=3,'9 Grid'!$B$4,IF(COUNT(IF('Data Assessment'!$N170:$Z170-OFFSET(Standar!$B$2,MATCH(Assessment[[#This Row],[JOB TARGET]],Standar[NAMA JABATAN],0)-1,1,1,13)&lt;0,1,""))&gt;=7,'9 Grid'!$B$6,'9 Grid'!$B$5)))</f>
        <v>Job Target Kosong</v>
      </c>
      <c r="I170" s="146" t="str">
        <f>IFERROR(IF(Data_Assessment[[#This Row],[IPP (3 YEARS AVERAGE)]]="","(IPP Belum Ada)",IF(Data_Assessment[[#This Row],[IPP (3 YEARS AVERAGE)]]&lt;2,'9 Grid'!$F$2,IF(Data_Assessment[[#This Row],[IPP (3 YEARS AVERAGE)]]&gt;=4,'9 Grid'!$D$2,'9 Grid'!$E$2))),"")</f>
        <v>Contributor</v>
      </c>
      <c r="J170" s="146" t="str">
        <f ca="1">IFERROR(INDEX('9 Grid'!$D$4:$F$6,MATCH('Rekomendasi HAV'!H170,'9 Grid'!$B$4:$B$6,0),MATCH('Rekomendasi HAV'!I170,'9 Grid'!$D$2:$F$2,0)),"")</f>
        <v/>
      </c>
      <c r="K170" s="146" t="str">
        <f>IFERROR(INDEX('9 Grid'!$D$8:$F$8,1,MATCH('Rekomendasi HAV'!I170,'9 Grid'!$D$2:$F$2,0)),"")</f>
        <v>(LT) More 2 - 3 year</v>
      </c>
      <c r="L170" s="146">
        <f>IF(ISNUMBER(SEARCH("EST",Assessment[[#This Row],[JOB TARGET]])),SUBSTITUTE(Assessment[[#This Row],[JOB TARGET]],"EST","DEV"),Assessment[[#This Row],[JOB TARGET]])</f>
        <v>0</v>
      </c>
      <c r="M170" s="146" t="str" cm="1">
        <f t="array" aca="1" ref="M170" ca="1">IF(Assessment[[#This Row],[JOB TARGET]]="","Job Target Kosong",IF(COUNT(IF('Data Assessment'!$N170:$Z170-OFFSET(Standar!$B$2,MATCH(Assessment[[#This Row],[JOB TARGET
(DEV)]],Standar[NAMA JABATAN],0)-1,1,1,13)&lt;0,1,""))&lt;=3,'9 Grid'!$B$4,IF(COUNT(IF('Data Assessment'!$N170:$Z170-OFFSET(Standar!$B$2,MATCH(Assessment[[#This Row],[JOB TARGET
(DEV)]],Standar[NAMA JABATAN],0)-1,1,1,13)&lt;0,1,""))&gt;=7,'9 Grid'!$B$6,'9 Grid'!$B$5)))</f>
        <v>Job Target Kosong</v>
      </c>
      <c r="N170" s="146" t="str">
        <f>IFERROR(IF(Data_Assessment[[#This Row],[IPP (3 YEARS AVERAGE)]]="","(IPP Belum Ada)",IF(Data_Assessment[[#This Row],[IPP (3 YEARS AVERAGE)]]&lt;2,'9 Grid'!$F$2,IF(Data_Assessment[[#This Row],[IPP (3 YEARS AVERAGE)]]&gt;=4,'9 Grid'!$D$2,'9 Grid'!$E$2))),"")</f>
        <v>Contributor</v>
      </c>
      <c r="O170" s="146" t="str">
        <f ca="1">IFERROR(INDEX('9 Grid'!$D$4:$F$6,MATCH('Rekomendasi HAV'!M170,'9 Grid'!$B$4:$B$6,0),MATCH('Rekomendasi HAV'!N170,'9 Grid'!$D$2:$F$2,0)),"")</f>
        <v/>
      </c>
      <c r="P170" s="147" t="str">
        <f>IFERROR(INDEX('9 Grid'!$D$8:$F$8,1,MATCH('Rekomendasi HAV'!N170,'9 Grid'!$D$2:$F$2,0)),"")</f>
        <v>(LT) More 2 - 3 year</v>
      </c>
    </row>
    <row r="171" spans="1:16" ht="14.25">
      <c r="A171" s="67">
        <v>170</v>
      </c>
      <c r="B171" s="68" t="str">
        <f>INDEX(Data_Assessment[],MATCH('Rekomendasi HAV'!$A171,Data_Assessment[[INDEX]:[INDEX]],0),MATCH('Rekomendasi HAV'!B$1,Data_Assessment[#Headers],0))</f>
        <v>Heriyanto, ST</v>
      </c>
      <c r="C171" s="68" t="str">
        <f>INDEX(Data_Assessment[],MATCH('Rekomendasi HAV'!$A171,Data_Assessment[[INDEX]:[INDEX]],0),MATCH('Rekomendasi HAV'!C$1,Data_Assessment[#Headers],0))</f>
        <v>Medan</v>
      </c>
      <c r="D171" s="68" t="str">
        <f>INDEX(Data_Assessment[],MATCH('Rekomendasi HAV'!$A171,Data_Assessment[[INDEX]:[INDEX]],0),MATCH('Rekomendasi HAV'!D$1,Data_Assessment[#Headers],0))</f>
        <v>LSIP - RO Medan</v>
      </c>
      <c r="E171" s="68">
        <f>INDEX(Data_Assessment[],MATCH('Rekomendasi HAV'!$B171,Data_Assessment[[NAME]:[NAME]],0),MATCH('Rekomendasi HAV'!E$1,Data_Assessment[#Headers],0))</f>
        <v>0</v>
      </c>
      <c r="F171" s="68"/>
      <c r="G171" s="68">
        <f>IF(ISNUMBER(SEARCH("DEV",Assessment[[#This Row],[JOB TARGET]])),SUBSTITUTE(Assessment[[#This Row],[JOB TARGET]],"DEV","EST"),Assessment[[#This Row],[JOB TARGET]])</f>
        <v>0</v>
      </c>
      <c r="H171" s="146" t="str" cm="1">
        <f t="array" aca="1" ref="H171" ca="1">IF(Assessment[[#This Row],[JOB TARGET]]="","Job Target Kosong",IF(COUNT(IF('Data Assessment'!$N171:$Z171-OFFSET(Standar!$B$2,MATCH(Assessment[[#This Row],[JOB TARGET
(EST)]],Standar[NAMA JABATAN],0)-1,1,1,13)&lt;0,1,""))&lt;=3,'9 Grid'!$B$4,IF(COUNT(IF('Data Assessment'!$N171:$Z171-OFFSET(Standar!$B$2,MATCH(Assessment[[#This Row],[JOB TARGET]],Standar[NAMA JABATAN],0)-1,1,1,13)&lt;0,1,""))&gt;=7,'9 Grid'!$B$6,'9 Grid'!$B$5)))</f>
        <v>Job Target Kosong</v>
      </c>
      <c r="I171" s="146" t="str">
        <f>IFERROR(IF(Data_Assessment[[#This Row],[IPP (3 YEARS AVERAGE)]]="","(IPP Belum Ada)",IF(Data_Assessment[[#This Row],[IPP (3 YEARS AVERAGE)]]&lt;2,'9 Grid'!$F$2,IF(Data_Assessment[[#This Row],[IPP (3 YEARS AVERAGE)]]&gt;=4,'9 Grid'!$D$2,'9 Grid'!$E$2))),"")</f>
        <v>Exceptional Performance</v>
      </c>
      <c r="J171" s="146" t="str">
        <f ca="1">IFERROR(INDEX('9 Grid'!$D$4:$F$6,MATCH('Rekomendasi HAV'!H171,'9 Grid'!$B$4:$B$6,0),MATCH('Rekomendasi HAV'!I171,'9 Grid'!$D$2:$F$2,0)),"")</f>
        <v/>
      </c>
      <c r="K171" s="146" t="str">
        <f>IFERROR(INDEX('9 Grid'!$D$8:$F$8,1,MATCH('Rekomendasi HAV'!I171,'9 Grid'!$D$2:$F$2,0)),"")</f>
        <v>(I) Immediately</v>
      </c>
      <c r="L171" s="146">
        <f>IF(ISNUMBER(SEARCH("EST",Assessment[[#This Row],[JOB TARGET]])),SUBSTITUTE(Assessment[[#This Row],[JOB TARGET]],"EST","DEV"),Assessment[[#This Row],[JOB TARGET]])</f>
        <v>0</v>
      </c>
      <c r="M171" s="146" t="str" cm="1">
        <f t="array" aca="1" ref="M171" ca="1">IF(Assessment[[#This Row],[JOB TARGET]]="","Job Target Kosong",IF(COUNT(IF('Data Assessment'!$N171:$Z171-OFFSET(Standar!$B$2,MATCH(Assessment[[#This Row],[JOB TARGET
(DEV)]],Standar[NAMA JABATAN],0)-1,1,1,13)&lt;0,1,""))&lt;=3,'9 Grid'!$B$4,IF(COUNT(IF('Data Assessment'!$N171:$Z171-OFFSET(Standar!$B$2,MATCH(Assessment[[#This Row],[JOB TARGET
(DEV)]],Standar[NAMA JABATAN],0)-1,1,1,13)&lt;0,1,""))&gt;=7,'9 Grid'!$B$6,'9 Grid'!$B$5)))</f>
        <v>Job Target Kosong</v>
      </c>
      <c r="N171" s="146" t="str">
        <f>IFERROR(IF(Data_Assessment[[#This Row],[IPP (3 YEARS AVERAGE)]]="","(IPP Belum Ada)",IF(Data_Assessment[[#This Row],[IPP (3 YEARS AVERAGE)]]&lt;2,'9 Grid'!$F$2,IF(Data_Assessment[[#This Row],[IPP (3 YEARS AVERAGE)]]&gt;=4,'9 Grid'!$D$2,'9 Grid'!$E$2))),"")</f>
        <v>Exceptional Performance</v>
      </c>
      <c r="O171" s="146" t="str">
        <f ca="1">IFERROR(INDEX('9 Grid'!$D$4:$F$6,MATCH('Rekomendasi HAV'!M171,'9 Grid'!$B$4:$B$6,0),MATCH('Rekomendasi HAV'!N171,'9 Grid'!$D$2:$F$2,0)),"")</f>
        <v/>
      </c>
      <c r="P171" s="147" t="str">
        <f>IFERROR(INDEX('9 Grid'!$D$8:$F$8,1,MATCH('Rekomendasi HAV'!N171,'9 Grid'!$D$2:$F$2,0)),"")</f>
        <v>(I) Immediately</v>
      </c>
    </row>
    <row r="172" spans="1:16" ht="28.5">
      <c r="A172" s="67">
        <v>171</v>
      </c>
      <c r="B172" s="68" t="str">
        <f>INDEX(Data_Assessment[],MATCH('Rekomendasi HAV'!$A172,Data_Assessment[[INDEX]:[INDEX]],0),MATCH('Rekomendasi HAV'!B$1,Data_Assessment[#Headers],0))</f>
        <v>Mhd Idrus Nasution</v>
      </c>
      <c r="C172" s="68" t="str">
        <f>INDEX(Data_Assessment[],MATCH('Rekomendasi HAV'!$A172,Data_Assessment[[INDEX]:[INDEX]],0),MATCH('Rekomendasi HAV'!C$1,Data_Assessment[#Headers],0))</f>
        <v>Sumatera Utara</v>
      </c>
      <c r="D172" s="68" t="str">
        <f>INDEX(Data_Assessment[],MATCH('Rekomendasi HAV'!$A172,Data_Assessment[[INDEX]:[INDEX]],0),MATCH('Rekomendasi HAV'!D$1,Data_Assessment[#Headers],0))</f>
        <v>LSIP - RO Medan</v>
      </c>
      <c r="E172" s="68">
        <f>INDEX(Data_Assessment[],MATCH('Rekomendasi HAV'!$B172,Data_Assessment[[NAME]:[NAME]],0),MATCH('Rekomendasi HAV'!E$1,Data_Assessment[#Headers],0))</f>
        <v>0</v>
      </c>
      <c r="F172" s="68"/>
      <c r="G172" s="68">
        <f>IF(ISNUMBER(SEARCH("DEV",Assessment[[#This Row],[JOB TARGET]])),SUBSTITUTE(Assessment[[#This Row],[JOB TARGET]],"DEV","EST"),Assessment[[#This Row],[JOB TARGET]])</f>
        <v>0</v>
      </c>
      <c r="H172" s="146" t="str" cm="1">
        <f t="array" aca="1" ref="H172" ca="1">IF(Assessment[[#This Row],[JOB TARGET]]="","Job Target Kosong",IF(COUNT(IF('Data Assessment'!$N172:$Z172-OFFSET(Standar!$B$2,MATCH(Assessment[[#This Row],[JOB TARGET
(EST)]],Standar[NAMA JABATAN],0)-1,1,1,13)&lt;0,1,""))&lt;=3,'9 Grid'!$B$4,IF(COUNT(IF('Data Assessment'!$N172:$Z172-OFFSET(Standar!$B$2,MATCH(Assessment[[#This Row],[JOB TARGET]],Standar[NAMA JABATAN],0)-1,1,1,13)&lt;0,1,""))&gt;=7,'9 Grid'!$B$6,'9 Grid'!$B$5)))</f>
        <v>Job Target Kosong</v>
      </c>
      <c r="I172" s="146" t="str">
        <f>IFERROR(IF(Data_Assessment[[#This Row],[IPP (3 YEARS AVERAGE)]]="","(IPP Belum Ada)",IF(Data_Assessment[[#This Row],[IPP (3 YEARS AVERAGE)]]&lt;2,'9 Grid'!$F$2,IF(Data_Assessment[[#This Row],[IPP (3 YEARS AVERAGE)]]&gt;=4,'9 Grid'!$D$2,'9 Grid'!$E$2))),"")</f>
        <v>Contributor</v>
      </c>
      <c r="J172" s="146" t="str">
        <f ca="1">IFERROR(INDEX('9 Grid'!$D$4:$F$6,MATCH('Rekomendasi HAV'!H172,'9 Grid'!$B$4:$B$6,0),MATCH('Rekomendasi HAV'!I172,'9 Grid'!$D$2:$F$2,0)),"")</f>
        <v/>
      </c>
      <c r="K172" s="146" t="str">
        <f>IFERROR(INDEX('9 Grid'!$D$8:$F$8,1,MATCH('Rekomendasi HAV'!I172,'9 Grid'!$D$2:$F$2,0)),"")</f>
        <v>(LT) More 2 - 3 year</v>
      </c>
      <c r="L172" s="146">
        <f>IF(ISNUMBER(SEARCH("EST",Assessment[[#This Row],[JOB TARGET]])),SUBSTITUTE(Assessment[[#This Row],[JOB TARGET]],"EST","DEV"),Assessment[[#This Row],[JOB TARGET]])</f>
        <v>0</v>
      </c>
      <c r="M172" s="146" t="str" cm="1">
        <f t="array" aca="1" ref="M172" ca="1">IF(Assessment[[#This Row],[JOB TARGET]]="","Job Target Kosong",IF(COUNT(IF('Data Assessment'!$N172:$Z172-OFFSET(Standar!$B$2,MATCH(Assessment[[#This Row],[JOB TARGET
(DEV)]],Standar[NAMA JABATAN],0)-1,1,1,13)&lt;0,1,""))&lt;=3,'9 Grid'!$B$4,IF(COUNT(IF('Data Assessment'!$N172:$Z172-OFFSET(Standar!$B$2,MATCH(Assessment[[#This Row],[JOB TARGET
(DEV)]],Standar[NAMA JABATAN],0)-1,1,1,13)&lt;0,1,""))&gt;=7,'9 Grid'!$B$6,'9 Grid'!$B$5)))</f>
        <v>Job Target Kosong</v>
      </c>
      <c r="N172" s="146" t="str">
        <f>IFERROR(IF(Data_Assessment[[#This Row],[IPP (3 YEARS AVERAGE)]]="","(IPP Belum Ada)",IF(Data_Assessment[[#This Row],[IPP (3 YEARS AVERAGE)]]&lt;2,'9 Grid'!$F$2,IF(Data_Assessment[[#This Row],[IPP (3 YEARS AVERAGE)]]&gt;=4,'9 Grid'!$D$2,'9 Grid'!$E$2))),"")</f>
        <v>Contributor</v>
      </c>
      <c r="O172" s="146" t="str">
        <f ca="1">IFERROR(INDEX('9 Grid'!$D$4:$F$6,MATCH('Rekomendasi HAV'!M172,'9 Grid'!$B$4:$B$6,0),MATCH('Rekomendasi HAV'!N172,'9 Grid'!$D$2:$F$2,0)),"")</f>
        <v/>
      </c>
      <c r="P172" s="147" t="str">
        <f>IFERROR(INDEX('9 Grid'!$D$8:$F$8,1,MATCH('Rekomendasi HAV'!N172,'9 Grid'!$D$2:$F$2,0)),"")</f>
        <v>(LT) More 2 - 3 year</v>
      </c>
    </row>
    <row r="173" spans="1:16" ht="28.5">
      <c r="A173" s="67">
        <v>172</v>
      </c>
      <c r="B173" s="68" t="str">
        <f>INDEX(Data_Assessment[],MATCH('Rekomendasi HAV'!$A173,Data_Assessment[[INDEX]:[INDEX]],0),MATCH('Rekomendasi HAV'!B$1,Data_Assessment[#Headers],0))</f>
        <v>Muhammad Irsyad Jasin Gunawan</v>
      </c>
      <c r="C173" s="68" t="str">
        <f>INDEX(Data_Assessment[],MATCH('Rekomendasi HAV'!$A173,Data_Assessment[[INDEX]:[INDEX]],0),MATCH('Rekomendasi HAV'!C$1,Data_Assessment[#Headers],0))</f>
        <v>Sumatera Utara</v>
      </c>
      <c r="D173" s="68" t="str">
        <f>INDEX(Data_Assessment[],MATCH('Rekomendasi HAV'!$A173,Data_Assessment[[INDEX]:[INDEX]],0),MATCH('Rekomendasi HAV'!D$1,Data_Assessment[#Headers],0))</f>
        <v>LSIP - RO Medan</v>
      </c>
      <c r="E173" s="68">
        <f>INDEX(Data_Assessment[],MATCH('Rekomendasi HAV'!$B173,Data_Assessment[[NAME]:[NAME]],0),MATCH('Rekomendasi HAV'!E$1,Data_Assessment[#Headers],0))</f>
        <v>0</v>
      </c>
      <c r="F173" s="68"/>
      <c r="G173" s="68">
        <f>IF(ISNUMBER(SEARCH("DEV",Assessment[[#This Row],[JOB TARGET]])),SUBSTITUTE(Assessment[[#This Row],[JOB TARGET]],"DEV","EST"),Assessment[[#This Row],[JOB TARGET]])</f>
        <v>0</v>
      </c>
      <c r="H173" s="146" t="str" cm="1">
        <f t="array" aca="1" ref="H173" ca="1">IF(Assessment[[#This Row],[JOB TARGET]]="","Job Target Kosong",IF(COUNT(IF('Data Assessment'!$N173:$Z173-OFFSET(Standar!$B$2,MATCH(Assessment[[#This Row],[JOB TARGET
(EST)]],Standar[NAMA JABATAN],0)-1,1,1,13)&lt;0,1,""))&lt;=3,'9 Grid'!$B$4,IF(COUNT(IF('Data Assessment'!$N173:$Z173-OFFSET(Standar!$B$2,MATCH(Assessment[[#This Row],[JOB TARGET]],Standar[NAMA JABATAN],0)-1,1,1,13)&lt;0,1,""))&gt;=7,'9 Grid'!$B$6,'9 Grid'!$B$5)))</f>
        <v>Job Target Kosong</v>
      </c>
      <c r="I173" s="146" t="str">
        <f>IFERROR(IF(Data_Assessment[[#This Row],[IPP (3 YEARS AVERAGE)]]="","(IPP Belum Ada)",IF(Data_Assessment[[#This Row],[IPP (3 YEARS AVERAGE)]]&lt;2,'9 Grid'!$F$2,IF(Data_Assessment[[#This Row],[IPP (3 YEARS AVERAGE)]]&gt;=4,'9 Grid'!$D$2,'9 Grid'!$E$2))),"")</f>
        <v>Contributor</v>
      </c>
      <c r="J173" s="146" t="str">
        <f ca="1">IFERROR(INDEX('9 Grid'!$D$4:$F$6,MATCH('Rekomendasi HAV'!H173,'9 Grid'!$B$4:$B$6,0),MATCH('Rekomendasi HAV'!I173,'9 Grid'!$D$2:$F$2,0)),"")</f>
        <v/>
      </c>
      <c r="K173" s="146" t="str">
        <f>IFERROR(INDEX('9 Grid'!$D$8:$F$8,1,MATCH('Rekomendasi HAV'!I173,'9 Grid'!$D$2:$F$2,0)),"")</f>
        <v>(LT) More 2 - 3 year</v>
      </c>
      <c r="L173" s="146">
        <f>IF(ISNUMBER(SEARCH("EST",Assessment[[#This Row],[JOB TARGET]])),SUBSTITUTE(Assessment[[#This Row],[JOB TARGET]],"EST","DEV"),Assessment[[#This Row],[JOB TARGET]])</f>
        <v>0</v>
      </c>
      <c r="M173" s="146" t="str" cm="1">
        <f t="array" aca="1" ref="M173" ca="1">IF(Assessment[[#This Row],[JOB TARGET]]="","Job Target Kosong",IF(COUNT(IF('Data Assessment'!$N173:$Z173-OFFSET(Standar!$B$2,MATCH(Assessment[[#This Row],[JOB TARGET
(DEV)]],Standar[NAMA JABATAN],0)-1,1,1,13)&lt;0,1,""))&lt;=3,'9 Grid'!$B$4,IF(COUNT(IF('Data Assessment'!$N173:$Z173-OFFSET(Standar!$B$2,MATCH(Assessment[[#This Row],[JOB TARGET
(DEV)]],Standar[NAMA JABATAN],0)-1,1,1,13)&lt;0,1,""))&gt;=7,'9 Grid'!$B$6,'9 Grid'!$B$5)))</f>
        <v>Job Target Kosong</v>
      </c>
      <c r="N173" s="146" t="str">
        <f>IFERROR(IF(Data_Assessment[[#This Row],[IPP (3 YEARS AVERAGE)]]="","(IPP Belum Ada)",IF(Data_Assessment[[#This Row],[IPP (3 YEARS AVERAGE)]]&lt;2,'9 Grid'!$F$2,IF(Data_Assessment[[#This Row],[IPP (3 YEARS AVERAGE)]]&gt;=4,'9 Grid'!$D$2,'9 Grid'!$E$2))),"")</f>
        <v>Contributor</v>
      </c>
      <c r="O173" s="146" t="str">
        <f ca="1">IFERROR(INDEX('9 Grid'!$D$4:$F$6,MATCH('Rekomendasi HAV'!M173,'9 Grid'!$B$4:$B$6,0),MATCH('Rekomendasi HAV'!N173,'9 Grid'!$D$2:$F$2,0)),"")</f>
        <v/>
      </c>
      <c r="P173" s="147" t="str">
        <f>IFERROR(INDEX('9 Grid'!$D$8:$F$8,1,MATCH('Rekomendasi HAV'!N173,'9 Grid'!$D$2:$F$2,0)),"")</f>
        <v>(LT) More 2 - 3 year</v>
      </c>
    </row>
    <row r="174" spans="1:16" ht="28.5">
      <c r="A174" s="67">
        <v>173</v>
      </c>
      <c r="B174" s="68" t="str">
        <f>INDEX(Data_Assessment[],MATCH('Rekomendasi HAV'!$A174,Data_Assessment[[INDEX]:[INDEX]],0),MATCH('Rekomendasi HAV'!B$1,Data_Assessment[#Headers],0))</f>
        <v>Mansur</v>
      </c>
      <c r="C174" s="68" t="str">
        <f>INDEX(Data_Assessment[],MATCH('Rekomendasi HAV'!$A174,Data_Assessment[[INDEX]:[INDEX]],0),MATCH('Rekomendasi HAV'!C$1,Data_Assessment[#Headers],0))</f>
        <v>Kalimantan Timur</v>
      </c>
      <c r="D174" s="68" t="str">
        <f>INDEX(Data_Assessment[],MATCH('Rekomendasi HAV'!$A174,Data_Assessment[[INDEX]:[INDEX]],0),MATCH('Rekomendasi HAV'!D$1,Data_Assessment[#Headers],0))</f>
        <v>LSIP - RO Samarinda</v>
      </c>
      <c r="E174" s="68">
        <f>INDEX(Data_Assessment[],MATCH('Rekomendasi HAV'!$B174,Data_Assessment[[NAME]:[NAME]],0),MATCH('Rekomendasi HAV'!E$1,Data_Assessment[#Headers],0))</f>
        <v>0</v>
      </c>
      <c r="F174" s="68"/>
      <c r="G174" s="68">
        <f>IF(ISNUMBER(SEARCH("DEV",Assessment[[#This Row],[JOB TARGET]])),SUBSTITUTE(Assessment[[#This Row],[JOB TARGET]],"DEV","EST"),Assessment[[#This Row],[JOB TARGET]])</f>
        <v>0</v>
      </c>
      <c r="H174" s="146" t="str" cm="1">
        <f t="array" aca="1" ref="H174" ca="1">IF(Assessment[[#This Row],[JOB TARGET]]="","Job Target Kosong",IF(COUNT(IF('Data Assessment'!$N174:$Z174-OFFSET(Standar!$B$2,MATCH(Assessment[[#This Row],[JOB TARGET
(EST)]],Standar[NAMA JABATAN],0)-1,1,1,13)&lt;0,1,""))&lt;=3,'9 Grid'!$B$4,IF(COUNT(IF('Data Assessment'!$N174:$Z174-OFFSET(Standar!$B$2,MATCH(Assessment[[#This Row],[JOB TARGET]],Standar[NAMA JABATAN],0)-1,1,1,13)&lt;0,1,""))&gt;=7,'9 Grid'!$B$6,'9 Grid'!$B$5)))</f>
        <v>Job Target Kosong</v>
      </c>
      <c r="I174" s="146" t="str">
        <f>IFERROR(IF(Data_Assessment[[#This Row],[IPP (3 YEARS AVERAGE)]]="","(IPP Belum Ada)",IF(Data_Assessment[[#This Row],[IPP (3 YEARS AVERAGE)]]&lt;2,'9 Grid'!$F$2,IF(Data_Assessment[[#This Row],[IPP (3 YEARS AVERAGE)]]&gt;=4,'9 Grid'!$D$2,'9 Grid'!$E$2))),"")</f>
        <v>Contributor</v>
      </c>
      <c r="J174" s="146" t="str">
        <f ca="1">IFERROR(INDEX('9 Grid'!$D$4:$F$6,MATCH('Rekomendasi HAV'!H174,'9 Grid'!$B$4:$B$6,0),MATCH('Rekomendasi HAV'!I174,'9 Grid'!$D$2:$F$2,0)),"")</f>
        <v/>
      </c>
      <c r="K174" s="146" t="str">
        <f>IFERROR(INDEX('9 Grid'!$D$8:$F$8,1,MATCH('Rekomendasi HAV'!I174,'9 Grid'!$D$2:$F$2,0)),"")</f>
        <v>(LT) More 2 - 3 year</v>
      </c>
      <c r="L174" s="146">
        <f>IF(ISNUMBER(SEARCH("EST",Assessment[[#This Row],[JOB TARGET]])),SUBSTITUTE(Assessment[[#This Row],[JOB TARGET]],"EST","DEV"),Assessment[[#This Row],[JOB TARGET]])</f>
        <v>0</v>
      </c>
      <c r="M174" s="146" t="str" cm="1">
        <f t="array" aca="1" ref="M174" ca="1">IF(Assessment[[#This Row],[JOB TARGET]]="","Job Target Kosong",IF(COUNT(IF('Data Assessment'!$N174:$Z174-OFFSET(Standar!$B$2,MATCH(Assessment[[#This Row],[JOB TARGET
(DEV)]],Standar[NAMA JABATAN],0)-1,1,1,13)&lt;0,1,""))&lt;=3,'9 Grid'!$B$4,IF(COUNT(IF('Data Assessment'!$N174:$Z174-OFFSET(Standar!$B$2,MATCH(Assessment[[#This Row],[JOB TARGET
(DEV)]],Standar[NAMA JABATAN],0)-1,1,1,13)&lt;0,1,""))&gt;=7,'9 Grid'!$B$6,'9 Grid'!$B$5)))</f>
        <v>Job Target Kosong</v>
      </c>
      <c r="N174" s="146" t="str">
        <f>IFERROR(IF(Data_Assessment[[#This Row],[IPP (3 YEARS AVERAGE)]]="","(IPP Belum Ada)",IF(Data_Assessment[[#This Row],[IPP (3 YEARS AVERAGE)]]&lt;2,'9 Grid'!$F$2,IF(Data_Assessment[[#This Row],[IPP (3 YEARS AVERAGE)]]&gt;=4,'9 Grid'!$D$2,'9 Grid'!$E$2))),"")</f>
        <v>Contributor</v>
      </c>
      <c r="O174" s="146" t="str">
        <f ca="1">IFERROR(INDEX('9 Grid'!$D$4:$F$6,MATCH('Rekomendasi HAV'!M174,'9 Grid'!$B$4:$B$6,0),MATCH('Rekomendasi HAV'!N174,'9 Grid'!$D$2:$F$2,0)),"")</f>
        <v/>
      </c>
      <c r="P174" s="147" t="str">
        <f>IFERROR(INDEX('9 Grid'!$D$8:$F$8,1,MATCH('Rekomendasi HAV'!N174,'9 Grid'!$D$2:$F$2,0)),"")</f>
        <v>(LT) More 2 - 3 year</v>
      </c>
    </row>
    <row r="175" spans="1:16" ht="14.25">
      <c r="A175" s="67">
        <v>174</v>
      </c>
      <c r="B175" s="68" t="str">
        <f>INDEX(Data_Assessment[],MATCH('Rekomendasi HAV'!$A175,Data_Assessment[[INDEX]:[INDEX]],0),MATCH('Rekomendasi HAV'!B$1,Data_Assessment[#Headers],0))</f>
        <v>Ahmad Jahri</v>
      </c>
      <c r="C175" s="68" t="str">
        <f>INDEX(Data_Assessment[],MATCH('Rekomendasi HAV'!$A175,Data_Assessment[[INDEX]:[INDEX]],0),MATCH('Rekomendasi HAV'!C$1,Data_Assessment[#Headers],0))</f>
        <v>Palembang</v>
      </c>
      <c r="D175" s="68" t="str">
        <f>INDEX(Data_Assessment[],MATCH('Rekomendasi HAV'!$A175,Data_Assessment[[INDEX]:[INDEX]],0),MATCH('Rekomendasi HAV'!D$1,Data_Assessment[#Headers],0))</f>
        <v>LSIP - RO Palembang</v>
      </c>
      <c r="E175" s="68">
        <f>INDEX(Data_Assessment[],MATCH('Rekomendasi HAV'!$B175,Data_Assessment[[NAME]:[NAME]],0),MATCH('Rekomendasi HAV'!E$1,Data_Assessment[#Headers],0))</f>
        <v>0</v>
      </c>
      <c r="F175" s="68"/>
      <c r="G175" s="68">
        <f>IF(ISNUMBER(SEARCH("DEV",Assessment[[#This Row],[JOB TARGET]])),SUBSTITUTE(Assessment[[#This Row],[JOB TARGET]],"DEV","EST"),Assessment[[#This Row],[JOB TARGET]])</f>
        <v>0</v>
      </c>
      <c r="H175" s="146" t="str" cm="1">
        <f t="array" aca="1" ref="H175" ca="1">IF(Assessment[[#This Row],[JOB TARGET]]="","Job Target Kosong",IF(COUNT(IF('Data Assessment'!$N175:$Z175-OFFSET(Standar!$B$2,MATCH(Assessment[[#This Row],[JOB TARGET
(EST)]],Standar[NAMA JABATAN],0)-1,1,1,13)&lt;0,1,""))&lt;=3,'9 Grid'!$B$4,IF(COUNT(IF('Data Assessment'!$N175:$Z175-OFFSET(Standar!$B$2,MATCH(Assessment[[#This Row],[JOB TARGET]],Standar[NAMA JABATAN],0)-1,1,1,13)&lt;0,1,""))&gt;=7,'9 Grid'!$B$6,'9 Grid'!$B$5)))</f>
        <v>Job Target Kosong</v>
      </c>
      <c r="I175" s="146" t="str">
        <f>IFERROR(IF(Data_Assessment[[#This Row],[IPP (3 YEARS AVERAGE)]]="","(IPP Belum Ada)",IF(Data_Assessment[[#This Row],[IPP (3 YEARS AVERAGE)]]&lt;2,'9 Grid'!$F$2,IF(Data_Assessment[[#This Row],[IPP (3 YEARS AVERAGE)]]&gt;=4,'9 Grid'!$D$2,'9 Grid'!$E$2))),"")</f>
        <v>Exceptional Performance</v>
      </c>
      <c r="J175" s="146" t="str">
        <f ca="1">IFERROR(INDEX('9 Grid'!$D$4:$F$6,MATCH('Rekomendasi HAV'!H175,'9 Grid'!$B$4:$B$6,0),MATCH('Rekomendasi HAV'!I175,'9 Grid'!$D$2:$F$2,0)),"")</f>
        <v/>
      </c>
      <c r="K175" s="146" t="str">
        <f>IFERROR(INDEX('9 Grid'!$D$8:$F$8,1,MATCH('Rekomendasi HAV'!I175,'9 Grid'!$D$2:$F$2,0)),"")</f>
        <v>(I) Immediately</v>
      </c>
      <c r="L175" s="146">
        <f>IF(ISNUMBER(SEARCH("EST",Assessment[[#This Row],[JOB TARGET]])),SUBSTITUTE(Assessment[[#This Row],[JOB TARGET]],"EST","DEV"),Assessment[[#This Row],[JOB TARGET]])</f>
        <v>0</v>
      </c>
      <c r="M175" s="146" t="str" cm="1">
        <f t="array" aca="1" ref="M175" ca="1">IF(Assessment[[#This Row],[JOB TARGET]]="","Job Target Kosong",IF(COUNT(IF('Data Assessment'!$N175:$Z175-OFFSET(Standar!$B$2,MATCH(Assessment[[#This Row],[JOB TARGET
(DEV)]],Standar[NAMA JABATAN],0)-1,1,1,13)&lt;0,1,""))&lt;=3,'9 Grid'!$B$4,IF(COUNT(IF('Data Assessment'!$N175:$Z175-OFFSET(Standar!$B$2,MATCH(Assessment[[#This Row],[JOB TARGET
(DEV)]],Standar[NAMA JABATAN],0)-1,1,1,13)&lt;0,1,""))&gt;=7,'9 Grid'!$B$6,'9 Grid'!$B$5)))</f>
        <v>Job Target Kosong</v>
      </c>
      <c r="N175" s="146" t="str">
        <f>IFERROR(IF(Data_Assessment[[#This Row],[IPP (3 YEARS AVERAGE)]]="","(IPP Belum Ada)",IF(Data_Assessment[[#This Row],[IPP (3 YEARS AVERAGE)]]&lt;2,'9 Grid'!$F$2,IF(Data_Assessment[[#This Row],[IPP (3 YEARS AVERAGE)]]&gt;=4,'9 Grid'!$D$2,'9 Grid'!$E$2))),"")</f>
        <v>Exceptional Performance</v>
      </c>
      <c r="O175" s="146" t="str">
        <f ca="1">IFERROR(INDEX('9 Grid'!$D$4:$F$6,MATCH('Rekomendasi HAV'!M175,'9 Grid'!$B$4:$B$6,0),MATCH('Rekomendasi HAV'!N175,'9 Grid'!$D$2:$F$2,0)),"")</f>
        <v/>
      </c>
      <c r="P175" s="147" t="str">
        <f>IFERROR(INDEX('9 Grid'!$D$8:$F$8,1,MATCH('Rekomendasi HAV'!N175,'9 Grid'!$D$2:$F$2,0)),"")</f>
        <v>(I) Immediately</v>
      </c>
    </row>
    <row r="176" spans="1:16" ht="28.5">
      <c r="A176" s="67">
        <v>175</v>
      </c>
      <c r="B176" s="68" t="str">
        <f>INDEX(Data_Assessment[],MATCH('Rekomendasi HAV'!$A176,Data_Assessment[[INDEX]:[INDEX]],0),MATCH('Rekomendasi HAV'!B$1,Data_Assessment[#Headers],0))</f>
        <v>Jimmy Bunawan</v>
      </c>
      <c r="C176" s="68" t="str">
        <f>INDEX(Data_Assessment[],MATCH('Rekomendasi HAV'!$A176,Data_Assessment[[INDEX]:[INDEX]],0),MATCH('Rekomendasi HAV'!C$1,Data_Assessment[#Headers],0))</f>
        <v>Jakarta</v>
      </c>
      <c r="D176" s="68" t="str">
        <f>INDEX(Data_Assessment[],MATCH('Rekomendasi HAV'!$A176,Data_Assessment[[INDEX]:[INDEX]],0),MATCH('Rekomendasi HAV'!D$1,Data_Assessment[#Headers],0))</f>
        <v>LSIP - HO Jakarta</v>
      </c>
      <c r="E176" s="68">
        <f>INDEX(Data_Assessment[],MATCH('Rekomendasi HAV'!$B176,Data_Assessment[[NAME]:[NAME]],0),MATCH('Rekomendasi HAV'!E$1,Data_Assessment[#Headers],0))</f>
        <v>0</v>
      </c>
      <c r="F176" s="68"/>
      <c r="G176" s="68">
        <f>IF(ISNUMBER(SEARCH("DEV",Assessment[[#This Row],[JOB TARGET]])),SUBSTITUTE(Assessment[[#This Row],[JOB TARGET]],"DEV","EST"),Assessment[[#This Row],[JOB TARGET]])</f>
        <v>0</v>
      </c>
      <c r="H176" s="146" t="str" cm="1">
        <f t="array" aca="1" ref="H176" ca="1">IF(Assessment[[#This Row],[JOB TARGET]]="","Job Target Kosong",IF(COUNT(IF('Data Assessment'!$N176:$Z176-OFFSET(Standar!$B$2,MATCH(Assessment[[#This Row],[JOB TARGET
(EST)]],Standar[NAMA JABATAN],0)-1,1,1,13)&lt;0,1,""))&lt;=3,'9 Grid'!$B$4,IF(COUNT(IF('Data Assessment'!$N176:$Z176-OFFSET(Standar!$B$2,MATCH(Assessment[[#This Row],[JOB TARGET]],Standar[NAMA JABATAN],0)-1,1,1,13)&lt;0,1,""))&gt;=7,'9 Grid'!$B$6,'9 Grid'!$B$5)))</f>
        <v>Job Target Kosong</v>
      </c>
      <c r="I176" s="146" t="str">
        <f>IFERROR(IF(Data_Assessment[[#This Row],[IPP (3 YEARS AVERAGE)]]="","(IPP Belum Ada)",IF(Data_Assessment[[#This Row],[IPP (3 YEARS AVERAGE)]]&lt;2,'9 Grid'!$F$2,IF(Data_Assessment[[#This Row],[IPP (3 YEARS AVERAGE)]]&gt;=4,'9 Grid'!$D$2,'9 Grid'!$E$2))),"")</f>
        <v>Contributor</v>
      </c>
      <c r="J176" s="146" t="str">
        <f ca="1">IFERROR(INDEX('9 Grid'!$D$4:$F$6,MATCH('Rekomendasi HAV'!H176,'9 Grid'!$B$4:$B$6,0),MATCH('Rekomendasi HAV'!I176,'9 Grid'!$D$2:$F$2,0)),"")</f>
        <v/>
      </c>
      <c r="K176" s="146" t="str">
        <f>IFERROR(INDEX('9 Grid'!$D$8:$F$8,1,MATCH('Rekomendasi HAV'!I176,'9 Grid'!$D$2:$F$2,0)),"")</f>
        <v>(LT) More 2 - 3 year</v>
      </c>
      <c r="L176" s="146">
        <f>IF(ISNUMBER(SEARCH("EST",Assessment[[#This Row],[JOB TARGET]])),SUBSTITUTE(Assessment[[#This Row],[JOB TARGET]],"EST","DEV"),Assessment[[#This Row],[JOB TARGET]])</f>
        <v>0</v>
      </c>
      <c r="M176" s="146" t="str" cm="1">
        <f t="array" aca="1" ref="M176" ca="1">IF(Assessment[[#This Row],[JOB TARGET]]="","Job Target Kosong",IF(COUNT(IF('Data Assessment'!$N176:$Z176-OFFSET(Standar!$B$2,MATCH(Assessment[[#This Row],[JOB TARGET
(DEV)]],Standar[NAMA JABATAN],0)-1,1,1,13)&lt;0,1,""))&lt;=3,'9 Grid'!$B$4,IF(COUNT(IF('Data Assessment'!$N176:$Z176-OFFSET(Standar!$B$2,MATCH(Assessment[[#This Row],[JOB TARGET
(DEV)]],Standar[NAMA JABATAN],0)-1,1,1,13)&lt;0,1,""))&gt;=7,'9 Grid'!$B$6,'9 Grid'!$B$5)))</f>
        <v>Job Target Kosong</v>
      </c>
      <c r="N176" s="146" t="str">
        <f>IFERROR(IF(Data_Assessment[[#This Row],[IPP (3 YEARS AVERAGE)]]="","(IPP Belum Ada)",IF(Data_Assessment[[#This Row],[IPP (3 YEARS AVERAGE)]]&lt;2,'9 Grid'!$F$2,IF(Data_Assessment[[#This Row],[IPP (3 YEARS AVERAGE)]]&gt;=4,'9 Grid'!$D$2,'9 Grid'!$E$2))),"")</f>
        <v>Contributor</v>
      </c>
      <c r="O176" s="146" t="str">
        <f ca="1">IFERROR(INDEX('9 Grid'!$D$4:$F$6,MATCH('Rekomendasi HAV'!M176,'9 Grid'!$B$4:$B$6,0),MATCH('Rekomendasi HAV'!N176,'9 Grid'!$D$2:$F$2,0)),"")</f>
        <v/>
      </c>
      <c r="P176" s="147" t="str">
        <f>IFERROR(INDEX('9 Grid'!$D$8:$F$8,1,MATCH('Rekomendasi HAV'!N176,'9 Grid'!$D$2:$F$2,0)),"")</f>
        <v>(LT) More 2 - 3 year</v>
      </c>
    </row>
    <row r="177" spans="1:16" ht="28.5">
      <c r="A177" s="67">
        <v>176</v>
      </c>
      <c r="B177" s="68" t="str">
        <f>INDEX(Data_Assessment[],MATCH('Rekomendasi HAV'!$A177,Data_Assessment[[INDEX]:[INDEX]],0),MATCH('Rekomendasi HAV'!B$1,Data_Assessment[#Headers],0))</f>
        <v>Diana Sari</v>
      </c>
      <c r="C177" s="68" t="str">
        <f>INDEX(Data_Assessment[],MATCH('Rekomendasi HAV'!$A177,Data_Assessment[[INDEX]:[INDEX]],0),MATCH('Rekomendasi HAV'!C$1,Data_Assessment[#Headers],0))</f>
        <v>Palembang</v>
      </c>
      <c r="D177" s="68" t="str">
        <f>INDEX(Data_Assessment[],MATCH('Rekomendasi HAV'!$A177,Data_Assessment[[INDEX]:[INDEX]],0),MATCH('Rekomendasi HAV'!D$1,Data_Assessment[#Headers],0))</f>
        <v>LSIP - RO Palembang</v>
      </c>
      <c r="E177" s="68">
        <f>INDEX(Data_Assessment[],MATCH('Rekomendasi HAV'!$B177,Data_Assessment[[NAME]:[NAME]],0),MATCH('Rekomendasi HAV'!E$1,Data_Assessment[#Headers],0))</f>
        <v>0</v>
      </c>
      <c r="F177" s="68"/>
      <c r="G177" s="68">
        <f>IF(ISNUMBER(SEARCH("DEV",Assessment[[#This Row],[JOB TARGET]])),SUBSTITUTE(Assessment[[#This Row],[JOB TARGET]],"DEV","EST"),Assessment[[#This Row],[JOB TARGET]])</f>
        <v>0</v>
      </c>
      <c r="H177" s="146" t="str" cm="1">
        <f t="array" aca="1" ref="H177" ca="1">IF(Assessment[[#This Row],[JOB TARGET]]="","Job Target Kosong",IF(COUNT(IF('Data Assessment'!$N177:$Z177-OFFSET(Standar!$B$2,MATCH(Assessment[[#This Row],[JOB TARGET
(EST)]],Standar[NAMA JABATAN],0)-1,1,1,13)&lt;0,1,""))&lt;=3,'9 Grid'!$B$4,IF(COUNT(IF('Data Assessment'!$N177:$Z177-OFFSET(Standar!$B$2,MATCH(Assessment[[#This Row],[JOB TARGET]],Standar[NAMA JABATAN],0)-1,1,1,13)&lt;0,1,""))&gt;=7,'9 Grid'!$B$6,'9 Grid'!$B$5)))</f>
        <v>Job Target Kosong</v>
      </c>
      <c r="I177" s="146" t="str">
        <f>IFERROR(IF(Data_Assessment[[#This Row],[IPP (3 YEARS AVERAGE)]]="","(IPP Belum Ada)",IF(Data_Assessment[[#This Row],[IPP (3 YEARS AVERAGE)]]&lt;2,'9 Grid'!$F$2,IF(Data_Assessment[[#This Row],[IPP (3 YEARS AVERAGE)]]&gt;=4,'9 Grid'!$D$2,'9 Grid'!$E$2))),"")</f>
        <v>Fully Competence Performance</v>
      </c>
      <c r="J177" s="146" t="str">
        <f ca="1">IFERROR(INDEX('9 Grid'!$D$4:$F$6,MATCH('Rekomendasi HAV'!H177,'9 Grid'!$B$4:$B$6,0),MATCH('Rekomendasi HAV'!I177,'9 Grid'!$D$2:$F$2,0)),"")</f>
        <v/>
      </c>
      <c r="K177" s="146" t="str">
        <f>IFERROR(INDEX('9 Grid'!$D$8:$F$8,1,MATCH('Rekomendasi HAV'!I177,'9 Grid'!$D$2:$F$2,0)),"")</f>
        <v>(ST) Within 12 - 18 month</v>
      </c>
      <c r="L177" s="146">
        <f>IF(ISNUMBER(SEARCH("EST",Assessment[[#This Row],[JOB TARGET]])),SUBSTITUTE(Assessment[[#This Row],[JOB TARGET]],"EST","DEV"),Assessment[[#This Row],[JOB TARGET]])</f>
        <v>0</v>
      </c>
      <c r="M177" s="146" t="str" cm="1">
        <f t="array" aca="1" ref="M177" ca="1">IF(Assessment[[#This Row],[JOB TARGET]]="","Job Target Kosong",IF(COUNT(IF('Data Assessment'!$N177:$Z177-OFFSET(Standar!$B$2,MATCH(Assessment[[#This Row],[JOB TARGET
(DEV)]],Standar[NAMA JABATAN],0)-1,1,1,13)&lt;0,1,""))&lt;=3,'9 Grid'!$B$4,IF(COUNT(IF('Data Assessment'!$N177:$Z177-OFFSET(Standar!$B$2,MATCH(Assessment[[#This Row],[JOB TARGET
(DEV)]],Standar[NAMA JABATAN],0)-1,1,1,13)&lt;0,1,""))&gt;=7,'9 Grid'!$B$6,'9 Grid'!$B$5)))</f>
        <v>Job Target Kosong</v>
      </c>
      <c r="N177" s="146" t="str">
        <f>IFERROR(IF(Data_Assessment[[#This Row],[IPP (3 YEARS AVERAGE)]]="","(IPP Belum Ada)",IF(Data_Assessment[[#This Row],[IPP (3 YEARS AVERAGE)]]&lt;2,'9 Grid'!$F$2,IF(Data_Assessment[[#This Row],[IPP (3 YEARS AVERAGE)]]&gt;=4,'9 Grid'!$D$2,'9 Grid'!$E$2))),"")</f>
        <v>Fully Competence Performance</v>
      </c>
      <c r="O177" s="146" t="str">
        <f ca="1">IFERROR(INDEX('9 Grid'!$D$4:$F$6,MATCH('Rekomendasi HAV'!M177,'9 Grid'!$B$4:$B$6,0),MATCH('Rekomendasi HAV'!N177,'9 Grid'!$D$2:$F$2,0)),"")</f>
        <v/>
      </c>
      <c r="P177" s="147" t="str">
        <f>IFERROR(INDEX('9 Grid'!$D$8:$F$8,1,MATCH('Rekomendasi HAV'!N177,'9 Grid'!$D$2:$F$2,0)),"")</f>
        <v>(ST) Within 12 - 18 month</v>
      </c>
    </row>
    <row r="178" spans="1:16" ht="28.5">
      <c r="A178" s="67">
        <v>177</v>
      </c>
      <c r="B178" s="68" t="str">
        <f>INDEX(Data_Assessment[],MATCH('Rekomendasi HAV'!$A178,Data_Assessment[[INDEX]:[INDEX]],0),MATCH('Rekomendasi HAV'!B$1,Data_Assessment[#Headers],0))</f>
        <v>F. Haryo Subyarto</v>
      </c>
      <c r="C178" s="68" t="str">
        <f>INDEX(Data_Assessment[],MATCH('Rekomendasi HAV'!$A178,Data_Assessment[[INDEX]:[INDEX]],0),MATCH('Rekomendasi HAV'!C$1,Data_Assessment[#Headers],0))</f>
        <v>Jakarta</v>
      </c>
      <c r="D178" s="68" t="str">
        <f>INDEX(Data_Assessment[],MATCH('Rekomendasi HAV'!$A178,Data_Assessment[[INDEX]:[INDEX]],0),MATCH('Rekomendasi HAV'!D$1,Data_Assessment[#Headers],0))</f>
        <v>LSIP - HO Jakarta</v>
      </c>
      <c r="E178" s="68">
        <f>INDEX(Data_Assessment[],MATCH('Rekomendasi HAV'!$B178,Data_Assessment[[NAME]:[NAME]],0),MATCH('Rekomendasi HAV'!E$1,Data_Assessment[#Headers],0))</f>
        <v>0</v>
      </c>
      <c r="F178" s="68"/>
      <c r="G178" s="68">
        <f>IF(ISNUMBER(SEARCH("DEV",Assessment[[#This Row],[JOB TARGET]])),SUBSTITUTE(Assessment[[#This Row],[JOB TARGET]],"DEV","EST"),Assessment[[#This Row],[JOB TARGET]])</f>
        <v>0</v>
      </c>
      <c r="H178" s="146" t="str" cm="1">
        <f t="array" aca="1" ref="H178" ca="1">IF(Assessment[[#This Row],[JOB TARGET]]="","Job Target Kosong",IF(COUNT(IF('Data Assessment'!$N178:$Z178-OFFSET(Standar!$B$2,MATCH(Assessment[[#This Row],[JOB TARGET
(EST)]],Standar[NAMA JABATAN],0)-1,1,1,13)&lt;0,1,""))&lt;=3,'9 Grid'!$B$4,IF(COUNT(IF('Data Assessment'!$N178:$Z178-OFFSET(Standar!$B$2,MATCH(Assessment[[#This Row],[JOB TARGET]],Standar[NAMA JABATAN],0)-1,1,1,13)&lt;0,1,""))&gt;=7,'9 Grid'!$B$6,'9 Grid'!$B$5)))</f>
        <v>Job Target Kosong</v>
      </c>
      <c r="I178" s="146" t="str">
        <f>IFERROR(IF(Data_Assessment[[#This Row],[IPP (3 YEARS AVERAGE)]]="","(IPP Belum Ada)",IF(Data_Assessment[[#This Row],[IPP (3 YEARS AVERAGE)]]&lt;2,'9 Grid'!$F$2,IF(Data_Assessment[[#This Row],[IPP (3 YEARS AVERAGE)]]&gt;=4,'9 Grid'!$D$2,'9 Grid'!$E$2))),"")</f>
        <v>Contributor</v>
      </c>
      <c r="J178" s="146" t="str">
        <f ca="1">IFERROR(INDEX('9 Grid'!$D$4:$F$6,MATCH('Rekomendasi HAV'!H178,'9 Grid'!$B$4:$B$6,0),MATCH('Rekomendasi HAV'!I178,'9 Grid'!$D$2:$F$2,0)),"")</f>
        <v/>
      </c>
      <c r="K178" s="146" t="str">
        <f>IFERROR(INDEX('9 Grid'!$D$8:$F$8,1,MATCH('Rekomendasi HAV'!I178,'9 Grid'!$D$2:$F$2,0)),"")</f>
        <v>(LT) More 2 - 3 year</v>
      </c>
      <c r="L178" s="146">
        <f>IF(ISNUMBER(SEARCH("EST",Assessment[[#This Row],[JOB TARGET]])),SUBSTITUTE(Assessment[[#This Row],[JOB TARGET]],"EST","DEV"),Assessment[[#This Row],[JOB TARGET]])</f>
        <v>0</v>
      </c>
      <c r="M178" s="146" t="str" cm="1">
        <f t="array" aca="1" ref="M178" ca="1">IF(Assessment[[#This Row],[JOB TARGET]]="","Job Target Kosong",IF(COUNT(IF('Data Assessment'!$N178:$Z178-OFFSET(Standar!$B$2,MATCH(Assessment[[#This Row],[JOB TARGET
(DEV)]],Standar[NAMA JABATAN],0)-1,1,1,13)&lt;0,1,""))&lt;=3,'9 Grid'!$B$4,IF(COUNT(IF('Data Assessment'!$N178:$Z178-OFFSET(Standar!$B$2,MATCH(Assessment[[#This Row],[JOB TARGET
(DEV)]],Standar[NAMA JABATAN],0)-1,1,1,13)&lt;0,1,""))&gt;=7,'9 Grid'!$B$6,'9 Grid'!$B$5)))</f>
        <v>Job Target Kosong</v>
      </c>
      <c r="N178" s="146" t="str">
        <f>IFERROR(IF(Data_Assessment[[#This Row],[IPP (3 YEARS AVERAGE)]]="","(IPP Belum Ada)",IF(Data_Assessment[[#This Row],[IPP (3 YEARS AVERAGE)]]&lt;2,'9 Grid'!$F$2,IF(Data_Assessment[[#This Row],[IPP (3 YEARS AVERAGE)]]&gt;=4,'9 Grid'!$D$2,'9 Grid'!$E$2))),"")</f>
        <v>Contributor</v>
      </c>
      <c r="O178" s="146" t="str">
        <f ca="1">IFERROR(INDEX('9 Grid'!$D$4:$F$6,MATCH('Rekomendasi HAV'!M178,'9 Grid'!$B$4:$B$6,0),MATCH('Rekomendasi HAV'!N178,'9 Grid'!$D$2:$F$2,0)),"")</f>
        <v/>
      </c>
      <c r="P178" s="147" t="str">
        <f>IFERROR(INDEX('9 Grid'!$D$8:$F$8,1,MATCH('Rekomendasi HAV'!N178,'9 Grid'!$D$2:$F$2,0)),"")</f>
        <v>(LT) More 2 - 3 year</v>
      </c>
    </row>
    <row r="179" spans="1:16" ht="28.5">
      <c r="A179" s="67">
        <v>178</v>
      </c>
      <c r="B179" s="68" t="str">
        <f>INDEX(Data_Assessment[],MATCH('Rekomendasi HAV'!$A179,Data_Assessment[[INDEX]:[INDEX]],0),MATCH('Rekomendasi HAV'!B$1,Data_Assessment[#Headers],0))</f>
        <v>Layla Bayoe Koesoema Sari</v>
      </c>
      <c r="C179" s="68" t="str">
        <f>INDEX(Data_Assessment[],MATCH('Rekomendasi HAV'!$A179,Data_Assessment[[INDEX]:[INDEX]],0),MATCH('Rekomendasi HAV'!C$1,Data_Assessment[#Headers],0))</f>
        <v>Palembang</v>
      </c>
      <c r="D179" s="68" t="str">
        <f>INDEX(Data_Assessment[],MATCH('Rekomendasi HAV'!$A179,Data_Assessment[[INDEX]:[INDEX]],0),MATCH('Rekomendasi HAV'!D$1,Data_Assessment[#Headers],0))</f>
        <v>LSIP - RO Palembang</v>
      </c>
      <c r="E179" s="68">
        <f>INDEX(Data_Assessment[],MATCH('Rekomendasi HAV'!$B179,Data_Assessment[[NAME]:[NAME]],0),MATCH('Rekomendasi HAV'!E$1,Data_Assessment[#Headers],0))</f>
        <v>0</v>
      </c>
      <c r="F179" s="68"/>
      <c r="G179" s="68">
        <f>IF(ISNUMBER(SEARCH("DEV",Assessment[[#This Row],[JOB TARGET]])),SUBSTITUTE(Assessment[[#This Row],[JOB TARGET]],"DEV","EST"),Assessment[[#This Row],[JOB TARGET]])</f>
        <v>0</v>
      </c>
      <c r="H179" s="146" t="str" cm="1">
        <f t="array" aca="1" ref="H179" ca="1">IF(Assessment[[#This Row],[JOB TARGET]]="","Job Target Kosong",IF(COUNT(IF('Data Assessment'!$N179:$Z179-OFFSET(Standar!$B$2,MATCH(Assessment[[#This Row],[JOB TARGET
(EST)]],Standar[NAMA JABATAN],0)-1,1,1,13)&lt;0,1,""))&lt;=3,'9 Grid'!$B$4,IF(COUNT(IF('Data Assessment'!$N179:$Z179-OFFSET(Standar!$B$2,MATCH(Assessment[[#This Row],[JOB TARGET]],Standar[NAMA JABATAN],0)-1,1,1,13)&lt;0,1,""))&gt;=7,'9 Grid'!$B$6,'9 Grid'!$B$5)))</f>
        <v>Job Target Kosong</v>
      </c>
      <c r="I179" s="146" t="str">
        <f>IFERROR(IF(Data_Assessment[[#This Row],[IPP (3 YEARS AVERAGE)]]="","(IPP Belum Ada)",IF(Data_Assessment[[#This Row],[IPP (3 YEARS AVERAGE)]]&lt;2,'9 Grid'!$F$2,IF(Data_Assessment[[#This Row],[IPP (3 YEARS AVERAGE)]]&gt;=4,'9 Grid'!$D$2,'9 Grid'!$E$2))),"")</f>
        <v>Fully Competence Performance</v>
      </c>
      <c r="J179" s="146" t="str">
        <f ca="1">IFERROR(INDEX('9 Grid'!$D$4:$F$6,MATCH('Rekomendasi HAV'!H179,'9 Grid'!$B$4:$B$6,0),MATCH('Rekomendasi HAV'!I179,'9 Grid'!$D$2:$F$2,0)),"")</f>
        <v/>
      </c>
      <c r="K179" s="146" t="str">
        <f>IFERROR(INDEX('9 Grid'!$D$8:$F$8,1,MATCH('Rekomendasi HAV'!I179,'9 Grid'!$D$2:$F$2,0)),"")</f>
        <v>(ST) Within 12 - 18 month</v>
      </c>
      <c r="L179" s="146">
        <f>IF(ISNUMBER(SEARCH("EST",Assessment[[#This Row],[JOB TARGET]])),SUBSTITUTE(Assessment[[#This Row],[JOB TARGET]],"EST","DEV"),Assessment[[#This Row],[JOB TARGET]])</f>
        <v>0</v>
      </c>
      <c r="M179" s="146" t="str" cm="1">
        <f t="array" aca="1" ref="M179" ca="1">IF(Assessment[[#This Row],[JOB TARGET]]="","Job Target Kosong",IF(COUNT(IF('Data Assessment'!$N179:$Z179-OFFSET(Standar!$B$2,MATCH(Assessment[[#This Row],[JOB TARGET
(DEV)]],Standar[NAMA JABATAN],0)-1,1,1,13)&lt;0,1,""))&lt;=3,'9 Grid'!$B$4,IF(COUNT(IF('Data Assessment'!$N179:$Z179-OFFSET(Standar!$B$2,MATCH(Assessment[[#This Row],[JOB TARGET
(DEV)]],Standar[NAMA JABATAN],0)-1,1,1,13)&lt;0,1,""))&gt;=7,'9 Grid'!$B$6,'9 Grid'!$B$5)))</f>
        <v>Job Target Kosong</v>
      </c>
      <c r="N179" s="146" t="str">
        <f>IFERROR(IF(Data_Assessment[[#This Row],[IPP (3 YEARS AVERAGE)]]="","(IPP Belum Ada)",IF(Data_Assessment[[#This Row],[IPP (3 YEARS AVERAGE)]]&lt;2,'9 Grid'!$F$2,IF(Data_Assessment[[#This Row],[IPP (3 YEARS AVERAGE)]]&gt;=4,'9 Grid'!$D$2,'9 Grid'!$E$2))),"")</f>
        <v>Fully Competence Performance</v>
      </c>
      <c r="O179" s="146" t="str">
        <f ca="1">IFERROR(INDEX('9 Grid'!$D$4:$F$6,MATCH('Rekomendasi HAV'!M179,'9 Grid'!$B$4:$B$6,0),MATCH('Rekomendasi HAV'!N179,'9 Grid'!$D$2:$F$2,0)),"")</f>
        <v/>
      </c>
      <c r="P179" s="147" t="str">
        <f>IFERROR(INDEX('9 Grid'!$D$8:$F$8,1,MATCH('Rekomendasi HAV'!N179,'9 Grid'!$D$2:$F$2,0)),"")</f>
        <v>(ST) Within 12 - 18 month</v>
      </c>
    </row>
    <row r="180" spans="1:16" ht="28.5">
      <c r="A180" s="67">
        <v>179</v>
      </c>
      <c r="B180" s="68" t="str">
        <f>INDEX(Data_Assessment[],MATCH('Rekomendasi HAV'!$A180,Data_Assessment[[INDEX]:[INDEX]],0),MATCH('Rekomendasi HAV'!B$1,Data_Assessment[#Headers],0))</f>
        <v>Ahmad Fauzi</v>
      </c>
      <c r="C180" s="68" t="str">
        <f>INDEX(Data_Assessment[],MATCH('Rekomendasi HAV'!$A180,Data_Assessment[[INDEX]:[INDEX]],0),MATCH('Rekomendasi HAV'!C$1,Data_Assessment[#Headers],0))</f>
        <v>Jakarta</v>
      </c>
      <c r="D180" s="68" t="str">
        <f>INDEX(Data_Assessment[],MATCH('Rekomendasi HAV'!$A180,Data_Assessment[[INDEX]:[INDEX]],0),MATCH('Rekomendasi HAV'!D$1,Data_Assessment[#Headers],0))</f>
        <v>LSIP - HO Jakarta</v>
      </c>
      <c r="E180" s="68">
        <f>INDEX(Data_Assessment[],MATCH('Rekomendasi HAV'!$B180,Data_Assessment[[NAME]:[NAME]],0),MATCH('Rekomendasi HAV'!E$1,Data_Assessment[#Headers],0))</f>
        <v>0</v>
      </c>
      <c r="F180" s="68"/>
      <c r="G180" s="68">
        <f>IF(ISNUMBER(SEARCH("DEV",Assessment[[#This Row],[JOB TARGET]])),SUBSTITUTE(Assessment[[#This Row],[JOB TARGET]],"DEV","EST"),Assessment[[#This Row],[JOB TARGET]])</f>
        <v>0</v>
      </c>
      <c r="H180" s="146" t="str" cm="1">
        <f t="array" aca="1" ref="H180" ca="1">IF(Assessment[[#This Row],[JOB TARGET]]="","Job Target Kosong",IF(COUNT(IF('Data Assessment'!$N180:$Z180-OFFSET(Standar!$B$2,MATCH(Assessment[[#This Row],[JOB TARGET
(EST)]],Standar[NAMA JABATAN],0)-1,1,1,13)&lt;0,1,""))&lt;=3,'9 Grid'!$B$4,IF(COUNT(IF('Data Assessment'!$N180:$Z180-OFFSET(Standar!$B$2,MATCH(Assessment[[#This Row],[JOB TARGET]],Standar[NAMA JABATAN],0)-1,1,1,13)&lt;0,1,""))&gt;=7,'9 Grid'!$B$6,'9 Grid'!$B$5)))</f>
        <v>Job Target Kosong</v>
      </c>
      <c r="I180" s="146" t="str">
        <f>IFERROR(IF(Data_Assessment[[#This Row],[IPP (3 YEARS AVERAGE)]]="","(IPP Belum Ada)",IF(Data_Assessment[[#This Row],[IPP (3 YEARS AVERAGE)]]&lt;2,'9 Grid'!$F$2,IF(Data_Assessment[[#This Row],[IPP (3 YEARS AVERAGE)]]&gt;=4,'9 Grid'!$D$2,'9 Grid'!$E$2))),"")</f>
        <v>Fully Competence Performance</v>
      </c>
      <c r="J180" s="146" t="str">
        <f ca="1">IFERROR(INDEX('9 Grid'!$D$4:$F$6,MATCH('Rekomendasi HAV'!H180,'9 Grid'!$B$4:$B$6,0),MATCH('Rekomendasi HAV'!I180,'9 Grid'!$D$2:$F$2,0)),"")</f>
        <v/>
      </c>
      <c r="K180" s="146" t="str">
        <f>IFERROR(INDEX('9 Grid'!$D$8:$F$8,1,MATCH('Rekomendasi HAV'!I180,'9 Grid'!$D$2:$F$2,0)),"")</f>
        <v>(ST) Within 12 - 18 month</v>
      </c>
      <c r="L180" s="146">
        <f>IF(ISNUMBER(SEARCH("EST",Assessment[[#This Row],[JOB TARGET]])),SUBSTITUTE(Assessment[[#This Row],[JOB TARGET]],"EST","DEV"),Assessment[[#This Row],[JOB TARGET]])</f>
        <v>0</v>
      </c>
      <c r="M180" s="146" t="str" cm="1">
        <f t="array" aca="1" ref="M180" ca="1">IF(Assessment[[#This Row],[JOB TARGET]]="","Job Target Kosong",IF(COUNT(IF('Data Assessment'!$N180:$Z180-OFFSET(Standar!$B$2,MATCH(Assessment[[#This Row],[JOB TARGET
(DEV)]],Standar[NAMA JABATAN],0)-1,1,1,13)&lt;0,1,""))&lt;=3,'9 Grid'!$B$4,IF(COUNT(IF('Data Assessment'!$N180:$Z180-OFFSET(Standar!$B$2,MATCH(Assessment[[#This Row],[JOB TARGET
(DEV)]],Standar[NAMA JABATAN],0)-1,1,1,13)&lt;0,1,""))&gt;=7,'9 Grid'!$B$6,'9 Grid'!$B$5)))</f>
        <v>Job Target Kosong</v>
      </c>
      <c r="N180" s="146" t="str">
        <f>IFERROR(IF(Data_Assessment[[#This Row],[IPP (3 YEARS AVERAGE)]]="","(IPP Belum Ada)",IF(Data_Assessment[[#This Row],[IPP (3 YEARS AVERAGE)]]&lt;2,'9 Grid'!$F$2,IF(Data_Assessment[[#This Row],[IPP (3 YEARS AVERAGE)]]&gt;=4,'9 Grid'!$D$2,'9 Grid'!$E$2))),"")</f>
        <v>Fully Competence Performance</v>
      </c>
      <c r="O180" s="146" t="str">
        <f ca="1">IFERROR(INDEX('9 Grid'!$D$4:$F$6,MATCH('Rekomendasi HAV'!M180,'9 Grid'!$B$4:$B$6,0),MATCH('Rekomendasi HAV'!N180,'9 Grid'!$D$2:$F$2,0)),"")</f>
        <v/>
      </c>
      <c r="P180" s="147" t="str">
        <f>IFERROR(INDEX('9 Grid'!$D$8:$F$8,1,MATCH('Rekomendasi HAV'!N180,'9 Grid'!$D$2:$F$2,0)),"")</f>
        <v>(ST) Within 12 - 18 month</v>
      </c>
    </row>
    <row r="181" spans="1:16" ht="28.5">
      <c r="A181" s="67">
        <v>180</v>
      </c>
      <c r="B181" s="68" t="str">
        <f>INDEX(Data_Assessment[],MATCH('Rekomendasi HAV'!$A181,Data_Assessment[[INDEX]:[INDEX]],0),MATCH('Rekomendasi HAV'!B$1,Data_Assessment[#Headers],0))</f>
        <v>Edi Akmal</v>
      </c>
      <c r="C181" s="68" t="str">
        <f>INDEX(Data_Assessment[],MATCH('Rekomendasi HAV'!$A181,Data_Assessment[[INDEX]:[INDEX]],0),MATCH('Rekomendasi HAV'!C$1,Data_Assessment[#Headers],0))</f>
        <v>Palembang</v>
      </c>
      <c r="D181" s="68" t="str">
        <f>INDEX(Data_Assessment[],MATCH('Rekomendasi HAV'!$A181,Data_Assessment[[INDEX]:[INDEX]],0),MATCH('Rekomendasi HAV'!D$1,Data_Assessment[#Headers],0))</f>
        <v>LSIP - RO Palembang</v>
      </c>
      <c r="E181" s="68">
        <f>INDEX(Data_Assessment[],MATCH('Rekomendasi HAV'!$B181,Data_Assessment[[NAME]:[NAME]],0),MATCH('Rekomendasi HAV'!E$1,Data_Assessment[#Headers],0))</f>
        <v>0</v>
      </c>
      <c r="F181" s="68"/>
      <c r="G181" s="68">
        <f>IF(ISNUMBER(SEARCH("DEV",Assessment[[#This Row],[JOB TARGET]])),SUBSTITUTE(Assessment[[#This Row],[JOB TARGET]],"DEV","EST"),Assessment[[#This Row],[JOB TARGET]])</f>
        <v>0</v>
      </c>
      <c r="H181" s="146" t="str" cm="1">
        <f t="array" aca="1" ref="H181" ca="1">IF(Assessment[[#This Row],[JOB TARGET]]="","Job Target Kosong",IF(COUNT(IF('Data Assessment'!$N181:$Z181-OFFSET(Standar!$B$2,MATCH(Assessment[[#This Row],[JOB TARGET
(EST)]],Standar[NAMA JABATAN],0)-1,1,1,13)&lt;0,1,""))&lt;=3,'9 Grid'!$B$4,IF(COUNT(IF('Data Assessment'!$N181:$Z181-OFFSET(Standar!$B$2,MATCH(Assessment[[#This Row],[JOB TARGET]],Standar[NAMA JABATAN],0)-1,1,1,13)&lt;0,1,""))&gt;=7,'9 Grid'!$B$6,'9 Grid'!$B$5)))</f>
        <v>Job Target Kosong</v>
      </c>
      <c r="I181" s="146" t="str">
        <f>IFERROR(IF(Data_Assessment[[#This Row],[IPP (3 YEARS AVERAGE)]]="","(IPP Belum Ada)",IF(Data_Assessment[[#This Row],[IPP (3 YEARS AVERAGE)]]&lt;2,'9 Grid'!$F$2,IF(Data_Assessment[[#This Row],[IPP (3 YEARS AVERAGE)]]&gt;=4,'9 Grid'!$D$2,'9 Grid'!$E$2))),"")</f>
        <v>Fully Competence Performance</v>
      </c>
      <c r="J181" s="146" t="str">
        <f ca="1">IFERROR(INDEX('9 Grid'!$D$4:$F$6,MATCH('Rekomendasi HAV'!H181,'9 Grid'!$B$4:$B$6,0),MATCH('Rekomendasi HAV'!I181,'9 Grid'!$D$2:$F$2,0)),"")</f>
        <v/>
      </c>
      <c r="K181" s="146" t="str">
        <f>IFERROR(INDEX('9 Grid'!$D$8:$F$8,1,MATCH('Rekomendasi HAV'!I181,'9 Grid'!$D$2:$F$2,0)),"")</f>
        <v>(ST) Within 12 - 18 month</v>
      </c>
      <c r="L181" s="146">
        <f>IF(ISNUMBER(SEARCH("EST",Assessment[[#This Row],[JOB TARGET]])),SUBSTITUTE(Assessment[[#This Row],[JOB TARGET]],"EST","DEV"),Assessment[[#This Row],[JOB TARGET]])</f>
        <v>0</v>
      </c>
      <c r="M181" s="146" t="str" cm="1">
        <f t="array" aca="1" ref="M181" ca="1">IF(Assessment[[#This Row],[JOB TARGET]]="","Job Target Kosong",IF(COUNT(IF('Data Assessment'!$N181:$Z181-OFFSET(Standar!$B$2,MATCH(Assessment[[#This Row],[JOB TARGET
(DEV)]],Standar[NAMA JABATAN],0)-1,1,1,13)&lt;0,1,""))&lt;=3,'9 Grid'!$B$4,IF(COUNT(IF('Data Assessment'!$N181:$Z181-OFFSET(Standar!$B$2,MATCH(Assessment[[#This Row],[JOB TARGET
(DEV)]],Standar[NAMA JABATAN],0)-1,1,1,13)&lt;0,1,""))&gt;=7,'9 Grid'!$B$6,'9 Grid'!$B$5)))</f>
        <v>Job Target Kosong</v>
      </c>
      <c r="N181" s="146" t="str">
        <f>IFERROR(IF(Data_Assessment[[#This Row],[IPP (3 YEARS AVERAGE)]]="","(IPP Belum Ada)",IF(Data_Assessment[[#This Row],[IPP (3 YEARS AVERAGE)]]&lt;2,'9 Grid'!$F$2,IF(Data_Assessment[[#This Row],[IPP (3 YEARS AVERAGE)]]&gt;=4,'9 Grid'!$D$2,'9 Grid'!$E$2))),"")</f>
        <v>Fully Competence Performance</v>
      </c>
      <c r="O181" s="146" t="str">
        <f ca="1">IFERROR(INDEX('9 Grid'!$D$4:$F$6,MATCH('Rekomendasi HAV'!M181,'9 Grid'!$B$4:$B$6,0),MATCH('Rekomendasi HAV'!N181,'9 Grid'!$D$2:$F$2,0)),"")</f>
        <v/>
      </c>
      <c r="P181" s="147" t="str">
        <f>IFERROR(INDEX('9 Grid'!$D$8:$F$8,1,MATCH('Rekomendasi HAV'!N181,'9 Grid'!$D$2:$F$2,0)),"")</f>
        <v>(ST) Within 12 - 18 month</v>
      </c>
    </row>
    <row r="182" spans="1:16" ht="28.5">
      <c r="A182" s="67">
        <v>181</v>
      </c>
      <c r="B182" s="68" t="str">
        <f>INDEX(Data_Assessment[],MATCH('Rekomendasi HAV'!$A182,Data_Assessment[[INDEX]:[INDEX]],0),MATCH('Rekomendasi HAV'!B$1,Data_Assessment[#Headers],0))</f>
        <v>Herry Hantono</v>
      </c>
      <c r="C182" s="68" t="str">
        <f>INDEX(Data_Assessment[],MATCH('Rekomendasi HAV'!$A182,Data_Assessment[[INDEX]:[INDEX]],0),MATCH('Rekomendasi HAV'!C$1,Data_Assessment[#Headers],0))</f>
        <v>Jakarta</v>
      </c>
      <c r="D182" s="68" t="str">
        <f>INDEX(Data_Assessment[],MATCH('Rekomendasi HAV'!$A182,Data_Assessment[[INDEX]:[INDEX]],0),MATCH('Rekomendasi HAV'!D$1,Data_Assessment[#Headers],0))</f>
        <v>LSIP - HO Jakarta</v>
      </c>
      <c r="E182" s="68">
        <f>INDEX(Data_Assessment[],MATCH('Rekomendasi HAV'!$B182,Data_Assessment[[NAME]:[NAME]],0),MATCH('Rekomendasi HAV'!E$1,Data_Assessment[#Headers],0))</f>
        <v>0</v>
      </c>
      <c r="F182" s="68"/>
      <c r="G182" s="68">
        <f>IF(ISNUMBER(SEARCH("DEV",Assessment[[#This Row],[JOB TARGET]])),SUBSTITUTE(Assessment[[#This Row],[JOB TARGET]],"DEV","EST"),Assessment[[#This Row],[JOB TARGET]])</f>
        <v>0</v>
      </c>
      <c r="H182" s="146" t="str" cm="1">
        <f t="array" aca="1" ref="H182" ca="1">IF(Assessment[[#This Row],[JOB TARGET]]="","Job Target Kosong",IF(COUNT(IF('Data Assessment'!$N182:$Z182-OFFSET(Standar!$B$2,MATCH(Assessment[[#This Row],[JOB TARGET
(EST)]],Standar[NAMA JABATAN],0)-1,1,1,13)&lt;0,1,""))&lt;=3,'9 Grid'!$B$4,IF(COUNT(IF('Data Assessment'!$N182:$Z182-OFFSET(Standar!$B$2,MATCH(Assessment[[#This Row],[JOB TARGET]],Standar[NAMA JABATAN],0)-1,1,1,13)&lt;0,1,""))&gt;=7,'9 Grid'!$B$6,'9 Grid'!$B$5)))</f>
        <v>Job Target Kosong</v>
      </c>
      <c r="I182" s="146" t="str">
        <f>IFERROR(IF(Data_Assessment[[#This Row],[IPP (3 YEARS AVERAGE)]]="","(IPP Belum Ada)",IF(Data_Assessment[[#This Row],[IPP (3 YEARS AVERAGE)]]&lt;2,'9 Grid'!$F$2,IF(Data_Assessment[[#This Row],[IPP (3 YEARS AVERAGE)]]&gt;=4,'9 Grid'!$D$2,'9 Grid'!$E$2))),"")</f>
        <v>Fully Competence Performance</v>
      </c>
      <c r="J182" s="146" t="str">
        <f ca="1">IFERROR(INDEX('9 Grid'!$D$4:$F$6,MATCH('Rekomendasi HAV'!H182,'9 Grid'!$B$4:$B$6,0),MATCH('Rekomendasi HAV'!I182,'9 Grid'!$D$2:$F$2,0)),"")</f>
        <v/>
      </c>
      <c r="K182" s="146" t="str">
        <f>IFERROR(INDEX('9 Grid'!$D$8:$F$8,1,MATCH('Rekomendasi HAV'!I182,'9 Grid'!$D$2:$F$2,0)),"")</f>
        <v>(ST) Within 12 - 18 month</v>
      </c>
      <c r="L182" s="146">
        <f>IF(ISNUMBER(SEARCH("EST",Assessment[[#This Row],[JOB TARGET]])),SUBSTITUTE(Assessment[[#This Row],[JOB TARGET]],"EST","DEV"),Assessment[[#This Row],[JOB TARGET]])</f>
        <v>0</v>
      </c>
      <c r="M182" s="146" t="str" cm="1">
        <f t="array" aca="1" ref="M182" ca="1">IF(Assessment[[#This Row],[JOB TARGET]]="","Job Target Kosong",IF(COUNT(IF('Data Assessment'!$N182:$Z182-OFFSET(Standar!$B$2,MATCH(Assessment[[#This Row],[JOB TARGET
(DEV)]],Standar[NAMA JABATAN],0)-1,1,1,13)&lt;0,1,""))&lt;=3,'9 Grid'!$B$4,IF(COUNT(IF('Data Assessment'!$N182:$Z182-OFFSET(Standar!$B$2,MATCH(Assessment[[#This Row],[JOB TARGET
(DEV)]],Standar[NAMA JABATAN],0)-1,1,1,13)&lt;0,1,""))&gt;=7,'9 Grid'!$B$6,'9 Grid'!$B$5)))</f>
        <v>Job Target Kosong</v>
      </c>
      <c r="N182" s="146" t="str">
        <f>IFERROR(IF(Data_Assessment[[#This Row],[IPP (3 YEARS AVERAGE)]]="","(IPP Belum Ada)",IF(Data_Assessment[[#This Row],[IPP (3 YEARS AVERAGE)]]&lt;2,'9 Grid'!$F$2,IF(Data_Assessment[[#This Row],[IPP (3 YEARS AVERAGE)]]&gt;=4,'9 Grid'!$D$2,'9 Grid'!$E$2))),"")</f>
        <v>Fully Competence Performance</v>
      </c>
      <c r="O182" s="146" t="str">
        <f ca="1">IFERROR(INDEX('9 Grid'!$D$4:$F$6,MATCH('Rekomendasi HAV'!M182,'9 Grid'!$B$4:$B$6,0),MATCH('Rekomendasi HAV'!N182,'9 Grid'!$D$2:$F$2,0)),"")</f>
        <v/>
      </c>
      <c r="P182" s="147" t="str">
        <f>IFERROR(INDEX('9 Grid'!$D$8:$F$8,1,MATCH('Rekomendasi HAV'!N182,'9 Grid'!$D$2:$F$2,0)),"")</f>
        <v>(ST) Within 12 - 18 month</v>
      </c>
    </row>
    <row r="183" spans="1:16" ht="14.25">
      <c r="A183" s="67">
        <v>182</v>
      </c>
      <c r="B183" s="68" t="str">
        <f>INDEX(Data_Assessment[],MATCH('Rekomendasi HAV'!$A183,Data_Assessment[[INDEX]:[INDEX]],0),MATCH('Rekomendasi HAV'!B$1,Data_Assessment[#Headers],0))</f>
        <v>Rawan</v>
      </c>
      <c r="C183" s="68" t="str">
        <f>INDEX(Data_Assessment[],MATCH('Rekomendasi HAV'!$A183,Data_Assessment[[INDEX]:[INDEX]],0),MATCH('Rekomendasi HAV'!C$1,Data_Assessment[#Headers],0))</f>
        <v>Palembang</v>
      </c>
      <c r="D183" s="68" t="str">
        <f>INDEX(Data_Assessment[],MATCH('Rekomendasi HAV'!$A183,Data_Assessment[[INDEX]:[INDEX]],0),MATCH('Rekomendasi HAV'!D$1,Data_Assessment[#Headers],0))</f>
        <v>LSIP - RO Palembang</v>
      </c>
      <c r="E183" s="68">
        <f>INDEX(Data_Assessment[],MATCH('Rekomendasi HAV'!$B183,Data_Assessment[[NAME]:[NAME]],0),MATCH('Rekomendasi HAV'!E$1,Data_Assessment[#Headers],0))</f>
        <v>0</v>
      </c>
      <c r="F183" s="68"/>
      <c r="G183" s="68">
        <f>IF(ISNUMBER(SEARCH("DEV",Assessment[[#This Row],[JOB TARGET]])),SUBSTITUTE(Assessment[[#This Row],[JOB TARGET]],"DEV","EST"),Assessment[[#This Row],[JOB TARGET]])</f>
        <v>0</v>
      </c>
      <c r="H183" s="146" t="str" cm="1">
        <f t="array" aca="1" ref="H183" ca="1">IF(Assessment[[#This Row],[JOB TARGET]]="","Job Target Kosong",IF(COUNT(IF('Data Assessment'!$N183:$Z183-OFFSET(Standar!$B$2,MATCH(Assessment[[#This Row],[JOB TARGET
(EST)]],Standar[NAMA JABATAN],0)-1,1,1,13)&lt;0,1,""))&lt;=3,'9 Grid'!$B$4,IF(COUNT(IF('Data Assessment'!$N183:$Z183-OFFSET(Standar!$B$2,MATCH(Assessment[[#This Row],[JOB TARGET]],Standar[NAMA JABATAN],0)-1,1,1,13)&lt;0,1,""))&gt;=7,'9 Grid'!$B$6,'9 Grid'!$B$5)))</f>
        <v>Job Target Kosong</v>
      </c>
      <c r="I183" s="146" t="str">
        <f>IFERROR(IF(Data_Assessment[[#This Row],[IPP (3 YEARS AVERAGE)]]="","(IPP Belum Ada)",IF(Data_Assessment[[#This Row],[IPP (3 YEARS AVERAGE)]]&lt;2,'9 Grid'!$F$2,IF(Data_Assessment[[#This Row],[IPP (3 YEARS AVERAGE)]]&gt;=4,'9 Grid'!$D$2,'9 Grid'!$E$2))),"")</f>
        <v>Exceptional Performance</v>
      </c>
      <c r="J183" s="146" t="str">
        <f ca="1">IFERROR(INDEX('9 Grid'!$D$4:$F$6,MATCH('Rekomendasi HAV'!H183,'9 Grid'!$B$4:$B$6,0),MATCH('Rekomendasi HAV'!I183,'9 Grid'!$D$2:$F$2,0)),"")</f>
        <v/>
      </c>
      <c r="K183" s="146" t="str">
        <f>IFERROR(INDEX('9 Grid'!$D$8:$F$8,1,MATCH('Rekomendasi HAV'!I183,'9 Grid'!$D$2:$F$2,0)),"")</f>
        <v>(I) Immediately</v>
      </c>
      <c r="L183" s="146">
        <f>IF(ISNUMBER(SEARCH("EST",Assessment[[#This Row],[JOB TARGET]])),SUBSTITUTE(Assessment[[#This Row],[JOB TARGET]],"EST","DEV"),Assessment[[#This Row],[JOB TARGET]])</f>
        <v>0</v>
      </c>
      <c r="M183" s="146" t="str" cm="1">
        <f t="array" aca="1" ref="M183" ca="1">IF(Assessment[[#This Row],[JOB TARGET]]="","Job Target Kosong",IF(COUNT(IF('Data Assessment'!$N183:$Z183-OFFSET(Standar!$B$2,MATCH(Assessment[[#This Row],[JOB TARGET
(DEV)]],Standar[NAMA JABATAN],0)-1,1,1,13)&lt;0,1,""))&lt;=3,'9 Grid'!$B$4,IF(COUNT(IF('Data Assessment'!$N183:$Z183-OFFSET(Standar!$B$2,MATCH(Assessment[[#This Row],[JOB TARGET
(DEV)]],Standar[NAMA JABATAN],0)-1,1,1,13)&lt;0,1,""))&gt;=7,'9 Grid'!$B$6,'9 Grid'!$B$5)))</f>
        <v>Job Target Kosong</v>
      </c>
      <c r="N183" s="146" t="str">
        <f>IFERROR(IF(Data_Assessment[[#This Row],[IPP (3 YEARS AVERAGE)]]="","(IPP Belum Ada)",IF(Data_Assessment[[#This Row],[IPP (3 YEARS AVERAGE)]]&lt;2,'9 Grid'!$F$2,IF(Data_Assessment[[#This Row],[IPP (3 YEARS AVERAGE)]]&gt;=4,'9 Grid'!$D$2,'9 Grid'!$E$2))),"")</f>
        <v>Exceptional Performance</v>
      </c>
      <c r="O183" s="146" t="str">
        <f ca="1">IFERROR(INDEX('9 Grid'!$D$4:$F$6,MATCH('Rekomendasi HAV'!M183,'9 Grid'!$B$4:$B$6,0),MATCH('Rekomendasi HAV'!N183,'9 Grid'!$D$2:$F$2,0)),"")</f>
        <v/>
      </c>
      <c r="P183" s="147" t="str">
        <f>IFERROR(INDEX('9 Grid'!$D$8:$F$8,1,MATCH('Rekomendasi HAV'!N183,'9 Grid'!$D$2:$F$2,0)),"")</f>
        <v>(I) Immediately</v>
      </c>
    </row>
    <row r="184" spans="1:16" ht="28.5">
      <c r="A184" s="67">
        <v>183</v>
      </c>
      <c r="B184" s="68" t="str">
        <f>INDEX(Data_Assessment[],MATCH('Rekomendasi HAV'!$A184,Data_Assessment[[INDEX]:[INDEX]],0),MATCH('Rekomendasi HAV'!B$1,Data_Assessment[#Headers],0))</f>
        <v>Roger H. Wiryawan</v>
      </c>
      <c r="C184" s="68" t="str">
        <f>INDEX(Data_Assessment[],MATCH('Rekomendasi HAV'!$A184,Data_Assessment[[INDEX]:[INDEX]],0),MATCH('Rekomendasi HAV'!C$1,Data_Assessment[#Headers],0))</f>
        <v>Jakarta</v>
      </c>
      <c r="D184" s="68" t="str">
        <f>INDEX(Data_Assessment[],MATCH('Rekomendasi HAV'!$A184,Data_Assessment[[INDEX]:[INDEX]],0),MATCH('Rekomendasi HAV'!D$1,Data_Assessment[#Headers],0))</f>
        <v>LSIP - HO Jakarta</v>
      </c>
      <c r="E184" s="68">
        <f>INDEX(Data_Assessment[],MATCH('Rekomendasi HAV'!$B184,Data_Assessment[[NAME]:[NAME]],0),MATCH('Rekomendasi HAV'!E$1,Data_Assessment[#Headers],0))</f>
        <v>0</v>
      </c>
      <c r="F184" s="68"/>
      <c r="G184" s="68">
        <f>IF(ISNUMBER(SEARCH("DEV",Assessment[[#This Row],[JOB TARGET]])),SUBSTITUTE(Assessment[[#This Row],[JOB TARGET]],"DEV","EST"),Assessment[[#This Row],[JOB TARGET]])</f>
        <v>0</v>
      </c>
      <c r="H184" s="146" t="str" cm="1">
        <f t="array" aca="1" ref="H184" ca="1">IF(Assessment[[#This Row],[JOB TARGET]]="","Job Target Kosong",IF(COUNT(IF('Data Assessment'!$N184:$Z184-OFFSET(Standar!$B$2,MATCH(Assessment[[#This Row],[JOB TARGET
(EST)]],Standar[NAMA JABATAN],0)-1,1,1,13)&lt;0,1,""))&lt;=3,'9 Grid'!$B$4,IF(COUNT(IF('Data Assessment'!$N184:$Z184-OFFSET(Standar!$B$2,MATCH(Assessment[[#This Row],[JOB TARGET]],Standar[NAMA JABATAN],0)-1,1,1,13)&lt;0,1,""))&gt;=7,'9 Grid'!$B$6,'9 Grid'!$B$5)))</f>
        <v>Job Target Kosong</v>
      </c>
      <c r="I184" s="146" t="str">
        <f>IFERROR(IF(Data_Assessment[[#This Row],[IPP (3 YEARS AVERAGE)]]="","(IPP Belum Ada)",IF(Data_Assessment[[#This Row],[IPP (3 YEARS AVERAGE)]]&lt;2,'9 Grid'!$F$2,IF(Data_Assessment[[#This Row],[IPP (3 YEARS AVERAGE)]]&gt;=4,'9 Grid'!$D$2,'9 Grid'!$E$2))),"")</f>
        <v>Contributor</v>
      </c>
      <c r="J184" s="146" t="str">
        <f ca="1">IFERROR(INDEX('9 Grid'!$D$4:$F$6,MATCH('Rekomendasi HAV'!H184,'9 Grid'!$B$4:$B$6,0),MATCH('Rekomendasi HAV'!I184,'9 Grid'!$D$2:$F$2,0)),"")</f>
        <v/>
      </c>
      <c r="K184" s="146" t="str">
        <f>IFERROR(INDEX('9 Grid'!$D$8:$F$8,1,MATCH('Rekomendasi HAV'!I184,'9 Grid'!$D$2:$F$2,0)),"")</f>
        <v>(LT) More 2 - 3 year</v>
      </c>
      <c r="L184" s="146">
        <f>IF(ISNUMBER(SEARCH("EST",Assessment[[#This Row],[JOB TARGET]])),SUBSTITUTE(Assessment[[#This Row],[JOB TARGET]],"EST","DEV"),Assessment[[#This Row],[JOB TARGET]])</f>
        <v>0</v>
      </c>
      <c r="M184" s="146" t="str" cm="1">
        <f t="array" aca="1" ref="M184" ca="1">IF(Assessment[[#This Row],[JOB TARGET]]="","Job Target Kosong",IF(COUNT(IF('Data Assessment'!$N184:$Z184-OFFSET(Standar!$B$2,MATCH(Assessment[[#This Row],[JOB TARGET
(DEV)]],Standar[NAMA JABATAN],0)-1,1,1,13)&lt;0,1,""))&lt;=3,'9 Grid'!$B$4,IF(COUNT(IF('Data Assessment'!$N184:$Z184-OFFSET(Standar!$B$2,MATCH(Assessment[[#This Row],[JOB TARGET
(DEV)]],Standar[NAMA JABATAN],0)-1,1,1,13)&lt;0,1,""))&gt;=7,'9 Grid'!$B$6,'9 Grid'!$B$5)))</f>
        <v>Job Target Kosong</v>
      </c>
      <c r="N184" s="146" t="str">
        <f>IFERROR(IF(Data_Assessment[[#This Row],[IPP (3 YEARS AVERAGE)]]="","(IPP Belum Ada)",IF(Data_Assessment[[#This Row],[IPP (3 YEARS AVERAGE)]]&lt;2,'9 Grid'!$F$2,IF(Data_Assessment[[#This Row],[IPP (3 YEARS AVERAGE)]]&gt;=4,'9 Grid'!$D$2,'9 Grid'!$E$2))),"")</f>
        <v>Contributor</v>
      </c>
      <c r="O184" s="146" t="str">
        <f ca="1">IFERROR(INDEX('9 Grid'!$D$4:$F$6,MATCH('Rekomendasi HAV'!M184,'9 Grid'!$B$4:$B$6,0),MATCH('Rekomendasi HAV'!N184,'9 Grid'!$D$2:$F$2,0)),"")</f>
        <v/>
      </c>
      <c r="P184" s="147" t="str">
        <f>IFERROR(INDEX('9 Grid'!$D$8:$F$8,1,MATCH('Rekomendasi HAV'!N184,'9 Grid'!$D$2:$F$2,0)),"")</f>
        <v>(LT) More 2 - 3 year</v>
      </c>
    </row>
    <row r="185" spans="1:16" ht="28.5">
      <c r="A185" s="67">
        <v>184</v>
      </c>
      <c r="B185" s="68" t="str">
        <f>INDEX(Data_Assessment[],MATCH('Rekomendasi HAV'!$A185,Data_Assessment[[INDEX]:[INDEX]],0),MATCH('Rekomendasi HAV'!B$1,Data_Assessment[#Headers],0))</f>
        <v>Andri Rustaman</v>
      </c>
      <c r="C185" s="68" t="str">
        <f>INDEX(Data_Assessment[],MATCH('Rekomendasi HAV'!$A185,Data_Assessment[[INDEX]:[INDEX]],0),MATCH('Rekomendasi HAV'!C$1,Data_Assessment[#Headers],0))</f>
        <v>Palembang</v>
      </c>
      <c r="D185" s="68" t="str">
        <f>INDEX(Data_Assessment[],MATCH('Rekomendasi HAV'!$A185,Data_Assessment[[INDEX]:[INDEX]],0),MATCH('Rekomendasi HAV'!D$1,Data_Assessment[#Headers],0))</f>
        <v>LSIP - RO Palembang</v>
      </c>
      <c r="E185" s="68">
        <f>INDEX(Data_Assessment[],MATCH('Rekomendasi HAV'!$B185,Data_Assessment[[NAME]:[NAME]],0),MATCH('Rekomendasi HAV'!E$1,Data_Assessment[#Headers],0))</f>
        <v>0</v>
      </c>
      <c r="F185" s="68"/>
      <c r="G185" s="68">
        <f>IF(ISNUMBER(SEARCH("DEV",Assessment[[#This Row],[JOB TARGET]])),SUBSTITUTE(Assessment[[#This Row],[JOB TARGET]],"DEV","EST"),Assessment[[#This Row],[JOB TARGET]])</f>
        <v>0</v>
      </c>
      <c r="H185" s="146" t="str" cm="1">
        <f t="array" aca="1" ref="H185" ca="1">IF(Assessment[[#This Row],[JOB TARGET]]="","Job Target Kosong",IF(COUNT(IF('Data Assessment'!$N185:$Z185-OFFSET(Standar!$B$2,MATCH(Assessment[[#This Row],[JOB TARGET
(EST)]],Standar[NAMA JABATAN],0)-1,1,1,13)&lt;0,1,""))&lt;=3,'9 Grid'!$B$4,IF(COUNT(IF('Data Assessment'!$N185:$Z185-OFFSET(Standar!$B$2,MATCH(Assessment[[#This Row],[JOB TARGET]],Standar[NAMA JABATAN],0)-1,1,1,13)&lt;0,1,""))&gt;=7,'9 Grid'!$B$6,'9 Grid'!$B$5)))</f>
        <v>Job Target Kosong</v>
      </c>
      <c r="I185" s="146" t="str">
        <f>IFERROR(IF(Data_Assessment[[#This Row],[IPP (3 YEARS AVERAGE)]]="","(IPP Belum Ada)",IF(Data_Assessment[[#This Row],[IPP (3 YEARS AVERAGE)]]&lt;2,'9 Grid'!$F$2,IF(Data_Assessment[[#This Row],[IPP (3 YEARS AVERAGE)]]&gt;=4,'9 Grid'!$D$2,'9 Grid'!$E$2))),"")</f>
        <v>Fully Competence Performance</v>
      </c>
      <c r="J185" s="146" t="str">
        <f ca="1">IFERROR(INDEX('9 Grid'!$D$4:$F$6,MATCH('Rekomendasi HAV'!H185,'9 Grid'!$B$4:$B$6,0),MATCH('Rekomendasi HAV'!I185,'9 Grid'!$D$2:$F$2,0)),"")</f>
        <v/>
      </c>
      <c r="K185" s="146" t="str">
        <f>IFERROR(INDEX('9 Grid'!$D$8:$F$8,1,MATCH('Rekomendasi HAV'!I185,'9 Grid'!$D$2:$F$2,0)),"")</f>
        <v>(ST) Within 12 - 18 month</v>
      </c>
      <c r="L185" s="146">
        <f>IF(ISNUMBER(SEARCH("EST",Assessment[[#This Row],[JOB TARGET]])),SUBSTITUTE(Assessment[[#This Row],[JOB TARGET]],"EST","DEV"),Assessment[[#This Row],[JOB TARGET]])</f>
        <v>0</v>
      </c>
      <c r="M185" s="146" t="str" cm="1">
        <f t="array" aca="1" ref="M185" ca="1">IF(Assessment[[#This Row],[JOB TARGET]]="","Job Target Kosong",IF(COUNT(IF('Data Assessment'!$N185:$Z185-OFFSET(Standar!$B$2,MATCH(Assessment[[#This Row],[JOB TARGET
(DEV)]],Standar[NAMA JABATAN],0)-1,1,1,13)&lt;0,1,""))&lt;=3,'9 Grid'!$B$4,IF(COUNT(IF('Data Assessment'!$N185:$Z185-OFFSET(Standar!$B$2,MATCH(Assessment[[#This Row],[JOB TARGET
(DEV)]],Standar[NAMA JABATAN],0)-1,1,1,13)&lt;0,1,""))&gt;=7,'9 Grid'!$B$6,'9 Grid'!$B$5)))</f>
        <v>Job Target Kosong</v>
      </c>
      <c r="N185" s="146" t="str">
        <f>IFERROR(IF(Data_Assessment[[#This Row],[IPP (3 YEARS AVERAGE)]]="","(IPP Belum Ada)",IF(Data_Assessment[[#This Row],[IPP (3 YEARS AVERAGE)]]&lt;2,'9 Grid'!$F$2,IF(Data_Assessment[[#This Row],[IPP (3 YEARS AVERAGE)]]&gt;=4,'9 Grid'!$D$2,'9 Grid'!$E$2))),"")</f>
        <v>Fully Competence Performance</v>
      </c>
      <c r="O185" s="146" t="str">
        <f ca="1">IFERROR(INDEX('9 Grid'!$D$4:$F$6,MATCH('Rekomendasi HAV'!M185,'9 Grid'!$B$4:$B$6,0),MATCH('Rekomendasi HAV'!N185,'9 Grid'!$D$2:$F$2,0)),"")</f>
        <v/>
      </c>
      <c r="P185" s="147" t="str">
        <f>IFERROR(INDEX('9 Grid'!$D$8:$F$8,1,MATCH('Rekomendasi HAV'!N185,'9 Grid'!$D$2:$F$2,0)),"")</f>
        <v>(ST) Within 12 - 18 month</v>
      </c>
    </row>
    <row r="186" spans="1:16" ht="28.5">
      <c r="A186" s="67">
        <v>185</v>
      </c>
      <c r="B186" s="68" t="str">
        <f>INDEX(Data_Assessment[],MATCH('Rekomendasi HAV'!$A186,Data_Assessment[[INDEX]:[INDEX]],0),MATCH('Rekomendasi HAV'!B$1,Data_Assessment[#Headers],0))</f>
        <v>Yenni Marlina                                </v>
      </c>
      <c r="C186" s="68" t="str">
        <f>INDEX(Data_Assessment[],MATCH('Rekomendasi HAV'!$A186,Data_Assessment[[INDEX]:[INDEX]],0),MATCH('Rekomendasi HAV'!C$1,Data_Assessment[#Headers],0))</f>
        <v>Jakarta</v>
      </c>
      <c r="D186" s="68" t="str">
        <f>INDEX(Data_Assessment[],MATCH('Rekomendasi HAV'!$A186,Data_Assessment[[INDEX]:[INDEX]],0),MATCH('Rekomendasi HAV'!D$1,Data_Assessment[#Headers],0))</f>
        <v>LSIP - HO Jakarta</v>
      </c>
      <c r="E186" s="68">
        <f>INDEX(Data_Assessment[],MATCH('Rekomendasi HAV'!$B186,Data_Assessment[[NAME]:[NAME]],0),MATCH('Rekomendasi HAV'!E$1,Data_Assessment[#Headers],0))</f>
        <v>0</v>
      </c>
      <c r="F186" s="68"/>
      <c r="G186" s="68">
        <f>IF(ISNUMBER(SEARCH("DEV",Assessment[[#This Row],[JOB TARGET]])),SUBSTITUTE(Assessment[[#This Row],[JOB TARGET]],"DEV","EST"),Assessment[[#This Row],[JOB TARGET]])</f>
        <v>0</v>
      </c>
      <c r="H186" s="146" t="str" cm="1">
        <f t="array" aca="1" ref="H186" ca="1">IF(Assessment[[#This Row],[JOB TARGET]]="","Job Target Kosong",IF(COUNT(IF('Data Assessment'!$N186:$Z186-OFFSET(Standar!$B$2,MATCH(Assessment[[#This Row],[JOB TARGET
(EST)]],Standar[NAMA JABATAN],0)-1,1,1,13)&lt;0,1,""))&lt;=3,'9 Grid'!$B$4,IF(COUNT(IF('Data Assessment'!$N186:$Z186-OFFSET(Standar!$B$2,MATCH(Assessment[[#This Row],[JOB TARGET]],Standar[NAMA JABATAN],0)-1,1,1,13)&lt;0,1,""))&gt;=7,'9 Grid'!$B$6,'9 Grid'!$B$5)))</f>
        <v>Job Target Kosong</v>
      </c>
      <c r="I186" s="146" t="str">
        <f>IFERROR(IF(Data_Assessment[[#This Row],[IPP (3 YEARS AVERAGE)]]="","(IPP Belum Ada)",IF(Data_Assessment[[#This Row],[IPP (3 YEARS AVERAGE)]]&lt;2,'9 Grid'!$F$2,IF(Data_Assessment[[#This Row],[IPP (3 YEARS AVERAGE)]]&gt;=4,'9 Grid'!$D$2,'9 Grid'!$E$2))),"")</f>
        <v>Contributor</v>
      </c>
      <c r="J186" s="146" t="str">
        <f ca="1">IFERROR(INDEX('9 Grid'!$D$4:$F$6,MATCH('Rekomendasi HAV'!H186,'9 Grid'!$B$4:$B$6,0),MATCH('Rekomendasi HAV'!I186,'9 Grid'!$D$2:$F$2,0)),"")</f>
        <v/>
      </c>
      <c r="K186" s="146" t="str">
        <f>IFERROR(INDEX('9 Grid'!$D$8:$F$8,1,MATCH('Rekomendasi HAV'!I186,'9 Grid'!$D$2:$F$2,0)),"")</f>
        <v>(LT) More 2 - 3 year</v>
      </c>
      <c r="L186" s="146">
        <f>IF(ISNUMBER(SEARCH("EST",Assessment[[#This Row],[JOB TARGET]])),SUBSTITUTE(Assessment[[#This Row],[JOB TARGET]],"EST","DEV"),Assessment[[#This Row],[JOB TARGET]])</f>
        <v>0</v>
      </c>
      <c r="M186" s="146" t="str" cm="1">
        <f t="array" aca="1" ref="M186" ca="1">IF(Assessment[[#This Row],[JOB TARGET]]="","Job Target Kosong",IF(COUNT(IF('Data Assessment'!$N186:$Z186-OFFSET(Standar!$B$2,MATCH(Assessment[[#This Row],[JOB TARGET
(DEV)]],Standar[NAMA JABATAN],0)-1,1,1,13)&lt;0,1,""))&lt;=3,'9 Grid'!$B$4,IF(COUNT(IF('Data Assessment'!$N186:$Z186-OFFSET(Standar!$B$2,MATCH(Assessment[[#This Row],[JOB TARGET
(DEV)]],Standar[NAMA JABATAN],0)-1,1,1,13)&lt;0,1,""))&gt;=7,'9 Grid'!$B$6,'9 Grid'!$B$5)))</f>
        <v>Job Target Kosong</v>
      </c>
      <c r="N186" s="146" t="str">
        <f>IFERROR(IF(Data_Assessment[[#This Row],[IPP (3 YEARS AVERAGE)]]="","(IPP Belum Ada)",IF(Data_Assessment[[#This Row],[IPP (3 YEARS AVERAGE)]]&lt;2,'9 Grid'!$F$2,IF(Data_Assessment[[#This Row],[IPP (3 YEARS AVERAGE)]]&gt;=4,'9 Grid'!$D$2,'9 Grid'!$E$2))),"")</f>
        <v>Contributor</v>
      </c>
      <c r="O186" s="146" t="str">
        <f ca="1">IFERROR(INDEX('9 Grid'!$D$4:$F$6,MATCH('Rekomendasi HAV'!M186,'9 Grid'!$B$4:$B$6,0),MATCH('Rekomendasi HAV'!N186,'9 Grid'!$D$2:$F$2,0)),"")</f>
        <v/>
      </c>
      <c r="P186" s="147" t="str">
        <f>IFERROR(INDEX('9 Grid'!$D$8:$F$8,1,MATCH('Rekomendasi HAV'!N186,'9 Grid'!$D$2:$F$2,0)),"")</f>
        <v>(LT) More 2 - 3 year</v>
      </c>
    </row>
    <row r="187" spans="1:16" ht="28.5">
      <c r="A187" s="67">
        <v>186</v>
      </c>
      <c r="B187" s="68" t="str">
        <f>INDEX(Data_Assessment[],MATCH('Rekomendasi HAV'!$A187,Data_Assessment[[INDEX]:[INDEX]],0),MATCH('Rekomendasi HAV'!B$1,Data_Assessment[#Headers],0))</f>
        <v>M. Syahid, Amd</v>
      </c>
      <c r="C187" s="68" t="str">
        <f>INDEX(Data_Assessment[],MATCH('Rekomendasi HAV'!$A187,Data_Assessment[[INDEX]:[INDEX]],0),MATCH('Rekomendasi HAV'!C$1,Data_Assessment[#Headers],0))</f>
        <v>Palembang</v>
      </c>
      <c r="D187" s="68" t="str">
        <f>INDEX(Data_Assessment[],MATCH('Rekomendasi HAV'!$A187,Data_Assessment[[INDEX]:[INDEX]],0),MATCH('Rekomendasi HAV'!D$1,Data_Assessment[#Headers],0))</f>
        <v>LSIP - RO Palembang</v>
      </c>
      <c r="E187" s="68">
        <f>INDEX(Data_Assessment[],MATCH('Rekomendasi HAV'!$B187,Data_Assessment[[NAME]:[NAME]],0),MATCH('Rekomendasi HAV'!E$1,Data_Assessment[#Headers],0))</f>
        <v>0</v>
      </c>
      <c r="F187" s="68"/>
      <c r="G187" s="68">
        <f>IF(ISNUMBER(SEARCH("DEV",Assessment[[#This Row],[JOB TARGET]])),SUBSTITUTE(Assessment[[#This Row],[JOB TARGET]],"DEV","EST"),Assessment[[#This Row],[JOB TARGET]])</f>
        <v>0</v>
      </c>
      <c r="H187" s="146" t="str" cm="1">
        <f t="array" aca="1" ref="H187" ca="1">IF(Assessment[[#This Row],[JOB TARGET]]="","Job Target Kosong",IF(COUNT(IF('Data Assessment'!$N187:$Z187-OFFSET(Standar!$B$2,MATCH(Assessment[[#This Row],[JOB TARGET
(EST)]],Standar[NAMA JABATAN],0)-1,1,1,13)&lt;0,1,""))&lt;=3,'9 Grid'!$B$4,IF(COUNT(IF('Data Assessment'!$N187:$Z187-OFFSET(Standar!$B$2,MATCH(Assessment[[#This Row],[JOB TARGET]],Standar[NAMA JABATAN],0)-1,1,1,13)&lt;0,1,""))&gt;=7,'9 Grid'!$B$6,'9 Grid'!$B$5)))</f>
        <v>Job Target Kosong</v>
      </c>
      <c r="I187" s="146" t="str">
        <f>IFERROR(IF(Data_Assessment[[#This Row],[IPP (3 YEARS AVERAGE)]]="","(IPP Belum Ada)",IF(Data_Assessment[[#This Row],[IPP (3 YEARS AVERAGE)]]&lt;2,'9 Grid'!$F$2,IF(Data_Assessment[[#This Row],[IPP (3 YEARS AVERAGE)]]&gt;=4,'9 Grid'!$D$2,'9 Grid'!$E$2))),"")</f>
        <v>Fully Competence Performance</v>
      </c>
      <c r="J187" s="146" t="str">
        <f ca="1">IFERROR(INDEX('9 Grid'!$D$4:$F$6,MATCH('Rekomendasi HAV'!H187,'9 Grid'!$B$4:$B$6,0),MATCH('Rekomendasi HAV'!I187,'9 Grid'!$D$2:$F$2,0)),"")</f>
        <v/>
      </c>
      <c r="K187" s="146" t="str">
        <f>IFERROR(INDEX('9 Grid'!$D$8:$F$8,1,MATCH('Rekomendasi HAV'!I187,'9 Grid'!$D$2:$F$2,0)),"")</f>
        <v>(ST) Within 12 - 18 month</v>
      </c>
      <c r="L187" s="146">
        <f>IF(ISNUMBER(SEARCH("EST",Assessment[[#This Row],[JOB TARGET]])),SUBSTITUTE(Assessment[[#This Row],[JOB TARGET]],"EST","DEV"),Assessment[[#This Row],[JOB TARGET]])</f>
        <v>0</v>
      </c>
      <c r="M187" s="146" t="str" cm="1">
        <f t="array" aca="1" ref="M187" ca="1">IF(Assessment[[#This Row],[JOB TARGET]]="","Job Target Kosong",IF(COUNT(IF('Data Assessment'!$N187:$Z187-OFFSET(Standar!$B$2,MATCH(Assessment[[#This Row],[JOB TARGET
(DEV)]],Standar[NAMA JABATAN],0)-1,1,1,13)&lt;0,1,""))&lt;=3,'9 Grid'!$B$4,IF(COUNT(IF('Data Assessment'!$N187:$Z187-OFFSET(Standar!$B$2,MATCH(Assessment[[#This Row],[JOB TARGET
(DEV)]],Standar[NAMA JABATAN],0)-1,1,1,13)&lt;0,1,""))&gt;=7,'9 Grid'!$B$6,'9 Grid'!$B$5)))</f>
        <v>Job Target Kosong</v>
      </c>
      <c r="N187" s="146" t="str">
        <f>IFERROR(IF(Data_Assessment[[#This Row],[IPP (3 YEARS AVERAGE)]]="","(IPP Belum Ada)",IF(Data_Assessment[[#This Row],[IPP (3 YEARS AVERAGE)]]&lt;2,'9 Grid'!$F$2,IF(Data_Assessment[[#This Row],[IPP (3 YEARS AVERAGE)]]&gt;=4,'9 Grid'!$D$2,'9 Grid'!$E$2))),"")</f>
        <v>Fully Competence Performance</v>
      </c>
      <c r="O187" s="146" t="str">
        <f ca="1">IFERROR(INDEX('9 Grid'!$D$4:$F$6,MATCH('Rekomendasi HAV'!M187,'9 Grid'!$B$4:$B$6,0),MATCH('Rekomendasi HAV'!N187,'9 Grid'!$D$2:$F$2,0)),"")</f>
        <v/>
      </c>
      <c r="P187" s="147" t="str">
        <f>IFERROR(INDEX('9 Grid'!$D$8:$F$8,1,MATCH('Rekomendasi HAV'!N187,'9 Grid'!$D$2:$F$2,0)),"")</f>
        <v>(ST) Within 12 - 18 month</v>
      </c>
    </row>
    <row r="188" spans="1:16" ht="28.5">
      <c r="A188" s="67">
        <v>187</v>
      </c>
      <c r="B188" s="68" t="str">
        <f>INDEX(Data_Assessment[],MATCH('Rekomendasi HAV'!$A188,Data_Assessment[[INDEX]:[INDEX]],0),MATCH('Rekomendasi HAV'!B$1,Data_Assessment[#Headers],0))</f>
        <v>Irma Ul Hidayah, SE</v>
      </c>
      <c r="C188" s="68" t="str">
        <f>INDEX(Data_Assessment[],MATCH('Rekomendasi HAV'!$A188,Data_Assessment[[INDEX]:[INDEX]],0),MATCH('Rekomendasi HAV'!C$1,Data_Assessment[#Headers],0))</f>
        <v>Palembang</v>
      </c>
      <c r="D188" s="68" t="str">
        <f>INDEX(Data_Assessment[],MATCH('Rekomendasi HAV'!$A188,Data_Assessment[[INDEX]:[INDEX]],0),MATCH('Rekomendasi HAV'!D$1,Data_Assessment[#Headers],0))</f>
        <v>LSIP - RO Palembang</v>
      </c>
      <c r="E188" s="68">
        <f>INDEX(Data_Assessment[],MATCH('Rekomendasi HAV'!$B188,Data_Assessment[[NAME]:[NAME]],0),MATCH('Rekomendasi HAV'!E$1,Data_Assessment[#Headers],0))</f>
        <v>0</v>
      </c>
      <c r="F188" s="68"/>
      <c r="G188" s="68">
        <f>IF(ISNUMBER(SEARCH("DEV",Assessment[[#This Row],[JOB TARGET]])),SUBSTITUTE(Assessment[[#This Row],[JOB TARGET]],"DEV","EST"),Assessment[[#This Row],[JOB TARGET]])</f>
        <v>0</v>
      </c>
      <c r="H188" s="146" t="str" cm="1">
        <f t="array" aca="1" ref="H188" ca="1">IF(Assessment[[#This Row],[JOB TARGET]]="","Job Target Kosong",IF(COUNT(IF('Data Assessment'!$N188:$Z188-OFFSET(Standar!$B$2,MATCH(Assessment[[#This Row],[JOB TARGET
(EST)]],Standar[NAMA JABATAN],0)-1,1,1,13)&lt;0,1,""))&lt;=3,'9 Grid'!$B$4,IF(COUNT(IF('Data Assessment'!$N188:$Z188-OFFSET(Standar!$B$2,MATCH(Assessment[[#This Row],[JOB TARGET]],Standar[NAMA JABATAN],0)-1,1,1,13)&lt;0,1,""))&gt;=7,'9 Grid'!$B$6,'9 Grid'!$B$5)))</f>
        <v>Job Target Kosong</v>
      </c>
      <c r="I188" s="146" t="str">
        <f>IFERROR(IF(Data_Assessment[[#This Row],[IPP (3 YEARS AVERAGE)]]="","(IPP Belum Ada)",IF(Data_Assessment[[#This Row],[IPP (3 YEARS AVERAGE)]]&lt;2,'9 Grid'!$F$2,IF(Data_Assessment[[#This Row],[IPP (3 YEARS AVERAGE)]]&gt;=4,'9 Grid'!$D$2,'9 Grid'!$E$2))),"")</f>
        <v>Fully Competence Performance</v>
      </c>
      <c r="J188" s="146" t="str">
        <f ca="1">IFERROR(INDEX('9 Grid'!$D$4:$F$6,MATCH('Rekomendasi HAV'!H188,'9 Grid'!$B$4:$B$6,0),MATCH('Rekomendasi HAV'!I188,'9 Grid'!$D$2:$F$2,0)),"")</f>
        <v/>
      </c>
      <c r="K188" s="146" t="str">
        <f>IFERROR(INDEX('9 Grid'!$D$8:$F$8,1,MATCH('Rekomendasi HAV'!I188,'9 Grid'!$D$2:$F$2,0)),"")</f>
        <v>(ST) Within 12 - 18 month</v>
      </c>
      <c r="L188" s="146">
        <f>IF(ISNUMBER(SEARCH("EST",Assessment[[#This Row],[JOB TARGET]])),SUBSTITUTE(Assessment[[#This Row],[JOB TARGET]],"EST","DEV"),Assessment[[#This Row],[JOB TARGET]])</f>
        <v>0</v>
      </c>
      <c r="M188" s="146" t="str" cm="1">
        <f t="array" aca="1" ref="M188" ca="1">IF(Assessment[[#This Row],[JOB TARGET]]="","Job Target Kosong",IF(COUNT(IF('Data Assessment'!$N188:$Z188-OFFSET(Standar!$B$2,MATCH(Assessment[[#This Row],[JOB TARGET
(DEV)]],Standar[NAMA JABATAN],0)-1,1,1,13)&lt;0,1,""))&lt;=3,'9 Grid'!$B$4,IF(COUNT(IF('Data Assessment'!$N188:$Z188-OFFSET(Standar!$B$2,MATCH(Assessment[[#This Row],[JOB TARGET
(DEV)]],Standar[NAMA JABATAN],0)-1,1,1,13)&lt;0,1,""))&gt;=7,'9 Grid'!$B$6,'9 Grid'!$B$5)))</f>
        <v>Job Target Kosong</v>
      </c>
      <c r="N188" s="146" t="str">
        <f>IFERROR(IF(Data_Assessment[[#This Row],[IPP (3 YEARS AVERAGE)]]="","(IPP Belum Ada)",IF(Data_Assessment[[#This Row],[IPP (3 YEARS AVERAGE)]]&lt;2,'9 Grid'!$F$2,IF(Data_Assessment[[#This Row],[IPP (3 YEARS AVERAGE)]]&gt;=4,'9 Grid'!$D$2,'9 Grid'!$E$2))),"")</f>
        <v>Fully Competence Performance</v>
      </c>
      <c r="O188" s="146" t="str">
        <f ca="1">IFERROR(INDEX('9 Grid'!$D$4:$F$6,MATCH('Rekomendasi HAV'!M188,'9 Grid'!$B$4:$B$6,0),MATCH('Rekomendasi HAV'!N188,'9 Grid'!$D$2:$F$2,0)),"")</f>
        <v/>
      </c>
      <c r="P188" s="147" t="str">
        <f>IFERROR(INDEX('9 Grid'!$D$8:$F$8,1,MATCH('Rekomendasi HAV'!N188,'9 Grid'!$D$2:$F$2,0)),"")</f>
        <v>(ST) Within 12 - 18 month</v>
      </c>
    </row>
    <row r="189" spans="1:16" ht="28.5">
      <c r="A189" s="67">
        <v>188</v>
      </c>
      <c r="B189" s="68" t="str">
        <f>INDEX(Data_Assessment[],MATCH('Rekomendasi HAV'!$A189,Data_Assessment[[INDEX]:[INDEX]],0),MATCH('Rekomendasi HAV'!B$1,Data_Assessment[#Headers],0))</f>
        <v>Febru Hartati, SH</v>
      </c>
      <c r="C189" s="68" t="str">
        <f>INDEX(Data_Assessment[],MATCH('Rekomendasi HAV'!$A189,Data_Assessment[[INDEX]:[INDEX]],0),MATCH('Rekomendasi HAV'!C$1,Data_Assessment[#Headers],0))</f>
        <v>Palembang</v>
      </c>
      <c r="D189" s="68" t="str">
        <f>INDEX(Data_Assessment[],MATCH('Rekomendasi HAV'!$A189,Data_Assessment[[INDEX]:[INDEX]],0),MATCH('Rekomendasi HAV'!D$1,Data_Assessment[#Headers],0))</f>
        <v>LSIP - RO Palembang</v>
      </c>
      <c r="E189" s="68">
        <f>INDEX(Data_Assessment[],MATCH('Rekomendasi HAV'!$B189,Data_Assessment[[NAME]:[NAME]],0),MATCH('Rekomendasi HAV'!E$1,Data_Assessment[#Headers],0))</f>
        <v>0</v>
      </c>
      <c r="F189" s="68"/>
      <c r="G189" s="68">
        <f>IF(ISNUMBER(SEARCH("DEV",Assessment[[#This Row],[JOB TARGET]])),SUBSTITUTE(Assessment[[#This Row],[JOB TARGET]],"DEV","EST"),Assessment[[#This Row],[JOB TARGET]])</f>
        <v>0</v>
      </c>
      <c r="H189" s="146" t="str" cm="1">
        <f t="array" aca="1" ref="H189" ca="1">IF(Assessment[[#This Row],[JOB TARGET]]="","Job Target Kosong",IF(COUNT(IF('Data Assessment'!$N189:$Z189-OFFSET(Standar!$B$2,MATCH(Assessment[[#This Row],[JOB TARGET
(EST)]],Standar[NAMA JABATAN],0)-1,1,1,13)&lt;0,1,""))&lt;=3,'9 Grid'!$B$4,IF(COUNT(IF('Data Assessment'!$N189:$Z189-OFFSET(Standar!$B$2,MATCH(Assessment[[#This Row],[JOB TARGET]],Standar[NAMA JABATAN],0)-1,1,1,13)&lt;0,1,""))&gt;=7,'9 Grid'!$B$6,'9 Grid'!$B$5)))</f>
        <v>Job Target Kosong</v>
      </c>
      <c r="I189" s="146" t="str">
        <f>IFERROR(IF(Data_Assessment[[#This Row],[IPP (3 YEARS AVERAGE)]]="","(IPP Belum Ada)",IF(Data_Assessment[[#This Row],[IPP (3 YEARS AVERAGE)]]&lt;2,'9 Grid'!$F$2,IF(Data_Assessment[[#This Row],[IPP (3 YEARS AVERAGE)]]&gt;=4,'9 Grid'!$D$2,'9 Grid'!$E$2))),"")</f>
        <v>Fully Competence Performance</v>
      </c>
      <c r="J189" s="146" t="str">
        <f ca="1">IFERROR(INDEX('9 Grid'!$D$4:$F$6,MATCH('Rekomendasi HAV'!H189,'9 Grid'!$B$4:$B$6,0),MATCH('Rekomendasi HAV'!I189,'9 Grid'!$D$2:$F$2,0)),"")</f>
        <v/>
      </c>
      <c r="K189" s="146" t="str">
        <f>IFERROR(INDEX('9 Grid'!$D$8:$F$8,1,MATCH('Rekomendasi HAV'!I189,'9 Grid'!$D$2:$F$2,0)),"")</f>
        <v>(ST) Within 12 - 18 month</v>
      </c>
      <c r="L189" s="146">
        <f>IF(ISNUMBER(SEARCH("EST",Assessment[[#This Row],[JOB TARGET]])),SUBSTITUTE(Assessment[[#This Row],[JOB TARGET]],"EST","DEV"),Assessment[[#This Row],[JOB TARGET]])</f>
        <v>0</v>
      </c>
      <c r="M189" s="146" t="str" cm="1">
        <f t="array" aca="1" ref="M189" ca="1">IF(Assessment[[#This Row],[JOB TARGET]]="","Job Target Kosong",IF(COUNT(IF('Data Assessment'!$N189:$Z189-OFFSET(Standar!$B$2,MATCH(Assessment[[#This Row],[JOB TARGET
(DEV)]],Standar[NAMA JABATAN],0)-1,1,1,13)&lt;0,1,""))&lt;=3,'9 Grid'!$B$4,IF(COUNT(IF('Data Assessment'!$N189:$Z189-OFFSET(Standar!$B$2,MATCH(Assessment[[#This Row],[JOB TARGET
(DEV)]],Standar[NAMA JABATAN],0)-1,1,1,13)&lt;0,1,""))&gt;=7,'9 Grid'!$B$6,'9 Grid'!$B$5)))</f>
        <v>Job Target Kosong</v>
      </c>
      <c r="N189" s="146" t="str">
        <f>IFERROR(IF(Data_Assessment[[#This Row],[IPP (3 YEARS AVERAGE)]]="","(IPP Belum Ada)",IF(Data_Assessment[[#This Row],[IPP (3 YEARS AVERAGE)]]&lt;2,'9 Grid'!$F$2,IF(Data_Assessment[[#This Row],[IPP (3 YEARS AVERAGE)]]&gt;=4,'9 Grid'!$D$2,'9 Grid'!$E$2))),"")</f>
        <v>Fully Competence Performance</v>
      </c>
      <c r="O189" s="146" t="str">
        <f ca="1">IFERROR(INDEX('9 Grid'!$D$4:$F$6,MATCH('Rekomendasi HAV'!M189,'9 Grid'!$B$4:$B$6,0),MATCH('Rekomendasi HAV'!N189,'9 Grid'!$D$2:$F$2,0)),"")</f>
        <v/>
      </c>
      <c r="P189" s="147" t="str">
        <f>IFERROR(INDEX('9 Grid'!$D$8:$F$8,1,MATCH('Rekomendasi HAV'!N189,'9 Grid'!$D$2:$F$2,0)),"")</f>
        <v>(ST) Within 12 - 18 month</v>
      </c>
    </row>
    <row r="190" spans="1:16" ht="28.5">
      <c r="A190" s="67">
        <v>189</v>
      </c>
      <c r="B190" s="68" t="str">
        <f>INDEX(Data_Assessment[],MATCH('Rekomendasi HAV'!$A190,Data_Assessment[[INDEX]:[INDEX]],0),MATCH('Rekomendasi HAV'!B$1,Data_Assessment[#Headers],0))</f>
        <v>Jupiter Manurung</v>
      </c>
      <c r="C190" s="68" t="str">
        <f>INDEX(Data_Assessment[],MATCH('Rekomendasi HAV'!$A190,Data_Assessment[[INDEX]:[INDEX]],0),MATCH('Rekomendasi HAV'!C$1,Data_Assessment[#Headers],0))</f>
        <v>Sumatera Selatan</v>
      </c>
      <c r="D190" s="68" t="str">
        <f>INDEX(Data_Assessment[],MATCH('Rekomendasi HAV'!$A190,Data_Assessment[[INDEX]:[INDEX]],0),MATCH('Rekomendasi HAV'!D$1,Data_Assessment[#Headers],0))</f>
        <v>LSIP - Sei Lakitan Palm Oil Mill</v>
      </c>
      <c r="E190" s="68">
        <f>INDEX(Data_Assessment[],MATCH('Rekomendasi HAV'!$B190,Data_Assessment[[NAME]:[NAME]],0),MATCH('Rekomendasi HAV'!E$1,Data_Assessment[#Headers],0))</f>
        <v>0</v>
      </c>
      <c r="F190" s="68"/>
      <c r="G190" s="68">
        <f>IF(ISNUMBER(SEARCH("DEV",Assessment[[#This Row],[JOB TARGET]])),SUBSTITUTE(Assessment[[#This Row],[JOB TARGET]],"DEV","EST"),Assessment[[#This Row],[JOB TARGET]])</f>
        <v>0</v>
      </c>
      <c r="H190" s="146" t="str" cm="1">
        <f t="array" aca="1" ref="H190" ca="1">IF(Assessment[[#This Row],[JOB TARGET]]="","Job Target Kosong",IF(COUNT(IF('Data Assessment'!$N190:$Z190-OFFSET(Standar!$B$2,MATCH(Assessment[[#This Row],[JOB TARGET
(EST)]],Standar[NAMA JABATAN],0)-1,1,1,13)&lt;0,1,""))&lt;=3,'9 Grid'!$B$4,IF(COUNT(IF('Data Assessment'!$N190:$Z190-OFFSET(Standar!$B$2,MATCH(Assessment[[#This Row],[JOB TARGET]],Standar[NAMA JABATAN],0)-1,1,1,13)&lt;0,1,""))&gt;=7,'9 Grid'!$B$6,'9 Grid'!$B$5)))</f>
        <v>Job Target Kosong</v>
      </c>
      <c r="I190" s="146" t="str">
        <f>IFERROR(IF(Data_Assessment[[#This Row],[IPP (3 YEARS AVERAGE)]]="","(IPP Belum Ada)",IF(Data_Assessment[[#This Row],[IPP (3 YEARS AVERAGE)]]&lt;2,'9 Grid'!$F$2,IF(Data_Assessment[[#This Row],[IPP (3 YEARS AVERAGE)]]&gt;=4,'9 Grid'!$D$2,'9 Grid'!$E$2))),"")</f>
        <v>Contributor</v>
      </c>
      <c r="J190" s="146" t="str">
        <f ca="1">IFERROR(INDEX('9 Grid'!$D$4:$F$6,MATCH('Rekomendasi HAV'!H190,'9 Grid'!$B$4:$B$6,0),MATCH('Rekomendasi HAV'!I190,'9 Grid'!$D$2:$F$2,0)),"")</f>
        <v/>
      </c>
      <c r="K190" s="146" t="str">
        <f>IFERROR(INDEX('9 Grid'!$D$8:$F$8,1,MATCH('Rekomendasi HAV'!I190,'9 Grid'!$D$2:$F$2,0)),"")</f>
        <v>(LT) More 2 - 3 year</v>
      </c>
      <c r="L190" s="146">
        <f>IF(ISNUMBER(SEARCH("EST",Assessment[[#This Row],[JOB TARGET]])),SUBSTITUTE(Assessment[[#This Row],[JOB TARGET]],"EST","DEV"),Assessment[[#This Row],[JOB TARGET]])</f>
        <v>0</v>
      </c>
      <c r="M190" s="146" t="str" cm="1">
        <f t="array" aca="1" ref="M190" ca="1">IF(Assessment[[#This Row],[JOB TARGET]]="","Job Target Kosong",IF(COUNT(IF('Data Assessment'!$N190:$Z190-OFFSET(Standar!$B$2,MATCH(Assessment[[#This Row],[JOB TARGET
(DEV)]],Standar[NAMA JABATAN],0)-1,1,1,13)&lt;0,1,""))&lt;=3,'9 Grid'!$B$4,IF(COUNT(IF('Data Assessment'!$N190:$Z190-OFFSET(Standar!$B$2,MATCH(Assessment[[#This Row],[JOB TARGET
(DEV)]],Standar[NAMA JABATAN],0)-1,1,1,13)&lt;0,1,""))&gt;=7,'9 Grid'!$B$6,'9 Grid'!$B$5)))</f>
        <v>Job Target Kosong</v>
      </c>
      <c r="N190" s="146" t="str">
        <f>IFERROR(IF(Data_Assessment[[#This Row],[IPP (3 YEARS AVERAGE)]]="","(IPP Belum Ada)",IF(Data_Assessment[[#This Row],[IPP (3 YEARS AVERAGE)]]&lt;2,'9 Grid'!$F$2,IF(Data_Assessment[[#This Row],[IPP (3 YEARS AVERAGE)]]&gt;=4,'9 Grid'!$D$2,'9 Grid'!$E$2))),"")</f>
        <v>Contributor</v>
      </c>
      <c r="O190" s="146" t="str">
        <f ca="1">IFERROR(INDEX('9 Grid'!$D$4:$F$6,MATCH('Rekomendasi HAV'!M190,'9 Grid'!$B$4:$B$6,0),MATCH('Rekomendasi HAV'!N190,'9 Grid'!$D$2:$F$2,0)),"")</f>
        <v/>
      </c>
      <c r="P190" s="147" t="str">
        <f>IFERROR(INDEX('9 Grid'!$D$8:$F$8,1,MATCH('Rekomendasi HAV'!N190,'9 Grid'!$D$2:$F$2,0)),"")</f>
        <v>(LT) More 2 - 3 year</v>
      </c>
    </row>
    <row r="191" spans="1:16" ht="28.5">
      <c r="A191" s="67">
        <v>190</v>
      </c>
      <c r="B191" s="68" t="str">
        <f>INDEX(Data_Assessment[],MATCH('Rekomendasi HAV'!$A191,Data_Assessment[[INDEX]:[INDEX]],0),MATCH('Rekomendasi HAV'!B$1,Data_Assessment[#Headers],0))</f>
        <v>Dedy Darwinsyah</v>
      </c>
      <c r="C191" s="68" t="str">
        <f>INDEX(Data_Assessment[],MATCH('Rekomendasi HAV'!$A191,Data_Assessment[[INDEX]:[INDEX]],0),MATCH('Rekomendasi HAV'!C$1,Data_Assessment[#Headers],0))</f>
        <v>Palembang</v>
      </c>
      <c r="D191" s="68" t="str">
        <f>INDEX(Data_Assessment[],MATCH('Rekomendasi HAV'!$A191,Data_Assessment[[INDEX]:[INDEX]],0),MATCH('Rekomendasi HAV'!D$1,Data_Assessment[#Headers],0))</f>
        <v>LSIP - RO Palembang</v>
      </c>
      <c r="E191" s="68">
        <f>INDEX(Data_Assessment[],MATCH('Rekomendasi HAV'!$B191,Data_Assessment[[NAME]:[NAME]],0),MATCH('Rekomendasi HAV'!E$1,Data_Assessment[#Headers],0))</f>
        <v>0</v>
      </c>
      <c r="F191" s="68"/>
      <c r="G191" s="68">
        <f>IF(ISNUMBER(SEARCH("DEV",Assessment[[#This Row],[JOB TARGET]])),SUBSTITUTE(Assessment[[#This Row],[JOB TARGET]],"DEV","EST"),Assessment[[#This Row],[JOB TARGET]])</f>
        <v>0</v>
      </c>
      <c r="H191" s="146" t="str" cm="1">
        <f t="array" aca="1" ref="H191" ca="1">IF(Assessment[[#This Row],[JOB TARGET]]="","Job Target Kosong",IF(COUNT(IF('Data Assessment'!$N191:$Z191-OFFSET(Standar!$B$2,MATCH(Assessment[[#This Row],[JOB TARGET
(EST)]],Standar[NAMA JABATAN],0)-1,1,1,13)&lt;0,1,""))&lt;=3,'9 Grid'!$B$4,IF(COUNT(IF('Data Assessment'!$N191:$Z191-OFFSET(Standar!$B$2,MATCH(Assessment[[#This Row],[JOB TARGET]],Standar[NAMA JABATAN],0)-1,1,1,13)&lt;0,1,""))&gt;=7,'9 Grid'!$B$6,'9 Grid'!$B$5)))</f>
        <v>Job Target Kosong</v>
      </c>
      <c r="I191" s="146" t="str">
        <f>IFERROR(IF(Data_Assessment[[#This Row],[IPP (3 YEARS AVERAGE)]]="","(IPP Belum Ada)",IF(Data_Assessment[[#This Row],[IPP (3 YEARS AVERAGE)]]&lt;2,'9 Grid'!$F$2,IF(Data_Assessment[[#This Row],[IPP (3 YEARS AVERAGE)]]&gt;=4,'9 Grid'!$D$2,'9 Grid'!$E$2))),"")</f>
        <v>Fully Competence Performance</v>
      </c>
      <c r="J191" s="146" t="str">
        <f ca="1">IFERROR(INDEX('9 Grid'!$D$4:$F$6,MATCH('Rekomendasi HAV'!H191,'9 Grid'!$B$4:$B$6,0),MATCH('Rekomendasi HAV'!I191,'9 Grid'!$D$2:$F$2,0)),"")</f>
        <v/>
      </c>
      <c r="K191" s="146" t="str">
        <f>IFERROR(INDEX('9 Grid'!$D$8:$F$8,1,MATCH('Rekomendasi HAV'!I191,'9 Grid'!$D$2:$F$2,0)),"")</f>
        <v>(ST) Within 12 - 18 month</v>
      </c>
      <c r="L191" s="146">
        <f>IF(ISNUMBER(SEARCH("EST",Assessment[[#This Row],[JOB TARGET]])),SUBSTITUTE(Assessment[[#This Row],[JOB TARGET]],"EST","DEV"),Assessment[[#This Row],[JOB TARGET]])</f>
        <v>0</v>
      </c>
      <c r="M191" s="146" t="str" cm="1">
        <f t="array" aca="1" ref="M191" ca="1">IF(Assessment[[#This Row],[JOB TARGET]]="","Job Target Kosong",IF(COUNT(IF('Data Assessment'!$N191:$Z191-OFFSET(Standar!$B$2,MATCH(Assessment[[#This Row],[JOB TARGET
(DEV)]],Standar[NAMA JABATAN],0)-1,1,1,13)&lt;0,1,""))&lt;=3,'9 Grid'!$B$4,IF(COUNT(IF('Data Assessment'!$N191:$Z191-OFFSET(Standar!$B$2,MATCH(Assessment[[#This Row],[JOB TARGET
(DEV)]],Standar[NAMA JABATAN],0)-1,1,1,13)&lt;0,1,""))&gt;=7,'9 Grid'!$B$6,'9 Grid'!$B$5)))</f>
        <v>Job Target Kosong</v>
      </c>
      <c r="N191" s="146" t="str">
        <f>IFERROR(IF(Data_Assessment[[#This Row],[IPP (3 YEARS AVERAGE)]]="","(IPP Belum Ada)",IF(Data_Assessment[[#This Row],[IPP (3 YEARS AVERAGE)]]&lt;2,'9 Grid'!$F$2,IF(Data_Assessment[[#This Row],[IPP (3 YEARS AVERAGE)]]&gt;=4,'9 Grid'!$D$2,'9 Grid'!$E$2))),"")</f>
        <v>Fully Competence Performance</v>
      </c>
      <c r="O191" s="146" t="str">
        <f ca="1">IFERROR(INDEX('9 Grid'!$D$4:$F$6,MATCH('Rekomendasi HAV'!M191,'9 Grid'!$B$4:$B$6,0),MATCH('Rekomendasi HAV'!N191,'9 Grid'!$D$2:$F$2,0)),"")</f>
        <v/>
      </c>
      <c r="P191" s="147" t="str">
        <f>IFERROR(INDEX('9 Grid'!$D$8:$F$8,1,MATCH('Rekomendasi HAV'!N191,'9 Grid'!$D$2:$F$2,0)),"")</f>
        <v>(ST) Within 12 - 18 month</v>
      </c>
    </row>
    <row r="192" spans="1:16" ht="28.5">
      <c r="A192" s="67">
        <v>191</v>
      </c>
      <c r="B192" s="68" t="str">
        <f>INDEX(Data_Assessment[],MATCH('Rekomendasi HAV'!$A192,Data_Assessment[[INDEX]:[INDEX]],0),MATCH('Rekomendasi HAV'!B$1,Data_Assessment[#Headers],0))</f>
        <v>Yoki Hermanto</v>
      </c>
      <c r="C192" s="68" t="str">
        <f>INDEX(Data_Assessment[],MATCH('Rekomendasi HAV'!$A192,Data_Assessment[[INDEX]:[INDEX]],0),MATCH('Rekomendasi HAV'!C$1,Data_Assessment[#Headers],0))</f>
        <v>Sumatera Utara</v>
      </c>
      <c r="D192" s="68" t="str">
        <f>INDEX(Data_Assessment[],MATCH('Rekomendasi HAV'!$A192,Data_Assessment[[INDEX]:[INDEX]],0),MATCH('Rekomendasi HAV'!D$1,Data_Assessment[#Headers],0))</f>
        <v>LSIP - Turangie Estate</v>
      </c>
      <c r="E192" s="68">
        <f>INDEX(Data_Assessment[],MATCH('Rekomendasi HAV'!$B192,Data_Assessment[[NAME]:[NAME]],0),MATCH('Rekomendasi HAV'!E$1,Data_Assessment[#Headers],0))</f>
        <v>0</v>
      </c>
      <c r="F192" s="68"/>
      <c r="G192" s="68">
        <f>IF(ISNUMBER(SEARCH("DEV",Assessment[[#This Row],[JOB TARGET]])),SUBSTITUTE(Assessment[[#This Row],[JOB TARGET]],"DEV","EST"),Assessment[[#This Row],[JOB TARGET]])</f>
        <v>0</v>
      </c>
      <c r="H192" s="146" t="str" cm="1">
        <f t="array" aca="1" ref="H192" ca="1">IF(Assessment[[#This Row],[JOB TARGET]]="","Job Target Kosong",IF(COUNT(IF('Data Assessment'!$N192:$Z192-OFFSET(Standar!$B$2,MATCH(Assessment[[#This Row],[JOB TARGET
(EST)]],Standar[NAMA JABATAN],0)-1,1,1,13)&lt;0,1,""))&lt;=3,'9 Grid'!$B$4,IF(COUNT(IF('Data Assessment'!$N192:$Z192-OFFSET(Standar!$B$2,MATCH(Assessment[[#This Row],[JOB TARGET]],Standar[NAMA JABATAN],0)-1,1,1,13)&lt;0,1,""))&gt;=7,'9 Grid'!$B$6,'9 Grid'!$B$5)))</f>
        <v>Job Target Kosong</v>
      </c>
      <c r="I192" s="146" t="str">
        <f>IFERROR(IF(Data_Assessment[[#This Row],[IPP (3 YEARS AVERAGE)]]="","(IPP Belum Ada)",IF(Data_Assessment[[#This Row],[IPP (3 YEARS AVERAGE)]]&lt;2,'9 Grid'!$F$2,IF(Data_Assessment[[#This Row],[IPP (3 YEARS AVERAGE)]]&gt;=4,'9 Grid'!$D$2,'9 Grid'!$E$2))),"")</f>
        <v>Contributor</v>
      </c>
      <c r="J192" s="146" t="str">
        <f ca="1">IFERROR(INDEX('9 Grid'!$D$4:$F$6,MATCH('Rekomendasi HAV'!H192,'9 Grid'!$B$4:$B$6,0),MATCH('Rekomendasi HAV'!I192,'9 Grid'!$D$2:$F$2,0)),"")</f>
        <v/>
      </c>
      <c r="K192" s="146" t="str">
        <f>IFERROR(INDEX('9 Grid'!$D$8:$F$8,1,MATCH('Rekomendasi HAV'!I192,'9 Grid'!$D$2:$F$2,0)),"")</f>
        <v>(LT) More 2 - 3 year</v>
      </c>
      <c r="L192" s="146">
        <f>IF(ISNUMBER(SEARCH("EST",Assessment[[#This Row],[JOB TARGET]])),SUBSTITUTE(Assessment[[#This Row],[JOB TARGET]],"EST","DEV"),Assessment[[#This Row],[JOB TARGET]])</f>
        <v>0</v>
      </c>
      <c r="M192" s="146" t="str" cm="1">
        <f t="array" aca="1" ref="M192" ca="1">IF(Assessment[[#This Row],[JOB TARGET]]="","Job Target Kosong",IF(COUNT(IF('Data Assessment'!$N192:$Z192-OFFSET(Standar!$B$2,MATCH(Assessment[[#This Row],[JOB TARGET
(DEV)]],Standar[NAMA JABATAN],0)-1,1,1,13)&lt;0,1,""))&lt;=3,'9 Grid'!$B$4,IF(COUNT(IF('Data Assessment'!$N192:$Z192-OFFSET(Standar!$B$2,MATCH(Assessment[[#This Row],[JOB TARGET
(DEV)]],Standar[NAMA JABATAN],0)-1,1,1,13)&lt;0,1,""))&gt;=7,'9 Grid'!$B$6,'9 Grid'!$B$5)))</f>
        <v>Job Target Kosong</v>
      </c>
      <c r="N192" s="146" t="str">
        <f>IFERROR(IF(Data_Assessment[[#This Row],[IPP (3 YEARS AVERAGE)]]="","(IPP Belum Ada)",IF(Data_Assessment[[#This Row],[IPP (3 YEARS AVERAGE)]]&lt;2,'9 Grid'!$F$2,IF(Data_Assessment[[#This Row],[IPP (3 YEARS AVERAGE)]]&gt;=4,'9 Grid'!$D$2,'9 Grid'!$E$2))),"")</f>
        <v>Contributor</v>
      </c>
      <c r="O192" s="146" t="str">
        <f ca="1">IFERROR(INDEX('9 Grid'!$D$4:$F$6,MATCH('Rekomendasi HAV'!M192,'9 Grid'!$B$4:$B$6,0),MATCH('Rekomendasi HAV'!N192,'9 Grid'!$D$2:$F$2,0)),"")</f>
        <v/>
      </c>
      <c r="P192" s="147" t="str">
        <f>IFERROR(INDEX('9 Grid'!$D$8:$F$8,1,MATCH('Rekomendasi HAV'!N192,'9 Grid'!$D$2:$F$2,0)),"")</f>
        <v>(LT) More 2 - 3 year</v>
      </c>
    </row>
    <row r="193" spans="1:16" ht="28.5">
      <c r="A193" s="67">
        <v>192</v>
      </c>
      <c r="B193" s="68" t="str">
        <f>INDEX(Data_Assessment[],MATCH('Rekomendasi HAV'!$A193,Data_Assessment[[INDEX]:[INDEX]],0),MATCH('Rekomendasi HAV'!B$1,Data_Assessment[#Headers],0))</f>
        <v>Jeskia Eduard Tuwoliu</v>
      </c>
      <c r="C193" s="68" t="str">
        <f>INDEX(Data_Assessment[],MATCH('Rekomendasi HAV'!$A193,Data_Assessment[[INDEX]:[INDEX]],0),MATCH('Rekomendasi HAV'!C$1,Data_Assessment[#Headers],0))</f>
        <v>Sulawesi Utara</v>
      </c>
      <c r="D193" s="68" t="str">
        <f>INDEX(Data_Assessment[],MATCH('Rekomendasi HAV'!$A193,Data_Assessment[[INDEX]:[INDEX]],0),MATCH('Rekomendasi HAV'!D$1,Data_Assessment[#Headers],0))</f>
        <v>LSIP - Pungkol Estate</v>
      </c>
      <c r="E193" s="68">
        <f>INDEX(Data_Assessment[],MATCH('Rekomendasi HAV'!$B193,Data_Assessment[[NAME]:[NAME]],0),MATCH('Rekomendasi HAV'!E$1,Data_Assessment[#Headers],0))</f>
        <v>0</v>
      </c>
      <c r="F193" s="68"/>
      <c r="G193" s="68">
        <f>IF(ISNUMBER(SEARCH("DEV",Assessment[[#This Row],[JOB TARGET]])),SUBSTITUTE(Assessment[[#This Row],[JOB TARGET]],"DEV","EST"),Assessment[[#This Row],[JOB TARGET]])</f>
        <v>0</v>
      </c>
      <c r="H193" s="146" t="str" cm="1">
        <f t="array" aca="1" ref="H193" ca="1">IF(Assessment[[#This Row],[JOB TARGET]]="","Job Target Kosong",IF(COUNT(IF('Data Assessment'!$N193:$Z193-OFFSET(Standar!$B$2,MATCH(Assessment[[#This Row],[JOB TARGET
(EST)]],Standar[NAMA JABATAN],0)-1,1,1,13)&lt;0,1,""))&lt;=3,'9 Grid'!$B$4,IF(COUNT(IF('Data Assessment'!$N193:$Z193-OFFSET(Standar!$B$2,MATCH(Assessment[[#This Row],[JOB TARGET]],Standar[NAMA JABATAN],0)-1,1,1,13)&lt;0,1,""))&gt;=7,'9 Grid'!$B$6,'9 Grid'!$B$5)))</f>
        <v>Job Target Kosong</v>
      </c>
      <c r="I193" s="146" t="str">
        <f>IFERROR(IF(Data_Assessment[[#This Row],[IPP (3 YEARS AVERAGE)]]="","(IPP Belum Ada)",IF(Data_Assessment[[#This Row],[IPP (3 YEARS AVERAGE)]]&lt;2,'9 Grid'!$F$2,IF(Data_Assessment[[#This Row],[IPP (3 YEARS AVERAGE)]]&gt;=4,'9 Grid'!$D$2,'9 Grid'!$E$2))),"")</f>
        <v>Contributor</v>
      </c>
      <c r="J193" s="146" t="str">
        <f ca="1">IFERROR(INDEX('9 Grid'!$D$4:$F$6,MATCH('Rekomendasi HAV'!H193,'9 Grid'!$B$4:$B$6,0),MATCH('Rekomendasi HAV'!I193,'9 Grid'!$D$2:$F$2,0)),"")</f>
        <v/>
      </c>
      <c r="K193" s="146" t="str">
        <f>IFERROR(INDEX('9 Grid'!$D$8:$F$8,1,MATCH('Rekomendasi HAV'!I193,'9 Grid'!$D$2:$F$2,0)),"")</f>
        <v>(LT) More 2 - 3 year</v>
      </c>
      <c r="L193" s="146">
        <f>IF(ISNUMBER(SEARCH("EST",Assessment[[#This Row],[JOB TARGET]])),SUBSTITUTE(Assessment[[#This Row],[JOB TARGET]],"EST","DEV"),Assessment[[#This Row],[JOB TARGET]])</f>
        <v>0</v>
      </c>
      <c r="M193" s="146" t="str" cm="1">
        <f t="array" aca="1" ref="M193" ca="1">IF(Assessment[[#This Row],[JOB TARGET]]="","Job Target Kosong",IF(COUNT(IF('Data Assessment'!$N193:$Z193-OFFSET(Standar!$B$2,MATCH(Assessment[[#This Row],[JOB TARGET
(DEV)]],Standar[NAMA JABATAN],0)-1,1,1,13)&lt;0,1,""))&lt;=3,'9 Grid'!$B$4,IF(COUNT(IF('Data Assessment'!$N193:$Z193-OFFSET(Standar!$B$2,MATCH(Assessment[[#This Row],[JOB TARGET
(DEV)]],Standar[NAMA JABATAN],0)-1,1,1,13)&lt;0,1,""))&gt;=7,'9 Grid'!$B$6,'9 Grid'!$B$5)))</f>
        <v>Job Target Kosong</v>
      </c>
      <c r="N193" s="146" t="str">
        <f>IFERROR(IF(Data_Assessment[[#This Row],[IPP (3 YEARS AVERAGE)]]="","(IPP Belum Ada)",IF(Data_Assessment[[#This Row],[IPP (3 YEARS AVERAGE)]]&lt;2,'9 Grid'!$F$2,IF(Data_Assessment[[#This Row],[IPP (3 YEARS AVERAGE)]]&gt;=4,'9 Grid'!$D$2,'9 Grid'!$E$2))),"")</f>
        <v>Contributor</v>
      </c>
      <c r="O193" s="146" t="str">
        <f ca="1">IFERROR(INDEX('9 Grid'!$D$4:$F$6,MATCH('Rekomendasi HAV'!M193,'9 Grid'!$B$4:$B$6,0),MATCH('Rekomendasi HAV'!N193,'9 Grid'!$D$2:$F$2,0)),"")</f>
        <v/>
      </c>
      <c r="P193" s="147" t="str">
        <f>IFERROR(INDEX('9 Grid'!$D$8:$F$8,1,MATCH('Rekomendasi HAV'!N193,'9 Grid'!$D$2:$F$2,0)),"")</f>
        <v>(LT) More 2 - 3 year</v>
      </c>
    </row>
    <row r="194" spans="1:16" ht="28.5">
      <c r="A194" s="67">
        <v>193</v>
      </c>
      <c r="B194" s="68" t="str">
        <f>INDEX(Data_Assessment[],MATCH('Rekomendasi HAV'!$A194,Data_Assessment[[INDEX]:[INDEX]],0),MATCH('Rekomendasi HAV'!B$1,Data_Assessment[#Headers],0))</f>
        <v>Sri Prihatini</v>
      </c>
      <c r="C194" s="68" t="str">
        <f>INDEX(Data_Assessment[],MATCH('Rekomendasi HAV'!$A194,Data_Assessment[[INDEX]:[INDEX]],0),MATCH('Rekomendasi HAV'!C$1,Data_Assessment[#Headers],0))</f>
        <v>Palembang</v>
      </c>
      <c r="D194" s="68" t="str">
        <f>INDEX(Data_Assessment[],MATCH('Rekomendasi HAV'!$A194,Data_Assessment[[INDEX]:[INDEX]],0),MATCH('Rekomendasi HAV'!D$1,Data_Assessment[#Headers],0))</f>
        <v>LSIP - RO Palembang</v>
      </c>
      <c r="E194" s="68">
        <f>INDEX(Data_Assessment[],MATCH('Rekomendasi HAV'!$B194,Data_Assessment[[NAME]:[NAME]],0),MATCH('Rekomendasi HAV'!E$1,Data_Assessment[#Headers],0))</f>
        <v>0</v>
      </c>
      <c r="F194" s="68"/>
      <c r="G194" s="68">
        <f>IF(ISNUMBER(SEARCH("DEV",Assessment[[#This Row],[JOB TARGET]])),SUBSTITUTE(Assessment[[#This Row],[JOB TARGET]],"DEV","EST"),Assessment[[#This Row],[JOB TARGET]])</f>
        <v>0</v>
      </c>
      <c r="H194" s="146" t="str" cm="1">
        <f t="array" aca="1" ref="H194" ca="1">IF(Assessment[[#This Row],[JOB TARGET]]="","Job Target Kosong",IF(COUNT(IF('Data Assessment'!$N194:$Z194-OFFSET(Standar!$B$2,MATCH(Assessment[[#This Row],[JOB TARGET
(EST)]],Standar[NAMA JABATAN],0)-1,1,1,13)&lt;0,1,""))&lt;=3,'9 Grid'!$B$4,IF(COUNT(IF('Data Assessment'!$N194:$Z194-OFFSET(Standar!$B$2,MATCH(Assessment[[#This Row],[JOB TARGET]],Standar[NAMA JABATAN],0)-1,1,1,13)&lt;0,1,""))&gt;=7,'9 Grid'!$B$6,'9 Grid'!$B$5)))</f>
        <v>Job Target Kosong</v>
      </c>
      <c r="I194" s="146" t="str">
        <f>IFERROR(IF(Data_Assessment[[#This Row],[IPP (3 YEARS AVERAGE)]]="","(IPP Belum Ada)",IF(Data_Assessment[[#This Row],[IPP (3 YEARS AVERAGE)]]&lt;2,'9 Grid'!$F$2,IF(Data_Assessment[[#This Row],[IPP (3 YEARS AVERAGE)]]&gt;=4,'9 Grid'!$D$2,'9 Grid'!$E$2))),"")</f>
        <v>Fully Competence Performance</v>
      </c>
      <c r="J194" s="146" t="str">
        <f ca="1">IFERROR(INDEX('9 Grid'!$D$4:$F$6,MATCH('Rekomendasi HAV'!H194,'9 Grid'!$B$4:$B$6,0),MATCH('Rekomendasi HAV'!I194,'9 Grid'!$D$2:$F$2,0)),"")</f>
        <v/>
      </c>
      <c r="K194" s="146" t="str">
        <f>IFERROR(INDEX('9 Grid'!$D$8:$F$8,1,MATCH('Rekomendasi HAV'!I194,'9 Grid'!$D$2:$F$2,0)),"")</f>
        <v>(ST) Within 12 - 18 month</v>
      </c>
      <c r="L194" s="146">
        <f>IF(ISNUMBER(SEARCH("EST",Assessment[[#This Row],[JOB TARGET]])),SUBSTITUTE(Assessment[[#This Row],[JOB TARGET]],"EST","DEV"),Assessment[[#This Row],[JOB TARGET]])</f>
        <v>0</v>
      </c>
      <c r="M194" s="146" t="str" cm="1">
        <f t="array" aca="1" ref="M194" ca="1">IF(Assessment[[#This Row],[JOB TARGET]]="","Job Target Kosong",IF(COUNT(IF('Data Assessment'!$N194:$Z194-OFFSET(Standar!$B$2,MATCH(Assessment[[#This Row],[JOB TARGET
(DEV)]],Standar[NAMA JABATAN],0)-1,1,1,13)&lt;0,1,""))&lt;=3,'9 Grid'!$B$4,IF(COUNT(IF('Data Assessment'!$N194:$Z194-OFFSET(Standar!$B$2,MATCH(Assessment[[#This Row],[JOB TARGET
(DEV)]],Standar[NAMA JABATAN],0)-1,1,1,13)&lt;0,1,""))&gt;=7,'9 Grid'!$B$6,'9 Grid'!$B$5)))</f>
        <v>Job Target Kosong</v>
      </c>
      <c r="N194" s="146" t="str">
        <f>IFERROR(IF(Data_Assessment[[#This Row],[IPP (3 YEARS AVERAGE)]]="","(IPP Belum Ada)",IF(Data_Assessment[[#This Row],[IPP (3 YEARS AVERAGE)]]&lt;2,'9 Grid'!$F$2,IF(Data_Assessment[[#This Row],[IPP (3 YEARS AVERAGE)]]&gt;=4,'9 Grid'!$D$2,'9 Grid'!$E$2))),"")</f>
        <v>Fully Competence Performance</v>
      </c>
      <c r="O194" s="146" t="str">
        <f ca="1">IFERROR(INDEX('9 Grid'!$D$4:$F$6,MATCH('Rekomendasi HAV'!M194,'9 Grid'!$B$4:$B$6,0),MATCH('Rekomendasi HAV'!N194,'9 Grid'!$D$2:$F$2,0)),"")</f>
        <v/>
      </c>
      <c r="P194" s="147" t="str">
        <f>IFERROR(INDEX('9 Grid'!$D$8:$F$8,1,MATCH('Rekomendasi HAV'!N194,'9 Grid'!$D$2:$F$2,0)),"")</f>
        <v>(ST) Within 12 - 18 month</v>
      </c>
    </row>
    <row r="195" spans="1:16" ht="28.5">
      <c r="A195" s="67">
        <v>194</v>
      </c>
      <c r="B195" s="68" t="str">
        <f>INDEX(Data_Assessment[],MATCH('Rekomendasi HAV'!$A195,Data_Assessment[[INDEX]:[INDEX]],0),MATCH('Rekomendasi HAV'!B$1,Data_Assessment[#Headers],0))</f>
        <v>Nurdiana</v>
      </c>
      <c r="C195" s="68" t="str">
        <f>INDEX(Data_Assessment[],MATCH('Rekomendasi HAV'!$A195,Data_Assessment[[INDEX]:[INDEX]],0),MATCH('Rekomendasi HAV'!C$1,Data_Assessment[#Headers],0))</f>
        <v>Sumatera Selatan</v>
      </c>
      <c r="D195" s="68" t="str">
        <f>INDEX(Data_Assessment[],MATCH('Rekomendasi HAV'!$A195,Data_Assessment[[INDEX]:[INDEX]],0),MATCH('Rekomendasi HAV'!D$1,Data_Assessment[#Headers],0))</f>
        <v>LSIP - Riam Indah Estate</v>
      </c>
      <c r="E195" s="68">
        <f>INDEX(Data_Assessment[],MATCH('Rekomendasi HAV'!$B195,Data_Assessment[[NAME]:[NAME]],0),MATCH('Rekomendasi HAV'!E$1,Data_Assessment[#Headers],0))</f>
        <v>0</v>
      </c>
      <c r="F195" s="68"/>
      <c r="G195" s="68">
        <f>IF(ISNUMBER(SEARCH("DEV",Assessment[[#This Row],[JOB TARGET]])),SUBSTITUTE(Assessment[[#This Row],[JOB TARGET]],"DEV","EST"),Assessment[[#This Row],[JOB TARGET]])</f>
        <v>0</v>
      </c>
      <c r="H195" s="146" t="str" cm="1">
        <f t="array" aca="1" ref="H195" ca="1">IF(Assessment[[#This Row],[JOB TARGET]]="","Job Target Kosong",IF(COUNT(IF('Data Assessment'!$N195:$Z195-OFFSET(Standar!$B$2,MATCH(Assessment[[#This Row],[JOB TARGET
(EST)]],Standar[NAMA JABATAN],0)-1,1,1,13)&lt;0,1,""))&lt;=3,'9 Grid'!$B$4,IF(COUNT(IF('Data Assessment'!$N195:$Z195-OFFSET(Standar!$B$2,MATCH(Assessment[[#This Row],[JOB TARGET]],Standar[NAMA JABATAN],0)-1,1,1,13)&lt;0,1,""))&gt;=7,'9 Grid'!$B$6,'9 Grid'!$B$5)))</f>
        <v>Job Target Kosong</v>
      </c>
      <c r="I195" s="146" t="str">
        <f>IFERROR(IF(Data_Assessment[[#This Row],[IPP (3 YEARS AVERAGE)]]="","(IPP Belum Ada)",IF(Data_Assessment[[#This Row],[IPP (3 YEARS AVERAGE)]]&lt;2,'9 Grid'!$F$2,IF(Data_Assessment[[#This Row],[IPP (3 YEARS AVERAGE)]]&gt;=4,'9 Grid'!$D$2,'9 Grid'!$E$2))),"")</f>
        <v>Contributor</v>
      </c>
      <c r="J195" s="146" t="str">
        <f ca="1">IFERROR(INDEX('9 Grid'!$D$4:$F$6,MATCH('Rekomendasi HAV'!H195,'9 Grid'!$B$4:$B$6,0),MATCH('Rekomendasi HAV'!I195,'9 Grid'!$D$2:$F$2,0)),"")</f>
        <v/>
      </c>
      <c r="K195" s="146" t="str">
        <f>IFERROR(INDEX('9 Grid'!$D$8:$F$8,1,MATCH('Rekomendasi HAV'!I195,'9 Grid'!$D$2:$F$2,0)),"")</f>
        <v>(LT) More 2 - 3 year</v>
      </c>
      <c r="L195" s="146">
        <f>IF(ISNUMBER(SEARCH("EST",Assessment[[#This Row],[JOB TARGET]])),SUBSTITUTE(Assessment[[#This Row],[JOB TARGET]],"EST","DEV"),Assessment[[#This Row],[JOB TARGET]])</f>
        <v>0</v>
      </c>
      <c r="M195" s="146" t="str" cm="1">
        <f t="array" aca="1" ref="M195" ca="1">IF(Assessment[[#This Row],[JOB TARGET]]="","Job Target Kosong",IF(COUNT(IF('Data Assessment'!$N195:$Z195-OFFSET(Standar!$B$2,MATCH(Assessment[[#This Row],[JOB TARGET
(DEV)]],Standar[NAMA JABATAN],0)-1,1,1,13)&lt;0,1,""))&lt;=3,'9 Grid'!$B$4,IF(COUNT(IF('Data Assessment'!$N195:$Z195-OFFSET(Standar!$B$2,MATCH(Assessment[[#This Row],[JOB TARGET
(DEV)]],Standar[NAMA JABATAN],0)-1,1,1,13)&lt;0,1,""))&gt;=7,'9 Grid'!$B$6,'9 Grid'!$B$5)))</f>
        <v>Job Target Kosong</v>
      </c>
      <c r="N195" s="146" t="str">
        <f>IFERROR(IF(Data_Assessment[[#This Row],[IPP (3 YEARS AVERAGE)]]="","(IPP Belum Ada)",IF(Data_Assessment[[#This Row],[IPP (3 YEARS AVERAGE)]]&lt;2,'9 Grid'!$F$2,IF(Data_Assessment[[#This Row],[IPP (3 YEARS AVERAGE)]]&gt;=4,'9 Grid'!$D$2,'9 Grid'!$E$2))),"")</f>
        <v>Contributor</v>
      </c>
      <c r="O195" s="146" t="str">
        <f ca="1">IFERROR(INDEX('9 Grid'!$D$4:$F$6,MATCH('Rekomendasi HAV'!M195,'9 Grid'!$B$4:$B$6,0),MATCH('Rekomendasi HAV'!N195,'9 Grid'!$D$2:$F$2,0)),"")</f>
        <v/>
      </c>
      <c r="P195" s="147" t="str">
        <f>IFERROR(INDEX('9 Grid'!$D$8:$F$8,1,MATCH('Rekomendasi HAV'!N195,'9 Grid'!$D$2:$F$2,0)),"")</f>
        <v>(LT) More 2 - 3 year</v>
      </c>
    </row>
    <row r="196" spans="1:16" ht="14.25">
      <c r="A196" s="67">
        <v>195</v>
      </c>
      <c r="B196" s="68" t="str">
        <f>INDEX(Data_Assessment[],MATCH('Rekomendasi HAV'!$A196,Data_Assessment[[INDEX]:[INDEX]],0),MATCH('Rekomendasi HAV'!B$1,Data_Assessment[#Headers],0))</f>
        <v>Ajiswarman</v>
      </c>
      <c r="C196" s="68" t="str">
        <f>INDEX(Data_Assessment[],MATCH('Rekomendasi HAV'!$A196,Data_Assessment[[INDEX]:[INDEX]],0),MATCH('Rekomendasi HAV'!C$1,Data_Assessment[#Headers],0))</f>
        <v>Palembang</v>
      </c>
      <c r="D196" s="68" t="str">
        <f>INDEX(Data_Assessment[],MATCH('Rekomendasi HAV'!$A196,Data_Assessment[[INDEX]:[INDEX]],0),MATCH('Rekomendasi HAV'!D$1,Data_Assessment[#Headers],0))</f>
        <v>LSIP - RO Palembang</v>
      </c>
      <c r="E196" s="68">
        <f>INDEX(Data_Assessment[],MATCH('Rekomendasi HAV'!$B196,Data_Assessment[[NAME]:[NAME]],0),MATCH('Rekomendasi HAV'!E$1,Data_Assessment[#Headers],0))</f>
        <v>0</v>
      </c>
      <c r="F196" s="68"/>
      <c r="G196" s="68">
        <f>IF(ISNUMBER(SEARCH("DEV",Assessment[[#This Row],[JOB TARGET]])),SUBSTITUTE(Assessment[[#This Row],[JOB TARGET]],"DEV","EST"),Assessment[[#This Row],[JOB TARGET]])</f>
        <v>0</v>
      </c>
      <c r="H196" s="146" t="str" cm="1">
        <f t="array" aca="1" ref="H196" ca="1">IF(Assessment[[#This Row],[JOB TARGET]]="","Job Target Kosong",IF(COUNT(IF('Data Assessment'!$N196:$Z196-OFFSET(Standar!$B$2,MATCH(Assessment[[#This Row],[JOB TARGET
(EST)]],Standar[NAMA JABATAN],0)-1,1,1,13)&lt;0,1,""))&lt;=3,'9 Grid'!$B$4,IF(COUNT(IF('Data Assessment'!$N196:$Z196-OFFSET(Standar!$B$2,MATCH(Assessment[[#This Row],[JOB TARGET]],Standar[NAMA JABATAN],0)-1,1,1,13)&lt;0,1,""))&gt;=7,'9 Grid'!$B$6,'9 Grid'!$B$5)))</f>
        <v>Job Target Kosong</v>
      </c>
      <c r="I196" s="146" t="str">
        <f>IFERROR(IF(Data_Assessment[[#This Row],[IPP (3 YEARS AVERAGE)]]="","(IPP Belum Ada)",IF(Data_Assessment[[#This Row],[IPP (3 YEARS AVERAGE)]]&lt;2,'9 Grid'!$F$2,IF(Data_Assessment[[#This Row],[IPP (3 YEARS AVERAGE)]]&gt;=4,'9 Grid'!$D$2,'9 Grid'!$E$2))),"")</f>
        <v>Exceptional Performance</v>
      </c>
      <c r="J196" s="146" t="str">
        <f ca="1">IFERROR(INDEX('9 Grid'!$D$4:$F$6,MATCH('Rekomendasi HAV'!H196,'9 Grid'!$B$4:$B$6,0),MATCH('Rekomendasi HAV'!I196,'9 Grid'!$D$2:$F$2,0)),"")</f>
        <v/>
      </c>
      <c r="K196" s="146" t="str">
        <f>IFERROR(INDEX('9 Grid'!$D$8:$F$8,1,MATCH('Rekomendasi HAV'!I196,'9 Grid'!$D$2:$F$2,0)),"")</f>
        <v>(I) Immediately</v>
      </c>
      <c r="L196" s="146">
        <f>IF(ISNUMBER(SEARCH("EST",Assessment[[#This Row],[JOB TARGET]])),SUBSTITUTE(Assessment[[#This Row],[JOB TARGET]],"EST","DEV"),Assessment[[#This Row],[JOB TARGET]])</f>
        <v>0</v>
      </c>
      <c r="M196" s="146" t="str" cm="1">
        <f t="array" aca="1" ref="M196" ca="1">IF(Assessment[[#This Row],[JOB TARGET]]="","Job Target Kosong",IF(COUNT(IF('Data Assessment'!$N196:$Z196-OFFSET(Standar!$B$2,MATCH(Assessment[[#This Row],[JOB TARGET
(DEV)]],Standar[NAMA JABATAN],0)-1,1,1,13)&lt;0,1,""))&lt;=3,'9 Grid'!$B$4,IF(COUNT(IF('Data Assessment'!$N196:$Z196-OFFSET(Standar!$B$2,MATCH(Assessment[[#This Row],[JOB TARGET
(DEV)]],Standar[NAMA JABATAN],0)-1,1,1,13)&lt;0,1,""))&gt;=7,'9 Grid'!$B$6,'9 Grid'!$B$5)))</f>
        <v>Job Target Kosong</v>
      </c>
      <c r="N196" s="146" t="str">
        <f>IFERROR(IF(Data_Assessment[[#This Row],[IPP (3 YEARS AVERAGE)]]="","(IPP Belum Ada)",IF(Data_Assessment[[#This Row],[IPP (3 YEARS AVERAGE)]]&lt;2,'9 Grid'!$F$2,IF(Data_Assessment[[#This Row],[IPP (3 YEARS AVERAGE)]]&gt;=4,'9 Grid'!$D$2,'9 Grid'!$E$2))),"")</f>
        <v>Exceptional Performance</v>
      </c>
      <c r="O196" s="146" t="str">
        <f ca="1">IFERROR(INDEX('9 Grid'!$D$4:$F$6,MATCH('Rekomendasi HAV'!M196,'9 Grid'!$B$4:$B$6,0),MATCH('Rekomendasi HAV'!N196,'9 Grid'!$D$2:$F$2,0)),"")</f>
        <v/>
      </c>
      <c r="P196" s="147" t="str">
        <f>IFERROR(INDEX('9 Grid'!$D$8:$F$8,1,MATCH('Rekomendasi HAV'!N196,'9 Grid'!$D$2:$F$2,0)),"")</f>
        <v>(I) Immediately</v>
      </c>
    </row>
    <row r="197" spans="1:16" ht="28.5">
      <c r="A197" s="67">
        <v>196</v>
      </c>
      <c r="B197" s="68" t="str">
        <f>INDEX(Data_Assessment[],MATCH('Rekomendasi HAV'!$A197,Data_Assessment[[INDEX]:[INDEX]],0),MATCH('Rekomendasi HAV'!B$1,Data_Assessment[#Headers],0))</f>
        <v>Redo Laksana</v>
      </c>
      <c r="C197" s="68" t="str">
        <f>INDEX(Data_Assessment[],MATCH('Rekomendasi HAV'!$A197,Data_Assessment[[INDEX]:[INDEX]],0),MATCH('Rekomendasi HAV'!C$1,Data_Assessment[#Headers],0))</f>
        <v>Sumatera Selatan</v>
      </c>
      <c r="D197" s="68" t="str">
        <f>INDEX(Data_Assessment[],MATCH('Rekomendasi HAV'!$A197,Data_Assessment[[INDEX]:[INDEX]],0),MATCH('Rekomendasi HAV'!D$1,Data_Assessment[#Headers],0))</f>
        <v>LSIP - Riam Indah Estate</v>
      </c>
      <c r="E197" s="68">
        <f>INDEX(Data_Assessment[],MATCH('Rekomendasi HAV'!$B197,Data_Assessment[[NAME]:[NAME]],0),MATCH('Rekomendasi HAV'!E$1,Data_Assessment[#Headers],0))</f>
        <v>0</v>
      </c>
      <c r="F197" s="68"/>
      <c r="G197" s="68">
        <f>IF(ISNUMBER(SEARCH("DEV",Assessment[[#This Row],[JOB TARGET]])),SUBSTITUTE(Assessment[[#This Row],[JOB TARGET]],"DEV","EST"),Assessment[[#This Row],[JOB TARGET]])</f>
        <v>0</v>
      </c>
      <c r="H197" s="146" t="str" cm="1">
        <f t="array" aca="1" ref="H197" ca="1">IF(Assessment[[#This Row],[JOB TARGET]]="","Job Target Kosong",IF(COUNT(IF('Data Assessment'!$N197:$Z197-OFFSET(Standar!$B$2,MATCH(Assessment[[#This Row],[JOB TARGET
(EST)]],Standar[NAMA JABATAN],0)-1,1,1,13)&lt;0,1,""))&lt;=3,'9 Grid'!$B$4,IF(COUNT(IF('Data Assessment'!$N197:$Z197-OFFSET(Standar!$B$2,MATCH(Assessment[[#This Row],[JOB TARGET]],Standar[NAMA JABATAN],0)-1,1,1,13)&lt;0,1,""))&gt;=7,'9 Grid'!$B$6,'9 Grid'!$B$5)))</f>
        <v>Job Target Kosong</v>
      </c>
      <c r="I197" s="146" t="str">
        <f>IFERROR(IF(Data_Assessment[[#This Row],[IPP (3 YEARS AVERAGE)]]="","(IPP Belum Ada)",IF(Data_Assessment[[#This Row],[IPP (3 YEARS AVERAGE)]]&lt;2,'9 Grid'!$F$2,IF(Data_Assessment[[#This Row],[IPP (3 YEARS AVERAGE)]]&gt;=4,'9 Grid'!$D$2,'9 Grid'!$E$2))),"")</f>
        <v>Contributor</v>
      </c>
      <c r="J197" s="146" t="str">
        <f ca="1">IFERROR(INDEX('9 Grid'!$D$4:$F$6,MATCH('Rekomendasi HAV'!H197,'9 Grid'!$B$4:$B$6,0),MATCH('Rekomendasi HAV'!I197,'9 Grid'!$D$2:$F$2,0)),"")</f>
        <v/>
      </c>
      <c r="K197" s="146" t="str">
        <f>IFERROR(INDEX('9 Grid'!$D$8:$F$8,1,MATCH('Rekomendasi HAV'!I197,'9 Grid'!$D$2:$F$2,0)),"")</f>
        <v>(LT) More 2 - 3 year</v>
      </c>
      <c r="L197" s="146">
        <f>IF(ISNUMBER(SEARCH("EST",Assessment[[#This Row],[JOB TARGET]])),SUBSTITUTE(Assessment[[#This Row],[JOB TARGET]],"EST","DEV"),Assessment[[#This Row],[JOB TARGET]])</f>
        <v>0</v>
      </c>
      <c r="M197" s="146" t="str" cm="1">
        <f t="array" aca="1" ref="M197" ca="1">IF(Assessment[[#This Row],[JOB TARGET]]="","Job Target Kosong",IF(COUNT(IF('Data Assessment'!$N197:$Z197-OFFSET(Standar!$B$2,MATCH(Assessment[[#This Row],[JOB TARGET
(DEV)]],Standar[NAMA JABATAN],0)-1,1,1,13)&lt;0,1,""))&lt;=3,'9 Grid'!$B$4,IF(COUNT(IF('Data Assessment'!$N197:$Z197-OFFSET(Standar!$B$2,MATCH(Assessment[[#This Row],[JOB TARGET
(DEV)]],Standar[NAMA JABATAN],0)-1,1,1,13)&lt;0,1,""))&gt;=7,'9 Grid'!$B$6,'9 Grid'!$B$5)))</f>
        <v>Job Target Kosong</v>
      </c>
      <c r="N197" s="146" t="str">
        <f>IFERROR(IF(Data_Assessment[[#This Row],[IPP (3 YEARS AVERAGE)]]="","(IPP Belum Ada)",IF(Data_Assessment[[#This Row],[IPP (3 YEARS AVERAGE)]]&lt;2,'9 Grid'!$F$2,IF(Data_Assessment[[#This Row],[IPP (3 YEARS AVERAGE)]]&gt;=4,'9 Grid'!$D$2,'9 Grid'!$E$2))),"")</f>
        <v>Contributor</v>
      </c>
      <c r="O197" s="146" t="str">
        <f ca="1">IFERROR(INDEX('9 Grid'!$D$4:$F$6,MATCH('Rekomendasi HAV'!M197,'9 Grid'!$B$4:$B$6,0),MATCH('Rekomendasi HAV'!N197,'9 Grid'!$D$2:$F$2,0)),"")</f>
        <v/>
      </c>
      <c r="P197" s="147" t="str">
        <f>IFERROR(INDEX('9 Grid'!$D$8:$F$8,1,MATCH('Rekomendasi HAV'!N197,'9 Grid'!$D$2:$F$2,0)),"")</f>
        <v>(LT) More 2 - 3 year</v>
      </c>
    </row>
    <row r="198" spans="1:16" ht="28.5">
      <c r="A198" s="67">
        <v>197</v>
      </c>
      <c r="B198" s="68" t="str">
        <f>INDEX(Data_Assessment[],MATCH('Rekomendasi HAV'!$A198,Data_Assessment[[INDEX]:[INDEX]],0),MATCH('Rekomendasi HAV'!B$1,Data_Assessment[#Headers],0))</f>
        <v>Yul Khairil</v>
      </c>
      <c r="C198" s="68" t="str">
        <f>INDEX(Data_Assessment[],MATCH('Rekomendasi HAV'!$A198,Data_Assessment[[INDEX]:[INDEX]],0),MATCH('Rekomendasi HAV'!C$1,Data_Assessment[#Headers],0))</f>
        <v>Palembang</v>
      </c>
      <c r="D198" s="68" t="str">
        <f>INDEX(Data_Assessment[],MATCH('Rekomendasi HAV'!$A198,Data_Assessment[[INDEX]:[INDEX]],0),MATCH('Rekomendasi HAV'!D$1,Data_Assessment[#Headers],0))</f>
        <v>LSIP - RO Palembang</v>
      </c>
      <c r="E198" s="68">
        <f>INDEX(Data_Assessment[],MATCH('Rekomendasi HAV'!$B198,Data_Assessment[[NAME]:[NAME]],0),MATCH('Rekomendasi HAV'!E$1,Data_Assessment[#Headers],0))</f>
        <v>0</v>
      </c>
      <c r="F198" s="68"/>
      <c r="G198" s="68">
        <f>IF(ISNUMBER(SEARCH("DEV",Assessment[[#This Row],[JOB TARGET]])),SUBSTITUTE(Assessment[[#This Row],[JOB TARGET]],"DEV","EST"),Assessment[[#This Row],[JOB TARGET]])</f>
        <v>0</v>
      </c>
      <c r="H198" s="146" t="str" cm="1">
        <f t="array" aca="1" ref="H198" ca="1">IF(Assessment[[#This Row],[JOB TARGET]]="","Job Target Kosong",IF(COUNT(IF('Data Assessment'!$N198:$Z198-OFFSET(Standar!$B$2,MATCH(Assessment[[#This Row],[JOB TARGET
(EST)]],Standar[NAMA JABATAN],0)-1,1,1,13)&lt;0,1,""))&lt;=3,'9 Grid'!$B$4,IF(COUNT(IF('Data Assessment'!$N198:$Z198-OFFSET(Standar!$B$2,MATCH(Assessment[[#This Row],[JOB TARGET]],Standar[NAMA JABATAN],0)-1,1,1,13)&lt;0,1,""))&gt;=7,'9 Grid'!$B$6,'9 Grid'!$B$5)))</f>
        <v>Job Target Kosong</v>
      </c>
      <c r="I198" s="146" t="str">
        <f>IFERROR(IF(Data_Assessment[[#This Row],[IPP (3 YEARS AVERAGE)]]="","(IPP Belum Ada)",IF(Data_Assessment[[#This Row],[IPP (3 YEARS AVERAGE)]]&lt;2,'9 Grid'!$F$2,IF(Data_Assessment[[#This Row],[IPP (3 YEARS AVERAGE)]]&gt;=4,'9 Grid'!$D$2,'9 Grid'!$E$2))),"")</f>
        <v>Fully Competence Performance</v>
      </c>
      <c r="J198" s="146" t="str">
        <f ca="1">IFERROR(INDEX('9 Grid'!$D$4:$F$6,MATCH('Rekomendasi HAV'!H198,'9 Grid'!$B$4:$B$6,0),MATCH('Rekomendasi HAV'!I198,'9 Grid'!$D$2:$F$2,0)),"")</f>
        <v/>
      </c>
      <c r="K198" s="146" t="str">
        <f>IFERROR(INDEX('9 Grid'!$D$8:$F$8,1,MATCH('Rekomendasi HAV'!I198,'9 Grid'!$D$2:$F$2,0)),"")</f>
        <v>(ST) Within 12 - 18 month</v>
      </c>
      <c r="L198" s="146">
        <f>IF(ISNUMBER(SEARCH("EST",Assessment[[#This Row],[JOB TARGET]])),SUBSTITUTE(Assessment[[#This Row],[JOB TARGET]],"EST","DEV"),Assessment[[#This Row],[JOB TARGET]])</f>
        <v>0</v>
      </c>
      <c r="M198" s="146" t="str" cm="1">
        <f t="array" aca="1" ref="M198" ca="1">IF(Assessment[[#This Row],[JOB TARGET]]="","Job Target Kosong",IF(COUNT(IF('Data Assessment'!$N198:$Z198-OFFSET(Standar!$B$2,MATCH(Assessment[[#This Row],[JOB TARGET
(DEV)]],Standar[NAMA JABATAN],0)-1,1,1,13)&lt;0,1,""))&lt;=3,'9 Grid'!$B$4,IF(COUNT(IF('Data Assessment'!$N198:$Z198-OFFSET(Standar!$B$2,MATCH(Assessment[[#This Row],[JOB TARGET
(DEV)]],Standar[NAMA JABATAN],0)-1,1,1,13)&lt;0,1,""))&gt;=7,'9 Grid'!$B$6,'9 Grid'!$B$5)))</f>
        <v>Job Target Kosong</v>
      </c>
      <c r="N198" s="146" t="str">
        <f>IFERROR(IF(Data_Assessment[[#This Row],[IPP (3 YEARS AVERAGE)]]="","(IPP Belum Ada)",IF(Data_Assessment[[#This Row],[IPP (3 YEARS AVERAGE)]]&lt;2,'9 Grid'!$F$2,IF(Data_Assessment[[#This Row],[IPP (3 YEARS AVERAGE)]]&gt;=4,'9 Grid'!$D$2,'9 Grid'!$E$2))),"")</f>
        <v>Fully Competence Performance</v>
      </c>
      <c r="O198" s="146" t="str">
        <f ca="1">IFERROR(INDEX('9 Grid'!$D$4:$F$6,MATCH('Rekomendasi HAV'!M198,'9 Grid'!$B$4:$B$6,0),MATCH('Rekomendasi HAV'!N198,'9 Grid'!$D$2:$F$2,0)),"")</f>
        <v/>
      </c>
      <c r="P198" s="147" t="str">
        <f>IFERROR(INDEX('9 Grid'!$D$8:$F$8,1,MATCH('Rekomendasi HAV'!N198,'9 Grid'!$D$2:$F$2,0)),"")</f>
        <v>(ST) Within 12 - 18 month</v>
      </c>
    </row>
    <row r="199" spans="1:16" ht="28.5">
      <c r="A199" s="67">
        <v>198</v>
      </c>
      <c r="B199" s="68" t="str">
        <f>INDEX(Data_Assessment[],MATCH('Rekomendasi HAV'!$A199,Data_Assessment[[INDEX]:[INDEX]],0),MATCH('Rekomendasi HAV'!B$1,Data_Assessment[#Headers],0))</f>
        <v>Muhammad Reza Aprizar S. Sos</v>
      </c>
      <c r="C199" s="68" t="str">
        <f>INDEX(Data_Assessment[],MATCH('Rekomendasi HAV'!$A199,Data_Assessment[[INDEX]:[INDEX]],0),MATCH('Rekomendasi HAV'!C$1,Data_Assessment[#Headers],0))</f>
        <v>Sumatera Selatan</v>
      </c>
      <c r="D199" s="68" t="str">
        <f>INDEX(Data_Assessment[],MATCH('Rekomendasi HAV'!$A199,Data_Assessment[[INDEX]:[INDEX]],0),MATCH('Rekomendasi HAV'!D$1,Data_Assessment[#Headers],0))</f>
        <v>LSIP - Kencana Sari Palm Oil Mill</v>
      </c>
      <c r="E199" s="68">
        <f>INDEX(Data_Assessment[],MATCH('Rekomendasi HAV'!$B199,Data_Assessment[[NAME]:[NAME]],0),MATCH('Rekomendasi HAV'!E$1,Data_Assessment[#Headers],0))</f>
        <v>0</v>
      </c>
      <c r="F199" s="68"/>
      <c r="G199" s="68">
        <f>IF(ISNUMBER(SEARCH("DEV",Assessment[[#This Row],[JOB TARGET]])),SUBSTITUTE(Assessment[[#This Row],[JOB TARGET]],"DEV","EST"),Assessment[[#This Row],[JOB TARGET]])</f>
        <v>0</v>
      </c>
      <c r="H199" s="146" t="str" cm="1">
        <f t="array" aca="1" ref="H199" ca="1">IF(Assessment[[#This Row],[JOB TARGET]]="","Job Target Kosong",IF(COUNT(IF('Data Assessment'!$N199:$Z199-OFFSET(Standar!$B$2,MATCH(Assessment[[#This Row],[JOB TARGET
(EST)]],Standar[NAMA JABATAN],0)-1,1,1,13)&lt;0,1,""))&lt;=3,'9 Grid'!$B$4,IF(COUNT(IF('Data Assessment'!$N199:$Z199-OFFSET(Standar!$B$2,MATCH(Assessment[[#This Row],[JOB TARGET]],Standar[NAMA JABATAN],0)-1,1,1,13)&lt;0,1,""))&gt;=7,'9 Grid'!$B$6,'9 Grid'!$B$5)))</f>
        <v>Job Target Kosong</v>
      </c>
      <c r="I199" s="146" t="str">
        <f>IFERROR(IF(Data_Assessment[[#This Row],[IPP (3 YEARS AVERAGE)]]="","(IPP Belum Ada)",IF(Data_Assessment[[#This Row],[IPP (3 YEARS AVERAGE)]]&lt;2,'9 Grid'!$F$2,IF(Data_Assessment[[#This Row],[IPP (3 YEARS AVERAGE)]]&gt;=4,'9 Grid'!$D$2,'9 Grid'!$E$2))),"")</f>
        <v>Contributor</v>
      </c>
      <c r="J199" s="146" t="str">
        <f ca="1">IFERROR(INDEX('9 Grid'!$D$4:$F$6,MATCH('Rekomendasi HAV'!H199,'9 Grid'!$B$4:$B$6,0),MATCH('Rekomendasi HAV'!I199,'9 Grid'!$D$2:$F$2,0)),"")</f>
        <v/>
      </c>
      <c r="K199" s="146" t="str">
        <f>IFERROR(INDEX('9 Grid'!$D$8:$F$8,1,MATCH('Rekomendasi HAV'!I199,'9 Grid'!$D$2:$F$2,0)),"")</f>
        <v>(LT) More 2 - 3 year</v>
      </c>
      <c r="L199" s="146">
        <f>IF(ISNUMBER(SEARCH("EST",Assessment[[#This Row],[JOB TARGET]])),SUBSTITUTE(Assessment[[#This Row],[JOB TARGET]],"EST","DEV"),Assessment[[#This Row],[JOB TARGET]])</f>
        <v>0</v>
      </c>
      <c r="M199" s="146" t="str" cm="1">
        <f t="array" aca="1" ref="M199" ca="1">IF(Assessment[[#This Row],[JOB TARGET]]="","Job Target Kosong",IF(COUNT(IF('Data Assessment'!$N199:$Z199-OFFSET(Standar!$B$2,MATCH(Assessment[[#This Row],[JOB TARGET
(DEV)]],Standar[NAMA JABATAN],0)-1,1,1,13)&lt;0,1,""))&lt;=3,'9 Grid'!$B$4,IF(COUNT(IF('Data Assessment'!$N199:$Z199-OFFSET(Standar!$B$2,MATCH(Assessment[[#This Row],[JOB TARGET
(DEV)]],Standar[NAMA JABATAN],0)-1,1,1,13)&lt;0,1,""))&gt;=7,'9 Grid'!$B$6,'9 Grid'!$B$5)))</f>
        <v>Job Target Kosong</v>
      </c>
      <c r="N199" s="146" t="str">
        <f>IFERROR(IF(Data_Assessment[[#This Row],[IPP (3 YEARS AVERAGE)]]="","(IPP Belum Ada)",IF(Data_Assessment[[#This Row],[IPP (3 YEARS AVERAGE)]]&lt;2,'9 Grid'!$F$2,IF(Data_Assessment[[#This Row],[IPP (3 YEARS AVERAGE)]]&gt;=4,'9 Grid'!$D$2,'9 Grid'!$E$2))),"")</f>
        <v>Contributor</v>
      </c>
      <c r="O199" s="146" t="str">
        <f ca="1">IFERROR(INDEX('9 Grid'!$D$4:$F$6,MATCH('Rekomendasi HAV'!M199,'9 Grid'!$B$4:$B$6,0),MATCH('Rekomendasi HAV'!N199,'9 Grid'!$D$2:$F$2,0)),"")</f>
        <v/>
      </c>
      <c r="P199" s="147" t="str">
        <f>IFERROR(INDEX('9 Grid'!$D$8:$F$8,1,MATCH('Rekomendasi HAV'!N199,'9 Grid'!$D$2:$F$2,0)),"")</f>
        <v>(LT) More 2 - 3 year</v>
      </c>
    </row>
    <row r="200" spans="1:16" ht="28.5">
      <c r="A200" s="67">
        <v>199</v>
      </c>
      <c r="B200" s="68" t="str">
        <f>INDEX(Data_Assessment[],MATCH('Rekomendasi HAV'!$A200,Data_Assessment[[INDEX]:[INDEX]],0),MATCH('Rekomendasi HAV'!B$1,Data_Assessment[#Headers],0))</f>
        <v>Yahya Suhendra</v>
      </c>
      <c r="C200" s="68" t="str">
        <f>INDEX(Data_Assessment[],MATCH('Rekomendasi HAV'!$A200,Data_Assessment[[INDEX]:[INDEX]],0),MATCH('Rekomendasi HAV'!C$1,Data_Assessment[#Headers],0))</f>
        <v>Palembang</v>
      </c>
      <c r="D200" s="68" t="str">
        <f>INDEX(Data_Assessment[],MATCH('Rekomendasi HAV'!$A200,Data_Assessment[[INDEX]:[INDEX]],0),MATCH('Rekomendasi HAV'!D$1,Data_Assessment[#Headers],0))</f>
        <v>LSIP - RO Palembang</v>
      </c>
      <c r="E200" s="68">
        <f>INDEX(Data_Assessment[],MATCH('Rekomendasi HAV'!$B200,Data_Assessment[[NAME]:[NAME]],0),MATCH('Rekomendasi HAV'!E$1,Data_Assessment[#Headers],0))</f>
        <v>0</v>
      </c>
      <c r="F200" s="68"/>
      <c r="G200" s="68">
        <f>IF(ISNUMBER(SEARCH("DEV",Assessment[[#This Row],[JOB TARGET]])),SUBSTITUTE(Assessment[[#This Row],[JOB TARGET]],"DEV","EST"),Assessment[[#This Row],[JOB TARGET]])</f>
        <v>0</v>
      </c>
      <c r="H200" s="146" t="str" cm="1">
        <f t="array" aca="1" ref="H200" ca="1">IF(Assessment[[#This Row],[JOB TARGET]]="","Job Target Kosong",IF(COUNT(IF('Data Assessment'!$N200:$Z200-OFFSET(Standar!$B$2,MATCH(Assessment[[#This Row],[JOB TARGET
(EST)]],Standar[NAMA JABATAN],0)-1,1,1,13)&lt;0,1,""))&lt;=3,'9 Grid'!$B$4,IF(COUNT(IF('Data Assessment'!$N200:$Z200-OFFSET(Standar!$B$2,MATCH(Assessment[[#This Row],[JOB TARGET]],Standar[NAMA JABATAN],0)-1,1,1,13)&lt;0,1,""))&gt;=7,'9 Grid'!$B$6,'9 Grid'!$B$5)))</f>
        <v>Job Target Kosong</v>
      </c>
      <c r="I200" s="146" t="str">
        <f>IFERROR(IF(Data_Assessment[[#This Row],[IPP (3 YEARS AVERAGE)]]="","(IPP Belum Ada)",IF(Data_Assessment[[#This Row],[IPP (3 YEARS AVERAGE)]]&lt;2,'9 Grid'!$F$2,IF(Data_Assessment[[#This Row],[IPP (3 YEARS AVERAGE)]]&gt;=4,'9 Grid'!$D$2,'9 Grid'!$E$2))),"")</f>
        <v>Fully Competence Performance</v>
      </c>
      <c r="J200" s="146" t="str">
        <f ca="1">IFERROR(INDEX('9 Grid'!$D$4:$F$6,MATCH('Rekomendasi HAV'!H200,'9 Grid'!$B$4:$B$6,0),MATCH('Rekomendasi HAV'!I200,'9 Grid'!$D$2:$F$2,0)),"")</f>
        <v/>
      </c>
      <c r="K200" s="146" t="str">
        <f>IFERROR(INDEX('9 Grid'!$D$8:$F$8,1,MATCH('Rekomendasi HAV'!I200,'9 Grid'!$D$2:$F$2,0)),"")</f>
        <v>(ST) Within 12 - 18 month</v>
      </c>
      <c r="L200" s="146">
        <f>IF(ISNUMBER(SEARCH("EST",Assessment[[#This Row],[JOB TARGET]])),SUBSTITUTE(Assessment[[#This Row],[JOB TARGET]],"EST","DEV"),Assessment[[#This Row],[JOB TARGET]])</f>
        <v>0</v>
      </c>
      <c r="M200" s="146" t="str" cm="1">
        <f t="array" aca="1" ref="M200" ca="1">IF(Assessment[[#This Row],[JOB TARGET]]="","Job Target Kosong",IF(COUNT(IF('Data Assessment'!$N200:$Z200-OFFSET(Standar!$B$2,MATCH(Assessment[[#This Row],[JOB TARGET
(DEV)]],Standar[NAMA JABATAN],0)-1,1,1,13)&lt;0,1,""))&lt;=3,'9 Grid'!$B$4,IF(COUNT(IF('Data Assessment'!$N200:$Z200-OFFSET(Standar!$B$2,MATCH(Assessment[[#This Row],[JOB TARGET
(DEV)]],Standar[NAMA JABATAN],0)-1,1,1,13)&lt;0,1,""))&gt;=7,'9 Grid'!$B$6,'9 Grid'!$B$5)))</f>
        <v>Job Target Kosong</v>
      </c>
      <c r="N200" s="146" t="str">
        <f>IFERROR(IF(Data_Assessment[[#This Row],[IPP (3 YEARS AVERAGE)]]="","(IPP Belum Ada)",IF(Data_Assessment[[#This Row],[IPP (3 YEARS AVERAGE)]]&lt;2,'9 Grid'!$F$2,IF(Data_Assessment[[#This Row],[IPP (3 YEARS AVERAGE)]]&gt;=4,'9 Grid'!$D$2,'9 Grid'!$E$2))),"")</f>
        <v>Fully Competence Performance</v>
      </c>
      <c r="O200" s="146" t="str">
        <f ca="1">IFERROR(INDEX('9 Grid'!$D$4:$F$6,MATCH('Rekomendasi HAV'!M200,'9 Grid'!$B$4:$B$6,0),MATCH('Rekomendasi HAV'!N200,'9 Grid'!$D$2:$F$2,0)),"")</f>
        <v/>
      </c>
      <c r="P200" s="147" t="str">
        <f>IFERROR(INDEX('9 Grid'!$D$8:$F$8,1,MATCH('Rekomendasi HAV'!N200,'9 Grid'!$D$2:$F$2,0)),"")</f>
        <v>(ST) Within 12 - 18 month</v>
      </c>
    </row>
    <row r="201" spans="1:16" ht="28.5">
      <c r="A201" s="67">
        <v>200</v>
      </c>
      <c r="B201" s="68" t="str">
        <f>INDEX(Data_Assessment[],MATCH('Rekomendasi HAV'!$A201,Data_Assessment[[INDEX]:[INDEX]],0),MATCH('Rekomendasi HAV'!B$1,Data_Assessment[#Headers],0))</f>
        <v>Lusi Rantegau</v>
      </c>
      <c r="C201" s="68" t="str">
        <f>INDEX(Data_Assessment[],MATCH('Rekomendasi HAV'!$A201,Data_Assessment[[INDEX]:[INDEX]],0),MATCH('Rekomendasi HAV'!C$1,Data_Assessment[#Headers],0))</f>
        <v>Palembang</v>
      </c>
      <c r="D201" s="68" t="str">
        <f>INDEX(Data_Assessment[],MATCH('Rekomendasi HAV'!$A201,Data_Assessment[[INDEX]:[INDEX]],0),MATCH('Rekomendasi HAV'!D$1,Data_Assessment[#Headers],0))</f>
        <v>LSIP - RO Palembang</v>
      </c>
      <c r="E201" s="68">
        <f>INDEX(Data_Assessment[],MATCH('Rekomendasi HAV'!$B201,Data_Assessment[[NAME]:[NAME]],0),MATCH('Rekomendasi HAV'!E$1,Data_Assessment[#Headers],0))</f>
        <v>0</v>
      </c>
      <c r="F201" s="68"/>
      <c r="G201" s="68">
        <f>IF(ISNUMBER(SEARCH("DEV",Assessment[[#This Row],[JOB TARGET]])),SUBSTITUTE(Assessment[[#This Row],[JOB TARGET]],"DEV","EST"),Assessment[[#This Row],[JOB TARGET]])</f>
        <v>0</v>
      </c>
      <c r="H201" s="146" t="str" cm="1">
        <f t="array" aca="1" ref="H201" ca="1">IF(Assessment[[#This Row],[JOB TARGET]]="","Job Target Kosong",IF(COUNT(IF('Data Assessment'!$N201:$Z201-OFFSET(Standar!$B$2,MATCH(Assessment[[#This Row],[JOB TARGET
(EST)]],Standar[NAMA JABATAN],0)-1,1,1,13)&lt;0,1,""))&lt;=3,'9 Grid'!$B$4,IF(COUNT(IF('Data Assessment'!$N201:$Z201-OFFSET(Standar!$B$2,MATCH(Assessment[[#This Row],[JOB TARGET]],Standar[NAMA JABATAN],0)-1,1,1,13)&lt;0,1,""))&gt;=7,'9 Grid'!$B$6,'9 Grid'!$B$5)))</f>
        <v>Job Target Kosong</v>
      </c>
      <c r="I201" s="146" t="str">
        <f>IFERROR(IF(Data_Assessment[[#This Row],[IPP (3 YEARS AVERAGE)]]="","(IPP Belum Ada)",IF(Data_Assessment[[#This Row],[IPP (3 YEARS AVERAGE)]]&lt;2,'9 Grid'!$F$2,IF(Data_Assessment[[#This Row],[IPP (3 YEARS AVERAGE)]]&gt;=4,'9 Grid'!$D$2,'9 Grid'!$E$2))),"")</f>
        <v>Fully Competence Performance</v>
      </c>
      <c r="J201" s="146" t="str">
        <f ca="1">IFERROR(INDEX('9 Grid'!$D$4:$F$6,MATCH('Rekomendasi HAV'!H201,'9 Grid'!$B$4:$B$6,0),MATCH('Rekomendasi HAV'!I201,'9 Grid'!$D$2:$F$2,0)),"")</f>
        <v/>
      </c>
      <c r="K201" s="146" t="str">
        <f>IFERROR(INDEX('9 Grid'!$D$8:$F$8,1,MATCH('Rekomendasi HAV'!I201,'9 Grid'!$D$2:$F$2,0)),"")</f>
        <v>(ST) Within 12 - 18 month</v>
      </c>
      <c r="L201" s="146">
        <f>IF(ISNUMBER(SEARCH("EST",Assessment[[#This Row],[JOB TARGET]])),SUBSTITUTE(Assessment[[#This Row],[JOB TARGET]],"EST","DEV"),Assessment[[#This Row],[JOB TARGET]])</f>
        <v>0</v>
      </c>
      <c r="M201" s="146" t="str" cm="1">
        <f t="array" aca="1" ref="M201" ca="1">IF(Assessment[[#This Row],[JOB TARGET]]="","Job Target Kosong",IF(COUNT(IF('Data Assessment'!$N201:$Z201-OFFSET(Standar!$B$2,MATCH(Assessment[[#This Row],[JOB TARGET
(DEV)]],Standar[NAMA JABATAN],0)-1,1,1,13)&lt;0,1,""))&lt;=3,'9 Grid'!$B$4,IF(COUNT(IF('Data Assessment'!$N201:$Z201-OFFSET(Standar!$B$2,MATCH(Assessment[[#This Row],[JOB TARGET
(DEV)]],Standar[NAMA JABATAN],0)-1,1,1,13)&lt;0,1,""))&gt;=7,'9 Grid'!$B$6,'9 Grid'!$B$5)))</f>
        <v>Job Target Kosong</v>
      </c>
      <c r="N201" s="146" t="str">
        <f>IFERROR(IF(Data_Assessment[[#This Row],[IPP (3 YEARS AVERAGE)]]="","(IPP Belum Ada)",IF(Data_Assessment[[#This Row],[IPP (3 YEARS AVERAGE)]]&lt;2,'9 Grid'!$F$2,IF(Data_Assessment[[#This Row],[IPP (3 YEARS AVERAGE)]]&gt;=4,'9 Grid'!$D$2,'9 Grid'!$E$2))),"")</f>
        <v>Fully Competence Performance</v>
      </c>
      <c r="O201" s="146" t="str">
        <f ca="1">IFERROR(INDEX('9 Grid'!$D$4:$F$6,MATCH('Rekomendasi HAV'!M201,'9 Grid'!$B$4:$B$6,0),MATCH('Rekomendasi HAV'!N201,'9 Grid'!$D$2:$F$2,0)),"")</f>
        <v/>
      </c>
      <c r="P201" s="147" t="str">
        <f>IFERROR(INDEX('9 Grid'!$D$8:$F$8,1,MATCH('Rekomendasi HAV'!N201,'9 Grid'!$D$2:$F$2,0)),"")</f>
        <v>(ST) Within 12 - 18 month</v>
      </c>
    </row>
    <row r="202" spans="1:16" ht="28.5">
      <c r="A202" s="67">
        <v>201</v>
      </c>
      <c r="B202" s="68" t="str">
        <f>INDEX(Data_Assessment[],MATCH('Rekomendasi HAV'!$A202,Data_Assessment[[INDEX]:[INDEX]],0),MATCH('Rekomendasi HAV'!B$1,Data_Assessment[#Headers],0))</f>
        <v>Endang Karni S</v>
      </c>
      <c r="C202" s="68" t="str">
        <f>INDEX(Data_Assessment[],MATCH('Rekomendasi HAV'!$A202,Data_Assessment[[INDEX]:[INDEX]],0),MATCH('Rekomendasi HAV'!C$1,Data_Assessment[#Headers],0))</f>
        <v>Palembang</v>
      </c>
      <c r="D202" s="68" t="str">
        <f>INDEX(Data_Assessment[],MATCH('Rekomendasi HAV'!$A202,Data_Assessment[[INDEX]:[INDEX]],0),MATCH('Rekomendasi HAV'!D$1,Data_Assessment[#Headers],0))</f>
        <v>LSIP - RO Palembang</v>
      </c>
      <c r="E202" s="68">
        <f>INDEX(Data_Assessment[],MATCH('Rekomendasi HAV'!$B202,Data_Assessment[[NAME]:[NAME]],0),MATCH('Rekomendasi HAV'!E$1,Data_Assessment[#Headers],0))</f>
        <v>0</v>
      </c>
      <c r="F202" s="68"/>
      <c r="G202" s="68">
        <f>IF(ISNUMBER(SEARCH("DEV",Assessment[[#This Row],[JOB TARGET]])),SUBSTITUTE(Assessment[[#This Row],[JOB TARGET]],"DEV","EST"),Assessment[[#This Row],[JOB TARGET]])</f>
        <v>0</v>
      </c>
      <c r="H202" s="146" t="str" cm="1">
        <f t="array" aca="1" ref="H202" ca="1">IF(Assessment[[#This Row],[JOB TARGET]]="","Job Target Kosong",IF(COUNT(IF('Data Assessment'!$N202:$Z202-OFFSET(Standar!$B$2,MATCH(Assessment[[#This Row],[JOB TARGET
(EST)]],Standar[NAMA JABATAN],0)-1,1,1,13)&lt;0,1,""))&lt;=3,'9 Grid'!$B$4,IF(COUNT(IF('Data Assessment'!$N202:$Z202-OFFSET(Standar!$B$2,MATCH(Assessment[[#This Row],[JOB TARGET]],Standar[NAMA JABATAN],0)-1,1,1,13)&lt;0,1,""))&gt;=7,'9 Grid'!$B$6,'9 Grid'!$B$5)))</f>
        <v>Job Target Kosong</v>
      </c>
      <c r="I202" s="146" t="str">
        <f>IFERROR(IF(Data_Assessment[[#This Row],[IPP (3 YEARS AVERAGE)]]="","(IPP Belum Ada)",IF(Data_Assessment[[#This Row],[IPP (3 YEARS AVERAGE)]]&lt;2,'9 Grid'!$F$2,IF(Data_Assessment[[#This Row],[IPP (3 YEARS AVERAGE)]]&gt;=4,'9 Grid'!$D$2,'9 Grid'!$E$2))),"")</f>
        <v>Fully Competence Performance</v>
      </c>
      <c r="J202" s="146" t="str">
        <f ca="1">IFERROR(INDEX('9 Grid'!$D$4:$F$6,MATCH('Rekomendasi HAV'!H202,'9 Grid'!$B$4:$B$6,0),MATCH('Rekomendasi HAV'!I202,'9 Grid'!$D$2:$F$2,0)),"")</f>
        <v/>
      </c>
      <c r="K202" s="146" t="str">
        <f>IFERROR(INDEX('9 Grid'!$D$8:$F$8,1,MATCH('Rekomendasi HAV'!I202,'9 Grid'!$D$2:$F$2,0)),"")</f>
        <v>(ST) Within 12 - 18 month</v>
      </c>
      <c r="L202" s="146">
        <f>IF(ISNUMBER(SEARCH("EST",Assessment[[#This Row],[JOB TARGET]])),SUBSTITUTE(Assessment[[#This Row],[JOB TARGET]],"EST","DEV"),Assessment[[#This Row],[JOB TARGET]])</f>
        <v>0</v>
      </c>
      <c r="M202" s="146" t="str" cm="1">
        <f t="array" aca="1" ref="M202" ca="1">IF(Assessment[[#This Row],[JOB TARGET]]="","Job Target Kosong",IF(COUNT(IF('Data Assessment'!$N202:$Z202-OFFSET(Standar!$B$2,MATCH(Assessment[[#This Row],[JOB TARGET
(DEV)]],Standar[NAMA JABATAN],0)-1,1,1,13)&lt;0,1,""))&lt;=3,'9 Grid'!$B$4,IF(COUNT(IF('Data Assessment'!$N202:$Z202-OFFSET(Standar!$B$2,MATCH(Assessment[[#This Row],[JOB TARGET
(DEV)]],Standar[NAMA JABATAN],0)-1,1,1,13)&lt;0,1,""))&gt;=7,'9 Grid'!$B$6,'9 Grid'!$B$5)))</f>
        <v>Job Target Kosong</v>
      </c>
      <c r="N202" s="146" t="str">
        <f>IFERROR(IF(Data_Assessment[[#This Row],[IPP (3 YEARS AVERAGE)]]="","(IPP Belum Ada)",IF(Data_Assessment[[#This Row],[IPP (3 YEARS AVERAGE)]]&lt;2,'9 Grid'!$F$2,IF(Data_Assessment[[#This Row],[IPP (3 YEARS AVERAGE)]]&gt;=4,'9 Grid'!$D$2,'9 Grid'!$E$2))),"")</f>
        <v>Fully Competence Performance</v>
      </c>
      <c r="O202" s="146" t="str">
        <f ca="1">IFERROR(INDEX('9 Grid'!$D$4:$F$6,MATCH('Rekomendasi HAV'!M202,'9 Grid'!$B$4:$B$6,0),MATCH('Rekomendasi HAV'!N202,'9 Grid'!$D$2:$F$2,0)),"")</f>
        <v/>
      </c>
      <c r="P202" s="147" t="str">
        <f>IFERROR(INDEX('9 Grid'!$D$8:$F$8,1,MATCH('Rekomendasi HAV'!N202,'9 Grid'!$D$2:$F$2,0)),"")</f>
        <v>(ST) Within 12 - 18 month</v>
      </c>
    </row>
    <row r="203" spans="1:16" ht="28.5">
      <c r="A203" s="67">
        <v>202</v>
      </c>
      <c r="B203" s="68" t="str">
        <f>INDEX(Data_Assessment[],MATCH('Rekomendasi HAV'!$A203,Data_Assessment[[INDEX]:[INDEX]],0),MATCH('Rekomendasi HAV'!B$1,Data_Assessment[#Headers],0))</f>
        <v>Irwan Disanto</v>
      </c>
      <c r="C203" s="68" t="str">
        <f>INDEX(Data_Assessment[],MATCH('Rekomendasi HAV'!$A203,Data_Assessment[[INDEX]:[INDEX]],0),MATCH('Rekomendasi HAV'!C$1,Data_Assessment[#Headers],0))</f>
        <v>Palembang</v>
      </c>
      <c r="D203" s="68" t="str">
        <f>INDEX(Data_Assessment[],MATCH('Rekomendasi HAV'!$A203,Data_Assessment[[INDEX]:[INDEX]],0),MATCH('Rekomendasi HAV'!D$1,Data_Assessment[#Headers],0))</f>
        <v>LSIP - RO Palembang</v>
      </c>
      <c r="E203" s="68">
        <f>INDEX(Data_Assessment[],MATCH('Rekomendasi HAV'!$B203,Data_Assessment[[NAME]:[NAME]],0),MATCH('Rekomendasi HAV'!E$1,Data_Assessment[#Headers],0))</f>
        <v>0</v>
      </c>
      <c r="F203" s="68"/>
      <c r="G203" s="68">
        <f>IF(ISNUMBER(SEARCH("DEV",Assessment[[#This Row],[JOB TARGET]])),SUBSTITUTE(Assessment[[#This Row],[JOB TARGET]],"DEV","EST"),Assessment[[#This Row],[JOB TARGET]])</f>
        <v>0</v>
      </c>
      <c r="H203" s="146" t="str" cm="1">
        <f t="array" aca="1" ref="H203" ca="1">IF(Assessment[[#This Row],[JOB TARGET]]="","Job Target Kosong",IF(COUNT(IF('Data Assessment'!$N203:$Z203-OFFSET(Standar!$B$2,MATCH(Assessment[[#This Row],[JOB TARGET
(EST)]],Standar[NAMA JABATAN],0)-1,1,1,13)&lt;0,1,""))&lt;=3,'9 Grid'!$B$4,IF(COUNT(IF('Data Assessment'!$N203:$Z203-OFFSET(Standar!$B$2,MATCH(Assessment[[#This Row],[JOB TARGET]],Standar[NAMA JABATAN],0)-1,1,1,13)&lt;0,1,""))&gt;=7,'9 Grid'!$B$6,'9 Grid'!$B$5)))</f>
        <v>Job Target Kosong</v>
      </c>
      <c r="I203" s="146" t="str">
        <f>IFERROR(IF(Data_Assessment[[#This Row],[IPP (3 YEARS AVERAGE)]]="","(IPP Belum Ada)",IF(Data_Assessment[[#This Row],[IPP (3 YEARS AVERAGE)]]&lt;2,'9 Grid'!$F$2,IF(Data_Assessment[[#This Row],[IPP (3 YEARS AVERAGE)]]&gt;=4,'9 Grid'!$D$2,'9 Grid'!$E$2))),"")</f>
        <v>Fully Competence Performance</v>
      </c>
      <c r="J203" s="146" t="str">
        <f ca="1">IFERROR(INDEX('9 Grid'!$D$4:$F$6,MATCH('Rekomendasi HAV'!H203,'9 Grid'!$B$4:$B$6,0),MATCH('Rekomendasi HAV'!I203,'9 Grid'!$D$2:$F$2,0)),"")</f>
        <v/>
      </c>
      <c r="K203" s="146" t="str">
        <f>IFERROR(INDEX('9 Grid'!$D$8:$F$8,1,MATCH('Rekomendasi HAV'!I203,'9 Grid'!$D$2:$F$2,0)),"")</f>
        <v>(ST) Within 12 - 18 month</v>
      </c>
      <c r="L203" s="146">
        <f>IF(ISNUMBER(SEARCH("EST",Assessment[[#This Row],[JOB TARGET]])),SUBSTITUTE(Assessment[[#This Row],[JOB TARGET]],"EST","DEV"),Assessment[[#This Row],[JOB TARGET]])</f>
        <v>0</v>
      </c>
      <c r="M203" s="146" t="str" cm="1">
        <f t="array" aca="1" ref="M203" ca="1">IF(Assessment[[#This Row],[JOB TARGET]]="","Job Target Kosong",IF(COUNT(IF('Data Assessment'!$N203:$Z203-OFFSET(Standar!$B$2,MATCH(Assessment[[#This Row],[JOB TARGET
(DEV)]],Standar[NAMA JABATAN],0)-1,1,1,13)&lt;0,1,""))&lt;=3,'9 Grid'!$B$4,IF(COUNT(IF('Data Assessment'!$N203:$Z203-OFFSET(Standar!$B$2,MATCH(Assessment[[#This Row],[JOB TARGET
(DEV)]],Standar[NAMA JABATAN],0)-1,1,1,13)&lt;0,1,""))&gt;=7,'9 Grid'!$B$6,'9 Grid'!$B$5)))</f>
        <v>Job Target Kosong</v>
      </c>
      <c r="N203" s="146" t="str">
        <f>IFERROR(IF(Data_Assessment[[#This Row],[IPP (3 YEARS AVERAGE)]]="","(IPP Belum Ada)",IF(Data_Assessment[[#This Row],[IPP (3 YEARS AVERAGE)]]&lt;2,'9 Grid'!$F$2,IF(Data_Assessment[[#This Row],[IPP (3 YEARS AVERAGE)]]&gt;=4,'9 Grid'!$D$2,'9 Grid'!$E$2))),"")</f>
        <v>Fully Competence Performance</v>
      </c>
      <c r="O203" s="146" t="str">
        <f ca="1">IFERROR(INDEX('9 Grid'!$D$4:$F$6,MATCH('Rekomendasi HAV'!M203,'9 Grid'!$B$4:$B$6,0),MATCH('Rekomendasi HAV'!N203,'9 Grid'!$D$2:$F$2,0)),"")</f>
        <v/>
      </c>
      <c r="P203" s="147" t="str">
        <f>IFERROR(INDEX('9 Grid'!$D$8:$F$8,1,MATCH('Rekomendasi HAV'!N203,'9 Grid'!$D$2:$F$2,0)),"")</f>
        <v>(ST) Within 12 - 18 month</v>
      </c>
    </row>
    <row r="204" spans="1:16" ht="28.5">
      <c r="A204" s="67">
        <v>203</v>
      </c>
      <c r="B204" s="68" t="str">
        <f>INDEX(Data_Assessment[],MATCH('Rekomendasi HAV'!$A204,Data_Assessment[[INDEX]:[INDEX]],0),MATCH('Rekomendasi HAV'!B$1,Data_Assessment[#Headers],0))</f>
        <v>Ivan Ibrahim Lubis, Ir.</v>
      </c>
      <c r="C204" s="68" t="str">
        <f>INDEX(Data_Assessment[],MATCH('Rekomendasi HAV'!$A204,Data_Assessment[[INDEX]:[INDEX]],0),MATCH('Rekomendasi HAV'!C$1,Data_Assessment[#Headers],0))</f>
        <v>Palembang</v>
      </c>
      <c r="D204" s="68" t="str">
        <f>INDEX(Data_Assessment[],MATCH('Rekomendasi HAV'!$A204,Data_Assessment[[INDEX]:[INDEX]],0),MATCH('Rekomendasi HAV'!D$1,Data_Assessment[#Headers],0))</f>
        <v>LSIP - RO Palembang</v>
      </c>
      <c r="E204" s="68">
        <f>INDEX(Data_Assessment[],MATCH('Rekomendasi HAV'!$B204,Data_Assessment[[NAME]:[NAME]],0),MATCH('Rekomendasi HAV'!E$1,Data_Assessment[#Headers],0))</f>
        <v>0</v>
      </c>
      <c r="F204" s="68"/>
      <c r="G204" s="68">
        <f>IF(ISNUMBER(SEARCH("DEV",Assessment[[#This Row],[JOB TARGET]])),SUBSTITUTE(Assessment[[#This Row],[JOB TARGET]],"DEV","EST"),Assessment[[#This Row],[JOB TARGET]])</f>
        <v>0</v>
      </c>
      <c r="H204" s="146" t="str" cm="1">
        <f t="array" aca="1" ref="H204" ca="1">IF(Assessment[[#This Row],[JOB TARGET]]="","Job Target Kosong",IF(COUNT(IF('Data Assessment'!$N204:$Z204-OFFSET(Standar!$B$2,MATCH(Assessment[[#This Row],[JOB TARGET
(EST)]],Standar[NAMA JABATAN],0)-1,1,1,13)&lt;0,1,""))&lt;=3,'9 Grid'!$B$4,IF(COUNT(IF('Data Assessment'!$N204:$Z204-OFFSET(Standar!$B$2,MATCH(Assessment[[#This Row],[JOB TARGET]],Standar[NAMA JABATAN],0)-1,1,1,13)&lt;0,1,""))&gt;=7,'9 Grid'!$B$6,'9 Grid'!$B$5)))</f>
        <v>Job Target Kosong</v>
      </c>
      <c r="I204" s="146" t="str">
        <f>IFERROR(IF(Data_Assessment[[#This Row],[IPP (3 YEARS AVERAGE)]]="","(IPP Belum Ada)",IF(Data_Assessment[[#This Row],[IPP (3 YEARS AVERAGE)]]&lt;2,'9 Grid'!$F$2,IF(Data_Assessment[[#This Row],[IPP (3 YEARS AVERAGE)]]&gt;=4,'9 Grid'!$D$2,'9 Grid'!$E$2))),"")</f>
        <v>Fully Competence Performance</v>
      </c>
      <c r="J204" s="146" t="str">
        <f ca="1">IFERROR(INDEX('9 Grid'!$D$4:$F$6,MATCH('Rekomendasi HAV'!H204,'9 Grid'!$B$4:$B$6,0),MATCH('Rekomendasi HAV'!I204,'9 Grid'!$D$2:$F$2,0)),"")</f>
        <v/>
      </c>
      <c r="K204" s="146" t="str">
        <f>IFERROR(INDEX('9 Grid'!$D$8:$F$8,1,MATCH('Rekomendasi HAV'!I204,'9 Grid'!$D$2:$F$2,0)),"")</f>
        <v>(ST) Within 12 - 18 month</v>
      </c>
      <c r="L204" s="146">
        <f>IF(ISNUMBER(SEARCH("EST",Assessment[[#This Row],[JOB TARGET]])),SUBSTITUTE(Assessment[[#This Row],[JOB TARGET]],"EST","DEV"),Assessment[[#This Row],[JOB TARGET]])</f>
        <v>0</v>
      </c>
      <c r="M204" s="146" t="str" cm="1">
        <f t="array" aca="1" ref="M204" ca="1">IF(Assessment[[#This Row],[JOB TARGET]]="","Job Target Kosong",IF(COUNT(IF('Data Assessment'!$N204:$Z204-OFFSET(Standar!$B$2,MATCH(Assessment[[#This Row],[JOB TARGET
(DEV)]],Standar[NAMA JABATAN],0)-1,1,1,13)&lt;0,1,""))&lt;=3,'9 Grid'!$B$4,IF(COUNT(IF('Data Assessment'!$N204:$Z204-OFFSET(Standar!$B$2,MATCH(Assessment[[#This Row],[JOB TARGET
(DEV)]],Standar[NAMA JABATAN],0)-1,1,1,13)&lt;0,1,""))&gt;=7,'9 Grid'!$B$6,'9 Grid'!$B$5)))</f>
        <v>Job Target Kosong</v>
      </c>
      <c r="N204" s="146" t="str">
        <f>IFERROR(IF(Data_Assessment[[#This Row],[IPP (3 YEARS AVERAGE)]]="","(IPP Belum Ada)",IF(Data_Assessment[[#This Row],[IPP (3 YEARS AVERAGE)]]&lt;2,'9 Grid'!$F$2,IF(Data_Assessment[[#This Row],[IPP (3 YEARS AVERAGE)]]&gt;=4,'9 Grid'!$D$2,'9 Grid'!$E$2))),"")</f>
        <v>Fully Competence Performance</v>
      </c>
      <c r="O204" s="146" t="str">
        <f ca="1">IFERROR(INDEX('9 Grid'!$D$4:$F$6,MATCH('Rekomendasi HAV'!M204,'9 Grid'!$B$4:$B$6,0),MATCH('Rekomendasi HAV'!N204,'9 Grid'!$D$2:$F$2,0)),"")</f>
        <v/>
      </c>
      <c r="P204" s="147" t="str">
        <f>IFERROR(INDEX('9 Grid'!$D$8:$F$8,1,MATCH('Rekomendasi HAV'!N204,'9 Grid'!$D$2:$F$2,0)),"")</f>
        <v>(ST) Within 12 - 18 month</v>
      </c>
    </row>
    <row r="205" spans="1:16" ht="14.25">
      <c r="A205" s="67">
        <v>204</v>
      </c>
      <c r="B205" s="68" t="str">
        <f>INDEX(Data_Assessment[],MATCH('Rekomendasi HAV'!$A205,Data_Assessment[[INDEX]:[INDEX]],0),MATCH('Rekomendasi HAV'!B$1,Data_Assessment[#Headers],0))</f>
        <v>Abdul Haris, SH</v>
      </c>
      <c r="C205" s="68" t="str">
        <f>INDEX(Data_Assessment[],MATCH('Rekomendasi HAV'!$A205,Data_Assessment[[INDEX]:[INDEX]],0),MATCH('Rekomendasi HAV'!C$1,Data_Assessment[#Headers],0))</f>
        <v>Palembang</v>
      </c>
      <c r="D205" s="68" t="str">
        <f>INDEX(Data_Assessment[],MATCH('Rekomendasi HAV'!$A205,Data_Assessment[[INDEX]:[INDEX]],0),MATCH('Rekomendasi HAV'!D$1,Data_Assessment[#Headers],0))</f>
        <v>LSIP - RO Palembang</v>
      </c>
      <c r="E205" s="68">
        <f>INDEX(Data_Assessment[],MATCH('Rekomendasi HAV'!$B205,Data_Assessment[[NAME]:[NAME]],0),MATCH('Rekomendasi HAV'!E$1,Data_Assessment[#Headers],0))</f>
        <v>0</v>
      </c>
      <c r="F205" s="68"/>
      <c r="G205" s="68">
        <f>IF(ISNUMBER(SEARCH("DEV",Assessment[[#This Row],[JOB TARGET]])),SUBSTITUTE(Assessment[[#This Row],[JOB TARGET]],"DEV","EST"),Assessment[[#This Row],[JOB TARGET]])</f>
        <v>0</v>
      </c>
      <c r="H205" s="146" t="str" cm="1">
        <f t="array" aca="1" ref="H205" ca="1">IF(Assessment[[#This Row],[JOB TARGET]]="","Job Target Kosong",IF(COUNT(IF('Data Assessment'!$N205:$Z205-OFFSET(Standar!$B$2,MATCH(Assessment[[#This Row],[JOB TARGET
(EST)]],Standar[NAMA JABATAN],0)-1,1,1,13)&lt;0,1,""))&lt;=3,'9 Grid'!$B$4,IF(COUNT(IF('Data Assessment'!$N205:$Z205-OFFSET(Standar!$B$2,MATCH(Assessment[[#This Row],[JOB TARGET]],Standar[NAMA JABATAN],0)-1,1,1,13)&lt;0,1,""))&gt;=7,'9 Grid'!$B$6,'9 Grid'!$B$5)))</f>
        <v>Job Target Kosong</v>
      </c>
      <c r="I205" s="146" t="str">
        <f>IFERROR(IF(Data_Assessment[[#This Row],[IPP (3 YEARS AVERAGE)]]="","(IPP Belum Ada)",IF(Data_Assessment[[#This Row],[IPP (3 YEARS AVERAGE)]]&lt;2,'9 Grid'!$F$2,IF(Data_Assessment[[#This Row],[IPP (3 YEARS AVERAGE)]]&gt;=4,'9 Grid'!$D$2,'9 Grid'!$E$2))),"")</f>
        <v>Exceptional Performance</v>
      </c>
      <c r="J205" s="146" t="str">
        <f ca="1">IFERROR(INDEX('9 Grid'!$D$4:$F$6,MATCH('Rekomendasi HAV'!H205,'9 Grid'!$B$4:$B$6,0),MATCH('Rekomendasi HAV'!I205,'9 Grid'!$D$2:$F$2,0)),"")</f>
        <v/>
      </c>
      <c r="K205" s="146" t="str">
        <f>IFERROR(INDEX('9 Grid'!$D$8:$F$8,1,MATCH('Rekomendasi HAV'!I205,'9 Grid'!$D$2:$F$2,0)),"")</f>
        <v>(I) Immediately</v>
      </c>
      <c r="L205" s="146">
        <f>IF(ISNUMBER(SEARCH("EST",Assessment[[#This Row],[JOB TARGET]])),SUBSTITUTE(Assessment[[#This Row],[JOB TARGET]],"EST","DEV"),Assessment[[#This Row],[JOB TARGET]])</f>
        <v>0</v>
      </c>
      <c r="M205" s="146" t="str" cm="1">
        <f t="array" aca="1" ref="M205" ca="1">IF(Assessment[[#This Row],[JOB TARGET]]="","Job Target Kosong",IF(COUNT(IF('Data Assessment'!$N205:$Z205-OFFSET(Standar!$B$2,MATCH(Assessment[[#This Row],[JOB TARGET
(DEV)]],Standar[NAMA JABATAN],0)-1,1,1,13)&lt;0,1,""))&lt;=3,'9 Grid'!$B$4,IF(COUNT(IF('Data Assessment'!$N205:$Z205-OFFSET(Standar!$B$2,MATCH(Assessment[[#This Row],[JOB TARGET
(DEV)]],Standar[NAMA JABATAN],0)-1,1,1,13)&lt;0,1,""))&gt;=7,'9 Grid'!$B$6,'9 Grid'!$B$5)))</f>
        <v>Job Target Kosong</v>
      </c>
      <c r="N205" s="146" t="str">
        <f>IFERROR(IF(Data_Assessment[[#This Row],[IPP (3 YEARS AVERAGE)]]="","(IPP Belum Ada)",IF(Data_Assessment[[#This Row],[IPP (3 YEARS AVERAGE)]]&lt;2,'9 Grid'!$F$2,IF(Data_Assessment[[#This Row],[IPP (3 YEARS AVERAGE)]]&gt;=4,'9 Grid'!$D$2,'9 Grid'!$E$2))),"")</f>
        <v>Exceptional Performance</v>
      </c>
      <c r="O205" s="146" t="str">
        <f ca="1">IFERROR(INDEX('9 Grid'!$D$4:$F$6,MATCH('Rekomendasi HAV'!M205,'9 Grid'!$B$4:$B$6,0),MATCH('Rekomendasi HAV'!N205,'9 Grid'!$D$2:$F$2,0)),"")</f>
        <v/>
      </c>
      <c r="P205" s="147" t="str">
        <f>IFERROR(INDEX('9 Grid'!$D$8:$F$8,1,MATCH('Rekomendasi HAV'!N205,'9 Grid'!$D$2:$F$2,0)),"")</f>
        <v>(I) Immediately</v>
      </c>
    </row>
    <row r="206" spans="1:16" ht="28.5">
      <c r="A206" s="67">
        <v>205</v>
      </c>
      <c r="B206" s="68" t="str">
        <f>INDEX(Data_Assessment[],MATCH('Rekomendasi HAV'!$A206,Data_Assessment[[INDEX]:[INDEX]],0),MATCH('Rekomendasi HAV'!B$1,Data_Assessment[#Headers],0))</f>
        <v>Sissy Apriany</v>
      </c>
      <c r="C206" s="68" t="str">
        <f>INDEX(Data_Assessment[],MATCH('Rekomendasi HAV'!$A206,Data_Assessment[[INDEX]:[INDEX]],0),MATCH('Rekomendasi HAV'!C$1,Data_Assessment[#Headers],0))</f>
        <v>Palembang</v>
      </c>
      <c r="D206" s="68" t="str">
        <f>INDEX(Data_Assessment[],MATCH('Rekomendasi HAV'!$A206,Data_Assessment[[INDEX]:[INDEX]],0),MATCH('Rekomendasi HAV'!D$1,Data_Assessment[#Headers],0))</f>
        <v>LSIP - RO Palembang</v>
      </c>
      <c r="E206" s="68">
        <f>INDEX(Data_Assessment[],MATCH('Rekomendasi HAV'!$B206,Data_Assessment[[NAME]:[NAME]],0),MATCH('Rekomendasi HAV'!E$1,Data_Assessment[#Headers],0))</f>
        <v>0</v>
      </c>
      <c r="F206" s="68"/>
      <c r="G206" s="68">
        <f>IF(ISNUMBER(SEARCH("DEV",Assessment[[#This Row],[JOB TARGET]])),SUBSTITUTE(Assessment[[#This Row],[JOB TARGET]],"DEV","EST"),Assessment[[#This Row],[JOB TARGET]])</f>
        <v>0</v>
      </c>
      <c r="H206" s="146" t="str" cm="1">
        <f t="array" aca="1" ref="H206" ca="1">IF(Assessment[[#This Row],[JOB TARGET]]="","Job Target Kosong",IF(COUNT(IF('Data Assessment'!$N206:$Z206-OFFSET(Standar!$B$2,MATCH(Assessment[[#This Row],[JOB TARGET
(EST)]],Standar[NAMA JABATAN],0)-1,1,1,13)&lt;0,1,""))&lt;=3,'9 Grid'!$B$4,IF(COUNT(IF('Data Assessment'!$N206:$Z206-OFFSET(Standar!$B$2,MATCH(Assessment[[#This Row],[JOB TARGET]],Standar[NAMA JABATAN],0)-1,1,1,13)&lt;0,1,""))&gt;=7,'9 Grid'!$B$6,'9 Grid'!$B$5)))</f>
        <v>Job Target Kosong</v>
      </c>
      <c r="I206" s="146" t="str">
        <f>IFERROR(IF(Data_Assessment[[#This Row],[IPP (3 YEARS AVERAGE)]]="","(IPP Belum Ada)",IF(Data_Assessment[[#This Row],[IPP (3 YEARS AVERAGE)]]&lt;2,'9 Grid'!$F$2,IF(Data_Assessment[[#This Row],[IPP (3 YEARS AVERAGE)]]&gt;=4,'9 Grid'!$D$2,'9 Grid'!$E$2))),"")</f>
        <v>Fully Competence Performance</v>
      </c>
      <c r="J206" s="146" t="str">
        <f ca="1">IFERROR(INDEX('9 Grid'!$D$4:$F$6,MATCH('Rekomendasi HAV'!H206,'9 Grid'!$B$4:$B$6,0),MATCH('Rekomendasi HAV'!I206,'9 Grid'!$D$2:$F$2,0)),"")</f>
        <v/>
      </c>
      <c r="K206" s="146" t="str">
        <f>IFERROR(INDEX('9 Grid'!$D$8:$F$8,1,MATCH('Rekomendasi HAV'!I206,'9 Grid'!$D$2:$F$2,0)),"")</f>
        <v>(ST) Within 12 - 18 month</v>
      </c>
      <c r="L206" s="146">
        <f>IF(ISNUMBER(SEARCH("EST",Assessment[[#This Row],[JOB TARGET]])),SUBSTITUTE(Assessment[[#This Row],[JOB TARGET]],"EST","DEV"),Assessment[[#This Row],[JOB TARGET]])</f>
        <v>0</v>
      </c>
      <c r="M206" s="146" t="str" cm="1">
        <f t="array" aca="1" ref="M206" ca="1">IF(Assessment[[#This Row],[JOB TARGET]]="","Job Target Kosong",IF(COUNT(IF('Data Assessment'!$N206:$Z206-OFFSET(Standar!$B$2,MATCH(Assessment[[#This Row],[JOB TARGET
(DEV)]],Standar[NAMA JABATAN],0)-1,1,1,13)&lt;0,1,""))&lt;=3,'9 Grid'!$B$4,IF(COUNT(IF('Data Assessment'!$N206:$Z206-OFFSET(Standar!$B$2,MATCH(Assessment[[#This Row],[JOB TARGET
(DEV)]],Standar[NAMA JABATAN],0)-1,1,1,13)&lt;0,1,""))&gt;=7,'9 Grid'!$B$6,'9 Grid'!$B$5)))</f>
        <v>Job Target Kosong</v>
      </c>
      <c r="N206" s="146" t="str">
        <f>IFERROR(IF(Data_Assessment[[#This Row],[IPP (3 YEARS AVERAGE)]]="","(IPP Belum Ada)",IF(Data_Assessment[[#This Row],[IPP (3 YEARS AVERAGE)]]&lt;2,'9 Grid'!$F$2,IF(Data_Assessment[[#This Row],[IPP (3 YEARS AVERAGE)]]&gt;=4,'9 Grid'!$D$2,'9 Grid'!$E$2))),"")</f>
        <v>Fully Competence Performance</v>
      </c>
      <c r="O206" s="146" t="str">
        <f ca="1">IFERROR(INDEX('9 Grid'!$D$4:$F$6,MATCH('Rekomendasi HAV'!M206,'9 Grid'!$B$4:$B$6,0),MATCH('Rekomendasi HAV'!N206,'9 Grid'!$D$2:$F$2,0)),"")</f>
        <v/>
      </c>
      <c r="P206" s="147" t="str">
        <f>IFERROR(INDEX('9 Grid'!$D$8:$F$8,1,MATCH('Rekomendasi HAV'!N206,'9 Grid'!$D$2:$F$2,0)),"")</f>
        <v>(ST) Within 12 - 18 month</v>
      </c>
    </row>
    <row r="207" spans="1:16" ht="28.5">
      <c r="A207" s="67">
        <v>206</v>
      </c>
      <c r="B207" s="68" t="str">
        <f>INDEX(Data_Assessment[],MATCH('Rekomendasi HAV'!$A207,Data_Assessment[[INDEX]:[INDEX]],0),MATCH('Rekomendasi HAV'!B$1,Data_Assessment[#Headers],0))</f>
        <v>Suhari Muryono</v>
      </c>
      <c r="C207" s="68" t="str">
        <f>INDEX(Data_Assessment[],MATCH('Rekomendasi HAV'!$A207,Data_Assessment[[INDEX]:[INDEX]],0),MATCH('Rekomendasi HAV'!C$1,Data_Assessment[#Headers],0))</f>
        <v>Palembang</v>
      </c>
      <c r="D207" s="68" t="str">
        <f>INDEX(Data_Assessment[],MATCH('Rekomendasi HAV'!$A207,Data_Assessment[[INDEX]:[INDEX]],0),MATCH('Rekomendasi HAV'!D$1,Data_Assessment[#Headers],0))</f>
        <v>LSIP - RO Palembang</v>
      </c>
      <c r="E207" s="68">
        <f>INDEX(Data_Assessment[],MATCH('Rekomendasi HAV'!$B207,Data_Assessment[[NAME]:[NAME]],0),MATCH('Rekomendasi HAV'!E$1,Data_Assessment[#Headers],0))</f>
        <v>0</v>
      </c>
      <c r="F207" s="68"/>
      <c r="G207" s="68">
        <f>IF(ISNUMBER(SEARCH("DEV",Assessment[[#This Row],[JOB TARGET]])),SUBSTITUTE(Assessment[[#This Row],[JOB TARGET]],"DEV","EST"),Assessment[[#This Row],[JOB TARGET]])</f>
        <v>0</v>
      </c>
      <c r="H207" s="146" t="str" cm="1">
        <f t="array" aca="1" ref="H207" ca="1">IF(Assessment[[#This Row],[JOB TARGET]]="","Job Target Kosong",IF(COUNT(IF('Data Assessment'!$N207:$Z207-OFFSET(Standar!$B$2,MATCH(Assessment[[#This Row],[JOB TARGET
(EST)]],Standar[NAMA JABATAN],0)-1,1,1,13)&lt;0,1,""))&lt;=3,'9 Grid'!$B$4,IF(COUNT(IF('Data Assessment'!$N207:$Z207-OFFSET(Standar!$B$2,MATCH(Assessment[[#This Row],[JOB TARGET]],Standar[NAMA JABATAN],0)-1,1,1,13)&lt;0,1,""))&gt;=7,'9 Grid'!$B$6,'9 Grid'!$B$5)))</f>
        <v>Job Target Kosong</v>
      </c>
      <c r="I207" s="146" t="str">
        <f>IFERROR(IF(Data_Assessment[[#This Row],[IPP (3 YEARS AVERAGE)]]="","(IPP Belum Ada)",IF(Data_Assessment[[#This Row],[IPP (3 YEARS AVERAGE)]]&lt;2,'9 Grid'!$F$2,IF(Data_Assessment[[#This Row],[IPP (3 YEARS AVERAGE)]]&gt;=4,'9 Grid'!$D$2,'9 Grid'!$E$2))),"")</f>
        <v>Fully Competence Performance</v>
      </c>
      <c r="J207" s="146" t="str">
        <f ca="1">IFERROR(INDEX('9 Grid'!$D$4:$F$6,MATCH('Rekomendasi HAV'!H207,'9 Grid'!$B$4:$B$6,0),MATCH('Rekomendasi HAV'!I207,'9 Grid'!$D$2:$F$2,0)),"")</f>
        <v/>
      </c>
      <c r="K207" s="146" t="str">
        <f>IFERROR(INDEX('9 Grid'!$D$8:$F$8,1,MATCH('Rekomendasi HAV'!I207,'9 Grid'!$D$2:$F$2,0)),"")</f>
        <v>(ST) Within 12 - 18 month</v>
      </c>
      <c r="L207" s="146">
        <f>IF(ISNUMBER(SEARCH("EST",Assessment[[#This Row],[JOB TARGET]])),SUBSTITUTE(Assessment[[#This Row],[JOB TARGET]],"EST","DEV"),Assessment[[#This Row],[JOB TARGET]])</f>
        <v>0</v>
      </c>
      <c r="M207" s="146" t="str" cm="1">
        <f t="array" aca="1" ref="M207" ca="1">IF(Assessment[[#This Row],[JOB TARGET]]="","Job Target Kosong",IF(COUNT(IF('Data Assessment'!$N207:$Z207-OFFSET(Standar!$B$2,MATCH(Assessment[[#This Row],[JOB TARGET
(DEV)]],Standar[NAMA JABATAN],0)-1,1,1,13)&lt;0,1,""))&lt;=3,'9 Grid'!$B$4,IF(COUNT(IF('Data Assessment'!$N207:$Z207-OFFSET(Standar!$B$2,MATCH(Assessment[[#This Row],[JOB TARGET
(DEV)]],Standar[NAMA JABATAN],0)-1,1,1,13)&lt;0,1,""))&gt;=7,'9 Grid'!$B$6,'9 Grid'!$B$5)))</f>
        <v>Job Target Kosong</v>
      </c>
      <c r="N207" s="146" t="str">
        <f>IFERROR(IF(Data_Assessment[[#This Row],[IPP (3 YEARS AVERAGE)]]="","(IPP Belum Ada)",IF(Data_Assessment[[#This Row],[IPP (3 YEARS AVERAGE)]]&lt;2,'9 Grid'!$F$2,IF(Data_Assessment[[#This Row],[IPP (3 YEARS AVERAGE)]]&gt;=4,'9 Grid'!$D$2,'9 Grid'!$E$2))),"")</f>
        <v>Fully Competence Performance</v>
      </c>
      <c r="O207" s="146" t="str">
        <f ca="1">IFERROR(INDEX('9 Grid'!$D$4:$F$6,MATCH('Rekomendasi HAV'!M207,'9 Grid'!$B$4:$B$6,0),MATCH('Rekomendasi HAV'!N207,'9 Grid'!$D$2:$F$2,0)),"")</f>
        <v/>
      </c>
      <c r="P207" s="147" t="str">
        <f>IFERROR(INDEX('9 Grid'!$D$8:$F$8,1,MATCH('Rekomendasi HAV'!N207,'9 Grid'!$D$2:$F$2,0)),"")</f>
        <v>(ST) Within 12 - 18 month</v>
      </c>
    </row>
    <row r="208" spans="1:16" ht="28.5">
      <c r="A208" s="67">
        <v>207</v>
      </c>
      <c r="B208" s="68" t="str">
        <f>INDEX(Data_Assessment[],MATCH('Rekomendasi HAV'!$A208,Data_Assessment[[INDEX]:[INDEX]],0),MATCH('Rekomendasi HAV'!B$1,Data_Assessment[#Headers],0))</f>
        <v>Ayu Herlyanti</v>
      </c>
      <c r="C208" s="68" t="str">
        <f>INDEX(Data_Assessment[],MATCH('Rekomendasi HAV'!$A208,Data_Assessment[[INDEX]:[INDEX]],0),MATCH('Rekomendasi HAV'!C$1,Data_Assessment[#Headers],0))</f>
        <v>Palembang</v>
      </c>
      <c r="D208" s="68" t="str">
        <f>INDEX(Data_Assessment[],MATCH('Rekomendasi HAV'!$A208,Data_Assessment[[INDEX]:[INDEX]],0),MATCH('Rekomendasi HAV'!D$1,Data_Assessment[#Headers],0))</f>
        <v>LSIP - RO Palembang</v>
      </c>
      <c r="E208" s="68">
        <f>INDEX(Data_Assessment[],MATCH('Rekomendasi HAV'!$B208,Data_Assessment[[NAME]:[NAME]],0),MATCH('Rekomendasi HAV'!E$1,Data_Assessment[#Headers],0))</f>
        <v>0</v>
      </c>
      <c r="F208" s="68"/>
      <c r="G208" s="68">
        <f>IF(ISNUMBER(SEARCH("DEV",Assessment[[#This Row],[JOB TARGET]])),SUBSTITUTE(Assessment[[#This Row],[JOB TARGET]],"DEV","EST"),Assessment[[#This Row],[JOB TARGET]])</f>
        <v>0</v>
      </c>
      <c r="H208" s="146" t="str" cm="1">
        <f t="array" aca="1" ref="H208" ca="1">IF(Assessment[[#This Row],[JOB TARGET]]="","Job Target Kosong",IF(COUNT(IF('Data Assessment'!$N208:$Z208-OFFSET(Standar!$B$2,MATCH(Assessment[[#This Row],[JOB TARGET
(EST)]],Standar[NAMA JABATAN],0)-1,1,1,13)&lt;0,1,""))&lt;=3,'9 Grid'!$B$4,IF(COUNT(IF('Data Assessment'!$N208:$Z208-OFFSET(Standar!$B$2,MATCH(Assessment[[#This Row],[JOB TARGET]],Standar[NAMA JABATAN],0)-1,1,1,13)&lt;0,1,""))&gt;=7,'9 Grid'!$B$6,'9 Grid'!$B$5)))</f>
        <v>Job Target Kosong</v>
      </c>
      <c r="I208" s="146" t="str">
        <f>IFERROR(IF(Data_Assessment[[#This Row],[IPP (3 YEARS AVERAGE)]]="","(IPP Belum Ada)",IF(Data_Assessment[[#This Row],[IPP (3 YEARS AVERAGE)]]&lt;2,'9 Grid'!$F$2,IF(Data_Assessment[[#This Row],[IPP (3 YEARS AVERAGE)]]&gt;=4,'9 Grid'!$D$2,'9 Grid'!$E$2))),"")</f>
        <v>Fully Competence Performance</v>
      </c>
      <c r="J208" s="146" t="str">
        <f ca="1">IFERROR(INDEX('9 Grid'!$D$4:$F$6,MATCH('Rekomendasi HAV'!H208,'9 Grid'!$B$4:$B$6,0),MATCH('Rekomendasi HAV'!I208,'9 Grid'!$D$2:$F$2,0)),"")</f>
        <v/>
      </c>
      <c r="K208" s="146" t="str">
        <f>IFERROR(INDEX('9 Grid'!$D$8:$F$8,1,MATCH('Rekomendasi HAV'!I208,'9 Grid'!$D$2:$F$2,0)),"")</f>
        <v>(ST) Within 12 - 18 month</v>
      </c>
      <c r="L208" s="146">
        <f>IF(ISNUMBER(SEARCH("EST",Assessment[[#This Row],[JOB TARGET]])),SUBSTITUTE(Assessment[[#This Row],[JOB TARGET]],"EST","DEV"),Assessment[[#This Row],[JOB TARGET]])</f>
        <v>0</v>
      </c>
      <c r="M208" s="146" t="str" cm="1">
        <f t="array" aca="1" ref="M208" ca="1">IF(Assessment[[#This Row],[JOB TARGET]]="","Job Target Kosong",IF(COUNT(IF('Data Assessment'!$N208:$Z208-OFFSET(Standar!$B$2,MATCH(Assessment[[#This Row],[JOB TARGET
(DEV)]],Standar[NAMA JABATAN],0)-1,1,1,13)&lt;0,1,""))&lt;=3,'9 Grid'!$B$4,IF(COUNT(IF('Data Assessment'!$N208:$Z208-OFFSET(Standar!$B$2,MATCH(Assessment[[#This Row],[JOB TARGET
(DEV)]],Standar[NAMA JABATAN],0)-1,1,1,13)&lt;0,1,""))&gt;=7,'9 Grid'!$B$6,'9 Grid'!$B$5)))</f>
        <v>Job Target Kosong</v>
      </c>
      <c r="N208" s="146" t="str">
        <f>IFERROR(IF(Data_Assessment[[#This Row],[IPP (3 YEARS AVERAGE)]]="","(IPP Belum Ada)",IF(Data_Assessment[[#This Row],[IPP (3 YEARS AVERAGE)]]&lt;2,'9 Grid'!$F$2,IF(Data_Assessment[[#This Row],[IPP (3 YEARS AVERAGE)]]&gt;=4,'9 Grid'!$D$2,'9 Grid'!$E$2))),"")</f>
        <v>Fully Competence Performance</v>
      </c>
      <c r="O208" s="146" t="str">
        <f ca="1">IFERROR(INDEX('9 Grid'!$D$4:$F$6,MATCH('Rekomendasi HAV'!M208,'9 Grid'!$B$4:$B$6,0),MATCH('Rekomendasi HAV'!N208,'9 Grid'!$D$2:$F$2,0)),"")</f>
        <v/>
      </c>
      <c r="P208" s="147" t="str">
        <f>IFERROR(INDEX('9 Grid'!$D$8:$F$8,1,MATCH('Rekomendasi HAV'!N208,'9 Grid'!$D$2:$F$2,0)),"")</f>
        <v>(ST) Within 12 - 18 month</v>
      </c>
    </row>
    <row r="209" spans="1:16" ht="28.5">
      <c r="A209" s="67">
        <v>208</v>
      </c>
      <c r="B209" s="68" t="str">
        <f>INDEX(Data_Assessment[],MATCH('Rekomendasi HAV'!$A209,Data_Assessment[[INDEX]:[INDEX]],0),MATCH('Rekomendasi HAV'!B$1,Data_Assessment[#Headers],0))</f>
        <v>Bermart Aron Parapat</v>
      </c>
      <c r="C209" s="68" t="str">
        <f>INDEX(Data_Assessment[],MATCH('Rekomendasi HAV'!$A209,Data_Assessment[[INDEX]:[INDEX]],0),MATCH('Rekomendasi HAV'!C$1,Data_Assessment[#Headers],0))</f>
        <v>Palembang</v>
      </c>
      <c r="D209" s="68" t="str">
        <f>INDEX(Data_Assessment[],MATCH('Rekomendasi HAV'!$A209,Data_Assessment[[INDEX]:[INDEX]],0),MATCH('Rekomendasi HAV'!D$1,Data_Assessment[#Headers],0))</f>
        <v>LSIP - RO Palembang</v>
      </c>
      <c r="E209" s="68">
        <f>INDEX(Data_Assessment[],MATCH('Rekomendasi HAV'!$B209,Data_Assessment[[NAME]:[NAME]],0),MATCH('Rekomendasi HAV'!E$1,Data_Assessment[#Headers],0))</f>
        <v>0</v>
      </c>
      <c r="F209" s="68"/>
      <c r="G209" s="68">
        <f>IF(ISNUMBER(SEARCH("DEV",Assessment[[#This Row],[JOB TARGET]])),SUBSTITUTE(Assessment[[#This Row],[JOB TARGET]],"DEV","EST"),Assessment[[#This Row],[JOB TARGET]])</f>
        <v>0</v>
      </c>
      <c r="H209" s="146" t="str" cm="1">
        <f t="array" aca="1" ref="H209" ca="1">IF(Assessment[[#This Row],[JOB TARGET]]="","Job Target Kosong",IF(COUNT(IF('Data Assessment'!$N209:$Z209-OFFSET(Standar!$B$2,MATCH(Assessment[[#This Row],[JOB TARGET
(EST)]],Standar[NAMA JABATAN],0)-1,1,1,13)&lt;0,1,""))&lt;=3,'9 Grid'!$B$4,IF(COUNT(IF('Data Assessment'!$N209:$Z209-OFFSET(Standar!$B$2,MATCH(Assessment[[#This Row],[JOB TARGET]],Standar[NAMA JABATAN],0)-1,1,1,13)&lt;0,1,""))&gt;=7,'9 Grid'!$B$6,'9 Grid'!$B$5)))</f>
        <v>Job Target Kosong</v>
      </c>
      <c r="I209" s="146" t="str">
        <f>IFERROR(IF(Data_Assessment[[#This Row],[IPP (3 YEARS AVERAGE)]]="","(IPP Belum Ada)",IF(Data_Assessment[[#This Row],[IPP (3 YEARS AVERAGE)]]&lt;2,'9 Grid'!$F$2,IF(Data_Assessment[[#This Row],[IPP (3 YEARS AVERAGE)]]&gt;=4,'9 Grid'!$D$2,'9 Grid'!$E$2))),"")</f>
        <v>Fully Competence Performance</v>
      </c>
      <c r="J209" s="146" t="str">
        <f ca="1">IFERROR(INDEX('9 Grid'!$D$4:$F$6,MATCH('Rekomendasi HAV'!H209,'9 Grid'!$B$4:$B$6,0),MATCH('Rekomendasi HAV'!I209,'9 Grid'!$D$2:$F$2,0)),"")</f>
        <v/>
      </c>
      <c r="K209" s="146" t="str">
        <f>IFERROR(INDEX('9 Grid'!$D$8:$F$8,1,MATCH('Rekomendasi HAV'!I209,'9 Grid'!$D$2:$F$2,0)),"")</f>
        <v>(ST) Within 12 - 18 month</v>
      </c>
      <c r="L209" s="146">
        <f>IF(ISNUMBER(SEARCH("EST",Assessment[[#This Row],[JOB TARGET]])),SUBSTITUTE(Assessment[[#This Row],[JOB TARGET]],"EST","DEV"),Assessment[[#This Row],[JOB TARGET]])</f>
        <v>0</v>
      </c>
      <c r="M209" s="146" t="str" cm="1">
        <f t="array" aca="1" ref="M209" ca="1">IF(Assessment[[#This Row],[JOB TARGET]]="","Job Target Kosong",IF(COUNT(IF('Data Assessment'!$N209:$Z209-OFFSET(Standar!$B$2,MATCH(Assessment[[#This Row],[JOB TARGET
(DEV)]],Standar[NAMA JABATAN],0)-1,1,1,13)&lt;0,1,""))&lt;=3,'9 Grid'!$B$4,IF(COUNT(IF('Data Assessment'!$N209:$Z209-OFFSET(Standar!$B$2,MATCH(Assessment[[#This Row],[JOB TARGET
(DEV)]],Standar[NAMA JABATAN],0)-1,1,1,13)&lt;0,1,""))&gt;=7,'9 Grid'!$B$6,'9 Grid'!$B$5)))</f>
        <v>Job Target Kosong</v>
      </c>
      <c r="N209" s="146" t="str">
        <f>IFERROR(IF(Data_Assessment[[#This Row],[IPP (3 YEARS AVERAGE)]]="","(IPP Belum Ada)",IF(Data_Assessment[[#This Row],[IPP (3 YEARS AVERAGE)]]&lt;2,'9 Grid'!$F$2,IF(Data_Assessment[[#This Row],[IPP (3 YEARS AVERAGE)]]&gt;=4,'9 Grid'!$D$2,'9 Grid'!$E$2))),"")</f>
        <v>Fully Competence Performance</v>
      </c>
      <c r="O209" s="146" t="str">
        <f ca="1">IFERROR(INDEX('9 Grid'!$D$4:$F$6,MATCH('Rekomendasi HAV'!M209,'9 Grid'!$B$4:$B$6,0),MATCH('Rekomendasi HAV'!N209,'9 Grid'!$D$2:$F$2,0)),"")</f>
        <v/>
      </c>
      <c r="P209" s="147" t="str">
        <f>IFERROR(INDEX('9 Grid'!$D$8:$F$8,1,MATCH('Rekomendasi HAV'!N209,'9 Grid'!$D$2:$F$2,0)),"")</f>
        <v>(ST) Within 12 - 18 month</v>
      </c>
    </row>
    <row r="210" spans="1:16" ht="28.5">
      <c r="A210" s="67">
        <v>209</v>
      </c>
      <c r="B210" s="68" t="str">
        <f>INDEX(Data_Assessment[],MATCH('Rekomendasi HAV'!$A210,Data_Assessment[[INDEX]:[INDEX]],0),MATCH('Rekomendasi HAV'!B$1,Data_Assessment[#Headers],0))</f>
        <v>Chanra Hendrianto</v>
      </c>
      <c r="C210" s="68" t="str">
        <f>INDEX(Data_Assessment[],MATCH('Rekomendasi HAV'!$A210,Data_Assessment[[INDEX]:[INDEX]],0),MATCH('Rekomendasi HAV'!C$1,Data_Assessment[#Headers],0))</f>
        <v>Palembang</v>
      </c>
      <c r="D210" s="68" t="str">
        <f>INDEX(Data_Assessment[],MATCH('Rekomendasi HAV'!$A210,Data_Assessment[[INDEX]:[INDEX]],0),MATCH('Rekomendasi HAV'!D$1,Data_Assessment[#Headers],0))</f>
        <v>LSIP - RO Palembang</v>
      </c>
      <c r="E210" s="68">
        <f>INDEX(Data_Assessment[],MATCH('Rekomendasi HAV'!$B210,Data_Assessment[[NAME]:[NAME]],0),MATCH('Rekomendasi HAV'!E$1,Data_Assessment[#Headers],0))</f>
        <v>0</v>
      </c>
      <c r="F210" s="68"/>
      <c r="G210" s="68">
        <f>IF(ISNUMBER(SEARCH("DEV",Assessment[[#This Row],[JOB TARGET]])),SUBSTITUTE(Assessment[[#This Row],[JOB TARGET]],"DEV","EST"),Assessment[[#This Row],[JOB TARGET]])</f>
        <v>0</v>
      </c>
      <c r="H210" s="146" t="str" cm="1">
        <f t="array" aca="1" ref="H210" ca="1">IF(Assessment[[#This Row],[JOB TARGET]]="","Job Target Kosong",IF(COUNT(IF('Data Assessment'!$N210:$Z210-OFFSET(Standar!$B$2,MATCH(Assessment[[#This Row],[JOB TARGET
(EST)]],Standar[NAMA JABATAN],0)-1,1,1,13)&lt;0,1,""))&lt;=3,'9 Grid'!$B$4,IF(COUNT(IF('Data Assessment'!$N210:$Z210-OFFSET(Standar!$B$2,MATCH(Assessment[[#This Row],[JOB TARGET]],Standar[NAMA JABATAN],0)-1,1,1,13)&lt;0,1,""))&gt;=7,'9 Grid'!$B$6,'9 Grid'!$B$5)))</f>
        <v>Job Target Kosong</v>
      </c>
      <c r="I210" s="146" t="str">
        <f>IFERROR(IF(Data_Assessment[[#This Row],[IPP (3 YEARS AVERAGE)]]="","(IPP Belum Ada)",IF(Data_Assessment[[#This Row],[IPP (3 YEARS AVERAGE)]]&lt;2,'9 Grid'!$F$2,IF(Data_Assessment[[#This Row],[IPP (3 YEARS AVERAGE)]]&gt;=4,'9 Grid'!$D$2,'9 Grid'!$E$2))),"")</f>
        <v>Fully Competence Performance</v>
      </c>
      <c r="J210" s="146" t="str">
        <f ca="1">IFERROR(INDEX('9 Grid'!$D$4:$F$6,MATCH('Rekomendasi HAV'!H210,'9 Grid'!$B$4:$B$6,0),MATCH('Rekomendasi HAV'!I210,'9 Grid'!$D$2:$F$2,0)),"")</f>
        <v/>
      </c>
      <c r="K210" s="146" t="str">
        <f>IFERROR(INDEX('9 Grid'!$D$8:$F$8,1,MATCH('Rekomendasi HAV'!I210,'9 Grid'!$D$2:$F$2,0)),"")</f>
        <v>(ST) Within 12 - 18 month</v>
      </c>
      <c r="L210" s="146">
        <f>IF(ISNUMBER(SEARCH("EST",Assessment[[#This Row],[JOB TARGET]])),SUBSTITUTE(Assessment[[#This Row],[JOB TARGET]],"EST","DEV"),Assessment[[#This Row],[JOB TARGET]])</f>
        <v>0</v>
      </c>
      <c r="M210" s="146" t="str" cm="1">
        <f t="array" aca="1" ref="M210" ca="1">IF(Assessment[[#This Row],[JOB TARGET]]="","Job Target Kosong",IF(COUNT(IF('Data Assessment'!$N210:$Z210-OFFSET(Standar!$B$2,MATCH(Assessment[[#This Row],[JOB TARGET
(DEV)]],Standar[NAMA JABATAN],0)-1,1,1,13)&lt;0,1,""))&lt;=3,'9 Grid'!$B$4,IF(COUNT(IF('Data Assessment'!$N210:$Z210-OFFSET(Standar!$B$2,MATCH(Assessment[[#This Row],[JOB TARGET
(DEV)]],Standar[NAMA JABATAN],0)-1,1,1,13)&lt;0,1,""))&gt;=7,'9 Grid'!$B$6,'9 Grid'!$B$5)))</f>
        <v>Job Target Kosong</v>
      </c>
      <c r="N210" s="146" t="str">
        <f>IFERROR(IF(Data_Assessment[[#This Row],[IPP (3 YEARS AVERAGE)]]="","(IPP Belum Ada)",IF(Data_Assessment[[#This Row],[IPP (3 YEARS AVERAGE)]]&lt;2,'9 Grid'!$F$2,IF(Data_Assessment[[#This Row],[IPP (3 YEARS AVERAGE)]]&gt;=4,'9 Grid'!$D$2,'9 Grid'!$E$2))),"")</f>
        <v>Fully Competence Performance</v>
      </c>
      <c r="O210" s="146" t="str">
        <f ca="1">IFERROR(INDEX('9 Grid'!$D$4:$F$6,MATCH('Rekomendasi HAV'!M210,'9 Grid'!$B$4:$B$6,0),MATCH('Rekomendasi HAV'!N210,'9 Grid'!$D$2:$F$2,0)),"")</f>
        <v/>
      </c>
      <c r="P210" s="147" t="str">
        <f>IFERROR(INDEX('9 Grid'!$D$8:$F$8,1,MATCH('Rekomendasi HAV'!N210,'9 Grid'!$D$2:$F$2,0)),"")</f>
        <v>(ST) Within 12 - 18 month</v>
      </c>
    </row>
    <row r="211" spans="1:16" ht="28.5">
      <c r="A211" s="67">
        <v>210</v>
      </c>
      <c r="B211" s="68" t="str">
        <f>INDEX(Data_Assessment[],MATCH('Rekomendasi HAV'!$A211,Data_Assessment[[INDEX]:[INDEX]],0),MATCH('Rekomendasi HAV'!B$1,Data_Assessment[#Headers],0))</f>
        <v>Herianto</v>
      </c>
      <c r="C211" s="68" t="str">
        <f>INDEX(Data_Assessment[],MATCH('Rekomendasi HAV'!$A211,Data_Assessment[[INDEX]:[INDEX]],0),MATCH('Rekomendasi HAV'!C$1,Data_Assessment[#Headers],0))</f>
        <v>Palembang</v>
      </c>
      <c r="D211" s="68" t="str">
        <f>INDEX(Data_Assessment[],MATCH('Rekomendasi HAV'!$A211,Data_Assessment[[INDEX]:[INDEX]],0),MATCH('Rekomendasi HAV'!D$1,Data_Assessment[#Headers],0))</f>
        <v>LSIP - RO Palembang</v>
      </c>
      <c r="E211" s="68">
        <f>INDEX(Data_Assessment[],MATCH('Rekomendasi HAV'!$B211,Data_Assessment[[NAME]:[NAME]],0),MATCH('Rekomendasi HAV'!E$1,Data_Assessment[#Headers],0))</f>
        <v>0</v>
      </c>
      <c r="F211" s="68"/>
      <c r="G211" s="68">
        <f>IF(ISNUMBER(SEARCH("DEV",Assessment[[#This Row],[JOB TARGET]])),SUBSTITUTE(Assessment[[#This Row],[JOB TARGET]],"DEV","EST"),Assessment[[#This Row],[JOB TARGET]])</f>
        <v>0</v>
      </c>
      <c r="H211" s="146" t="str" cm="1">
        <f t="array" aca="1" ref="H211" ca="1">IF(Assessment[[#This Row],[JOB TARGET]]="","Job Target Kosong",IF(COUNT(IF('Data Assessment'!$N211:$Z211-OFFSET(Standar!$B$2,MATCH(Assessment[[#This Row],[JOB TARGET
(EST)]],Standar[NAMA JABATAN],0)-1,1,1,13)&lt;0,1,""))&lt;=3,'9 Grid'!$B$4,IF(COUNT(IF('Data Assessment'!$N211:$Z211-OFFSET(Standar!$B$2,MATCH(Assessment[[#This Row],[JOB TARGET]],Standar[NAMA JABATAN],0)-1,1,1,13)&lt;0,1,""))&gt;=7,'9 Grid'!$B$6,'9 Grid'!$B$5)))</f>
        <v>Job Target Kosong</v>
      </c>
      <c r="I211" s="146" t="str">
        <f>IFERROR(IF(Data_Assessment[[#This Row],[IPP (3 YEARS AVERAGE)]]="","(IPP Belum Ada)",IF(Data_Assessment[[#This Row],[IPP (3 YEARS AVERAGE)]]&lt;2,'9 Grid'!$F$2,IF(Data_Assessment[[#This Row],[IPP (3 YEARS AVERAGE)]]&gt;=4,'9 Grid'!$D$2,'9 Grid'!$E$2))),"")</f>
        <v>Fully Competence Performance</v>
      </c>
      <c r="J211" s="146" t="str">
        <f ca="1">IFERROR(INDEX('9 Grid'!$D$4:$F$6,MATCH('Rekomendasi HAV'!H211,'9 Grid'!$B$4:$B$6,0),MATCH('Rekomendasi HAV'!I211,'9 Grid'!$D$2:$F$2,0)),"")</f>
        <v/>
      </c>
      <c r="K211" s="146" t="str">
        <f>IFERROR(INDEX('9 Grid'!$D$8:$F$8,1,MATCH('Rekomendasi HAV'!I211,'9 Grid'!$D$2:$F$2,0)),"")</f>
        <v>(ST) Within 12 - 18 month</v>
      </c>
      <c r="L211" s="146">
        <f>IF(ISNUMBER(SEARCH("EST",Assessment[[#This Row],[JOB TARGET]])),SUBSTITUTE(Assessment[[#This Row],[JOB TARGET]],"EST","DEV"),Assessment[[#This Row],[JOB TARGET]])</f>
        <v>0</v>
      </c>
      <c r="M211" s="146" t="str" cm="1">
        <f t="array" aca="1" ref="M211" ca="1">IF(Assessment[[#This Row],[JOB TARGET]]="","Job Target Kosong",IF(COUNT(IF('Data Assessment'!$N211:$Z211-OFFSET(Standar!$B$2,MATCH(Assessment[[#This Row],[JOB TARGET
(DEV)]],Standar[NAMA JABATAN],0)-1,1,1,13)&lt;0,1,""))&lt;=3,'9 Grid'!$B$4,IF(COUNT(IF('Data Assessment'!$N211:$Z211-OFFSET(Standar!$B$2,MATCH(Assessment[[#This Row],[JOB TARGET
(DEV)]],Standar[NAMA JABATAN],0)-1,1,1,13)&lt;0,1,""))&gt;=7,'9 Grid'!$B$6,'9 Grid'!$B$5)))</f>
        <v>Job Target Kosong</v>
      </c>
      <c r="N211" s="146" t="str">
        <f>IFERROR(IF(Data_Assessment[[#This Row],[IPP (3 YEARS AVERAGE)]]="","(IPP Belum Ada)",IF(Data_Assessment[[#This Row],[IPP (3 YEARS AVERAGE)]]&lt;2,'9 Grid'!$F$2,IF(Data_Assessment[[#This Row],[IPP (3 YEARS AVERAGE)]]&gt;=4,'9 Grid'!$D$2,'9 Grid'!$E$2))),"")</f>
        <v>Fully Competence Performance</v>
      </c>
      <c r="O211" s="146" t="str">
        <f ca="1">IFERROR(INDEX('9 Grid'!$D$4:$F$6,MATCH('Rekomendasi HAV'!M211,'9 Grid'!$B$4:$B$6,0),MATCH('Rekomendasi HAV'!N211,'9 Grid'!$D$2:$F$2,0)),"")</f>
        <v/>
      </c>
      <c r="P211" s="147" t="str">
        <f>IFERROR(INDEX('9 Grid'!$D$8:$F$8,1,MATCH('Rekomendasi HAV'!N211,'9 Grid'!$D$2:$F$2,0)),"")</f>
        <v>(ST) Within 12 - 18 month</v>
      </c>
    </row>
    <row r="212" spans="1:16" ht="14.25">
      <c r="A212" s="67">
        <v>211</v>
      </c>
      <c r="B212" s="68" t="str">
        <f>INDEX(Data_Assessment[],MATCH('Rekomendasi HAV'!$A212,Data_Assessment[[INDEX]:[INDEX]],0),MATCH('Rekomendasi HAV'!B$1,Data_Assessment[#Headers],0))</f>
        <v>Apriono</v>
      </c>
      <c r="C212" s="68" t="str">
        <f>INDEX(Data_Assessment[],MATCH('Rekomendasi HAV'!$A212,Data_Assessment[[INDEX]:[INDEX]],0),MATCH('Rekomendasi HAV'!C$1,Data_Assessment[#Headers],0))</f>
        <v>Palembang</v>
      </c>
      <c r="D212" s="68" t="str">
        <f>INDEX(Data_Assessment[],MATCH('Rekomendasi HAV'!$A212,Data_Assessment[[INDEX]:[INDEX]],0),MATCH('Rekomendasi HAV'!D$1,Data_Assessment[#Headers],0))</f>
        <v>LSIP - RO Palembang</v>
      </c>
      <c r="E212" s="68">
        <f>INDEX(Data_Assessment[],MATCH('Rekomendasi HAV'!$B212,Data_Assessment[[NAME]:[NAME]],0),MATCH('Rekomendasi HAV'!E$1,Data_Assessment[#Headers],0))</f>
        <v>0</v>
      </c>
      <c r="F212" s="68"/>
      <c r="G212" s="68">
        <f>IF(ISNUMBER(SEARCH("DEV",Assessment[[#This Row],[JOB TARGET]])),SUBSTITUTE(Assessment[[#This Row],[JOB TARGET]],"DEV","EST"),Assessment[[#This Row],[JOB TARGET]])</f>
        <v>0</v>
      </c>
      <c r="H212" s="146" t="str" cm="1">
        <f t="array" aca="1" ref="H212" ca="1">IF(Assessment[[#This Row],[JOB TARGET]]="","Job Target Kosong",IF(COUNT(IF('Data Assessment'!$N212:$Z212-OFFSET(Standar!$B$2,MATCH(Assessment[[#This Row],[JOB TARGET
(EST)]],Standar[NAMA JABATAN],0)-1,1,1,13)&lt;0,1,""))&lt;=3,'9 Grid'!$B$4,IF(COUNT(IF('Data Assessment'!$N212:$Z212-OFFSET(Standar!$B$2,MATCH(Assessment[[#This Row],[JOB TARGET]],Standar[NAMA JABATAN],0)-1,1,1,13)&lt;0,1,""))&gt;=7,'9 Grid'!$B$6,'9 Grid'!$B$5)))</f>
        <v>Job Target Kosong</v>
      </c>
      <c r="I212" s="146" t="str">
        <f>IFERROR(IF(Data_Assessment[[#This Row],[IPP (3 YEARS AVERAGE)]]="","(IPP Belum Ada)",IF(Data_Assessment[[#This Row],[IPP (3 YEARS AVERAGE)]]&lt;2,'9 Grid'!$F$2,IF(Data_Assessment[[#This Row],[IPP (3 YEARS AVERAGE)]]&gt;=4,'9 Grid'!$D$2,'9 Grid'!$E$2))),"")</f>
        <v>Exceptional Performance</v>
      </c>
      <c r="J212" s="146" t="str">
        <f ca="1">IFERROR(INDEX('9 Grid'!$D$4:$F$6,MATCH('Rekomendasi HAV'!H212,'9 Grid'!$B$4:$B$6,0),MATCH('Rekomendasi HAV'!I212,'9 Grid'!$D$2:$F$2,0)),"")</f>
        <v/>
      </c>
      <c r="K212" s="146" t="str">
        <f>IFERROR(INDEX('9 Grid'!$D$8:$F$8,1,MATCH('Rekomendasi HAV'!I212,'9 Grid'!$D$2:$F$2,0)),"")</f>
        <v>(I) Immediately</v>
      </c>
      <c r="L212" s="146">
        <f>IF(ISNUMBER(SEARCH("EST",Assessment[[#This Row],[JOB TARGET]])),SUBSTITUTE(Assessment[[#This Row],[JOB TARGET]],"EST","DEV"),Assessment[[#This Row],[JOB TARGET]])</f>
        <v>0</v>
      </c>
      <c r="M212" s="146" t="str" cm="1">
        <f t="array" aca="1" ref="M212" ca="1">IF(Assessment[[#This Row],[JOB TARGET]]="","Job Target Kosong",IF(COUNT(IF('Data Assessment'!$N212:$Z212-OFFSET(Standar!$B$2,MATCH(Assessment[[#This Row],[JOB TARGET
(DEV)]],Standar[NAMA JABATAN],0)-1,1,1,13)&lt;0,1,""))&lt;=3,'9 Grid'!$B$4,IF(COUNT(IF('Data Assessment'!$N212:$Z212-OFFSET(Standar!$B$2,MATCH(Assessment[[#This Row],[JOB TARGET
(DEV)]],Standar[NAMA JABATAN],0)-1,1,1,13)&lt;0,1,""))&gt;=7,'9 Grid'!$B$6,'9 Grid'!$B$5)))</f>
        <v>Job Target Kosong</v>
      </c>
      <c r="N212" s="146" t="str">
        <f>IFERROR(IF(Data_Assessment[[#This Row],[IPP (3 YEARS AVERAGE)]]="","(IPP Belum Ada)",IF(Data_Assessment[[#This Row],[IPP (3 YEARS AVERAGE)]]&lt;2,'9 Grid'!$F$2,IF(Data_Assessment[[#This Row],[IPP (3 YEARS AVERAGE)]]&gt;=4,'9 Grid'!$D$2,'9 Grid'!$E$2))),"")</f>
        <v>Exceptional Performance</v>
      </c>
      <c r="O212" s="146" t="str">
        <f ca="1">IFERROR(INDEX('9 Grid'!$D$4:$F$6,MATCH('Rekomendasi HAV'!M212,'9 Grid'!$B$4:$B$6,0),MATCH('Rekomendasi HAV'!N212,'9 Grid'!$D$2:$F$2,0)),"")</f>
        <v/>
      </c>
      <c r="P212" s="147" t="str">
        <f>IFERROR(INDEX('9 Grid'!$D$8:$F$8,1,MATCH('Rekomendasi HAV'!N212,'9 Grid'!$D$2:$F$2,0)),"")</f>
        <v>(I) Immediately</v>
      </c>
    </row>
    <row r="213" spans="1:16" ht="28.5">
      <c r="A213" s="67">
        <v>212</v>
      </c>
      <c r="B213" s="68" t="str">
        <f>INDEX(Data_Assessment[],MATCH('Rekomendasi HAV'!$A213,Data_Assessment[[INDEX]:[INDEX]],0),MATCH('Rekomendasi HAV'!B$1,Data_Assessment[#Headers],0))</f>
        <v>Andy Wijaya</v>
      </c>
      <c r="C213" s="68" t="str">
        <f>INDEX(Data_Assessment[],MATCH('Rekomendasi HAV'!$A213,Data_Assessment[[INDEX]:[INDEX]],0),MATCH('Rekomendasi HAV'!C$1,Data_Assessment[#Headers],0))</f>
        <v>Palembang</v>
      </c>
      <c r="D213" s="68" t="str">
        <f>INDEX(Data_Assessment[],MATCH('Rekomendasi HAV'!$A213,Data_Assessment[[INDEX]:[INDEX]],0),MATCH('Rekomendasi HAV'!D$1,Data_Assessment[#Headers],0))</f>
        <v>LSIP - RO Palembang</v>
      </c>
      <c r="E213" s="68">
        <f>INDEX(Data_Assessment[],MATCH('Rekomendasi HAV'!$B213,Data_Assessment[[NAME]:[NAME]],0),MATCH('Rekomendasi HAV'!E$1,Data_Assessment[#Headers],0))</f>
        <v>0</v>
      </c>
      <c r="F213" s="68"/>
      <c r="G213" s="68">
        <f>IF(ISNUMBER(SEARCH("DEV",Assessment[[#This Row],[JOB TARGET]])),SUBSTITUTE(Assessment[[#This Row],[JOB TARGET]],"DEV","EST"),Assessment[[#This Row],[JOB TARGET]])</f>
        <v>0</v>
      </c>
      <c r="H213" s="146" t="str" cm="1">
        <f t="array" aca="1" ref="H213" ca="1">IF(Assessment[[#This Row],[JOB TARGET]]="","Job Target Kosong",IF(COUNT(IF('Data Assessment'!$N213:$Z213-OFFSET(Standar!$B$2,MATCH(Assessment[[#This Row],[JOB TARGET
(EST)]],Standar[NAMA JABATAN],0)-1,1,1,13)&lt;0,1,""))&lt;=3,'9 Grid'!$B$4,IF(COUNT(IF('Data Assessment'!$N213:$Z213-OFFSET(Standar!$B$2,MATCH(Assessment[[#This Row],[JOB TARGET]],Standar[NAMA JABATAN],0)-1,1,1,13)&lt;0,1,""))&gt;=7,'9 Grid'!$B$6,'9 Grid'!$B$5)))</f>
        <v>Job Target Kosong</v>
      </c>
      <c r="I213" s="146" t="str">
        <f>IFERROR(IF(Data_Assessment[[#This Row],[IPP (3 YEARS AVERAGE)]]="","(IPP Belum Ada)",IF(Data_Assessment[[#This Row],[IPP (3 YEARS AVERAGE)]]&lt;2,'9 Grid'!$F$2,IF(Data_Assessment[[#This Row],[IPP (3 YEARS AVERAGE)]]&gt;=4,'9 Grid'!$D$2,'9 Grid'!$E$2))),"")</f>
        <v>Fully Competence Performance</v>
      </c>
      <c r="J213" s="146" t="str">
        <f ca="1">IFERROR(INDEX('9 Grid'!$D$4:$F$6,MATCH('Rekomendasi HAV'!H213,'9 Grid'!$B$4:$B$6,0),MATCH('Rekomendasi HAV'!I213,'9 Grid'!$D$2:$F$2,0)),"")</f>
        <v/>
      </c>
      <c r="K213" s="146" t="str">
        <f>IFERROR(INDEX('9 Grid'!$D$8:$F$8,1,MATCH('Rekomendasi HAV'!I213,'9 Grid'!$D$2:$F$2,0)),"")</f>
        <v>(ST) Within 12 - 18 month</v>
      </c>
      <c r="L213" s="146">
        <f>IF(ISNUMBER(SEARCH("EST",Assessment[[#This Row],[JOB TARGET]])),SUBSTITUTE(Assessment[[#This Row],[JOB TARGET]],"EST","DEV"),Assessment[[#This Row],[JOB TARGET]])</f>
        <v>0</v>
      </c>
      <c r="M213" s="146" t="str" cm="1">
        <f t="array" aca="1" ref="M213" ca="1">IF(Assessment[[#This Row],[JOB TARGET]]="","Job Target Kosong",IF(COUNT(IF('Data Assessment'!$N213:$Z213-OFFSET(Standar!$B$2,MATCH(Assessment[[#This Row],[JOB TARGET
(DEV)]],Standar[NAMA JABATAN],0)-1,1,1,13)&lt;0,1,""))&lt;=3,'9 Grid'!$B$4,IF(COUNT(IF('Data Assessment'!$N213:$Z213-OFFSET(Standar!$B$2,MATCH(Assessment[[#This Row],[JOB TARGET
(DEV)]],Standar[NAMA JABATAN],0)-1,1,1,13)&lt;0,1,""))&gt;=7,'9 Grid'!$B$6,'9 Grid'!$B$5)))</f>
        <v>Job Target Kosong</v>
      </c>
      <c r="N213" s="146" t="str">
        <f>IFERROR(IF(Data_Assessment[[#This Row],[IPP (3 YEARS AVERAGE)]]="","(IPP Belum Ada)",IF(Data_Assessment[[#This Row],[IPP (3 YEARS AVERAGE)]]&lt;2,'9 Grid'!$F$2,IF(Data_Assessment[[#This Row],[IPP (3 YEARS AVERAGE)]]&gt;=4,'9 Grid'!$D$2,'9 Grid'!$E$2))),"")</f>
        <v>Fully Competence Performance</v>
      </c>
      <c r="O213" s="146" t="str">
        <f ca="1">IFERROR(INDEX('9 Grid'!$D$4:$F$6,MATCH('Rekomendasi HAV'!M213,'9 Grid'!$B$4:$B$6,0),MATCH('Rekomendasi HAV'!N213,'9 Grid'!$D$2:$F$2,0)),"")</f>
        <v/>
      </c>
      <c r="P213" s="147" t="str">
        <f>IFERROR(INDEX('9 Grid'!$D$8:$F$8,1,MATCH('Rekomendasi HAV'!N213,'9 Grid'!$D$2:$F$2,0)),"")</f>
        <v>(ST) Within 12 - 18 month</v>
      </c>
    </row>
    <row r="214" spans="1:16" ht="28.5">
      <c r="A214" s="67">
        <v>213</v>
      </c>
      <c r="B214" s="68" t="str">
        <f>INDEX(Data_Assessment[],MATCH('Rekomendasi HAV'!$A214,Data_Assessment[[INDEX]:[INDEX]],0),MATCH('Rekomendasi HAV'!B$1,Data_Assessment[#Headers],0))</f>
        <v>Andri Guntur</v>
      </c>
      <c r="C214" s="68" t="str">
        <f>INDEX(Data_Assessment[],MATCH('Rekomendasi HAV'!$A214,Data_Assessment[[INDEX]:[INDEX]],0),MATCH('Rekomendasi HAV'!C$1,Data_Assessment[#Headers],0))</f>
        <v>Sumatera Selatan</v>
      </c>
      <c r="D214" s="68" t="str">
        <f>INDEX(Data_Assessment[],MATCH('Rekomendasi HAV'!$A214,Data_Assessment[[INDEX]:[INDEX]],0),MATCH('Rekomendasi HAV'!D$1,Data_Assessment[#Headers],0))</f>
        <v>LSIP - RO Palembang</v>
      </c>
      <c r="E214" s="68">
        <f>INDEX(Data_Assessment[],MATCH('Rekomendasi HAV'!$B214,Data_Assessment[[NAME]:[NAME]],0),MATCH('Rekomendasi HAV'!E$1,Data_Assessment[#Headers],0))</f>
        <v>0</v>
      </c>
      <c r="F214" s="68"/>
      <c r="G214" s="68">
        <f>IF(ISNUMBER(SEARCH("DEV",Assessment[[#This Row],[JOB TARGET]])),SUBSTITUTE(Assessment[[#This Row],[JOB TARGET]],"DEV","EST"),Assessment[[#This Row],[JOB TARGET]])</f>
        <v>0</v>
      </c>
      <c r="H214" s="146" t="str" cm="1">
        <f t="array" aca="1" ref="H214" ca="1">IF(Assessment[[#This Row],[JOB TARGET]]="","Job Target Kosong",IF(COUNT(IF('Data Assessment'!$N214:$Z214-OFFSET(Standar!$B$2,MATCH(Assessment[[#This Row],[JOB TARGET
(EST)]],Standar[NAMA JABATAN],0)-1,1,1,13)&lt;0,1,""))&lt;=3,'9 Grid'!$B$4,IF(COUNT(IF('Data Assessment'!$N214:$Z214-OFFSET(Standar!$B$2,MATCH(Assessment[[#This Row],[JOB TARGET]],Standar[NAMA JABATAN],0)-1,1,1,13)&lt;0,1,""))&gt;=7,'9 Grid'!$B$6,'9 Grid'!$B$5)))</f>
        <v>Job Target Kosong</v>
      </c>
      <c r="I214" s="146" t="str">
        <f>IFERROR(IF(Data_Assessment[[#This Row],[IPP (3 YEARS AVERAGE)]]="","(IPP Belum Ada)",IF(Data_Assessment[[#This Row],[IPP (3 YEARS AVERAGE)]]&lt;2,'9 Grid'!$F$2,IF(Data_Assessment[[#This Row],[IPP (3 YEARS AVERAGE)]]&gt;=4,'9 Grid'!$D$2,'9 Grid'!$E$2))),"")</f>
        <v>Fully Competence Performance</v>
      </c>
      <c r="J214" s="146" t="str">
        <f ca="1">IFERROR(INDEX('9 Grid'!$D$4:$F$6,MATCH('Rekomendasi HAV'!H214,'9 Grid'!$B$4:$B$6,0),MATCH('Rekomendasi HAV'!I214,'9 Grid'!$D$2:$F$2,0)),"")</f>
        <v/>
      </c>
      <c r="K214" s="146" t="str">
        <f>IFERROR(INDEX('9 Grid'!$D$8:$F$8,1,MATCH('Rekomendasi HAV'!I214,'9 Grid'!$D$2:$F$2,0)),"")</f>
        <v>(ST) Within 12 - 18 month</v>
      </c>
      <c r="L214" s="146">
        <f>IF(ISNUMBER(SEARCH("EST",Assessment[[#This Row],[JOB TARGET]])),SUBSTITUTE(Assessment[[#This Row],[JOB TARGET]],"EST","DEV"),Assessment[[#This Row],[JOB TARGET]])</f>
        <v>0</v>
      </c>
      <c r="M214" s="146" t="str" cm="1">
        <f t="array" aca="1" ref="M214" ca="1">IF(Assessment[[#This Row],[JOB TARGET]]="","Job Target Kosong",IF(COUNT(IF('Data Assessment'!$N214:$Z214-OFFSET(Standar!$B$2,MATCH(Assessment[[#This Row],[JOB TARGET
(DEV)]],Standar[NAMA JABATAN],0)-1,1,1,13)&lt;0,1,""))&lt;=3,'9 Grid'!$B$4,IF(COUNT(IF('Data Assessment'!$N214:$Z214-OFFSET(Standar!$B$2,MATCH(Assessment[[#This Row],[JOB TARGET
(DEV)]],Standar[NAMA JABATAN],0)-1,1,1,13)&lt;0,1,""))&gt;=7,'9 Grid'!$B$6,'9 Grid'!$B$5)))</f>
        <v>Job Target Kosong</v>
      </c>
      <c r="N214" s="146" t="str">
        <f>IFERROR(IF(Data_Assessment[[#This Row],[IPP (3 YEARS AVERAGE)]]="","(IPP Belum Ada)",IF(Data_Assessment[[#This Row],[IPP (3 YEARS AVERAGE)]]&lt;2,'9 Grid'!$F$2,IF(Data_Assessment[[#This Row],[IPP (3 YEARS AVERAGE)]]&gt;=4,'9 Grid'!$D$2,'9 Grid'!$E$2))),"")</f>
        <v>Fully Competence Performance</v>
      </c>
      <c r="O214" s="146" t="str">
        <f ca="1">IFERROR(INDEX('9 Grid'!$D$4:$F$6,MATCH('Rekomendasi HAV'!M214,'9 Grid'!$B$4:$B$6,0),MATCH('Rekomendasi HAV'!N214,'9 Grid'!$D$2:$F$2,0)),"")</f>
        <v/>
      </c>
      <c r="P214" s="147" t="str">
        <f>IFERROR(INDEX('9 Grid'!$D$8:$F$8,1,MATCH('Rekomendasi HAV'!N214,'9 Grid'!$D$2:$F$2,0)),"")</f>
        <v>(ST) Within 12 - 18 month</v>
      </c>
    </row>
    <row r="215" spans="1:16" ht="14.25">
      <c r="A215" s="67">
        <v>214</v>
      </c>
      <c r="B215" s="68" t="str">
        <f>INDEX(Data_Assessment[],MATCH('Rekomendasi HAV'!$A215,Data_Assessment[[INDEX]:[INDEX]],0),MATCH('Rekomendasi HAV'!B$1,Data_Assessment[#Headers],0))</f>
        <v>Handrofo</v>
      </c>
      <c r="C215" s="68" t="str">
        <f>INDEX(Data_Assessment[],MATCH('Rekomendasi HAV'!$A215,Data_Assessment[[INDEX]:[INDEX]],0),MATCH('Rekomendasi HAV'!C$1,Data_Assessment[#Headers],0))</f>
        <v>Palembang</v>
      </c>
      <c r="D215" s="68" t="str">
        <f>INDEX(Data_Assessment[],MATCH('Rekomendasi HAV'!$A215,Data_Assessment[[INDEX]:[INDEX]],0),MATCH('Rekomendasi HAV'!D$1,Data_Assessment[#Headers],0))</f>
        <v>LSIP - RO Palembang</v>
      </c>
      <c r="E215" s="68">
        <f>INDEX(Data_Assessment[],MATCH('Rekomendasi HAV'!$B215,Data_Assessment[[NAME]:[NAME]],0),MATCH('Rekomendasi HAV'!E$1,Data_Assessment[#Headers],0))</f>
        <v>0</v>
      </c>
      <c r="F215" s="68"/>
      <c r="G215" s="68">
        <f>IF(ISNUMBER(SEARCH("DEV",Assessment[[#This Row],[JOB TARGET]])),SUBSTITUTE(Assessment[[#This Row],[JOB TARGET]],"DEV","EST"),Assessment[[#This Row],[JOB TARGET]])</f>
        <v>0</v>
      </c>
      <c r="H215" s="146" t="str" cm="1">
        <f t="array" aca="1" ref="H215" ca="1">IF(Assessment[[#This Row],[JOB TARGET]]="","Job Target Kosong",IF(COUNT(IF('Data Assessment'!$N215:$Z215-OFFSET(Standar!$B$2,MATCH(Assessment[[#This Row],[JOB TARGET
(EST)]],Standar[NAMA JABATAN],0)-1,1,1,13)&lt;0,1,""))&lt;=3,'9 Grid'!$B$4,IF(COUNT(IF('Data Assessment'!$N215:$Z215-OFFSET(Standar!$B$2,MATCH(Assessment[[#This Row],[JOB TARGET]],Standar[NAMA JABATAN],0)-1,1,1,13)&lt;0,1,""))&gt;=7,'9 Grid'!$B$6,'9 Grid'!$B$5)))</f>
        <v>Job Target Kosong</v>
      </c>
      <c r="I215" s="146" t="str">
        <f>IFERROR(IF(Data_Assessment[[#This Row],[IPP (3 YEARS AVERAGE)]]="","(IPP Belum Ada)",IF(Data_Assessment[[#This Row],[IPP (3 YEARS AVERAGE)]]&lt;2,'9 Grid'!$F$2,IF(Data_Assessment[[#This Row],[IPP (3 YEARS AVERAGE)]]&gt;=4,'9 Grid'!$D$2,'9 Grid'!$E$2))),"")</f>
        <v>Exceptional Performance</v>
      </c>
      <c r="J215" s="146" t="str">
        <f ca="1">IFERROR(INDEX('9 Grid'!$D$4:$F$6,MATCH('Rekomendasi HAV'!H215,'9 Grid'!$B$4:$B$6,0),MATCH('Rekomendasi HAV'!I215,'9 Grid'!$D$2:$F$2,0)),"")</f>
        <v/>
      </c>
      <c r="K215" s="146" t="str">
        <f>IFERROR(INDEX('9 Grid'!$D$8:$F$8,1,MATCH('Rekomendasi HAV'!I215,'9 Grid'!$D$2:$F$2,0)),"")</f>
        <v>(I) Immediately</v>
      </c>
      <c r="L215" s="146">
        <f>IF(ISNUMBER(SEARCH("EST",Assessment[[#This Row],[JOB TARGET]])),SUBSTITUTE(Assessment[[#This Row],[JOB TARGET]],"EST","DEV"),Assessment[[#This Row],[JOB TARGET]])</f>
        <v>0</v>
      </c>
      <c r="M215" s="146" t="str" cm="1">
        <f t="array" aca="1" ref="M215" ca="1">IF(Assessment[[#This Row],[JOB TARGET]]="","Job Target Kosong",IF(COUNT(IF('Data Assessment'!$N215:$Z215-OFFSET(Standar!$B$2,MATCH(Assessment[[#This Row],[JOB TARGET
(DEV)]],Standar[NAMA JABATAN],0)-1,1,1,13)&lt;0,1,""))&lt;=3,'9 Grid'!$B$4,IF(COUNT(IF('Data Assessment'!$N215:$Z215-OFFSET(Standar!$B$2,MATCH(Assessment[[#This Row],[JOB TARGET
(DEV)]],Standar[NAMA JABATAN],0)-1,1,1,13)&lt;0,1,""))&gt;=7,'9 Grid'!$B$6,'9 Grid'!$B$5)))</f>
        <v>Job Target Kosong</v>
      </c>
      <c r="N215" s="146" t="str">
        <f>IFERROR(IF(Data_Assessment[[#This Row],[IPP (3 YEARS AVERAGE)]]="","(IPP Belum Ada)",IF(Data_Assessment[[#This Row],[IPP (3 YEARS AVERAGE)]]&lt;2,'9 Grid'!$F$2,IF(Data_Assessment[[#This Row],[IPP (3 YEARS AVERAGE)]]&gt;=4,'9 Grid'!$D$2,'9 Grid'!$E$2))),"")</f>
        <v>Exceptional Performance</v>
      </c>
      <c r="O215" s="146" t="str">
        <f ca="1">IFERROR(INDEX('9 Grid'!$D$4:$F$6,MATCH('Rekomendasi HAV'!M215,'9 Grid'!$B$4:$B$6,0),MATCH('Rekomendasi HAV'!N215,'9 Grid'!$D$2:$F$2,0)),"")</f>
        <v/>
      </c>
      <c r="P215" s="147" t="str">
        <f>IFERROR(INDEX('9 Grid'!$D$8:$F$8,1,MATCH('Rekomendasi HAV'!N215,'9 Grid'!$D$2:$F$2,0)),"")</f>
        <v>(I) Immediately</v>
      </c>
    </row>
    <row r="216" spans="1:16" ht="28.5">
      <c r="A216" s="67">
        <v>215</v>
      </c>
      <c r="B216" s="68" t="str">
        <f>INDEX(Data_Assessment[],MATCH('Rekomendasi HAV'!$A216,Data_Assessment[[INDEX]:[INDEX]],0),MATCH('Rekomendasi HAV'!B$1,Data_Assessment[#Headers],0))</f>
        <v>Pujianto</v>
      </c>
      <c r="C216" s="68" t="str">
        <f>INDEX(Data_Assessment[],MATCH('Rekomendasi HAV'!$A216,Data_Assessment[[INDEX]:[INDEX]],0),MATCH('Rekomendasi HAV'!C$1,Data_Assessment[#Headers],0))</f>
        <v>Samarinda</v>
      </c>
      <c r="D216" s="68" t="str">
        <f>INDEX(Data_Assessment[],MATCH('Rekomendasi HAV'!$A216,Data_Assessment[[INDEX]:[INDEX]],0),MATCH('Rekomendasi HAV'!D$1,Data_Assessment[#Headers],0))</f>
        <v>LSIP - RO Samarinda</v>
      </c>
      <c r="E216" s="68">
        <f>INDEX(Data_Assessment[],MATCH('Rekomendasi HAV'!$B216,Data_Assessment[[NAME]:[NAME]],0),MATCH('Rekomendasi HAV'!E$1,Data_Assessment[#Headers],0))</f>
        <v>0</v>
      </c>
      <c r="F216" s="68"/>
      <c r="G216" s="68">
        <f>IF(ISNUMBER(SEARCH("DEV",Assessment[[#This Row],[JOB TARGET]])),SUBSTITUTE(Assessment[[#This Row],[JOB TARGET]],"DEV","EST"),Assessment[[#This Row],[JOB TARGET]])</f>
        <v>0</v>
      </c>
      <c r="H216" s="146" t="str" cm="1">
        <f t="array" aca="1" ref="H216" ca="1">IF(Assessment[[#This Row],[JOB TARGET]]="","Job Target Kosong",IF(COUNT(IF('Data Assessment'!$N216:$Z216-OFFSET(Standar!$B$2,MATCH(Assessment[[#This Row],[JOB TARGET
(EST)]],Standar[NAMA JABATAN],0)-1,1,1,13)&lt;0,1,""))&lt;=3,'9 Grid'!$B$4,IF(COUNT(IF('Data Assessment'!$N216:$Z216-OFFSET(Standar!$B$2,MATCH(Assessment[[#This Row],[JOB TARGET]],Standar[NAMA JABATAN],0)-1,1,1,13)&lt;0,1,""))&gt;=7,'9 Grid'!$B$6,'9 Grid'!$B$5)))</f>
        <v>Job Target Kosong</v>
      </c>
      <c r="I216" s="146" t="str">
        <f>IFERROR(IF(Data_Assessment[[#This Row],[IPP (3 YEARS AVERAGE)]]="","(IPP Belum Ada)",IF(Data_Assessment[[#This Row],[IPP (3 YEARS AVERAGE)]]&lt;2,'9 Grid'!$F$2,IF(Data_Assessment[[#This Row],[IPP (3 YEARS AVERAGE)]]&gt;=4,'9 Grid'!$D$2,'9 Grid'!$E$2))),"")</f>
        <v>Fully Competence Performance</v>
      </c>
      <c r="J216" s="146" t="str">
        <f ca="1">IFERROR(INDEX('9 Grid'!$D$4:$F$6,MATCH('Rekomendasi HAV'!H216,'9 Grid'!$B$4:$B$6,0),MATCH('Rekomendasi HAV'!I216,'9 Grid'!$D$2:$F$2,0)),"")</f>
        <v/>
      </c>
      <c r="K216" s="146" t="str">
        <f>IFERROR(INDEX('9 Grid'!$D$8:$F$8,1,MATCH('Rekomendasi HAV'!I216,'9 Grid'!$D$2:$F$2,0)),"")</f>
        <v>(ST) Within 12 - 18 month</v>
      </c>
      <c r="L216" s="146">
        <f>IF(ISNUMBER(SEARCH("EST",Assessment[[#This Row],[JOB TARGET]])),SUBSTITUTE(Assessment[[#This Row],[JOB TARGET]],"EST","DEV"),Assessment[[#This Row],[JOB TARGET]])</f>
        <v>0</v>
      </c>
      <c r="M216" s="146" t="str" cm="1">
        <f t="array" aca="1" ref="M216" ca="1">IF(Assessment[[#This Row],[JOB TARGET]]="","Job Target Kosong",IF(COUNT(IF('Data Assessment'!$N216:$Z216-OFFSET(Standar!$B$2,MATCH(Assessment[[#This Row],[JOB TARGET
(DEV)]],Standar[NAMA JABATAN],0)-1,1,1,13)&lt;0,1,""))&lt;=3,'9 Grid'!$B$4,IF(COUNT(IF('Data Assessment'!$N216:$Z216-OFFSET(Standar!$B$2,MATCH(Assessment[[#This Row],[JOB TARGET
(DEV)]],Standar[NAMA JABATAN],0)-1,1,1,13)&lt;0,1,""))&gt;=7,'9 Grid'!$B$6,'9 Grid'!$B$5)))</f>
        <v>Job Target Kosong</v>
      </c>
      <c r="N216" s="146" t="str">
        <f>IFERROR(IF(Data_Assessment[[#This Row],[IPP (3 YEARS AVERAGE)]]="","(IPP Belum Ada)",IF(Data_Assessment[[#This Row],[IPP (3 YEARS AVERAGE)]]&lt;2,'9 Grid'!$F$2,IF(Data_Assessment[[#This Row],[IPP (3 YEARS AVERAGE)]]&gt;=4,'9 Grid'!$D$2,'9 Grid'!$E$2))),"")</f>
        <v>Fully Competence Performance</v>
      </c>
      <c r="O216" s="146" t="str">
        <f ca="1">IFERROR(INDEX('9 Grid'!$D$4:$F$6,MATCH('Rekomendasi HAV'!M216,'9 Grid'!$B$4:$B$6,0),MATCH('Rekomendasi HAV'!N216,'9 Grid'!$D$2:$F$2,0)),"")</f>
        <v/>
      </c>
      <c r="P216" s="147" t="str">
        <f>IFERROR(INDEX('9 Grid'!$D$8:$F$8,1,MATCH('Rekomendasi HAV'!N216,'9 Grid'!$D$2:$F$2,0)),"")</f>
        <v>(ST) Within 12 - 18 month</v>
      </c>
    </row>
    <row r="217" spans="1:16" ht="14.25">
      <c r="A217" s="67">
        <v>216</v>
      </c>
      <c r="B217" s="68" t="str">
        <f>INDEX(Data_Assessment[],MATCH('Rekomendasi HAV'!$A217,Data_Assessment[[INDEX]:[INDEX]],0),MATCH('Rekomendasi HAV'!B$1,Data_Assessment[#Headers],0))</f>
        <v>Pujianto</v>
      </c>
      <c r="C217" s="68" t="str">
        <f>INDEX(Data_Assessment[],MATCH('Rekomendasi HAV'!$A217,Data_Assessment[[INDEX]:[INDEX]],0),MATCH('Rekomendasi HAV'!C$1,Data_Assessment[#Headers],0))</f>
        <v>Jakarta</v>
      </c>
      <c r="D217" s="68" t="str">
        <f>INDEX(Data_Assessment[],MATCH('Rekomendasi HAV'!$A217,Data_Assessment[[INDEX]:[INDEX]],0),MATCH('Rekomendasi HAV'!D$1,Data_Assessment[#Headers],0))</f>
        <v>LSIP - HO Jakarta</v>
      </c>
      <c r="E217" s="68">
        <f>INDEX(Data_Assessment[],MATCH('Rekomendasi HAV'!$B217,Data_Assessment[[NAME]:[NAME]],0),MATCH('Rekomendasi HAV'!E$1,Data_Assessment[#Headers],0))</f>
        <v>0</v>
      </c>
      <c r="F217" s="68"/>
      <c r="G217" s="68">
        <f>IF(ISNUMBER(SEARCH("DEV",Assessment[[#This Row],[JOB TARGET]])),SUBSTITUTE(Assessment[[#This Row],[JOB TARGET]],"DEV","EST"),Assessment[[#This Row],[JOB TARGET]])</f>
        <v>0</v>
      </c>
      <c r="H217" s="146" t="str" cm="1">
        <f t="array" aca="1" ref="H217" ca="1">IF(Assessment[[#This Row],[JOB TARGET]]="","Job Target Kosong",IF(COUNT(IF('Data Assessment'!$N217:$Z217-OFFSET(Standar!$B$2,MATCH(Assessment[[#This Row],[JOB TARGET
(EST)]],Standar[NAMA JABATAN],0)-1,1,1,13)&lt;0,1,""))&lt;=3,'9 Grid'!$B$4,IF(COUNT(IF('Data Assessment'!$N217:$Z217-OFFSET(Standar!$B$2,MATCH(Assessment[[#This Row],[JOB TARGET]],Standar[NAMA JABATAN],0)-1,1,1,13)&lt;0,1,""))&gt;=7,'9 Grid'!$B$6,'9 Grid'!$B$5)))</f>
        <v>Job Target Kosong</v>
      </c>
      <c r="I217" s="146" t="str">
        <f>IFERROR(IF(Data_Assessment[[#This Row],[IPP (3 YEARS AVERAGE)]]="","(IPP Belum Ada)",IF(Data_Assessment[[#This Row],[IPP (3 YEARS AVERAGE)]]&lt;2,'9 Grid'!$F$2,IF(Data_Assessment[[#This Row],[IPP (3 YEARS AVERAGE)]]&gt;=4,'9 Grid'!$D$2,'9 Grid'!$E$2))),"")</f>
        <v>Exceptional Performance</v>
      </c>
      <c r="J217" s="146" t="str">
        <f ca="1">IFERROR(INDEX('9 Grid'!$D$4:$F$6,MATCH('Rekomendasi HAV'!H217,'9 Grid'!$B$4:$B$6,0),MATCH('Rekomendasi HAV'!I217,'9 Grid'!$D$2:$F$2,0)),"")</f>
        <v/>
      </c>
      <c r="K217" s="146" t="str">
        <f>IFERROR(INDEX('9 Grid'!$D$8:$F$8,1,MATCH('Rekomendasi HAV'!I217,'9 Grid'!$D$2:$F$2,0)),"")</f>
        <v>(I) Immediately</v>
      </c>
      <c r="L217" s="146">
        <f>IF(ISNUMBER(SEARCH("EST",Assessment[[#This Row],[JOB TARGET]])),SUBSTITUTE(Assessment[[#This Row],[JOB TARGET]],"EST","DEV"),Assessment[[#This Row],[JOB TARGET]])</f>
        <v>0</v>
      </c>
      <c r="M217" s="146" t="str" cm="1">
        <f t="array" aca="1" ref="M217" ca="1">IF(Assessment[[#This Row],[JOB TARGET]]="","Job Target Kosong",IF(COUNT(IF('Data Assessment'!$N217:$Z217-OFFSET(Standar!$B$2,MATCH(Assessment[[#This Row],[JOB TARGET
(DEV)]],Standar[NAMA JABATAN],0)-1,1,1,13)&lt;0,1,""))&lt;=3,'9 Grid'!$B$4,IF(COUNT(IF('Data Assessment'!$N217:$Z217-OFFSET(Standar!$B$2,MATCH(Assessment[[#This Row],[JOB TARGET
(DEV)]],Standar[NAMA JABATAN],0)-1,1,1,13)&lt;0,1,""))&gt;=7,'9 Grid'!$B$6,'9 Grid'!$B$5)))</f>
        <v>Job Target Kosong</v>
      </c>
      <c r="N217" s="146" t="str">
        <f>IFERROR(IF(Data_Assessment[[#This Row],[IPP (3 YEARS AVERAGE)]]="","(IPP Belum Ada)",IF(Data_Assessment[[#This Row],[IPP (3 YEARS AVERAGE)]]&lt;2,'9 Grid'!$F$2,IF(Data_Assessment[[#This Row],[IPP (3 YEARS AVERAGE)]]&gt;=4,'9 Grid'!$D$2,'9 Grid'!$E$2))),"")</f>
        <v>Exceptional Performance</v>
      </c>
      <c r="O217" s="146" t="str">
        <f ca="1">IFERROR(INDEX('9 Grid'!$D$4:$F$6,MATCH('Rekomendasi HAV'!M217,'9 Grid'!$B$4:$B$6,0),MATCH('Rekomendasi HAV'!N217,'9 Grid'!$D$2:$F$2,0)),"")</f>
        <v/>
      </c>
      <c r="P217" s="147" t="str">
        <f>IFERROR(INDEX('9 Grid'!$D$8:$F$8,1,MATCH('Rekomendasi HAV'!N217,'9 Grid'!$D$2:$F$2,0)),"")</f>
        <v>(I) Immediately</v>
      </c>
    </row>
    <row r="218" spans="1:16" ht="28.5">
      <c r="A218" s="67">
        <v>217</v>
      </c>
      <c r="B218" s="68" t="str">
        <f>INDEX(Data_Assessment[],MATCH('Rekomendasi HAV'!$A218,Data_Assessment[[INDEX]:[INDEX]],0),MATCH('Rekomendasi HAV'!B$1,Data_Assessment[#Headers],0))</f>
        <v>Feny Ardiansyah</v>
      </c>
      <c r="C218" s="68" t="str">
        <f>INDEX(Data_Assessment[],MATCH('Rekomendasi HAV'!$A218,Data_Assessment[[INDEX]:[INDEX]],0),MATCH('Rekomendasi HAV'!C$1,Data_Assessment[#Headers],0))</f>
        <v>Palembang</v>
      </c>
      <c r="D218" s="68" t="str">
        <f>INDEX(Data_Assessment[],MATCH('Rekomendasi HAV'!$A218,Data_Assessment[[INDEX]:[INDEX]],0),MATCH('Rekomendasi HAV'!D$1,Data_Assessment[#Headers],0))</f>
        <v>LSIP - RO Palembang</v>
      </c>
      <c r="E218" s="68">
        <f>INDEX(Data_Assessment[],MATCH('Rekomendasi HAV'!$B218,Data_Assessment[[NAME]:[NAME]],0),MATCH('Rekomendasi HAV'!E$1,Data_Assessment[#Headers],0))</f>
        <v>0</v>
      </c>
      <c r="F218" s="68"/>
      <c r="G218" s="68">
        <f>IF(ISNUMBER(SEARCH("DEV",Assessment[[#This Row],[JOB TARGET]])),SUBSTITUTE(Assessment[[#This Row],[JOB TARGET]],"DEV","EST"),Assessment[[#This Row],[JOB TARGET]])</f>
        <v>0</v>
      </c>
      <c r="H218" s="146" t="str" cm="1">
        <f t="array" aca="1" ref="H218" ca="1">IF(Assessment[[#This Row],[JOB TARGET]]="","Job Target Kosong",IF(COUNT(IF('Data Assessment'!$N218:$Z218-OFFSET(Standar!$B$2,MATCH(Assessment[[#This Row],[JOB TARGET
(EST)]],Standar[NAMA JABATAN],0)-1,1,1,13)&lt;0,1,""))&lt;=3,'9 Grid'!$B$4,IF(COUNT(IF('Data Assessment'!$N218:$Z218-OFFSET(Standar!$B$2,MATCH(Assessment[[#This Row],[JOB TARGET]],Standar[NAMA JABATAN],0)-1,1,1,13)&lt;0,1,""))&gt;=7,'9 Grid'!$B$6,'9 Grid'!$B$5)))</f>
        <v>Job Target Kosong</v>
      </c>
      <c r="I218" s="146" t="str">
        <f>IFERROR(IF(Data_Assessment[[#This Row],[IPP (3 YEARS AVERAGE)]]="","(IPP Belum Ada)",IF(Data_Assessment[[#This Row],[IPP (3 YEARS AVERAGE)]]&lt;2,'9 Grid'!$F$2,IF(Data_Assessment[[#This Row],[IPP (3 YEARS AVERAGE)]]&gt;=4,'9 Grid'!$D$2,'9 Grid'!$E$2))),"")</f>
        <v>Fully Competence Performance</v>
      </c>
      <c r="J218" s="146" t="str">
        <f ca="1">IFERROR(INDEX('9 Grid'!$D$4:$F$6,MATCH('Rekomendasi HAV'!H218,'9 Grid'!$B$4:$B$6,0),MATCH('Rekomendasi HAV'!I218,'9 Grid'!$D$2:$F$2,0)),"")</f>
        <v/>
      </c>
      <c r="K218" s="146" t="str">
        <f>IFERROR(INDEX('9 Grid'!$D$8:$F$8,1,MATCH('Rekomendasi HAV'!I218,'9 Grid'!$D$2:$F$2,0)),"")</f>
        <v>(ST) Within 12 - 18 month</v>
      </c>
      <c r="L218" s="146">
        <f>IF(ISNUMBER(SEARCH("EST",Assessment[[#This Row],[JOB TARGET]])),SUBSTITUTE(Assessment[[#This Row],[JOB TARGET]],"EST","DEV"),Assessment[[#This Row],[JOB TARGET]])</f>
        <v>0</v>
      </c>
      <c r="M218" s="146" t="str" cm="1">
        <f t="array" aca="1" ref="M218" ca="1">IF(Assessment[[#This Row],[JOB TARGET]]="","Job Target Kosong",IF(COUNT(IF('Data Assessment'!$N218:$Z218-OFFSET(Standar!$B$2,MATCH(Assessment[[#This Row],[JOB TARGET
(DEV)]],Standar[NAMA JABATAN],0)-1,1,1,13)&lt;0,1,""))&lt;=3,'9 Grid'!$B$4,IF(COUNT(IF('Data Assessment'!$N218:$Z218-OFFSET(Standar!$B$2,MATCH(Assessment[[#This Row],[JOB TARGET
(DEV)]],Standar[NAMA JABATAN],0)-1,1,1,13)&lt;0,1,""))&gt;=7,'9 Grid'!$B$6,'9 Grid'!$B$5)))</f>
        <v>Job Target Kosong</v>
      </c>
      <c r="N218" s="146" t="str">
        <f>IFERROR(IF(Data_Assessment[[#This Row],[IPP (3 YEARS AVERAGE)]]="","(IPP Belum Ada)",IF(Data_Assessment[[#This Row],[IPP (3 YEARS AVERAGE)]]&lt;2,'9 Grid'!$F$2,IF(Data_Assessment[[#This Row],[IPP (3 YEARS AVERAGE)]]&gt;=4,'9 Grid'!$D$2,'9 Grid'!$E$2))),"")</f>
        <v>Fully Competence Performance</v>
      </c>
      <c r="O218" s="146" t="str">
        <f ca="1">IFERROR(INDEX('9 Grid'!$D$4:$F$6,MATCH('Rekomendasi HAV'!M218,'9 Grid'!$B$4:$B$6,0),MATCH('Rekomendasi HAV'!N218,'9 Grid'!$D$2:$F$2,0)),"")</f>
        <v/>
      </c>
      <c r="P218" s="147" t="str">
        <f>IFERROR(INDEX('9 Grid'!$D$8:$F$8,1,MATCH('Rekomendasi HAV'!N218,'9 Grid'!$D$2:$F$2,0)),"")</f>
        <v>(ST) Within 12 - 18 month</v>
      </c>
    </row>
    <row r="219" spans="1:16" ht="28.5">
      <c r="A219" s="67">
        <v>218</v>
      </c>
      <c r="B219" s="68" t="str">
        <f>INDEX(Data_Assessment[],MATCH('Rekomendasi HAV'!$A219,Data_Assessment[[INDEX]:[INDEX]],0),MATCH('Rekomendasi HAV'!B$1,Data_Assessment[#Headers],0))</f>
        <v>Sujoko</v>
      </c>
      <c r="C219" s="68" t="str">
        <f>INDEX(Data_Assessment[],MATCH('Rekomendasi HAV'!$A219,Data_Assessment[[INDEX]:[INDEX]],0),MATCH('Rekomendasi HAV'!C$1,Data_Assessment[#Headers],0))</f>
        <v>Samarinda</v>
      </c>
      <c r="D219" s="68" t="str">
        <f>INDEX(Data_Assessment[],MATCH('Rekomendasi HAV'!$A219,Data_Assessment[[INDEX]:[INDEX]],0),MATCH('Rekomendasi HAV'!D$1,Data_Assessment[#Headers],0))</f>
        <v>LSIP - RO Samarinda</v>
      </c>
      <c r="E219" s="68">
        <f>INDEX(Data_Assessment[],MATCH('Rekomendasi HAV'!$B219,Data_Assessment[[NAME]:[NAME]],0),MATCH('Rekomendasi HAV'!E$1,Data_Assessment[#Headers],0))</f>
        <v>0</v>
      </c>
      <c r="F219" s="68"/>
      <c r="G219" s="68">
        <f>IF(ISNUMBER(SEARCH("DEV",Assessment[[#This Row],[JOB TARGET]])),SUBSTITUTE(Assessment[[#This Row],[JOB TARGET]],"DEV","EST"),Assessment[[#This Row],[JOB TARGET]])</f>
        <v>0</v>
      </c>
      <c r="H219" s="146" t="str" cm="1">
        <f t="array" aca="1" ref="H219" ca="1">IF(Assessment[[#This Row],[JOB TARGET]]="","Job Target Kosong",IF(COUNT(IF('Data Assessment'!$N219:$Z219-OFFSET(Standar!$B$2,MATCH(Assessment[[#This Row],[JOB TARGET
(EST)]],Standar[NAMA JABATAN],0)-1,1,1,13)&lt;0,1,""))&lt;=3,'9 Grid'!$B$4,IF(COUNT(IF('Data Assessment'!$N219:$Z219-OFFSET(Standar!$B$2,MATCH(Assessment[[#This Row],[JOB TARGET]],Standar[NAMA JABATAN],0)-1,1,1,13)&lt;0,1,""))&gt;=7,'9 Grid'!$B$6,'9 Grid'!$B$5)))</f>
        <v>Job Target Kosong</v>
      </c>
      <c r="I219" s="146" t="str">
        <f>IFERROR(IF(Data_Assessment[[#This Row],[IPP (3 YEARS AVERAGE)]]="","(IPP Belum Ada)",IF(Data_Assessment[[#This Row],[IPP (3 YEARS AVERAGE)]]&lt;2,'9 Grid'!$F$2,IF(Data_Assessment[[#This Row],[IPP (3 YEARS AVERAGE)]]&gt;=4,'9 Grid'!$D$2,'9 Grid'!$E$2))),"")</f>
        <v>Fully Competence Performance</v>
      </c>
      <c r="J219" s="146" t="str">
        <f ca="1">IFERROR(INDEX('9 Grid'!$D$4:$F$6,MATCH('Rekomendasi HAV'!H219,'9 Grid'!$B$4:$B$6,0),MATCH('Rekomendasi HAV'!I219,'9 Grid'!$D$2:$F$2,0)),"")</f>
        <v/>
      </c>
      <c r="K219" s="146" t="str">
        <f>IFERROR(INDEX('9 Grid'!$D$8:$F$8,1,MATCH('Rekomendasi HAV'!I219,'9 Grid'!$D$2:$F$2,0)),"")</f>
        <v>(ST) Within 12 - 18 month</v>
      </c>
      <c r="L219" s="146">
        <f>IF(ISNUMBER(SEARCH("EST",Assessment[[#This Row],[JOB TARGET]])),SUBSTITUTE(Assessment[[#This Row],[JOB TARGET]],"EST","DEV"),Assessment[[#This Row],[JOB TARGET]])</f>
        <v>0</v>
      </c>
      <c r="M219" s="146" t="str" cm="1">
        <f t="array" aca="1" ref="M219" ca="1">IF(Assessment[[#This Row],[JOB TARGET]]="","Job Target Kosong",IF(COUNT(IF('Data Assessment'!$N219:$Z219-OFFSET(Standar!$B$2,MATCH(Assessment[[#This Row],[JOB TARGET
(DEV)]],Standar[NAMA JABATAN],0)-1,1,1,13)&lt;0,1,""))&lt;=3,'9 Grid'!$B$4,IF(COUNT(IF('Data Assessment'!$N219:$Z219-OFFSET(Standar!$B$2,MATCH(Assessment[[#This Row],[JOB TARGET
(DEV)]],Standar[NAMA JABATAN],0)-1,1,1,13)&lt;0,1,""))&gt;=7,'9 Grid'!$B$6,'9 Grid'!$B$5)))</f>
        <v>Job Target Kosong</v>
      </c>
      <c r="N219" s="146" t="str">
        <f>IFERROR(IF(Data_Assessment[[#This Row],[IPP (3 YEARS AVERAGE)]]="","(IPP Belum Ada)",IF(Data_Assessment[[#This Row],[IPP (3 YEARS AVERAGE)]]&lt;2,'9 Grid'!$F$2,IF(Data_Assessment[[#This Row],[IPP (3 YEARS AVERAGE)]]&gt;=4,'9 Grid'!$D$2,'9 Grid'!$E$2))),"")</f>
        <v>Fully Competence Performance</v>
      </c>
      <c r="O219" s="146" t="str">
        <f ca="1">IFERROR(INDEX('9 Grid'!$D$4:$F$6,MATCH('Rekomendasi HAV'!M219,'9 Grid'!$B$4:$B$6,0),MATCH('Rekomendasi HAV'!N219,'9 Grid'!$D$2:$F$2,0)),"")</f>
        <v/>
      </c>
      <c r="P219" s="147" t="str">
        <f>IFERROR(INDEX('9 Grid'!$D$8:$F$8,1,MATCH('Rekomendasi HAV'!N219,'9 Grid'!$D$2:$F$2,0)),"")</f>
        <v>(ST) Within 12 - 18 month</v>
      </c>
    </row>
    <row r="220" spans="1:16" ht="14.25">
      <c r="A220" s="67">
        <v>219</v>
      </c>
      <c r="B220" s="68" t="str">
        <f>INDEX(Data_Assessment[],MATCH('Rekomendasi HAV'!$A220,Data_Assessment[[INDEX]:[INDEX]],0),MATCH('Rekomendasi HAV'!B$1,Data_Assessment[#Headers],0))</f>
        <v>Erizal. SE</v>
      </c>
      <c r="C220" s="68" t="str">
        <f>INDEX(Data_Assessment[],MATCH('Rekomendasi HAV'!$A220,Data_Assessment[[INDEX]:[INDEX]],0),MATCH('Rekomendasi HAV'!C$1,Data_Assessment[#Headers],0))</f>
        <v>Palembang</v>
      </c>
      <c r="D220" s="68" t="str">
        <f>INDEX(Data_Assessment[],MATCH('Rekomendasi HAV'!$A220,Data_Assessment[[INDEX]:[INDEX]],0),MATCH('Rekomendasi HAV'!D$1,Data_Assessment[#Headers],0))</f>
        <v>LSIP - RO Palembang</v>
      </c>
      <c r="E220" s="68">
        <f>INDEX(Data_Assessment[],MATCH('Rekomendasi HAV'!$B220,Data_Assessment[[NAME]:[NAME]],0),MATCH('Rekomendasi HAV'!E$1,Data_Assessment[#Headers],0))</f>
        <v>0</v>
      </c>
      <c r="F220" s="68"/>
      <c r="G220" s="68">
        <f>IF(ISNUMBER(SEARCH("DEV",Assessment[[#This Row],[JOB TARGET]])),SUBSTITUTE(Assessment[[#This Row],[JOB TARGET]],"DEV","EST"),Assessment[[#This Row],[JOB TARGET]])</f>
        <v>0</v>
      </c>
      <c r="H220" s="146" t="str" cm="1">
        <f t="array" aca="1" ref="H220" ca="1">IF(Assessment[[#This Row],[JOB TARGET]]="","Job Target Kosong",IF(COUNT(IF('Data Assessment'!$N220:$Z220-OFFSET(Standar!$B$2,MATCH(Assessment[[#This Row],[JOB TARGET
(EST)]],Standar[NAMA JABATAN],0)-1,1,1,13)&lt;0,1,""))&lt;=3,'9 Grid'!$B$4,IF(COUNT(IF('Data Assessment'!$N220:$Z220-OFFSET(Standar!$B$2,MATCH(Assessment[[#This Row],[JOB TARGET]],Standar[NAMA JABATAN],0)-1,1,1,13)&lt;0,1,""))&gt;=7,'9 Grid'!$B$6,'9 Grid'!$B$5)))</f>
        <v>Job Target Kosong</v>
      </c>
      <c r="I220" s="146" t="str">
        <f>IFERROR(IF(Data_Assessment[[#This Row],[IPP (3 YEARS AVERAGE)]]="","(IPP Belum Ada)",IF(Data_Assessment[[#This Row],[IPP (3 YEARS AVERAGE)]]&lt;2,'9 Grid'!$F$2,IF(Data_Assessment[[#This Row],[IPP (3 YEARS AVERAGE)]]&gt;=4,'9 Grid'!$D$2,'9 Grid'!$E$2))),"")</f>
        <v>Exceptional Performance</v>
      </c>
      <c r="J220" s="146" t="str">
        <f ca="1">IFERROR(INDEX('9 Grid'!$D$4:$F$6,MATCH('Rekomendasi HAV'!H220,'9 Grid'!$B$4:$B$6,0),MATCH('Rekomendasi HAV'!I220,'9 Grid'!$D$2:$F$2,0)),"")</f>
        <v/>
      </c>
      <c r="K220" s="146" t="str">
        <f>IFERROR(INDEX('9 Grid'!$D$8:$F$8,1,MATCH('Rekomendasi HAV'!I220,'9 Grid'!$D$2:$F$2,0)),"")</f>
        <v>(I) Immediately</v>
      </c>
      <c r="L220" s="146">
        <f>IF(ISNUMBER(SEARCH("EST",Assessment[[#This Row],[JOB TARGET]])),SUBSTITUTE(Assessment[[#This Row],[JOB TARGET]],"EST","DEV"),Assessment[[#This Row],[JOB TARGET]])</f>
        <v>0</v>
      </c>
      <c r="M220" s="146" t="str" cm="1">
        <f t="array" aca="1" ref="M220" ca="1">IF(Assessment[[#This Row],[JOB TARGET]]="","Job Target Kosong",IF(COUNT(IF('Data Assessment'!$N220:$Z220-OFFSET(Standar!$B$2,MATCH(Assessment[[#This Row],[JOB TARGET
(DEV)]],Standar[NAMA JABATAN],0)-1,1,1,13)&lt;0,1,""))&lt;=3,'9 Grid'!$B$4,IF(COUNT(IF('Data Assessment'!$N220:$Z220-OFFSET(Standar!$B$2,MATCH(Assessment[[#This Row],[JOB TARGET
(DEV)]],Standar[NAMA JABATAN],0)-1,1,1,13)&lt;0,1,""))&gt;=7,'9 Grid'!$B$6,'9 Grid'!$B$5)))</f>
        <v>Job Target Kosong</v>
      </c>
      <c r="N220" s="146" t="str">
        <f>IFERROR(IF(Data_Assessment[[#This Row],[IPP (3 YEARS AVERAGE)]]="","(IPP Belum Ada)",IF(Data_Assessment[[#This Row],[IPP (3 YEARS AVERAGE)]]&lt;2,'9 Grid'!$F$2,IF(Data_Assessment[[#This Row],[IPP (3 YEARS AVERAGE)]]&gt;=4,'9 Grid'!$D$2,'9 Grid'!$E$2))),"")</f>
        <v>Exceptional Performance</v>
      </c>
      <c r="O220" s="146" t="str">
        <f ca="1">IFERROR(INDEX('9 Grid'!$D$4:$F$6,MATCH('Rekomendasi HAV'!M220,'9 Grid'!$B$4:$B$6,0),MATCH('Rekomendasi HAV'!N220,'9 Grid'!$D$2:$F$2,0)),"")</f>
        <v/>
      </c>
      <c r="P220" s="147" t="str">
        <f>IFERROR(INDEX('9 Grid'!$D$8:$F$8,1,MATCH('Rekomendasi HAV'!N220,'9 Grid'!$D$2:$F$2,0)),"")</f>
        <v>(I) Immediately</v>
      </c>
    </row>
    <row r="221" spans="1:16" ht="28.5">
      <c r="A221" s="67">
        <v>220</v>
      </c>
      <c r="B221" s="68" t="str">
        <f>INDEX(Data_Assessment[],MATCH('Rekomendasi HAV'!$A221,Data_Assessment[[INDEX]:[INDEX]],0),MATCH('Rekomendasi HAV'!B$1,Data_Assessment[#Headers],0))</f>
        <v>Anang Susanto</v>
      </c>
      <c r="C221" s="68" t="str">
        <f>INDEX(Data_Assessment[],MATCH('Rekomendasi HAV'!$A221,Data_Assessment[[INDEX]:[INDEX]],0),MATCH('Rekomendasi HAV'!C$1,Data_Assessment[#Headers],0))</f>
        <v>Surabaya</v>
      </c>
      <c r="D221" s="68" t="str">
        <f>INDEX(Data_Assessment[],MATCH('Rekomendasi HAV'!$A221,Data_Assessment[[INDEX]:[INDEX]],0),MATCH('Rekomendasi HAV'!D$1,Data_Assessment[#Headers],0))</f>
        <v>LSIP - RO Surabaya</v>
      </c>
      <c r="E221" s="68">
        <f>INDEX(Data_Assessment[],MATCH('Rekomendasi HAV'!$B221,Data_Assessment[[NAME]:[NAME]],0),MATCH('Rekomendasi HAV'!E$1,Data_Assessment[#Headers],0))</f>
        <v>0</v>
      </c>
      <c r="F221" s="68"/>
      <c r="G221" s="68">
        <f>IF(ISNUMBER(SEARCH("DEV",Assessment[[#This Row],[JOB TARGET]])),SUBSTITUTE(Assessment[[#This Row],[JOB TARGET]],"DEV","EST"),Assessment[[#This Row],[JOB TARGET]])</f>
        <v>0</v>
      </c>
      <c r="H221" s="146" t="str" cm="1">
        <f t="array" aca="1" ref="H221" ca="1">IF(Assessment[[#This Row],[JOB TARGET]]="","Job Target Kosong",IF(COUNT(IF('Data Assessment'!$N221:$Z221-OFFSET(Standar!$B$2,MATCH(Assessment[[#This Row],[JOB TARGET
(EST)]],Standar[NAMA JABATAN],0)-1,1,1,13)&lt;0,1,""))&lt;=3,'9 Grid'!$B$4,IF(COUNT(IF('Data Assessment'!$N221:$Z221-OFFSET(Standar!$B$2,MATCH(Assessment[[#This Row],[JOB TARGET]],Standar[NAMA JABATAN],0)-1,1,1,13)&lt;0,1,""))&gt;=7,'9 Grid'!$B$6,'9 Grid'!$B$5)))</f>
        <v>Job Target Kosong</v>
      </c>
      <c r="I221" s="146" t="str">
        <f>IFERROR(IF(Data_Assessment[[#This Row],[IPP (3 YEARS AVERAGE)]]="","(IPP Belum Ada)",IF(Data_Assessment[[#This Row],[IPP (3 YEARS AVERAGE)]]&lt;2,'9 Grid'!$F$2,IF(Data_Assessment[[#This Row],[IPP (3 YEARS AVERAGE)]]&gt;=4,'9 Grid'!$D$2,'9 Grid'!$E$2))),"")</f>
        <v>Fully Competence Performance</v>
      </c>
      <c r="J221" s="146" t="str">
        <f ca="1">IFERROR(INDEX('9 Grid'!$D$4:$F$6,MATCH('Rekomendasi HAV'!H221,'9 Grid'!$B$4:$B$6,0),MATCH('Rekomendasi HAV'!I221,'9 Grid'!$D$2:$F$2,0)),"")</f>
        <v/>
      </c>
      <c r="K221" s="146" t="str">
        <f>IFERROR(INDEX('9 Grid'!$D$8:$F$8,1,MATCH('Rekomendasi HAV'!I221,'9 Grid'!$D$2:$F$2,0)),"")</f>
        <v>(ST) Within 12 - 18 month</v>
      </c>
      <c r="L221" s="146">
        <f>IF(ISNUMBER(SEARCH("EST",Assessment[[#This Row],[JOB TARGET]])),SUBSTITUTE(Assessment[[#This Row],[JOB TARGET]],"EST","DEV"),Assessment[[#This Row],[JOB TARGET]])</f>
        <v>0</v>
      </c>
      <c r="M221" s="146" t="str" cm="1">
        <f t="array" aca="1" ref="M221" ca="1">IF(Assessment[[#This Row],[JOB TARGET]]="","Job Target Kosong",IF(COUNT(IF('Data Assessment'!$N221:$Z221-OFFSET(Standar!$B$2,MATCH(Assessment[[#This Row],[JOB TARGET
(DEV)]],Standar[NAMA JABATAN],0)-1,1,1,13)&lt;0,1,""))&lt;=3,'9 Grid'!$B$4,IF(COUNT(IF('Data Assessment'!$N221:$Z221-OFFSET(Standar!$B$2,MATCH(Assessment[[#This Row],[JOB TARGET
(DEV)]],Standar[NAMA JABATAN],0)-1,1,1,13)&lt;0,1,""))&gt;=7,'9 Grid'!$B$6,'9 Grid'!$B$5)))</f>
        <v>Job Target Kosong</v>
      </c>
      <c r="N221" s="146" t="str">
        <f>IFERROR(IF(Data_Assessment[[#This Row],[IPP (3 YEARS AVERAGE)]]="","(IPP Belum Ada)",IF(Data_Assessment[[#This Row],[IPP (3 YEARS AVERAGE)]]&lt;2,'9 Grid'!$F$2,IF(Data_Assessment[[#This Row],[IPP (3 YEARS AVERAGE)]]&gt;=4,'9 Grid'!$D$2,'9 Grid'!$E$2))),"")</f>
        <v>Fully Competence Performance</v>
      </c>
      <c r="O221" s="146" t="str">
        <f ca="1">IFERROR(INDEX('9 Grid'!$D$4:$F$6,MATCH('Rekomendasi HAV'!M221,'9 Grid'!$B$4:$B$6,0),MATCH('Rekomendasi HAV'!N221,'9 Grid'!$D$2:$F$2,0)),"")</f>
        <v/>
      </c>
      <c r="P221" s="147" t="str">
        <f>IFERROR(INDEX('9 Grid'!$D$8:$F$8,1,MATCH('Rekomendasi HAV'!N221,'9 Grid'!$D$2:$F$2,0)),"")</f>
        <v>(ST) Within 12 - 18 month</v>
      </c>
    </row>
    <row r="222" spans="1:16" ht="28.5">
      <c r="A222" s="67">
        <v>221</v>
      </c>
      <c r="B222" s="68" t="str">
        <f>INDEX(Data_Assessment[],MATCH('Rekomendasi HAV'!$A222,Data_Assessment[[INDEX]:[INDEX]],0),MATCH('Rekomendasi HAV'!B$1,Data_Assessment[#Headers],0))</f>
        <v>Lily Chairani</v>
      </c>
      <c r="C222" s="68" t="str">
        <f>INDEX(Data_Assessment[],MATCH('Rekomendasi HAV'!$A222,Data_Assessment[[INDEX]:[INDEX]],0),MATCH('Rekomendasi HAV'!C$1,Data_Assessment[#Headers],0))</f>
        <v>Palembang</v>
      </c>
      <c r="D222" s="68" t="str">
        <f>INDEX(Data_Assessment[],MATCH('Rekomendasi HAV'!$A222,Data_Assessment[[INDEX]:[INDEX]],0),MATCH('Rekomendasi HAV'!D$1,Data_Assessment[#Headers],0))</f>
        <v>LSIP - RO Palembang</v>
      </c>
      <c r="E222" s="68">
        <f>INDEX(Data_Assessment[],MATCH('Rekomendasi HAV'!$B222,Data_Assessment[[NAME]:[NAME]],0),MATCH('Rekomendasi HAV'!E$1,Data_Assessment[#Headers],0))</f>
        <v>0</v>
      </c>
      <c r="F222" s="68"/>
      <c r="G222" s="68">
        <f>IF(ISNUMBER(SEARCH("DEV",Assessment[[#This Row],[JOB TARGET]])),SUBSTITUTE(Assessment[[#This Row],[JOB TARGET]],"DEV","EST"),Assessment[[#This Row],[JOB TARGET]])</f>
        <v>0</v>
      </c>
      <c r="H222" s="146" t="str" cm="1">
        <f t="array" aca="1" ref="H222" ca="1">IF(Assessment[[#This Row],[JOB TARGET]]="","Job Target Kosong",IF(COUNT(IF('Data Assessment'!$N222:$Z222-OFFSET(Standar!$B$2,MATCH(Assessment[[#This Row],[JOB TARGET
(EST)]],Standar[NAMA JABATAN],0)-1,1,1,13)&lt;0,1,""))&lt;=3,'9 Grid'!$B$4,IF(COUNT(IF('Data Assessment'!$N222:$Z222-OFFSET(Standar!$B$2,MATCH(Assessment[[#This Row],[JOB TARGET]],Standar[NAMA JABATAN],0)-1,1,1,13)&lt;0,1,""))&gt;=7,'9 Grid'!$B$6,'9 Grid'!$B$5)))</f>
        <v>Job Target Kosong</v>
      </c>
      <c r="I222" s="146" t="str">
        <f>IFERROR(IF(Data_Assessment[[#This Row],[IPP (3 YEARS AVERAGE)]]="","(IPP Belum Ada)",IF(Data_Assessment[[#This Row],[IPP (3 YEARS AVERAGE)]]&lt;2,'9 Grid'!$F$2,IF(Data_Assessment[[#This Row],[IPP (3 YEARS AVERAGE)]]&gt;=4,'9 Grid'!$D$2,'9 Grid'!$E$2))),"")</f>
        <v>Fully Competence Performance</v>
      </c>
      <c r="J222" s="146" t="str">
        <f ca="1">IFERROR(INDEX('9 Grid'!$D$4:$F$6,MATCH('Rekomendasi HAV'!H222,'9 Grid'!$B$4:$B$6,0),MATCH('Rekomendasi HAV'!I222,'9 Grid'!$D$2:$F$2,0)),"")</f>
        <v/>
      </c>
      <c r="K222" s="146" t="str">
        <f>IFERROR(INDEX('9 Grid'!$D$8:$F$8,1,MATCH('Rekomendasi HAV'!I222,'9 Grid'!$D$2:$F$2,0)),"")</f>
        <v>(ST) Within 12 - 18 month</v>
      </c>
      <c r="L222" s="146">
        <f>IF(ISNUMBER(SEARCH("EST",Assessment[[#This Row],[JOB TARGET]])),SUBSTITUTE(Assessment[[#This Row],[JOB TARGET]],"EST","DEV"),Assessment[[#This Row],[JOB TARGET]])</f>
        <v>0</v>
      </c>
      <c r="M222" s="146" t="str" cm="1">
        <f t="array" aca="1" ref="M222" ca="1">IF(Assessment[[#This Row],[JOB TARGET]]="","Job Target Kosong",IF(COUNT(IF('Data Assessment'!$N222:$Z222-OFFSET(Standar!$B$2,MATCH(Assessment[[#This Row],[JOB TARGET
(DEV)]],Standar[NAMA JABATAN],0)-1,1,1,13)&lt;0,1,""))&lt;=3,'9 Grid'!$B$4,IF(COUNT(IF('Data Assessment'!$N222:$Z222-OFFSET(Standar!$B$2,MATCH(Assessment[[#This Row],[JOB TARGET
(DEV)]],Standar[NAMA JABATAN],0)-1,1,1,13)&lt;0,1,""))&gt;=7,'9 Grid'!$B$6,'9 Grid'!$B$5)))</f>
        <v>Job Target Kosong</v>
      </c>
      <c r="N222" s="146" t="str">
        <f>IFERROR(IF(Data_Assessment[[#This Row],[IPP (3 YEARS AVERAGE)]]="","(IPP Belum Ada)",IF(Data_Assessment[[#This Row],[IPP (3 YEARS AVERAGE)]]&lt;2,'9 Grid'!$F$2,IF(Data_Assessment[[#This Row],[IPP (3 YEARS AVERAGE)]]&gt;=4,'9 Grid'!$D$2,'9 Grid'!$E$2))),"")</f>
        <v>Fully Competence Performance</v>
      </c>
      <c r="O222" s="146" t="str">
        <f ca="1">IFERROR(INDEX('9 Grid'!$D$4:$F$6,MATCH('Rekomendasi HAV'!M222,'9 Grid'!$B$4:$B$6,0),MATCH('Rekomendasi HAV'!N222,'9 Grid'!$D$2:$F$2,0)),"")</f>
        <v/>
      </c>
      <c r="P222" s="147" t="str">
        <f>IFERROR(INDEX('9 Grid'!$D$8:$F$8,1,MATCH('Rekomendasi HAV'!N222,'9 Grid'!$D$2:$F$2,0)),"")</f>
        <v>(ST) Within 12 - 18 month</v>
      </c>
    </row>
    <row r="223" spans="1:16" ht="28.5">
      <c r="A223" s="67">
        <v>222</v>
      </c>
      <c r="B223" s="68" t="str">
        <f>INDEX(Data_Assessment[],MATCH('Rekomendasi HAV'!$A223,Data_Assessment[[INDEX]:[INDEX]],0),MATCH('Rekomendasi HAV'!B$1,Data_Assessment[#Headers],0))</f>
        <v>Fahruli Manurung</v>
      </c>
      <c r="C223" s="68" t="str">
        <f>INDEX(Data_Assessment[],MATCH('Rekomendasi HAV'!$A223,Data_Assessment[[INDEX]:[INDEX]],0),MATCH('Rekomendasi HAV'!C$1,Data_Assessment[#Headers],0))</f>
        <v>Palembang</v>
      </c>
      <c r="D223" s="68" t="str">
        <f>INDEX(Data_Assessment[],MATCH('Rekomendasi HAV'!$A223,Data_Assessment[[INDEX]:[INDEX]],0),MATCH('Rekomendasi HAV'!D$1,Data_Assessment[#Headers],0))</f>
        <v>LSIP - RO Palembang</v>
      </c>
      <c r="E223" s="68">
        <f>INDEX(Data_Assessment[],MATCH('Rekomendasi HAV'!$B223,Data_Assessment[[NAME]:[NAME]],0),MATCH('Rekomendasi HAV'!E$1,Data_Assessment[#Headers],0))</f>
        <v>0</v>
      </c>
      <c r="F223" s="68"/>
      <c r="G223" s="68">
        <f>IF(ISNUMBER(SEARCH("DEV",Assessment[[#This Row],[JOB TARGET]])),SUBSTITUTE(Assessment[[#This Row],[JOB TARGET]],"DEV","EST"),Assessment[[#This Row],[JOB TARGET]])</f>
        <v>0</v>
      </c>
      <c r="H223" s="146" t="str" cm="1">
        <f t="array" aca="1" ref="H223" ca="1">IF(Assessment[[#This Row],[JOB TARGET]]="","Job Target Kosong",IF(COUNT(IF('Data Assessment'!$N223:$Z223-OFFSET(Standar!$B$2,MATCH(Assessment[[#This Row],[JOB TARGET
(EST)]],Standar[NAMA JABATAN],0)-1,1,1,13)&lt;0,1,""))&lt;=3,'9 Grid'!$B$4,IF(COUNT(IF('Data Assessment'!$N223:$Z223-OFFSET(Standar!$B$2,MATCH(Assessment[[#This Row],[JOB TARGET]],Standar[NAMA JABATAN],0)-1,1,1,13)&lt;0,1,""))&gt;=7,'9 Grid'!$B$6,'9 Grid'!$B$5)))</f>
        <v>Job Target Kosong</v>
      </c>
      <c r="I223" s="146" t="str">
        <f>IFERROR(IF(Data_Assessment[[#This Row],[IPP (3 YEARS AVERAGE)]]="","(IPP Belum Ada)",IF(Data_Assessment[[#This Row],[IPP (3 YEARS AVERAGE)]]&lt;2,'9 Grid'!$F$2,IF(Data_Assessment[[#This Row],[IPP (3 YEARS AVERAGE)]]&gt;=4,'9 Grid'!$D$2,'9 Grid'!$E$2))),"")</f>
        <v>Fully Competence Performance</v>
      </c>
      <c r="J223" s="146" t="str">
        <f ca="1">IFERROR(INDEX('9 Grid'!$D$4:$F$6,MATCH('Rekomendasi HAV'!H223,'9 Grid'!$B$4:$B$6,0),MATCH('Rekomendasi HAV'!I223,'9 Grid'!$D$2:$F$2,0)),"")</f>
        <v/>
      </c>
      <c r="K223" s="146" t="str">
        <f>IFERROR(INDEX('9 Grid'!$D$8:$F$8,1,MATCH('Rekomendasi HAV'!I223,'9 Grid'!$D$2:$F$2,0)),"")</f>
        <v>(ST) Within 12 - 18 month</v>
      </c>
      <c r="L223" s="146">
        <f>IF(ISNUMBER(SEARCH("EST",Assessment[[#This Row],[JOB TARGET]])),SUBSTITUTE(Assessment[[#This Row],[JOB TARGET]],"EST","DEV"),Assessment[[#This Row],[JOB TARGET]])</f>
        <v>0</v>
      </c>
      <c r="M223" s="146" t="str" cm="1">
        <f t="array" aca="1" ref="M223" ca="1">IF(Assessment[[#This Row],[JOB TARGET]]="","Job Target Kosong",IF(COUNT(IF('Data Assessment'!$N223:$Z223-OFFSET(Standar!$B$2,MATCH(Assessment[[#This Row],[JOB TARGET
(DEV)]],Standar[NAMA JABATAN],0)-1,1,1,13)&lt;0,1,""))&lt;=3,'9 Grid'!$B$4,IF(COUNT(IF('Data Assessment'!$N223:$Z223-OFFSET(Standar!$B$2,MATCH(Assessment[[#This Row],[JOB TARGET
(DEV)]],Standar[NAMA JABATAN],0)-1,1,1,13)&lt;0,1,""))&gt;=7,'9 Grid'!$B$6,'9 Grid'!$B$5)))</f>
        <v>Job Target Kosong</v>
      </c>
      <c r="N223" s="146" t="str">
        <f>IFERROR(IF(Data_Assessment[[#This Row],[IPP (3 YEARS AVERAGE)]]="","(IPP Belum Ada)",IF(Data_Assessment[[#This Row],[IPP (3 YEARS AVERAGE)]]&lt;2,'9 Grid'!$F$2,IF(Data_Assessment[[#This Row],[IPP (3 YEARS AVERAGE)]]&gt;=4,'9 Grid'!$D$2,'9 Grid'!$E$2))),"")</f>
        <v>Fully Competence Performance</v>
      </c>
      <c r="O223" s="146" t="str">
        <f ca="1">IFERROR(INDEX('9 Grid'!$D$4:$F$6,MATCH('Rekomendasi HAV'!M223,'9 Grid'!$B$4:$B$6,0),MATCH('Rekomendasi HAV'!N223,'9 Grid'!$D$2:$F$2,0)),"")</f>
        <v/>
      </c>
      <c r="P223" s="147" t="str">
        <f>IFERROR(INDEX('9 Grid'!$D$8:$F$8,1,MATCH('Rekomendasi HAV'!N223,'9 Grid'!$D$2:$F$2,0)),"")</f>
        <v>(ST) Within 12 - 18 month</v>
      </c>
    </row>
    <row r="224" spans="1:16" ht="28.5">
      <c r="A224" s="67">
        <v>223</v>
      </c>
      <c r="B224" s="68" t="str">
        <f>INDEX(Data_Assessment[],MATCH('Rekomendasi HAV'!$A224,Data_Assessment[[INDEX]:[INDEX]],0),MATCH('Rekomendasi HAV'!B$1,Data_Assessment[#Headers],0))</f>
        <v>Mariana</v>
      </c>
      <c r="C224" s="68" t="str">
        <f>INDEX(Data_Assessment[],MATCH('Rekomendasi HAV'!$A224,Data_Assessment[[INDEX]:[INDEX]],0),MATCH('Rekomendasi HAV'!C$1,Data_Assessment[#Headers],0))</f>
        <v>Jakarta</v>
      </c>
      <c r="D224" s="68" t="str">
        <f>INDEX(Data_Assessment[],MATCH('Rekomendasi HAV'!$A224,Data_Assessment[[INDEX]:[INDEX]],0),MATCH('Rekomendasi HAV'!D$1,Data_Assessment[#Headers],0))</f>
        <v>LSIP - HO Jakarta</v>
      </c>
      <c r="E224" s="68">
        <f>INDEX(Data_Assessment[],MATCH('Rekomendasi HAV'!$B224,Data_Assessment[[NAME]:[NAME]],0),MATCH('Rekomendasi HAV'!E$1,Data_Assessment[#Headers],0))</f>
        <v>0</v>
      </c>
      <c r="F224" s="68"/>
      <c r="G224" s="68">
        <f>IF(ISNUMBER(SEARCH("DEV",Assessment[[#This Row],[JOB TARGET]])),SUBSTITUTE(Assessment[[#This Row],[JOB TARGET]],"DEV","EST"),Assessment[[#This Row],[JOB TARGET]])</f>
        <v>0</v>
      </c>
      <c r="H224" s="146" t="str" cm="1">
        <f t="array" aca="1" ref="H224" ca="1">IF(Assessment[[#This Row],[JOB TARGET]]="","Job Target Kosong",IF(COUNT(IF('Data Assessment'!$N224:$Z224-OFFSET(Standar!$B$2,MATCH(Assessment[[#This Row],[JOB TARGET
(EST)]],Standar[NAMA JABATAN],0)-1,1,1,13)&lt;0,1,""))&lt;=3,'9 Grid'!$B$4,IF(COUNT(IF('Data Assessment'!$N224:$Z224-OFFSET(Standar!$B$2,MATCH(Assessment[[#This Row],[JOB TARGET]],Standar[NAMA JABATAN],0)-1,1,1,13)&lt;0,1,""))&gt;=7,'9 Grid'!$B$6,'9 Grid'!$B$5)))</f>
        <v>Job Target Kosong</v>
      </c>
      <c r="I224" s="146" t="str">
        <f>IFERROR(IF(Data_Assessment[[#This Row],[IPP (3 YEARS AVERAGE)]]="","(IPP Belum Ada)",IF(Data_Assessment[[#This Row],[IPP (3 YEARS AVERAGE)]]&lt;2,'9 Grid'!$F$2,IF(Data_Assessment[[#This Row],[IPP (3 YEARS AVERAGE)]]&gt;=4,'9 Grid'!$D$2,'9 Grid'!$E$2))),"")</f>
        <v>Fully Competence Performance</v>
      </c>
      <c r="J224" s="146" t="str">
        <f ca="1">IFERROR(INDEX('9 Grid'!$D$4:$F$6,MATCH('Rekomendasi HAV'!H224,'9 Grid'!$B$4:$B$6,0),MATCH('Rekomendasi HAV'!I224,'9 Grid'!$D$2:$F$2,0)),"")</f>
        <v/>
      </c>
      <c r="K224" s="146" t="str">
        <f>IFERROR(INDEX('9 Grid'!$D$8:$F$8,1,MATCH('Rekomendasi HAV'!I224,'9 Grid'!$D$2:$F$2,0)),"")</f>
        <v>(ST) Within 12 - 18 month</v>
      </c>
      <c r="L224" s="146">
        <f>IF(ISNUMBER(SEARCH("EST",Assessment[[#This Row],[JOB TARGET]])),SUBSTITUTE(Assessment[[#This Row],[JOB TARGET]],"EST","DEV"),Assessment[[#This Row],[JOB TARGET]])</f>
        <v>0</v>
      </c>
      <c r="M224" s="146" t="str" cm="1">
        <f t="array" aca="1" ref="M224" ca="1">IF(Assessment[[#This Row],[JOB TARGET]]="","Job Target Kosong",IF(COUNT(IF('Data Assessment'!$N224:$Z224-OFFSET(Standar!$B$2,MATCH(Assessment[[#This Row],[JOB TARGET
(DEV)]],Standar[NAMA JABATAN],0)-1,1,1,13)&lt;0,1,""))&lt;=3,'9 Grid'!$B$4,IF(COUNT(IF('Data Assessment'!$N224:$Z224-OFFSET(Standar!$B$2,MATCH(Assessment[[#This Row],[JOB TARGET
(DEV)]],Standar[NAMA JABATAN],0)-1,1,1,13)&lt;0,1,""))&gt;=7,'9 Grid'!$B$6,'9 Grid'!$B$5)))</f>
        <v>Job Target Kosong</v>
      </c>
      <c r="N224" s="146" t="str">
        <f>IFERROR(IF(Data_Assessment[[#This Row],[IPP (3 YEARS AVERAGE)]]="","(IPP Belum Ada)",IF(Data_Assessment[[#This Row],[IPP (3 YEARS AVERAGE)]]&lt;2,'9 Grid'!$F$2,IF(Data_Assessment[[#This Row],[IPP (3 YEARS AVERAGE)]]&gt;=4,'9 Grid'!$D$2,'9 Grid'!$E$2))),"")</f>
        <v>Fully Competence Performance</v>
      </c>
      <c r="O224" s="146" t="str">
        <f ca="1">IFERROR(INDEX('9 Grid'!$D$4:$F$6,MATCH('Rekomendasi HAV'!M224,'9 Grid'!$B$4:$B$6,0),MATCH('Rekomendasi HAV'!N224,'9 Grid'!$D$2:$F$2,0)),"")</f>
        <v/>
      </c>
      <c r="P224" s="147" t="str">
        <f>IFERROR(INDEX('9 Grid'!$D$8:$F$8,1,MATCH('Rekomendasi HAV'!N224,'9 Grid'!$D$2:$F$2,0)),"")</f>
        <v>(ST) Within 12 - 18 month</v>
      </c>
    </row>
    <row r="225" spans="1:16" ht="28.5">
      <c r="A225" s="67">
        <v>224</v>
      </c>
      <c r="B225" s="68" t="str">
        <f>INDEX(Data_Assessment[],MATCH('Rekomendasi HAV'!$A225,Data_Assessment[[INDEX]:[INDEX]],0),MATCH('Rekomendasi HAV'!B$1,Data_Assessment[#Headers],0))</f>
        <v>M. Damiri Malisie, Ir.</v>
      </c>
      <c r="C225" s="68" t="str">
        <f>INDEX(Data_Assessment[],MATCH('Rekomendasi HAV'!$A225,Data_Assessment[[INDEX]:[INDEX]],0),MATCH('Rekomendasi HAV'!C$1,Data_Assessment[#Headers],0))</f>
        <v>Palembang</v>
      </c>
      <c r="D225" s="68" t="str">
        <f>INDEX(Data_Assessment[],MATCH('Rekomendasi HAV'!$A225,Data_Assessment[[INDEX]:[INDEX]],0),MATCH('Rekomendasi HAV'!D$1,Data_Assessment[#Headers],0))</f>
        <v>LSIP - RO Palembang</v>
      </c>
      <c r="E225" s="68">
        <f>INDEX(Data_Assessment[],MATCH('Rekomendasi HAV'!$B225,Data_Assessment[[NAME]:[NAME]],0),MATCH('Rekomendasi HAV'!E$1,Data_Assessment[#Headers],0))</f>
        <v>0</v>
      </c>
      <c r="F225" s="68"/>
      <c r="G225" s="68">
        <f>IF(ISNUMBER(SEARCH("DEV",Assessment[[#This Row],[JOB TARGET]])),SUBSTITUTE(Assessment[[#This Row],[JOB TARGET]],"DEV","EST"),Assessment[[#This Row],[JOB TARGET]])</f>
        <v>0</v>
      </c>
      <c r="H225" s="146" t="str" cm="1">
        <f t="array" aca="1" ref="H225" ca="1">IF(Assessment[[#This Row],[JOB TARGET]]="","Job Target Kosong",IF(COUNT(IF('Data Assessment'!$N225:$Z225-OFFSET(Standar!$B$2,MATCH(Assessment[[#This Row],[JOB TARGET
(EST)]],Standar[NAMA JABATAN],0)-1,1,1,13)&lt;0,1,""))&lt;=3,'9 Grid'!$B$4,IF(COUNT(IF('Data Assessment'!$N225:$Z225-OFFSET(Standar!$B$2,MATCH(Assessment[[#This Row],[JOB TARGET]],Standar[NAMA JABATAN],0)-1,1,1,13)&lt;0,1,""))&gt;=7,'9 Grid'!$B$6,'9 Grid'!$B$5)))</f>
        <v>Job Target Kosong</v>
      </c>
      <c r="I225" s="146" t="str">
        <f>IFERROR(IF(Data_Assessment[[#This Row],[IPP (3 YEARS AVERAGE)]]="","(IPP Belum Ada)",IF(Data_Assessment[[#This Row],[IPP (3 YEARS AVERAGE)]]&lt;2,'9 Grid'!$F$2,IF(Data_Assessment[[#This Row],[IPP (3 YEARS AVERAGE)]]&gt;=4,'9 Grid'!$D$2,'9 Grid'!$E$2))),"")</f>
        <v>Fully Competence Performance</v>
      </c>
      <c r="J225" s="146" t="str">
        <f ca="1">IFERROR(INDEX('9 Grid'!$D$4:$F$6,MATCH('Rekomendasi HAV'!H225,'9 Grid'!$B$4:$B$6,0),MATCH('Rekomendasi HAV'!I225,'9 Grid'!$D$2:$F$2,0)),"")</f>
        <v/>
      </c>
      <c r="K225" s="146" t="str">
        <f>IFERROR(INDEX('9 Grid'!$D$8:$F$8,1,MATCH('Rekomendasi HAV'!I225,'9 Grid'!$D$2:$F$2,0)),"")</f>
        <v>(ST) Within 12 - 18 month</v>
      </c>
      <c r="L225" s="146">
        <f>IF(ISNUMBER(SEARCH("EST",Assessment[[#This Row],[JOB TARGET]])),SUBSTITUTE(Assessment[[#This Row],[JOB TARGET]],"EST","DEV"),Assessment[[#This Row],[JOB TARGET]])</f>
        <v>0</v>
      </c>
      <c r="M225" s="146" t="str" cm="1">
        <f t="array" aca="1" ref="M225" ca="1">IF(Assessment[[#This Row],[JOB TARGET]]="","Job Target Kosong",IF(COUNT(IF('Data Assessment'!$N225:$Z225-OFFSET(Standar!$B$2,MATCH(Assessment[[#This Row],[JOB TARGET
(DEV)]],Standar[NAMA JABATAN],0)-1,1,1,13)&lt;0,1,""))&lt;=3,'9 Grid'!$B$4,IF(COUNT(IF('Data Assessment'!$N225:$Z225-OFFSET(Standar!$B$2,MATCH(Assessment[[#This Row],[JOB TARGET
(DEV)]],Standar[NAMA JABATAN],0)-1,1,1,13)&lt;0,1,""))&gt;=7,'9 Grid'!$B$6,'9 Grid'!$B$5)))</f>
        <v>Job Target Kosong</v>
      </c>
      <c r="N225" s="146" t="str">
        <f>IFERROR(IF(Data_Assessment[[#This Row],[IPP (3 YEARS AVERAGE)]]="","(IPP Belum Ada)",IF(Data_Assessment[[#This Row],[IPP (3 YEARS AVERAGE)]]&lt;2,'9 Grid'!$F$2,IF(Data_Assessment[[#This Row],[IPP (3 YEARS AVERAGE)]]&gt;=4,'9 Grid'!$D$2,'9 Grid'!$E$2))),"")</f>
        <v>Fully Competence Performance</v>
      </c>
      <c r="O225" s="146" t="str">
        <f ca="1">IFERROR(INDEX('9 Grid'!$D$4:$F$6,MATCH('Rekomendasi HAV'!M225,'9 Grid'!$B$4:$B$6,0),MATCH('Rekomendasi HAV'!N225,'9 Grid'!$D$2:$F$2,0)),"")</f>
        <v/>
      </c>
      <c r="P225" s="147" t="str">
        <f>IFERROR(INDEX('9 Grid'!$D$8:$F$8,1,MATCH('Rekomendasi HAV'!N225,'9 Grid'!$D$2:$F$2,0)),"")</f>
        <v>(ST) Within 12 - 18 month</v>
      </c>
    </row>
    <row r="226" spans="1:16" ht="28.5">
      <c r="A226" s="67">
        <v>225</v>
      </c>
      <c r="B226" s="68" t="str">
        <f>INDEX(Data_Assessment[],MATCH('Rekomendasi HAV'!$A226,Data_Assessment[[INDEX]:[INDEX]],0),MATCH('Rekomendasi HAV'!B$1,Data_Assessment[#Headers],0))</f>
        <v>Muhammad Rizqi Dwi Prasetyo</v>
      </c>
      <c r="C226" s="68" t="str">
        <f>INDEX(Data_Assessment[],MATCH('Rekomendasi HAV'!$A226,Data_Assessment[[INDEX]:[INDEX]],0),MATCH('Rekomendasi HAV'!C$1,Data_Assessment[#Headers],0))</f>
        <v>Jakarta</v>
      </c>
      <c r="D226" s="68" t="str">
        <f>INDEX(Data_Assessment[],MATCH('Rekomendasi HAV'!$A226,Data_Assessment[[INDEX]:[INDEX]],0),MATCH('Rekomendasi HAV'!D$1,Data_Assessment[#Headers],0))</f>
        <v>LSIP - HO Jakarta</v>
      </c>
      <c r="E226" s="68">
        <f>INDEX(Data_Assessment[],MATCH('Rekomendasi HAV'!$B226,Data_Assessment[[NAME]:[NAME]],0),MATCH('Rekomendasi HAV'!E$1,Data_Assessment[#Headers],0))</f>
        <v>0</v>
      </c>
      <c r="F226" s="68"/>
      <c r="G226" s="68">
        <f>IF(ISNUMBER(SEARCH("DEV",Assessment[[#This Row],[JOB TARGET]])),SUBSTITUTE(Assessment[[#This Row],[JOB TARGET]],"DEV","EST"),Assessment[[#This Row],[JOB TARGET]])</f>
        <v>0</v>
      </c>
      <c r="H226" s="146" t="str" cm="1">
        <f t="array" aca="1" ref="H226" ca="1">IF(Assessment[[#This Row],[JOB TARGET]]="","Job Target Kosong",IF(COUNT(IF('Data Assessment'!$N226:$Z226-OFFSET(Standar!$B$2,MATCH(Assessment[[#This Row],[JOB TARGET
(EST)]],Standar[NAMA JABATAN],0)-1,1,1,13)&lt;0,1,""))&lt;=3,'9 Grid'!$B$4,IF(COUNT(IF('Data Assessment'!$N226:$Z226-OFFSET(Standar!$B$2,MATCH(Assessment[[#This Row],[JOB TARGET]],Standar[NAMA JABATAN],0)-1,1,1,13)&lt;0,1,""))&gt;=7,'9 Grid'!$B$6,'9 Grid'!$B$5)))</f>
        <v>Job Target Kosong</v>
      </c>
      <c r="I226" s="146" t="str">
        <f>IFERROR(IF(Data_Assessment[[#This Row],[IPP (3 YEARS AVERAGE)]]="","(IPP Belum Ada)",IF(Data_Assessment[[#This Row],[IPP (3 YEARS AVERAGE)]]&lt;2,'9 Grid'!$F$2,IF(Data_Assessment[[#This Row],[IPP (3 YEARS AVERAGE)]]&gt;=4,'9 Grid'!$D$2,'9 Grid'!$E$2))),"")</f>
        <v>Contributor</v>
      </c>
      <c r="J226" s="146" t="str">
        <f ca="1">IFERROR(INDEX('9 Grid'!$D$4:$F$6,MATCH('Rekomendasi HAV'!H226,'9 Grid'!$B$4:$B$6,0),MATCH('Rekomendasi HAV'!I226,'9 Grid'!$D$2:$F$2,0)),"")</f>
        <v/>
      </c>
      <c r="K226" s="146" t="str">
        <f>IFERROR(INDEX('9 Grid'!$D$8:$F$8,1,MATCH('Rekomendasi HAV'!I226,'9 Grid'!$D$2:$F$2,0)),"")</f>
        <v>(LT) More 2 - 3 year</v>
      </c>
      <c r="L226" s="146">
        <f>IF(ISNUMBER(SEARCH("EST",Assessment[[#This Row],[JOB TARGET]])),SUBSTITUTE(Assessment[[#This Row],[JOB TARGET]],"EST","DEV"),Assessment[[#This Row],[JOB TARGET]])</f>
        <v>0</v>
      </c>
      <c r="M226" s="146" t="str" cm="1">
        <f t="array" aca="1" ref="M226" ca="1">IF(Assessment[[#This Row],[JOB TARGET]]="","Job Target Kosong",IF(COUNT(IF('Data Assessment'!$N226:$Z226-OFFSET(Standar!$B$2,MATCH(Assessment[[#This Row],[JOB TARGET
(DEV)]],Standar[NAMA JABATAN],0)-1,1,1,13)&lt;0,1,""))&lt;=3,'9 Grid'!$B$4,IF(COUNT(IF('Data Assessment'!$N226:$Z226-OFFSET(Standar!$B$2,MATCH(Assessment[[#This Row],[JOB TARGET
(DEV)]],Standar[NAMA JABATAN],0)-1,1,1,13)&lt;0,1,""))&gt;=7,'9 Grid'!$B$6,'9 Grid'!$B$5)))</f>
        <v>Job Target Kosong</v>
      </c>
      <c r="N226" s="146" t="str">
        <f>IFERROR(IF(Data_Assessment[[#This Row],[IPP (3 YEARS AVERAGE)]]="","(IPP Belum Ada)",IF(Data_Assessment[[#This Row],[IPP (3 YEARS AVERAGE)]]&lt;2,'9 Grid'!$F$2,IF(Data_Assessment[[#This Row],[IPP (3 YEARS AVERAGE)]]&gt;=4,'9 Grid'!$D$2,'9 Grid'!$E$2))),"")</f>
        <v>Contributor</v>
      </c>
      <c r="O226" s="146" t="str">
        <f ca="1">IFERROR(INDEX('9 Grid'!$D$4:$F$6,MATCH('Rekomendasi HAV'!M226,'9 Grid'!$B$4:$B$6,0),MATCH('Rekomendasi HAV'!N226,'9 Grid'!$D$2:$F$2,0)),"")</f>
        <v/>
      </c>
      <c r="P226" s="147" t="str">
        <f>IFERROR(INDEX('9 Grid'!$D$8:$F$8,1,MATCH('Rekomendasi HAV'!N226,'9 Grid'!$D$2:$F$2,0)),"")</f>
        <v>(LT) More 2 - 3 year</v>
      </c>
    </row>
    <row r="227" spans="1:16" ht="28.5">
      <c r="A227" s="67">
        <v>226</v>
      </c>
      <c r="B227" s="68" t="str">
        <f>INDEX(Data_Assessment[],MATCH('Rekomendasi HAV'!$A227,Data_Assessment[[INDEX]:[INDEX]],0),MATCH('Rekomendasi HAV'!B$1,Data_Assessment[#Headers],0))</f>
        <v>Akhmad Farizal</v>
      </c>
      <c r="C227" s="68" t="str">
        <f>INDEX(Data_Assessment[],MATCH('Rekomendasi HAV'!$A227,Data_Assessment[[INDEX]:[INDEX]],0),MATCH('Rekomendasi HAV'!C$1,Data_Assessment[#Headers],0))</f>
        <v>Palembang</v>
      </c>
      <c r="D227" s="68" t="str">
        <f>INDEX(Data_Assessment[],MATCH('Rekomendasi HAV'!$A227,Data_Assessment[[INDEX]:[INDEX]],0),MATCH('Rekomendasi HAV'!D$1,Data_Assessment[#Headers],0))</f>
        <v>LSIP - RO Palembang</v>
      </c>
      <c r="E227" s="68">
        <f>INDEX(Data_Assessment[],MATCH('Rekomendasi HAV'!$B227,Data_Assessment[[NAME]:[NAME]],0),MATCH('Rekomendasi HAV'!E$1,Data_Assessment[#Headers],0))</f>
        <v>0</v>
      </c>
      <c r="F227" s="68"/>
      <c r="G227" s="68">
        <f>IF(ISNUMBER(SEARCH("DEV",Assessment[[#This Row],[JOB TARGET]])),SUBSTITUTE(Assessment[[#This Row],[JOB TARGET]],"DEV","EST"),Assessment[[#This Row],[JOB TARGET]])</f>
        <v>0</v>
      </c>
      <c r="H227" s="146" t="str" cm="1">
        <f t="array" aca="1" ref="H227" ca="1">IF(Assessment[[#This Row],[JOB TARGET]]="","Job Target Kosong",IF(COUNT(IF('Data Assessment'!$N227:$Z227-OFFSET(Standar!$B$2,MATCH(Assessment[[#This Row],[JOB TARGET
(EST)]],Standar[NAMA JABATAN],0)-1,1,1,13)&lt;0,1,""))&lt;=3,'9 Grid'!$B$4,IF(COUNT(IF('Data Assessment'!$N227:$Z227-OFFSET(Standar!$B$2,MATCH(Assessment[[#This Row],[JOB TARGET]],Standar[NAMA JABATAN],0)-1,1,1,13)&lt;0,1,""))&gt;=7,'9 Grid'!$B$6,'9 Grid'!$B$5)))</f>
        <v>Job Target Kosong</v>
      </c>
      <c r="I227" s="146" t="str">
        <f>IFERROR(IF(Data_Assessment[[#This Row],[IPP (3 YEARS AVERAGE)]]="","(IPP Belum Ada)",IF(Data_Assessment[[#This Row],[IPP (3 YEARS AVERAGE)]]&lt;2,'9 Grid'!$F$2,IF(Data_Assessment[[#This Row],[IPP (3 YEARS AVERAGE)]]&gt;=4,'9 Grid'!$D$2,'9 Grid'!$E$2))),"")</f>
        <v>Fully Competence Performance</v>
      </c>
      <c r="J227" s="146" t="str">
        <f ca="1">IFERROR(INDEX('9 Grid'!$D$4:$F$6,MATCH('Rekomendasi HAV'!H227,'9 Grid'!$B$4:$B$6,0),MATCH('Rekomendasi HAV'!I227,'9 Grid'!$D$2:$F$2,0)),"")</f>
        <v/>
      </c>
      <c r="K227" s="146" t="str">
        <f>IFERROR(INDEX('9 Grid'!$D$8:$F$8,1,MATCH('Rekomendasi HAV'!I227,'9 Grid'!$D$2:$F$2,0)),"")</f>
        <v>(ST) Within 12 - 18 month</v>
      </c>
      <c r="L227" s="146">
        <f>IF(ISNUMBER(SEARCH("EST",Assessment[[#This Row],[JOB TARGET]])),SUBSTITUTE(Assessment[[#This Row],[JOB TARGET]],"EST","DEV"),Assessment[[#This Row],[JOB TARGET]])</f>
        <v>0</v>
      </c>
      <c r="M227" s="146" t="str" cm="1">
        <f t="array" aca="1" ref="M227" ca="1">IF(Assessment[[#This Row],[JOB TARGET]]="","Job Target Kosong",IF(COUNT(IF('Data Assessment'!$N227:$Z227-OFFSET(Standar!$B$2,MATCH(Assessment[[#This Row],[JOB TARGET
(DEV)]],Standar[NAMA JABATAN],0)-1,1,1,13)&lt;0,1,""))&lt;=3,'9 Grid'!$B$4,IF(COUNT(IF('Data Assessment'!$N227:$Z227-OFFSET(Standar!$B$2,MATCH(Assessment[[#This Row],[JOB TARGET
(DEV)]],Standar[NAMA JABATAN],0)-1,1,1,13)&lt;0,1,""))&gt;=7,'9 Grid'!$B$6,'9 Grid'!$B$5)))</f>
        <v>Job Target Kosong</v>
      </c>
      <c r="N227" s="146" t="str">
        <f>IFERROR(IF(Data_Assessment[[#This Row],[IPP (3 YEARS AVERAGE)]]="","(IPP Belum Ada)",IF(Data_Assessment[[#This Row],[IPP (3 YEARS AVERAGE)]]&lt;2,'9 Grid'!$F$2,IF(Data_Assessment[[#This Row],[IPP (3 YEARS AVERAGE)]]&gt;=4,'9 Grid'!$D$2,'9 Grid'!$E$2))),"")</f>
        <v>Fully Competence Performance</v>
      </c>
      <c r="O227" s="146" t="str">
        <f ca="1">IFERROR(INDEX('9 Grid'!$D$4:$F$6,MATCH('Rekomendasi HAV'!M227,'9 Grid'!$B$4:$B$6,0),MATCH('Rekomendasi HAV'!N227,'9 Grid'!$D$2:$F$2,0)),"")</f>
        <v/>
      </c>
      <c r="P227" s="147" t="str">
        <f>IFERROR(INDEX('9 Grid'!$D$8:$F$8,1,MATCH('Rekomendasi HAV'!N227,'9 Grid'!$D$2:$F$2,0)),"")</f>
        <v>(ST) Within 12 - 18 month</v>
      </c>
    </row>
    <row r="228" spans="1:16" ht="14.25">
      <c r="A228" s="67">
        <v>227</v>
      </c>
      <c r="B228" s="68" t="str">
        <f>INDEX(Data_Assessment[],MATCH('Rekomendasi HAV'!$A228,Data_Assessment[[INDEX]:[INDEX]],0),MATCH('Rekomendasi HAV'!B$1,Data_Assessment[#Headers],0))</f>
        <v>Agus Wahyudi</v>
      </c>
      <c r="C228" s="68" t="str">
        <f>INDEX(Data_Assessment[],MATCH('Rekomendasi HAV'!$A228,Data_Assessment[[INDEX]:[INDEX]],0),MATCH('Rekomendasi HAV'!C$1,Data_Assessment[#Headers],0))</f>
        <v>Palembang</v>
      </c>
      <c r="D228" s="68" t="str">
        <f>INDEX(Data_Assessment[],MATCH('Rekomendasi HAV'!$A228,Data_Assessment[[INDEX]:[INDEX]],0),MATCH('Rekomendasi HAV'!D$1,Data_Assessment[#Headers],0))</f>
        <v>LSIP - RO Palembang</v>
      </c>
      <c r="E228" s="68">
        <f>INDEX(Data_Assessment[],MATCH('Rekomendasi HAV'!$B228,Data_Assessment[[NAME]:[NAME]],0),MATCH('Rekomendasi HAV'!E$1,Data_Assessment[#Headers],0))</f>
        <v>0</v>
      </c>
      <c r="F228" s="68"/>
      <c r="G228" s="68">
        <f>IF(ISNUMBER(SEARCH("DEV",Assessment[[#This Row],[JOB TARGET]])),SUBSTITUTE(Assessment[[#This Row],[JOB TARGET]],"DEV","EST"),Assessment[[#This Row],[JOB TARGET]])</f>
        <v>0</v>
      </c>
      <c r="H228" s="146" t="str" cm="1">
        <f t="array" aca="1" ref="H228" ca="1">IF(Assessment[[#This Row],[JOB TARGET]]="","Job Target Kosong",IF(COUNT(IF('Data Assessment'!$N228:$Z228-OFFSET(Standar!$B$2,MATCH(Assessment[[#This Row],[JOB TARGET
(EST)]],Standar[NAMA JABATAN],0)-1,1,1,13)&lt;0,1,""))&lt;=3,'9 Grid'!$B$4,IF(COUNT(IF('Data Assessment'!$N228:$Z228-OFFSET(Standar!$B$2,MATCH(Assessment[[#This Row],[JOB TARGET]],Standar[NAMA JABATAN],0)-1,1,1,13)&lt;0,1,""))&gt;=7,'9 Grid'!$B$6,'9 Grid'!$B$5)))</f>
        <v>Job Target Kosong</v>
      </c>
      <c r="I228" s="146" t="str">
        <f>IFERROR(IF(Data_Assessment[[#This Row],[IPP (3 YEARS AVERAGE)]]="","(IPP Belum Ada)",IF(Data_Assessment[[#This Row],[IPP (3 YEARS AVERAGE)]]&lt;2,'9 Grid'!$F$2,IF(Data_Assessment[[#This Row],[IPP (3 YEARS AVERAGE)]]&gt;=4,'9 Grid'!$D$2,'9 Grid'!$E$2))),"")</f>
        <v>Exceptional Performance</v>
      </c>
      <c r="J228" s="146" t="str">
        <f ca="1">IFERROR(INDEX('9 Grid'!$D$4:$F$6,MATCH('Rekomendasi HAV'!H228,'9 Grid'!$B$4:$B$6,0),MATCH('Rekomendasi HAV'!I228,'9 Grid'!$D$2:$F$2,0)),"")</f>
        <v/>
      </c>
      <c r="K228" s="146" t="str">
        <f>IFERROR(INDEX('9 Grid'!$D$8:$F$8,1,MATCH('Rekomendasi HAV'!I228,'9 Grid'!$D$2:$F$2,0)),"")</f>
        <v>(I) Immediately</v>
      </c>
      <c r="L228" s="146">
        <f>IF(ISNUMBER(SEARCH("EST",Assessment[[#This Row],[JOB TARGET]])),SUBSTITUTE(Assessment[[#This Row],[JOB TARGET]],"EST","DEV"),Assessment[[#This Row],[JOB TARGET]])</f>
        <v>0</v>
      </c>
      <c r="M228" s="146" t="str" cm="1">
        <f t="array" aca="1" ref="M228" ca="1">IF(Assessment[[#This Row],[JOB TARGET]]="","Job Target Kosong",IF(COUNT(IF('Data Assessment'!$N228:$Z228-OFFSET(Standar!$B$2,MATCH(Assessment[[#This Row],[JOB TARGET
(DEV)]],Standar[NAMA JABATAN],0)-1,1,1,13)&lt;0,1,""))&lt;=3,'9 Grid'!$B$4,IF(COUNT(IF('Data Assessment'!$N228:$Z228-OFFSET(Standar!$B$2,MATCH(Assessment[[#This Row],[JOB TARGET
(DEV)]],Standar[NAMA JABATAN],0)-1,1,1,13)&lt;0,1,""))&gt;=7,'9 Grid'!$B$6,'9 Grid'!$B$5)))</f>
        <v>Job Target Kosong</v>
      </c>
      <c r="N228" s="146" t="str">
        <f>IFERROR(IF(Data_Assessment[[#This Row],[IPP (3 YEARS AVERAGE)]]="","(IPP Belum Ada)",IF(Data_Assessment[[#This Row],[IPP (3 YEARS AVERAGE)]]&lt;2,'9 Grid'!$F$2,IF(Data_Assessment[[#This Row],[IPP (3 YEARS AVERAGE)]]&gt;=4,'9 Grid'!$D$2,'9 Grid'!$E$2))),"")</f>
        <v>Exceptional Performance</v>
      </c>
      <c r="O228" s="146" t="str">
        <f ca="1">IFERROR(INDEX('9 Grid'!$D$4:$F$6,MATCH('Rekomendasi HAV'!M228,'9 Grid'!$B$4:$B$6,0),MATCH('Rekomendasi HAV'!N228,'9 Grid'!$D$2:$F$2,0)),"")</f>
        <v/>
      </c>
      <c r="P228" s="147" t="str">
        <f>IFERROR(INDEX('9 Grid'!$D$8:$F$8,1,MATCH('Rekomendasi HAV'!N228,'9 Grid'!$D$2:$F$2,0)),"")</f>
        <v>(I) Immediately</v>
      </c>
    </row>
    <row r="229" spans="1:16" ht="28.5">
      <c r="A229" s="67">
        <v>228</v>
      </c>
      <c r="B229" s="68" t="str">
        <f>INDEX(Data_Assessment[],MATCH('Rekomendasi HAV'!$A229,Data_Assessment[[INDEX]:[INDEX]],0),MATCH('Rekomendasi HAV'!B$1,Data_Assessment[#Headers],0))</f>
        <v>Rathih Komala Dewi</v>
      </c>
      <c r="C229" s="68" t="str">
        <f>INDEX(Data_Assessment[],MATCH('Rekomendasi HAV'!$A229,Data_Assessment[[INDEX]:[INDEX]],0),MATCH('Rekomendasi HAV'!C$1,Data_Assessment[#Headers],0))</f>
        <v>Jakarta</v>
      </c>
      <c r="D229" s="68" t="str">
        <f>INDEX(Data_Assessment[],MATCH('Rekomendasi HAV'!$A229,Data_Assessment[[INDEX]:[INDEX]],0),MATCH('Rekomendasi HAV'!D$1,Data_Assessment[#Headers],0))</f>
        <v>LSIP - HO Jakarta</v>
      </c>
      <c r="E229" s="68">
        <f>INDEX(Data_Assessment[],MATCH('Rekomendasi HAV'!$B229,Data_Assessment[[NAME]:[NAME]],0),MATCH('Rekomendasi HAV'!E$1,Data_Assessment[#Headers],0))</f>
        <v>0</v>
      </c>
      <c r="F229" s="68"/>
      <c r="G229" s="68">
        <f>IF(ISNUMBER(SEARCH("DEV",Assessment[[#This Row],[JOB TARGET]])),SUBSTITUTE(Assessment[[#This Row],[JOB TARGET]],"DEV","EST"),Assessment[[#This Row],[JOB TARGET]])</f>
        <v>0</v>
      </c>
      <c r="H229" s="146" t="str" cm="1">
        <f t="array" aca="1" ref="H229" ca="1">IF(Assessment[[#This Row],[JOB TARGET]]="","Job Target Kosong",IF(COUNT(IF('Data Assessment'!$N229:$Z229-OFFSET(Standar!$B$2,MATCH(Assessment[[#This Row],[JOB TARGET
(EST)]],Standar[NAMA JABATAN],0)-1,1,1,13)&lt;0,1,""))&lt;=3,'9 Grid'!$B$4,IF(COUNT(IF('Data Assessment'!$N229:$Z229-OFFSET(Standar!$B$2,MATCH(Assessment[[#This Row],[JOB TARGET]],Standar[NAMA JABATAN],0)-1,1,1,13)&lt;0,1,""))&gt;=7,'9 Grid'!$B$6,'9 Grid'!$B$5)))</f>
        <v>Job Target Kosong</v>
      </c>
      <c r="I229" s="146" t="str">
        <f>IFERROR(IF(Data_Assessment[[#This Row],[IPP (3 YEARS AVERAGE)]]="","(IPP Belum Ada)",IF(Data_Assessment[[#This Row],[IPP (3 YEARS AVERAGE)]]&lt;2,'9 Grid'!$F$2,IF(Data_Assessment[[#This Row],[IPP (3 YEARS AVERAGE)]]&gt;=4,'9 Grid'!$D$2,'9 Grid'!$E$2))),"")</f>
        <v>Fully Competence Performance</v>
      </c>
      <c r="J229" s="146" t="str">
        <f ca="1">IFERROR(INDEX('9 Grid'!$D$4:$F$6,MATCH('Rekomendasi HAV'!H229,'9 Grid'!$B$4:$B$6,0),MATCH('Rekomendasi HAV'!I229,'9 Grid'!$D$2:$F$2,0)),"")</f>
        <v/>
      </c>
      <c r="K229" s="146" t="str">
        <f>IFERROR(INDEX('9 Grid'!$D$8:$F$8,1,MATCH('Rekomendasi HAV'!I229,'9 Grid'!$D$2:$F$2,0)),"")</f>
        <v>(ST) Within 12 - 18 month</v>
      </c>
      <c r="L229" s="146">
        <f>IF(ISNUMBER(SEARCH("EST",Assessment[[#This Row],[JOB TARGET]])),SUBSTITUTE(Assessment[[#This Row],[JOB TARGET]],"EST","DEV"),Assessment[[#This Row],[JOB TARGET]])</f>
        <v>0</v>
      </c>
      <c r="M229" s="146" t="str" cm="1">
        <f t="array" aca="1" ref="M229" ca="1">IF(Assessment[[#This Row],[JOB TARGET]]="","Job Target Kosong",IF(COUNT(IF('Data Assessment'!$N229:$Z229-OFFSET(Standar!$B$2,MATCH(Assessment[[#This Row],[JOB TARGET
(DEV)]],Standar[NAMA JABATAN],0)-1,1,1,13)&lt;0,1,""))&lt;=3,'9 Grid'!$B$4,IF(COUNT(IF('Data Assessment'!$N229:$Z229-OFFSET(Standar!$B$2,MATCH(Assessment[[#This Row],[JOB TARGET
(DEV)]],Standar[NAMA JABATAN],0)-1,1,1,13)&lt;0,1,""))&gt;=7,'9 Grid'!$B$6,'9 Grid'!$B$5)))</f>
        <v>Job Target Kosong</v>
      </c>
      <c r="N229" s="146" t="str">
        <f>IFERROR(IF(Data_Assessment[[#This Row],[IPP (3 YEARS AVERAGE)]]="","(IPP Belum Ada)",IF(Data_Assessment[[#This Row],[IPP (3 YEARS AVERAGE)]]&lt;2,'9 Grid'!$F$2,IF(Data_Assessment[[#This Row],[IPP (3 YEARS AVERAGE)]]&gt;=4,'9 Grid'!$D$2,'9 Grid'!$E$2))),"")</f>
        <v>Fully Competence Performance</v>
      </c>
      <c r="O229" s="146" t="str">
        <f ca="1">IFERROR(INDEX('9 Grid'!$D$4:$F$6,MATCH('Rekomendasi HAV'!M229,'9 Grid'!$B$4:$B$6,0),MATCH('Rekomendasi HAV'!N229,'9 Grid'!$D$2:$F$2,0)),"")</f>
        <v/>
      </c>
      <c r="P229" s="147" t="str">
        <f>IFERROR(INDEX('9 Grid'!$D$8:$F$8,1,MATCH('Rekomendasi HAV'!N229,'9 Grid'!$D$2:$F$2,0)),"")</f>
        <v>(ST) Within 12 - 18 month</v>
      </c>
    </row>
    <row r="230" spans="1:16" ht="28.5">
      <c r="A230" s="67">
        <v>229</v>
      </c>
      <c r="B230" s="68" t="str">
        <f>INDEX(Data_Assessment[],MATCH('Rekomendasi HAV'!$A230,Data_Assessment[[INDEX]:[INDEX]],0),MATCH('Rekomendasi HAV'!B$1,Data_Assessment[#Headers],0))</f>
        <v>Helena Eva Sinuraya</v>
      </c>
      <c r="C230" s="68" t="str">
        <f>INDEX(Data_Assessment[],MATCH('Rekomendasi HAV'!$A230,Data_Assessment[[INDEX]:[INDEX]],0),MATCH('Rekomendasi HAV'!C$1,Data_Assessment[#Headers],0))</f>
        <v>Palembang</v>
      </c>
      <c r="D230" s="68" t="str">
        <f>INDEX(Data_Assessment[],MATCH('Rekomendasi HAV'!$A230,Data_Assessment[[INDEX]:[INDEX]],0),MATCH('Rekomendasi HAV'!D$1,Data_Assessment[#Headers],0))</f>
        <v>LSIP - RO Palembang</v>
      </c>
      <c r="E230" s="68">
        <f>INDEX(Data_Assessment[],MATCH('Rekomendasi HAV'!$B230,Data_Assessment[[NAME]:[NAME]],0),MATCH('Rekomendasi HAV'!E$1,Data_Assessment[#Headers],0))</f>
        <v>0</v>
      </c>
      <c r="F230" s="68"/>
      <c r="G230" s="68">
        <f>IF(ISNUMBER(SEARCH("DEV",Assessment[[#This Row],[JOB TARGET]])),SUBSTITUTE(Assessment[[#This Row],[JOB TARGET]],"DEV","EST"),Assessment[[#This Row],[JOB TARGET]])</f>
        <v>0</v>
      </c>
      <c r="H230" s="146" t="str" cm="1">
        <f t="array" aca="1" ref="H230" ca="1">IF(Assessment[[#This Row],[JOB TARGET]]="","Job Target Kosong",IF(COUNT(IF('Data Assessment'!$N230:$Z230-OFFSET(Standar!$B$2,MATCH(Assessment[[#This Row],[JOB TARGET
(EST)]],Standar[NAMA JABATAN],0)-1,1,1,13)&lt;0,1,""))&lt;=3,'9 Grid'!$B$4,IF(COUNT(IF('Data Assessment'!$N230:$Z230-OFFSET(Standar!$B$2,MATCH(Assessment[[#This Row],[JOB TARGET]],Standar[NAMA JABATAN],0)-1,1,1,13)&lt;0,1,""))&gt;=7,'9 Grid'!$B$6,'9 Grid'!$B$5)))</f>
        <v>Job Target Kosong</v>
      </c>
      <c r="I230" s="146" t="str">
        <f>IFERROR(IF(Data_Assessment[[#This Row],[IPP (3 YEARS AVERAGE)]]="","(IPP Belum Ada)",IF(Data_Assessment[[#This Row],[IPP (3 YEARS AVERAGE)]]&lt;2,'9 Grid'!$F$2,IF(Data_Assessment[[#This Row],[IPP (3 YEARS AVERAGE)]]&gt;=4,'9 Grid'!$D$2,'9 Grid'!$E$2))),"")</f>
        <v>Fully Competence Performance</v>
      </c>
      <c r="J230" s="146" t="str">
        <f ca="1">IFERROR(INDEX('9 Grid'!$D$4:$F$6,MATCH('Rekomendasi HAV'!H230,'9 Grid'!$B$4:$B$6,0),MATCH('Rekomendasi HAV'!I230,'9 Grid'!$D$2:$F$2,0)),"")</f>
        <v/>
      </c>
      <c r="K230" s="146" t="str">
        <f>IFERROR(INDEX('9 Grid'!$D$8:$F$8,1,MATCH('Rekomendasi HAV'!I230,'9 Grid'!$D$2:$F$2,0)),"")</f>
        <v>(ST) Within 12 - 18 month</v>
      </c>
      <c r="L230" s="146">
        <f>IF(ISNUMBER(SEARCH("EST",Assessment[[#This Row],[JOB TARGET]])),SUBSTITUTE(Assessment[[#This Row],[JOB TARGET]],"EST","DEV"),Assessment[[#This Row],[JOB TARGET]])</f>
        <v>0</v>
      </c>
      <c r="M230" s="146" t="str" cm="1">
        <f t="array" aca="1" ref="M230" ca="1">IF(Assessment[[#This Row],[JOB TARGET]]="","Job Target Kosong",IF(COUNT(IF('Data Assessment'!$N230:$Z230-OFFSET(Standar!$B$2,MATCH(Assessment[[#This Row],[JOB TARGET
(DEV)]],Standar[NAMA JABATAN],0)-1,1,1,13)&lt;0,1,""))&lt;=3,'9 Grid'!$B$4,IF(COUNT(IF('Data Assessment'!$N230:$Z230-OFFSET(Standar!$B$2,MATCH(Assessment[[#This Row],[JOB TARGET
(DEV)]],Standar[NAMA JABATAN],0)-1,1,1,13)&lt;0,1,""))&gt;=7,'9 Grid'!$B$6,'9 Grid'!$B$5)))</f>
        <v>Job Target Kosong</v>
      </c>
      <c r="N230" s="146" t="str">
        <f>IFERROR(IF(Data_Assessment[[#This Row],[IPP (3 YEARS AVERAGE)]]="","(IPP Belum Ada)",IF(Data_Assessment[[#This Row],[IPP (3 YEARS AVERAGE)]]&lt;2,'9 Grid'!$F$2,IF(Data_Assessment[[#This Row],[IPP (3 YEARS AVERAGE)]]&gt;=4,'9 Grid'!$D$2,'9 Grid'!$E$2))),"")</f>
        <v>Fully Competence Performance</v>
      </c>
      <c r="O230" s="146" t="str">
        <f ca="1">IFERROR(INDEX('9 Grid'!$D$4:$F$6,MATCH('Rekomendasi HAV'!M230,'9 Grid'!$B$4:$B$6,0),MATCH('Rekomendasi HAV'!N230,'9 Grid'!$D$2:$F$2,0)),"")</f>
        <v/>
      </c>
      <c r="P230" s="147" t="str">
        <f>IFERROR(INDEX('9 Grid'!$D$8:$F$8,1,MATCH('Rekomendasi HAV'!N230,'9 Grid'!$D$2:$F$2,0)),"")</f>
        <v>(ST) Within 12 - 18 month</v>
      </c>
    </row>
    <row r="231" spans="1:16" ht="28.5">
      <c r="A231" s="67">
        <v>230</v>
      </c>
      <c r="B231" s="68" t="str">
        <f>INDEX(Data_Assessment[],MATCH('Rekomendasi HAV'!$A231,Data_Assessment[[INDEX]:[INDEX]],0),MATCH('Rekomendasi HAV'!B$1,Data_Assessment[#Headers],0))</f>
        <v>Agus Suhardi</v>
      </c>
      <c r="C231" s="68" t="str">
        <f>INDEX(Data_Assessment[],MATCH('Rekomendasi HAV'!$A231,Data_Assessment[[INDEX]:[INDEX]],0),MATCH('Rekomendasi HAV'!C$1,Data_Assessment[#Headers],0))</f>
        <v>Jakarta</v>
      </c>
      <c r="D231" s="68" t="str">
        <f>INDEX(Data_Assessment[],MATCH('Rekomendasi HAV'!$A231,Data_Assessment[[INDEX]:[INDEX]],0),MATCH('Rekomendasi HAV'!D$1,Data_Assessment[#Headers],0))</f>
        <v>LSIP - HO Jakarta</v>
      </c>
      <c r="E231" s="68">
        <f>INDEX(Data_Assessment[],MATCH('Rekomendasi HAV'!$B231,Data_Assessment[[NAME]:[NAME]],0),MATCH('Rekomendasi HAV'!E$1,Data_Assessment[#Headers],0))</f>
        <v>0</v>
      </c>
      <c r="F231" s="68"/>
      <c r="G231" s="68">
        <f>IF(ISNUMBER(SEARCH("DEV",Assessment[[#This Row],[JOB TARGET]])),SUBSTITUTE(Assessment[[#This Row],[JOB TARGET]],"DEV","EST"),Assessment[[#This Row],[JOB TARGET]])</f>
        <v>0</v>
      </c>
      <c r="H231" s="146" t="str" cm="1">
        <f t="array" aca="1" ref="H231" ca="1">IF(Assessment[[#This Row],[JOB TARGET]]="","Job Target Kosong",IF(COUNT(IF('Data Assessment'!$N231:$Z231-OFFSET(Standar!$B$2,MATCH(Assessment[[#This Row],[JOB TARGET
(EST)]],Standar[NAMA JABATAN],0)-1,1,1,13)&lt;0,1,""))&lt;=3,'9 Grid'!$B$4,IF(COUNT(IF('Data Assessment'!$N231:$Z231-OFFSET(Standar!$B$2,MATCH(Assessment[[#This Row],[JOB TARGET]],Standar[NAMA JABATAN],0)-1,1,1,13)&lt;0,1,""))&gt;=7,'9 Grid'!$B$6,'9 Grid'!$B$5)))</f>
        <v>Job Target Kosong</v>
      </c>
      <c r="I231" s="146" t="str">
        <f>IFERROR(IF(Data_Assessment[[#This Row],[IPP (3 YEARS AVERAGE)]]="","(IPP Belum Ada)",IF(Data_Assessment[[#This Row],[IPP (3 YEARS AVERAGE)]]&lt;2,'9 Grid'!$F$2,IF(Data_Assessment[[#This Row],[IPP (3 YEARS AVERAGE)]]&gt;=4,'9 Grid'!$D$2,'9 Grid'!$E$2))),"")</f>
        <v>Fully Competence Performance</v>
      </c>
      <c r="J231" s="146" t="str">
        <f ca="1">IFERROR(INDEX('9 Grid'!$D$4:$F$6,MATCH('Rekomendasi HAV'!H231,'9 Grid'!$B$4:$B$6,0),MATCH('Rekomendasi HAV'!I231,'9 Grid'!$D$2:$F$2,0)),"")</f>
        <v/>
      </c>
      <c r="K231" s="146" t="str">
        <f>IFERROR(INDEX('9 Grid'!$D$8:$F$8,1,MATCH('Rekomendasi HAV'!I231,'9 Grid'!$D$2:$F$2,0)),"")</f>
        <v>(ST) Within 12 - 18 month</v>
      </c>
      <c r="L231" s="146">
        <f>IF(ISNUMBER(SEARCH("EST",Assessment[[#This Row],[JOB TARGET]])),SUBSTITUTE(Assessment[[#This Row],[JOB TARGET]],"EST","DEV"),Assessment[[#This Row],[JOB TARGET]])</f>
        <v>0</v>
      </c>
      <c r="M231" s="146" t="str" cm="1">
        <f t="array" aca="1" ref="M231" ca="1">IF(Assessment[[#This Row],[JOB TARGET]]="","Job Target Kosong",IF(COUNT(IF('Data Assessment'!$N231:$Z231-OFFSET(Standar!$B$2,MATCH(Assessment[[#This Row],[JOB TARGET
(DEV)]],Standar[NAMA JABATAN],0)-1,1,1,13)&lt;0,1,""))&lt;=3,'9 Grid'!$B$4,IF(COUNT(IF('Data Assessment'!$N231:$Z231-OFFSET(Standar!$B$2,MATCH(Assessment[[#This Row],[JOB TARGET
(DEV)]],Standar[NAMA JABATAN],0)-1,1,1,13)&lt;0,1,""))&gt;=7,'9 Grid'!$B$6,'9 Grid'!$B$5)))</f>
        <v>Job Target Kosong</v>
      </c>
      <c r="N231" s="146" t="str">
        <f>IFERROR(IF(Data_Assessment[[#This Row],[IPP (3 YEARS AVERAGE)]]="","(IPP Belum Ada)",IF(Data_Assessment[[#This Row],[IPP (3 YEARS AVERAGE)]]&lt;2,'9 Grid'!$F$2,IF(Data_Assessment[[#This Row],[IPP (3 YEARS AVERAGE)]]&gt;=4,'9 Grid'!$D$2,'9 Grid'!$E$2))),"")</f>
        <v>Fully Competence Performance</v>
      </c>
      <c r="O231" s="146" t="str">
        <f ca="1">IFERROR(INDEX('9 Grid'!$D$4:$F$6,MATCH('Rekomendasi HAV'!M231,'9 Grid'!$B$4:$B$6,0),MATCH('Rekomendasi HAV'!N231,'9 Grid'!$D$2:$F$2,0)),"")</f>
        <v/>
      </c>
      <c r="P231" s="147" t="str">
        <f>IFERROR(INDEX('9 Grid'!$D$8:$F$8,1,MATCH('Rekomendasi HAV'!N231,'9 Grid'!$D$2:$F$2,0)),"")</f>
        <v>(ST) Within 12 - 18 month</v>
      </c>
    </row>
    <row r="232" spans="1:16" ht="28.5">
      <c r="A232" s="67">
        <v>231</v>
      </c>
      <c r="B232" s="68" t="str">
        <f>INDEX(Data_Assessment[],MATCH('Rekomendasi HAV'!$A232,Data_Assessment[[INDEX]:[INDEX]],0),MATCH('Rekomendasi HAV'!B$1,Data_Assessment[#Headers],0))</f>
        <v>T. Muhammad Iqbal, Ir.</v>
      </c>
      <c r="C232" s="68" t="str">
        <f>INDEX(Data_Assessment[],MATCH('Rekomendasi HAV'!$A232,Data_Assessment[[INDEX]:[INDEX]],0),MATCH('Rekomendasi HAV'!C$1,Data_Assessment[#Headers],0))</f>
        <v>Palembang</v>
      </c>
      <c r="D232" s="68" t="str">
        <f>INDEX(Data_Assessment[],MATCH('Rekomendasi HAV'!$A232,Data_Assessment[[INDEX]:[INDEX]],0),MATCH('Rekomendasi HAV'!D$1,Data_Assessment[#Headers],0))</f>
        <v>LSIP - RO Palembang</v>
      </c>
      <c r="E232" s="68">
        <f>INDEX(Data_Assessment[],MATCH('Rekomendasi HAV'!$B232,Data_Assessment[[NAME]:[NAME]],0),MATCH('Rekomendasi HAV'!E$1,Data_Assessment[#Headers],0))</f>
        <v>0</v>
      </c>
      <c r="F232" s="68"/>
      <c r="G232" s="68">
        <f>IF(ISNUMBER(SEARCH("DEV",Assessment[[#This Row],[JOB TARGET]])),SUBSTITUTE(Assessment[[#This Row],[JOB TARGET]],"DEV","EST"),Assessment[[#This Row],[JOB TARGET]])</f>
        <v>0</v>
      </c>
      <c r="H232" s="146" t="str" cm="1">
        <f t="array" aca="1" ref="H232" ca="1">IF(Assessment[[#This Row],[JOB TARGET]]="","Job Target Kosong",IF(COUNT(IF('Data Assessment'!$N232:$Z232-OFFSET(Standar!$B$2,MATCH(Assessment[[#This Row],[JOB TARGET
(EST)]],Standar[NAMA JABATAN],0)-1,1,1,13)&lt;0,1,""))&lt;=3,'9 Grid'!$B$4,IF(COUNT(IF('Data Assessment'!$N232:$Z232-OFFSET(Standar!$B$2,MATCH(Assessment[[#This Row],[JOB TARGET]],Standar[NAMA JABATAN],0)-1,1,1,13)&lt;0,1,""))&gt;=7,'9 Grid'!$B$6,'9 Grid'!$B$5)))</f>
        <v>Job Target Kosong</v>
      </c>
      <c r="I232" s="146" t="str">
        <f>IFERROR(IF(Data_Assessment[[#This Row],[IPP (3 YEARS AVERAGE)]]="","(IPP Belum Ada)",IF(Data_Assessment[[#This Row],[IPP (3 YEARS AVERAGE)]]&lt;2,'9 Grid'!$F$2,IF(Data_Assessment[[#This Row],[IPP (3 YEARS AVERAGE)]]&gt;=4,'9 Grid'!$D$2,'9 Grid'!$E$2))),"")</f>
        <v>Fully Competence Performance</v>
      </c>
      <c r="J232" s="146" t="str">
        <f ca="1">IFERROR(INDEX('9 Grid'!$D$4:$F$6,MATCH('Rekomendasi HAV'!H232,'9 Grid'!$B$4:$B$6,0),MATCH('Rekomendasi HAV'!I232,'9 Grid'!$D$2:$F$2,0)),"")</f>
        <v/>
      </c>
      <c r="K232" s="146" t="str">
        <f>IFERROR(INDEX('9 Grid'!$D$8:$F$8,1,MATCH('Rekomendasi HAV'!I232,'9 Grid'!$D$2:$F$2,0)),"")</f>
        <v>(ST) Within 12 - 18 month</v>
      </c>
      <c r="L232" s="146">
        <f>IF(ISNUMBER(SEARCH("EST",Assessment[[#This Row],[JOB TARGET]])),SUBSTITUTE(Assessment[[#This Row],[JOB TARGET]],"EST","DEV"),Assessment[[#This Row],[JOB TARGET]])</f>
        <v>0</v>
      </c>
      <c r="M232" s="146" t="str" cm="1">
        <f t="array" aca="1" ref="M232" ca="1">IF(Assessment[[#This Row],[JOB TARGET]]="","Job Target Kosong",IF(COUNT(IF('Data Assessment'!$N232:$Z232-OFFSET(Standar!$B$2,MATCH(Assessment[[#This Row],[JOB TARGET
(DEV)]],Standar[NAMA JABATAN],0)-1,1,1,13)&lt;0,1,""))&lt;=3,'9 Grid'!$B$4,IF(COUNT(IF('Data Assessment'!$N232:$Z232-OFFSET(Standar!$B$2,MATCH(Assessment[[#This Row],[JOB TARGET
(DEV)]],Standar[NAMA JABATAN],0)-1,1,1,13)&lt;0,1,""))&gt;=7,'9 Grid'!$B$6,'9 Grid'!$B$5)))</f>
        <v>Job Target Kosong</v>
      </c>
      <c r="N232" s="146" t="str">
        <f>IFERROR(IF(Data_Assessment[[#This Row],[IPP (3 YEARS AVERAGE)]]="","(IPP Belum Ada)",IF(Data_Assessment[[#This Row],[IPP (3 YEARS AVERAGE)]]&lt;2,'9 Grid'!$F$2,IF(Data_Assessment[[#This Row],[IPP (3 YEARS AVERAGE)]]&gt;=4,'9 Grid'!$D$2,'9 Grid'!$E$2))),"")</f>
        <v>Fully Competence Performance</v>
      </c>
      <c r="O232" s="146" t="str">
        <f ca="1">IFERROR(INDEX('9 Grid'!$D$4:$F$6,MATCH('Rekomendasi HAV'!M232,'9 Grid'!$B$4:$B$6,0),MATCH('Rekomendasi HAV'!N232,'9 Grid'!$D$2:$F$2,0)),"")</f>
        <v/>
      </c>
      <c r="P232" s="147" t="str">
        <f>IFERROR(INDEX('9 Grid'!$D$8:$F$8,1,MATCH('Rekomendasi HAV'!N232,'9 Grid'!$D$2:$F$2,0)),"")</f>
        <v>(ST) Within 12 - 18 month</v>
      </c>
    </row>
    <row r="233" spans="1:16" ht="28.5">
      <c r="A233" s="67">
        <v>232</v>
      </c>
      <c r="B233" s="68" t="str">
        <f>INDEX(Data_Assessment[],MATCH('Rekomendasi HAV'!$A233,Data_Assessment[[INDEX]:[INDEX]],0),MATCH('Rekomendasi HAV'!B$1,Data_Assessment[#Headers],0))</f>
        <v>M. Irpan Tarigan</v>
      </c>
      <c r="C233" s="68" t="str">
        <f>INDEX(Data_Assessment[],MATCH('Rekomendasi HAV'!$A233,Data_Assessment[[INDEX]:[INDEX]],0),MATCH('Rekomendasi HAV'!C$1,Data_Assessment[#Headers],0))</f>
        <v>Jakarta</v>
      </c>
      <c r="D233" s="68" t="str">
        <f>INDEX(Data_Assessment[],MATCH('Rekomendasi HAV'!$A233,Data_Assessment[[INDEX]:[INDEX]],0),MATCH('Rekomendasi HAV'!D$1,Data_Assessment[#Headers],0))</f>
        <v>LSIP - HO Jakarta</v>
      </c>
      <c r="E233" s="68">
        <f>INDEX(Data_Assessment[],MATCH('Rekomendasi HAV'!$B233,Data_Assessment[[NAME]:[NAME]],0),MATCH('Rekomendasi HAV'!E$1,Data_Assessment[#Headers],0))</f>
        <v>0</v>
      </c>
      <c r="F233" s="68"/>
      <c r="G233" s="68">
        <f>IF(ISNUMBER(SEARCH("DEV",Assessment[[#This Row],[JOB TARGET]])),SUBSTITUTE(Assessment[[#This Row],[JOB TARGET]],"DEV","EST"),Assessment[[#This Row],[JOB TARGET]])</f>
        <v>0</v>
      </c>
      <c r="H233" s="146" t="str" cm="1">
        <f t="array" aca="1" ref="H233" ca="1">IF(Assessment[[#This Row],[JOB TARGET]]="","Job Target Kosong",IF(COUNT(IF('Data Assessment'!$N233:$Z233-OFFSET(Standar!$B$2,MATCH(Assessment[[#This Row],[JOB TARGET
(EST)]],Standar[NAMA JABATAN],0)-1,1,1,13)&lt;0,1,""))&lt;=3,'9 Grid'!$B$4,IF(COUNT(IF('Data Assessment'!$N233:$Z233-OFFSET(Standar!$B$2,MATCH(Assessment[[#This Row],[JOB TARGET]],Standar[NAMA JABATAN],0)-1,1,1,13)&lt;0,1,""))&gt;=7,'9 Grid'!$B$6,'9 Grid'!$B$5)))</f>
        <v>Job Target Kosong</v>
      </c>
      <c r="I233" s="146" t="str">
        <f>IFERROR(IF(Data_Assessment[[#This Row],[IPP (3 YEARS AVERAGE)]]="","(IPP Belum Ada)",IF(Data_Assessment[[#This Row],[IPP (3 YEARS AVERAGE)]]&lt;2,'9 Grid'!$F$2,IF(Data_Assessment[[#This Row],[IPP (3 YEARS AVERAGE)]]&gt;=4,'9 Grid'!$D$2,'9 Grid'!$E$2))),"")</f>
        <v>Contributor</v>
      </c>
      <c r="J233" s="146" t="str">
        <f ca="1">IFERROR(INDEX('9 Grid'!$D$4:$F$6,MATCH('Rekomendasi HAV'!H233,'9 Grid'!$B$4:$B$6,0),MATCH('Rekomendasi HAV'!I233,'9 Grid'!$D$2:$F$2,0)),"")</f>
        <v/>
      </c>
      <c r="K233" s="146" t="str">
        <f>IFERROR(INDEX('9 Grid'!$D$8:$F$8,1,MATCH('Rekomendasi HAV'!I233,'9 Grid'!$D$2:$F$2,0)),"")</f>
        <v>(LT) More 2 - 3 year</v>
      </c>
      <c r="L233" s="146">
        <f>IF(ISNUMBER(SEARCH("EST",Assessment[[#This Row],[JOB TARGET]])),SUBSTITUTE(Assessment[[#This Row],[JOB TARGET]],"EST","DEV"),Assessment[[#This Row],[JOB TARGET]])</f>
        <v>0</v>
      </c>
      <c r="M233" s="146" t="str" cm="1">
        <f t="array" aca="1" ref="M233" ca="1">IF(Assessment[[#This Row],[JOB TARGET]]="","Job Target Kosong",IF(COUNT(IF('Data Assessment'!$N233:$Z233-OFFSET(Standar!$B$2,MATCH(Assessment[[#This Row],[JOB TARGET
(DEV)]],Standar[NAMA JABATAN],0)-1,1,1,13)&lt;0,1,""))&lt;=3,'9 Grid'!$B$4,IF(COUNT(IF('Data Assessment'!$N233:$Z233-OFFSET(Standar!$B$2,MATCH(Assessment[[#This Row],[JOB TARGET
(DEV)]],Standar[NAMA JABATAN],0)-1,1,1,13)&lt;0,1,""))&gt;=7,'9 Grid'!$B$6,'9 Grid'!$B$5)))</f>
        <v>Job Target Kosong</v>
      </c>
      <c r="N233" s="146" t="str">
        <f>IFERROR(IF(Data_Assessment[[#This Row],[IPP (3 YEARS AVERAGE)]]="","(IPP Belum Ada)",IF(Data_Assessment[[#This Row],[IPP (3 YEARS AVERAGE)]]&lt;2,'9 Grid'!$F$2,IF(Data_Assessment[[#This Row],[IPP (3 YEARS AVERAGE)]]&gt;=4,'9 Grid'!$D$2,'9 Grid'!$E$2))),"")</f>
        <v>Contributor</v>
      </c>
      <c r="O233" s="146" t="str">
        <f ca="1">IFERROR(INDEX('9 Grid'!$D$4:$F$6,MATCH('Rekomendasi HAV'!M233,'9 Grid'!$B$4:$B$6,0),MATCH('Rekomendasi HAV'!N233,'9 Grid'!$D$2:$F$2,0)),"")</f>
        <v/>
      </c>
      <c r="P233" s="147" t="str">
        <f>IFERROR(INDEX('9 Grid'!$D$8:$F$8,1,MATCH('Rekomendasi HAV'!N233,'9 Grid'!$D$2:$F$2,0)),"")</f>
        <v>(LT) More 2 - 3 year</v>
      </c>
    </row>
    <row r="234" spans="1:16" ht="28.5">
      <c r="A234" s="67">
        <v>233</v>
      </c>
      <c r="B234" s="68" t="str">
        <f>INDEX(Data_Assessment[],MATCH('Rekomendasi HAV'!$A234,Data_Assessment[[INDEX]:[INDEX]],0),MATCH('Rekomendasi HAV'!B$1,Data_Assessment[#Headers],0))</f>
        <v>Eva Meutia</v>
      </c>
      <c r="C234" s="68" t="str">
        <f>INDEX(Data_Assessment[],MATCH('Rekomendasi HAV'!$A234,Data_Assessment[[INDEX]:[INDEX]],0),MATCH('Rekomendasi HAV'!C$1,Data_Assessment[#Headers],0))</f>
        <v>Palembang</v>
      </c>
      <c r="D234" s="68" t="str">
        <f>INDEX(Data_Assessment[],MATCH('Rekomendasi HAV'!$A234,Data_Assessment[[INDEX]:[INDEX]],0),MATCH('Rekomendasi HAV'!D$1,Data_Assessment[#Headers],0))</f>
        <v>LSIP - RO Palembang</v>
      </c>
      <c r="E234" s="68">
        <f>INDEX(Data_Assessment[],MATCH('Rekomendasi HAV'!$B234,Data_Assessment[[NAME]:[NAME]],0),MATCH('Rekomendasi HAV'!E$1,Data_Assessment[#Headers],0))</f>
        <v>0</v>
      </c>
      <c r="F234" s="68"/>
      <c r="G234" s="68">
        <f>IF(ISNUMBER(SEARCH("DEV",Assessment[[#This Row],[JOB TARGET]])),SUBSTITUTE(Assessment[[#This Row],[JOB TARGET]],"DEV","EST"),Assessment[[#This Row],[JOB TARGET]])</f>
        <v>0</v>
      </c>
      <c r="H234" s="146" t="str" cm="1">
        <f t="array" aca="1" ref="H234" ca="1">IF(Assessment[[#This Row],[JOB TARGET]]="","Job Target Kosong",IF(COUNT(IF('Data Assessment'!$N234:$Z234-OFFSET(Standar!$B$2,MATCH(Assessment[[#This Row],[JOB TARGET
(EST)]],Standar[NAMA JABATAN],0)-1,1,1,13)&lt;0,1,""))&lt;=3,'9 Grid'!$B$4,IF(COUNT(IF('Data Assessment'!$N234:$Z234-OFFSET(Standar!$B$2,MATCH(Assessment[[#This Row],[JOB TARGET]],Standar[NAMA JABATAN],0)-1,1,1,13)&lt;0,1,""))&gt;=7,'9 Grid'!$B$6,'9 Grid'!$B$5)))</f>
        <v>Job Target Kosong</v>
      </c>
      <c r="I234" s="146" t="str">
        <f>IFERROR(IF(Data_Assessment[[#This Row],[IPP (3 YEARS AVERAGE)]]="","(IPP Belum Ada)",IF(Data_Assessment[[#This Row],[IPP (3 YEARS AVERAGE)]]&lt;2,'9 Grid'!$F$2,IF(Data_Assessment[[#This Row],[IPP (3 YEARS AVERAGE)]]&gt;=4,'9 Grid'!$D$2,'9 Grid'!$E$2))),"")</f>
        <v>Fully Competence Performance</v>
      </c>
      <c r="J234" s="146" t="str">
        <f ca="1">IFERROR(INDEX('9 Grid'!$D$4:$F$6,MATCH('Rekomendasi HAV'!H234,'9 Grid'!$B$4:$B$6,0),MATCH('Rekomendasi HAV'!I234,'9 Grid'!$D$2:$F$2,0)),"")</f>
        <v/>
      </c>
      <c r="K234" s="146" t="str">
        <f>IFERROR(INDEX('9 Grid'!$D$8:$F$8,1,MATCH('Rekomendasi HAV'!I234,'9 Grid'!$D$2:$F$2,0)),"")</f>
        <v>(ST) Within 12 - 18 month</v>
      </c>
      <c r="L234" s="146">
        <f>IF(ISNUMBER(SEARCH("EST",Assessment[[#This Row],[JOB TARGET]])),SUBSTITUTE(Assessment[[#This Row],[JOB TARGET]],"EST","DEV"),Assessment[[#This Row],[JOB TARGET]])</f>
        <v>0</v>
      </c>
      <c r="M234" s="146" t="str" cm="1">
        <f t="array" aca="1" ref="M234" ca="1">IF(Assessment[[#This Row],[JOB TARGET]]="","Job Target Kosong",IF(COUNT(IF('Data Assessment'!$N234:$Z234-OFFSET(Standar!$B$2,MATCH(Assessment[[#This Row],[JOB TARGET
(DEV)]],Standar[NAMA JABATAN],0)-1,1,1,13)&lt;0,1,""))&lt;=3,'9 Grid'!$B$4,IF(COUNT(IF('Data Assessment'!$N234:$Z234-OFFSET(Standar!$B$2,MATCH(Assessment[[#This Row],[JOB TARGET
(DEV)]],Standar[NAMA JABATAN],0)-1,1,1,13)&lt;0,1,""))&gt;=7,'9 Grid'!$B$6,'9 Grid'!$B$5)))</f>
        <v>Job Target Kosong</v>
      </c>
      <c r="N234" s="146" t="str">
        <f>IFERROR(IF(Data_Assessment[[#This Row],[IPP (3 YEARS AVERAGE)]]="","(IPP Belum Ada)",IF(Data_Assessment[[#This Row],[IPP (3 YEARS AVERAGE)]]&lt;2,'9 Grid'!$F$2,IF(Data_Assessment[[#This Row],[IPP (3 YEARS AVERAGE)]]&gt;=4,'9 Grid'!$D$2,'9 Grid'!$E$2))),"")</f>
        <v>Fully Competence Performance</v>
      </c>
      <c r="O234" s="146" t="str">
        <f ca="1">IFERROR(INDEX('9 Grid'!$D$4:$F$6,MATCH('Rekomendasi HAV'!M234,'9 Grid'!$B$4:$B$6,0),MATCH('Rekomendasi HAV'!N234,'9 Grid'!$D$2:$F$2,0)),"")</f>
        <v/>
      </c>
      <c r="P234" s="147" t="str">
        <f>IFERROR(INDEX('9 Grid'!$D$8:$F$8,1,MATCH('Rekomendasi HAV'!N234,'9 Grid'!$D$2:$F$2,0)),"")</f>
        <v>(ST) Within 12 - 18 month</v>
      </c>
    </row>
    <row r="235" spans="1:16" ht="28.5">
      <c r="A235" s="67">
        <v>234</v>
      </c>
      <c r="B235" s="68" t="str">
        <f>INDEX(Data_Assessment[],MATCH('Rekomendasi HAV'!$A235,Data_Assessment[[INDEX]:[INDEX]],0),MATCH('Rekomendasi HAV'!B$1,Data_Assessment[#Headers],0))</f>
        <v>Nasri Harris, Ir.</v>
      </c>
      <c r="C235" s="68" t="str">
        <f>INDEX(Data_Assessment[],MATCH('Rekomendasi HAV'!$A235,Data_Assessment[[INDEX]:[INDEX]],0),MATCH('Rekomendasi HAV'!C$1,Data_Assessment[#Headers],0))</f>
        <v>Palembang</v>
      </c>
      <c r="D235" s="68" t="str">
        <f>INDEX(Data_Assessment[],MATCH('Rekomendasi HAV'!$A235,Data_Assessment[[INDEX]:[INDEX]],0),MATCH('Rekomendasi HAV'!D$1,Data_Assessment[#Headers],0))</f>
        <v>LSIP - RO Palembang</v>
      </c>
      <c r="E235" s="68">
        <f>INDEX(Data_Assessment[],MATCH('Rekomendasi HAV'!$B235,Data_Assessment[[NAME]:[NAME]],0),MATCH('Rekomendasi HAV'!E$1,Data_Assessment[#Headers],0))</f>
        <v>0</v>
      </c>
      <c r="F235" s="68"/>
      <c r="G235" s="68">
        <f>IF(ISNUMBER(SEARCH("DEV",Assessment[[#This Row],[JOB TARGET]])),SUBSTITUTE(Assessment[[#This Row],[JOB TARGET]],"DEV","EST"),Assessment[[#This Row],[JOB TARGET]])</f>
        <v>0</v>
      </c>
      <c r="H235" s="146" t="str" cm="1">
        <f t="array" aca="1" ref="H235" ca="1">IF(Assessment[[#This Row],[JOB TARGET]]="","Job Target Kosong",IF(COUNT(IF('Data Assessment'!$N235:$Z235-OFFSET(Standar!$B$2,MATCH(Assessment[[#This Row],[JOB TARGET
(EST)]],Standar[NAMA JABATAN],0)-1,1,1,13)&lt;0,1,""))&lt;=3,'9 Grid'!$B$4,IF(COUNT(IF('Data Assessment'!$N235:$Z235-OFFSET(Standar!$B$2,MATCH(Assessment[[#This Row],[JOB TARGET]],Standar[NAMA JABATAN],0)-1,1,1,13)&lt;0,1,""))&gt;=7,'9 Grid'!$B$6,'9 Grid'!$B$5)))</f>
        <v>Job Target Kosong</v>
      </c>
      <c r="I235" s="146" t="str">
        <f>IFERROR(IF(Data_Assessment[[#This Row],[IPP (3 YEARS AVERAGE)]]="","(IPP Belum Ada)",IF(Data_Assessment[[#This Row],[IPP (3 YEARS AVERAGE)]]&lt;2,'9 Grid'!$F$2,IF(Data_Assessment[[#This Row],[IPP (3 YEARS AVERAGE)]]&gt;=4,'9 Grid'!$D$2,'9 Grid'!$E$2))),"")</f>
        <v>Fully Competence Performance</v>
      </c>
      <c r="J235" s="146" t="str">
        <f ca="1">IFERROR(INDEX('9 Grid'!$D$4:$F$6,MATCH('Rekomendasi HAV'!H235,'9 Grid'!$B$4:$B$6,0),MATCH('Rekomendasi HAV'!I235,'9 Grid'!$D$2:$F$2,0)),"")</f>
        <v/>
      </c>
      <c r="K235" s="146" t="str">
        <f>IFERROR(INDEX('9 Grid'!$D$8:$F$8,1,MATCH('Rekomendasi HAV'!I235,'9 Grid'!$D$2:$F$2,0)),"")</f>
        <v>(ST) Within 12 - 18 month</v>
      </c>
      <c r="L235" s="146">
        <f>IF(ISNUMBER(SEARCH("EST",Assessment[[#This Row],[JOB TARGET]])),SUBSTITUTE(Assessment[[#This Row],[JOB TARGET]],"EST","DEV"),Assessment[[#This Row],[JOB TARGET]])</f>
        <v>0</v>
      </c>
      <c r="M235" s="146" t="str" cm="1">
        <f t="array" aca="1" ref="M235" ca="1">IF(Assessment[[#This Row],[JOB TARGET]]="","Job Target Kosong",IF(COUNT(IF('Data Assessment'!$N235:$Z235-OFFSET(Standar!$B$2,MATCH(Assessment[[#This Row],[JOB TARGET
(DEV)]],Standar[NAMA JABATAN],0)-1,1,1,13)&lt;0,1,""))&lt;=3,'9 Grid'!$B$4,IF(COUNT(IF('Data Assessment'!$N235:$Z235-OFFSET(Standar!$B$2,MATCH(Assessment[[#This Row],[JOB TARGET
(DEV)]],Standar[NAMA JABATAN],0)-1,1,1,13)&lt;0,1,""))&gt;=7,'9 Grid'!$B$6,'9 Grid'!$B$5)))</f>
        <v>Job Target Kosong</v>
      </c>
      <c r="N235" s="146" t="str">
        <f>IFERROR(IF(Data_Assessment[[#This Row],[IPP (3 YEARS AVERAGE)]]="","(IPP Belum Ada)",IF(Data_Assessment[[#This Row],[IPP (3 YEARS AVERAGE)]]&lt;2,'9 Grid'!$F$2,IF(Data_Assessment[[#This Row],[IPP (3 YEARS AVERAGE)]]&gt;=4,'9 Grid'!$D$2,'9 Grid'!$E$2))),"")</f>
        <v>Fully Competence Performance</v>
      </c>
      <c r="O235" s="146" t="str">
        <f ca="1">IFERROR(INDEX('9 Grid'!$D$4:$F$6,MATCH('Rekomendasi HAV'!M235,'9 Grid'!$B$4:$B$6,0),MATCH('Rekomendasi HAV'!N235,'9 Grid'!$D$2:$F$2,0)),"")</f>
        <v/>
      </c>
      <c r="P235" s="147" t="str">
        <f>IFERROR(INDEX('9 Grid'!$D$8:$F$8,1,MATCH('Rekomendasi HAV'!N235,'9 Grid'!$D$2:$F$2,0)),"")</f>
        <v>(ST) Within 12 - 18 month</v>
      </c>
    </row>
    <row r="236" spans="1:16" ht="14.25">
      <c r="A236" s="67">
        <v>235</v>
      </c>
      <c r="B236" s="68" t="str">
        <f>INDEX(Data_Assessment[],MATCH('Rekomendasi HAV'!$A236,Data_Assessment[[INDEX]:[INDEX]],0),MATCH('Rekomendasi HAV'!B$1,Data_Assessment[#Headers],0))</f>
        <v>Padli Okmas Jaya</v>
      </c>
      <c r="C236" s="68" t="str">
        <f>INDEX(Data_Assessment[],MATCH('Rekomendasi HAV'!$A236,Data_Assessment[[INDEX]:[INDEX]],0),MATCH('Rekomendasi HAV'!C$1,Data_Assessment[#Headers],0))</f>
        <v>Palembang</v>
      </c>
      <c r="D236" s="68" t="str">
        <f>INDEX(Data_Assessment[],MATCH('Rekomendasi HAV'!$A236,Data_Assessment[[INDEX]:[INDEX]],0),MATCH('Rekomendasi HAV'!D$1,Data_Assessment[#Headers],0))</f>
        <v>LSIP - RO Palembang</v>
      </c>
      <c r="E236" s="68">
        <f>INDEX(Data_Assessment[],MATCH('Rekomendasi HAV'!$B236,Data_Assessment[[NAME]:[NAME]],0),MATCH('Rekomendasi HAV'!E$1,Data_Assessment[#Headers],0))</f>
        <v>0</v>
      </c>
      <c r="F236" s="68"/>
      <c r="G236" s="68">
        <f>IF(ISNUMBER(SEARCH("DEV",Assessment[[#This Row],[JOB TARGET]])),SUBSTITUTE(Assessment[[#This Row],[JOB TARGET]],"DEV","EST"),Assessment[[#This Row],[JOB TARGET]])</f>
        <v>0</v>
      </c>
      <c r="H236" s="146" t="str" cm="1">
        <f t="array" aca="1" ref="H236" ca="1">IF(Assessment[[#This Row],[JOB TARGET]]="","Job Target Kosong",IF(COUNT(IF('Data Assessment'!$N236:$Z236-OFFSET(Standar!$B$2,MATCH(Assessment[[#This Row],[JOB TARGET
(EST)]],Standar[NAMA JABATAN],0)-1,1,1,13)&lt;0,1,""))&lt;=3,'9 Grid'!$B$4,IF(COUNT(IF('Data Assessment'!$N236:$Z236-OFFSET(Standar!$B$2,MATCH(Assessment[[#This Row],[JOB TARGET]],Standar[NAMA JABATAN],0)-1,1,1,13)&lt;0,1,""))&gt;=7,'9 Grid'!$B$6,'9 Grid'!$B$5)))</f>
        <v>Job Target Kosong</v>
      </c>
      <c r="I236" s="146" t="str">
        <f>IFERROR(IF(Data_Assessment[[#This Row],[IPP (3 YEARS AVERAGE)]]="","(IPP Belum Ada)",IF(Data_Assessment[[#This Row],[IPP (3 YEARS AVERAGE)]]&lt;2,'9 Grid'!$F$2,IF(Data_Assessment[[#This Row],[IPP (3 YEARS AVERAGE)]]&gt;=4,'9 Grid'!$D$2,'9 Grid'!$E$2))),"")</f>
        <v>Exceptional Performance</v>
      </c>
      <c r="J236" s="146" t="str">
        <f ca="1">IFERROR(INDEX('9 Grid'!$D$4:$F$6,MATCH('Rekomendasi HAV'!H236,'9 Grid'!$B$4:$B$6,0),MATCH('Rekomendasi HAV'!I236,'9 Grid'!$D$2:$F$2,0)),"")</f>
        <v/>
      </c>
      <c r="K236" s="146" t="str">
        <f>IFERROR(INDEX('9 Grid'!$D$8:$F$8,1,MATCH('Rekomendasi HAV'!I236,'9 Grid'!$D$2:$F$2,0)),"")</f>
        <v>(I) Immediately</v>
      </c>
      <c r="L236" s="146">
        <f>IF(ISNUMBER(SEARCH("EST",Assessment[[#This Row],[JOB TARGET]])),SUBSTITUTE(Assessment[[#This Row],[JOB TARGET]],"EST","DEV"),Assessment[[#This Row],[JOB TARGET]])</f>
        <v>0</v>
      </c>
      <c r="M236" s="146" t="str" cm="1">
        <f t="array" aca="1" ref="M236" ca="1">IF(Assessment[[#This Row],[JOB TARGET]]="","Job Target Kosong",IF(COUNT(IF('Data Assessment'!$N236:$Z236-OFFSET(Standar!$B$2,MATCH(Assessment[[#This Row],[JOB TARGET
(DEV)]],Standar[NAMA JABATAN],0)-1,1,1,13)&lt;0,1,""))&lt;=3,'9 Grid'!$B$4,IF(COUNT(IF('Data Assessment'!$N236:$Z236-OFFSET(Standar!$B$2,MATCH(Assessment[[#This Row],[JOB TARGET
(DEV)]],Standar[NAMA JABATAN],0)-1,1,1,13)&lt;0,1,""))&gt;=7,'9 Grid'!$B$6,'9 Grid'!$B$5)))</f>
        <v>Job Target Kosong</v>
      </c>
      <c r="N236" s="146" t="str">
        <f>IFERROR(IF(Data_Assessment[[#This Row],[IPP (3 YEARS AVERAGE)]]="","(IPP Belum Ada)",IF(Data_Assessment[[#This Row],[IPP (3 YEARS AVERAGE)]]&lt;2,'9 Grid'!$F$2,IF(Data_Assessment[[#This Row],[IPP (3 YEARS AVERAGE)]]&gt;=4,'9 Grid'!$D$2,'9 Grid'!$E$2))),"")</f>
        <v>Exceptional Performance</v>
      </c>
      <c r="O236" s="146" t="str">
        <f ca="1">IFERROR(INDEX('9 Grid'!$D$4:$F$6,MATCH('Rekomendasi HAV'!M236,'9 Grid'!$B$4:$B$6,0),MATCH('Rekomendasi HAV'!N236,'9 Grid'!$D$2:$F$2,0)),"")</f>
        <v/>
      </c>
      <c r="P236" s="147" t="str">
        <f>IFERROR(INDEX('9 Grid'!$D$8:$F$8,1,MATCH('Rekomendasi HAV'!N236,'9 Grid'!$D$2:$F$2,0)),"")</f>
        <v>(I) Immediately</v>
      </c>
    </row>
    <row r="237" spans="1:16" ht="28.5">
      <c r="A237" s="67">
        <v>236</v>
      </c>
      <c r="B237" s="68" t="str">
        <f>INDEX(Data_Assessment[],MATCH('Rekomendasi HAV'!$A237,Data_Assessment[[INDEX]:[INDEX]],0),MATCH('Rekomendasi HAV'!B$1,Data_Assessment[#Headers],0))</f>
        <v>Havier Januar</v>
      </c>
      <c r="C237" s="68" t="str">
        <f>INDEX(Data_Assessment[],MATCH('Rekomendasi HAV'!$A237,Data_Assessment[[INDEX]:[INDEX]],0),MATCH('Rekomendasi HAV'!C$1,Data_Assessment[#Headers],0))</f>
        <v>Jakarta</v>
      </c>
      <c r="D237" s="68" t="str">
        <f>INDEX(Data_Assessment[],MATCH('Rekomendasi HAV'!$A237,Data_Assessment[[INDEX]:[INDEX]],0),MATCH('Rekomendasi HAV'!D$1,Data_Assessment[#Headers],0))</f>
        <v>LSIP - HO Jakarta</v>
      </c>
      <c r="E237" s="68">
        <f>INDEX(Data_Assessment[],MATCH('Rekomendasi HAV'!$B237,Data_Assessment[[NAME]:[NAME]],0),MATCH('Rekomendasi HAV'!E$1,Data_Assessment[#Headers],0))</f>
        <v>0</v>
      </c>
      <c r="F237" s="68"/>
      <c r="G237" s="68">
        <f>IF(ISNUMBER(SEARCH("DEV",Assessment[[#This Row],[JOB TARGET]])),SUBSTITUTE(Assessment[[#This Row],[JOB TARGET]],"DEV","EST"),Assessment[[#This Row],[JOB TARGET]])</f>
        <v>0</v>
      </c>
      <c r="H237" s="146" t="str" cm="1">
        <f t="array" aca="1" ref="H237" ca="1">IF(Assessment[[#This Row],[JOB TARGET]]="","Job Target Kosong",IF(COUNT(IF('Data Assessment'!$N237:$Z237-OFFSET(Standar!$B$2,MATCH(Assessment[[#This Row],[JOB TARGET
(EST)]],Standar[NAMA JABATAN],0)-1,1,1,13)&lt;0,1,""))&lt;=3,'9 Grid'!$B$4,IF(COUNT(IF('Data Assessment'!$N237:$Z237-OFFSET(Standar!$B$2,MATCH(Assessment[[#This Row],[JOB TARGET]],Standar[NAMA JABATAN],0)-1,1,1,13)&lt;0,1,""))&gt;=7,'9 Grid'!$B$6,'9 Grid'!$B$5)))</f>
        <v>Job Target Kosong</v>
      </c>
      <c r="I237" s="146" t="str">
        <f>IFERROR(IF(Data_Assessment[[#This Row],[IPP (3 YEARS AVERAGE)]]="","(IPP Belum Ada)",IF(Data_Assessment[[#This Row],[IPP (3 YEARS AVERAGE)]]&lt;2,'9 Grid'!$F$2,IF(Data_Assessment[[#This Row],[IPP (3 YEARS AVERAGE)]]&gt;=4,'9 Grid'!$D$2,'9 Grid'!$E$2))),"")</f>
        <v>Fully Competence Performance</v>
      </c>
      <c r="J237" s="146" t="str">
        <f ca="1">IFERROR(INDEX('9 Grid'!$D$4:$F$6,MATCH('Rekomendasi HAV'!H237,'9 Grid'!$B$4:$B$6,0),MATCH('Rekomendasi HAV'!I237,'9 Grid'!$D$2:$F$2,0)),"")</f>
        <v/>
      </c>
      <c r="K237" s="146" t="str">
        <f>IFERROR(INDEX('9 Grid'!$D$8:$F$8,1,MATCH('Rekomendasi HAV'!I237,'9 Grid'!$D$2:$F$2,0)),"")</f>
        <v>(ST) Within 12 - 18 month</v>
      </c>
      <c r="L237" s="146">
        <f>IF(ISNUMBER(SEARCH("EST",Assessment[[#This Row],[JOB TARGET]])),SUBSTITUTE(Assessment[[#This Row],[JOB TARGET]],"EST","DEV"),Assessment[[#This Row],[JOB TARGET]])</f>
        <v>0</v>
      </c>
      <c r="M237" s="146" t="str" cm="1">
        <f t="array" aca="1" ref="M237" ca="1">IF(Assessment[[#This Row],[JOB TARGET]]="","Job Target Kosong",IF(COUNT(IF('Data Assessment'!$N237:$Z237-OFFSET(Standar!$B$2,MATCH(Assessment[[#This Row],[JOB TARGET
(DEV)]],Standar[NAMA JABATAN],0)-1,1,1,13)&lt;0,1,""))&lt;=3,'9 Grid'!$B$4,IF(COUNT(IF('Data Assessment'!$N237:$Z237-OFFSET(Standar!$B$2,MATCH(Assessment[[#This Row],[JOB TARGET
(DEV)]],Standar[NAMA JABATAN],0)-1,1,1,13)&lt;0,1,""))&gt;=7,'9 Grid'!$B$6,'9 Grid'!$B$5)))</f>
        <v>Job Target Kosong</v>
      </c>
      <c r="N237" s="146" t="str">
        <f>IFERROR(IF(Data_Assessment[[#This Row],[IPP (3 YEARS AVERAGE)]]="","(IPP Belum Ada)",IF(Data_Assessment[[#This Row],[IPP (3 YEARS AVERAGE)]]&lt;2,'9 Grid'!$F$2,IF(Data_Assessment[[#This Row],[IPP (3 YEARS AVERAGE)]]&gt;=4,'9 Grid'!$D$2,'9 Grid'!$E$2))),"")</f>
        <v>Fully Competence Performance</v>
      </c>
      <c r="O237" s="146" t="str">
        <f ca="1">IFERROR(INDEX('9 Grid'!$D$4:$F$6,MATCH('Rekomendasi HAV'!M237,'9 Grid'!$B$4:$B$6,0),MATCH('Rekomendasi HAV'!N237,'9 Grid'!$D$2:$F$2,0)),"")</f>
        <v/>
      </c>
      <c r="P237" s="147" t="str">
        <f>IFERROR(INDEX('9 Grid'!$D$8:$F$8,1,MATCH('Rekomendasi HAV'!N237,'9 Grid'!$D$2:$F$2,0)),"")</f>
        <v>(ST) Within 12 - 18 month</v>
      </c>
    </row>
    <row r="238" spans="1:16" ht="28.5">
      <c r="A238" s="67">
        <v>237</v>
      </c>
      <c r="B238" s="68" t="str">
        <f>INDEX(Data_Assessment[],MATCH('Rekomendasi HAV'!$A238,Data_Assessment[[INDEX]:[INDEX]],0),MATCH('Rekomendasi HAV'!B$1,Data_Assessment[#Headers],0))</f>
        <v>Astricx Yoyok</v>
      </c>
      <c r="C238" s="68" t="str">
        <f>INDEX(Data_Assessment[],MATCH('Rekomendasi HAV'!$A238,Data_Assessment[[INDEX]:[INDEX]],0),MATCH('Rekomendasi HAV'!C$1,Data_Assessment[#Headers],0))</f>
        <v>Palembang</v>
      </c>
      <c r="D238" s="68" t="str">
        <f>INDEX(Data_Assessment[],MATCH('Rekomendasi HAV'!$A238,Data_Assessment[[INDEX]:[INDEX]],0),MATCH('Rekomendasi HAV'!D$1,Data_Assessment[#Headers],0))</f>
        <v>LSIP - RO Palembang</v>
      </c>
      <c r="E238" s="68">
        <f>INDEX(Data_Assessment[],MATCH('Rekomendasi HAV'!$B238,Data_Assessment[[NAME]:[NAME]],0),MATCH('Rekomendasi HAV'!E$1,Data_Assessment[#Headers],0))</f>
        <v>0</v>
      </c>
      <c r="F238" s="68"/>
      <c r="G238" s="68">
        <f>IF(ISNUMBER(SEARCH("DEV",Assessment[[#This Row],[JOB TARGET]])),SUBSTITUTE(Assessment[[#This Row],[JOB TARGET]],"DEV","EST"),Assessment[[#This Row],[JOB TARGET]])</f>
        <v>0</v>
      </c>
      <c r="H238" s="146" t="str" cm="1">
        <f t="array" aca="1" ref="H238" ca="1">IF(Assessment[[#This Row],[JOB TARGET]]="","Job Target Kosong",IF(COUNT(IF('Data Assessment'!$N238:$Z238-OFFSET(Standar!$B$2,MATCH(Assessment[[#This Row],[JOB TARGET
(EST)]],Standar[NAMA JABATAN],0)-1,1,1,13)&lt;0,1,""))&lt;=3,'9 Grid'!$B$4,IF(COUNT(IF('Data Assessment'!$N238:$Z238-OFFSET(Standar!$B$2,MATCH(Assessment[[#This Row],[JOB TARGET]],Standar[NAMA JABATAN],0)-1,1,1,13)&lt;0,1,""))&gt;=7,'9 Grid'!$B$6,'9 Grid'!$B$5)))</f>
        <v>Job Target Kosong</v>
      </c>
      <c r="I238" s="146" t="str">
        <f>IFERROR(IF(Data_Assessment[[#This Row],[IPP (3 YEARS AVERAGE)]]="","(IPP Belum Ada)",IF(Data_Assessment[[#This Row],[IPP (3 YEARS AVERAGE)]]&lt;2,'9 Grid'!$F$2,IF(Data_Assessment[[#This Row],[IPP (3 YEARS AVERAGE)]]&gt;=4,'9 Grid'!$D$2,'9 Grid'!$E$2))),"")</f>
        <v>Fully Competence Performance</v>
      </c>
      <c r="J238" s="146" t="str">
        <f ca="1">IFERROR(INDEX('9 Grid'!$D$4:$F$6,MATCH('Rekomendasi HAV'!H238,'9 Grid'!$B$4:$B$6,0),MATCH('Rekomendasi HAV'!I238,'9 Grid'!$D$2:$F$2,0)),"")</f>
        <v/>
      </c>
      <c r="K238" s="146" t="str">
        <f>IFERROR(INDEX('9 Grid'!$D$8:$F$8,1,MATCH('Rekomendasi HAV'!I238,'9 Grid'!$D$2:$F$2,0)),"")</f>
        <v>(ST) Within 12 - 18 month</v>
      </c>
      <c r="L238" s="146">
        <f>IF(ISNUMBER(SEARCH("EST",Assessment[[#This Row],[JOB TARGET]])),SUBSTITUTE(Assessment[[#This Row],[JOB TARGET]],"EST","DEV"),Assessment[[#This Row],[JOB TARGET]])</f>
        <v>0</v>
      </c>
      <c r="M238" s="146" t="str" cm="1">
        <f t="array" aca="1" ref="M238" ca="1">IF(Assessment[[#This Row],[JOB TARGET]]="","Job Target Kosong",IF(COUNT(IF('Data Assessment'!$N238:$Z238-OFFSET(Standar!$B$2,MATCH(Assessment[[#This Row],[JOB TARGET
(DEV)]],Standar[NAMA JABATAN],0)-1,1,1,13)&lt;0,1,""))&lt;=3,'9 Grid'!$B$4,IF(COUNT(IF('Data Assessment'!$N238:$Z238-OFFSET(Standar!$B$2,MATCH(Assessment[[#This Row],[JOB TARGET
(DEV)]],Standar[NAMA JABATAN],0)-1,1,1,13)&lt;0,1,""))&gt;=7,'9 Grid'!$B$6,'9 Grid'!$B$5)))</f>
        <v>Job Target Kosong</v>
      </c>
      <c r="N238" s="146" t="str">
        <f>IFERROR(IF(Data_Assessment[[#This Row],[IPP (3 YEARS AVERAGE)]]="","(IPP Belum Ada)",IF(Data_Assessment[[#This Row],[IPP (3 YEARS AVERAGE)]]&lt;2,'9 Grid'!$F$2,IF(Data_Assessment[[#This Row],[IPP (3 YEARS AVERAGE)]]&gt;=4,'9 Grid'!$D$2,'9 Grid'!$E$2))),"")</f>
        <v>Fully Competence Performance</v>
      </c>
      <c r="O238" s="146" t="str">
        <f ca="1">IFERROR(INDEX('9 Grid'!$D$4:$F$6,MATCH('Rekomendasi HAV'!M238,'9 Grid'!$B$4:$B$6,0),MATCH('Rekomendasi HAV'!N238,'9 Grid'!$D$2:$F$2,0)),"")</f>
        <v/>
      </c>
      <c r="P238" s="147" t="str">
        <f>IFERROR(INDEX('9 Grid'!$D$8:$F$8,1,MATCH('Rekomendasi HAV'!N238,'9 Grid'!$D$2:$F$2,0)),"")</f>
        <v>(ST) Within 12 - 18 month</v>
      </c>
    </row>
    <row r="239" spans="1:16" ht="28.5">
      <c r="A239" s="67">
        <v>238</v>
      </c>
      <c r="B239" s="68" t="str">
        <f>INDEX(Data_Assessment[],MATCH('Rekomendasi HAV'!$A239,Data_Assessment[[INDEX]:[INDEX]],0),MATCH('Rekomendasi HAV'!B$1,Data_Assessment[#Headers],0))</f>
        <v>Urip Hari Utomo</v>
      </c>
      <c r="C239" s="68" t="str">
        <f>INDEX(Data_Assessment[],MATCH('Rekomendasi HAV'!$A239,Data_Assessment[[INDEX]:[INDEX]],0),MATCH('Rekomendasi HAV'!C$1,Data_Assessment[#Headers],0))</f>
        <v>Palembang</v>
      </c>
      <c r="D239" s="68" t="str">
        <f>INDEX(Data_Assessment[],MATCH('Rekomendasi HAV'!$A239,Data_Assessment[[INDEX]:[INDEX]],0),MATCH('Rekomendasi HAV'!D$1,Data_Assessment[#Headers],0))</f>
        <v>LSIP - RO Palembang</v>
      </c>
      <c r="E239" s="68">
        <f>INDEX(Data_Assessment[],MATCH('Rekomendasi HAV'!$B239,Data_Assessment[[NAME]:[NAME]],0),MATCH('Rekomendasi HAV'!E$1,Data_Assessment[#Headers],0))</f>
        <v>0</v>
      </c>
      <c r="F239" s="68"/>
      <c r="G239" s="68">
        <f>IF(ISNUMBER(SEARCH("DEV",Assessment[[#This Row],[JOB TARGET]])),SUBSTITUTE(Assessment[[#This Row],[JOB TARGET]],"DEV","EST"),Assessment[[#This Row],[JOB TARGET]])</f>
        <v>0</v>
      </c>
      <c r="H239" s="146" t="str" cm="1">
        <f t="array" aca="1" ref="H239" ca="1">IF(Assessment[[#This Row],[JOB TARGET]]="","Job Target Kosong",IF(COUNT(IF('Data Assessment'!$N239:$Z239-OFFSET(Standar!$B$2,MATCH(Assessment[[#This Row],[JOB TARGET
(EST)]],Standar[NAMA JABATAN],0)-1,1,1,13)&lt;0,1,""))&lt;=3,'9 Grid'!$B$4,IF(COUNT(IF('Data Assessment'!$N239:$Z239-OFFSET(Standar!$B$2,MATCH(Assessment[[#This Row],[JOB TARGET]],Standar[NAMA JABATAN],0)-1,1,1,13)&lt;0,1,""))&gt;=7,'9 Grid'!$B$6,'9 Grid'!$B$5)))</f>
        <v>Job Target Kosong</v>
      </c>
      <c r="I239" s="146" t="str">
        <f>IFERROR(IF(Data_Assessment[[#This Row],[IPP (3 YEARS AVERAGE)]]="","(IPP Belum Ada)",IF(Data_Assessment[[#This Row],[IPP (3 YEARS AVERAGE)]]&lt;2,'9 Grid'!$F$2,IF(Data_Assessment[[#This Row],[IPP (3 YEARS AVERAGE)]]&gt;=4,'9 Grid'!$D$2,'9 Grid'!$E$2))),"")</f>
        <v>Fully Competence Performance</v>
      </c>
      <c r="J239" s="146" t="str">
        <f ca="1">IFERROR(INDEX('9 Grid'!$D$4:$F$6,MATCH('Rekomendasi HAV'!H239,'9 Grid'!$B$4:$B$6,0),MATCH('Rekomendasi HAV'!I239,'9 Grid'!$D$2:$F$2,0)),"")</f>
        <v/>
      </c>
      <c r="K239" s="146" t="str">
        <f>IFERROR(INDEX('9 Grid'!$D$8:$F$8,1,MATCH('Rekomendasi HAV'!I239,'9 Grid'!$D$2:$F$2,0)),"")</f>
        <v>(ST) Within 12 - 18 month</v>
      </c>
      <c r="L239" s="146">
        <f>IF(ISNUMBER(SEARCH("EST",Assessment[[#This Row],[JOB TARGET]])),SUBSTITUTE(Assessment[[#This Row],[JOB TARGET]],"EST","DEV"),Assessment[[#This Row],[JOB TARGET]])</f>
        <v>0</v>
      </c>
      <c r="M239" s="146" t="str" cm="1">
        <f t="array" aca="1" ref="M239" ca="1">IF(Assessment[[#This Row],[JOB TARGET]]="","Job Target Kosong",IF(COUNT(IF('Data Assessment'!$N239:$Z239-OFFSET(Standar!$B$2,MATCH(Assessment[[#This Row],[JOB TARGET
(DEV)]],Standar[NAMA JABATAN],0)-1,1,1,13)&lt;0,1,""))&lt;=3,'9 Grid'!$B$4,IF(COUNT(IF('Data Assessment'!$N239:$Z239-OFFSET(Standar!$B$2,MATCH(Assessment[[#This Row],[JOB TARGET
(DEV)]],Standar[NAMA JABATAN],0)-1,1,1,13)&lt;0,1,""))&gt;=7,'9 Grid'!$B$6,'9 Grid'!$B$5)))</f>
        <v>Job Target Kosong</v>
      </c>
      <c r="N239" s="146" t="str">
        <f>IFERROR(IF(Data_Assessment[[#This Row],[IPP (3 YEARS AVERAGE)]]="","(IPP Belum Ada)",IF(Data_Assessment[[#This Row],[IPP (3 YEARS AVERAGE)]]&lt;2,'9 Grid'!$F$2,IF(Data_Assessment[[#This Row],[IPP (3 YEARS AVERAGE)]]&gt;=4,'9 Grid'!$D$2,'9 Grid'!$E$2))),"")</f>
        <v>Fully Competence Performance</v>
      </c>
      <c r="O239" s="146" t="str">
        <f ca="1">IFERROR(INDEX('9 Grid'!$D$4:$F$6,MATCH('Rekomendasi HAV'!M239,'9 Grid'!$B$4:$B$6,0),MATCH('Rekomendasi HAV'!N239,'9 Grid'!$D$2:$F$2,0)),"")</f>
        <v/>
      </c>
      <c r="P239" s="147" t="str">
        <f>IFERROR(INDEX('9 Grid'!$D$8:$F$8,1,MATCH('Rekomendasi HAV'!N239,'9 Grid'!$D$2:$F$2,0)),"")</f>
        <v>(ST) Within 12 - 18 month</v>
      </c>
    </row>
    <row r="240" spans="1:16" ht="28.5">
      <c r="A240" s="67">
        <v>239</v>
      </c>
      <c r="B240" s="68" t="str">
        <f>INDEX(Data_Assessment[],MATCH('Rekomendasi HAV'!$A240,Data_Assessment[[INDEX]:[INDEX]],0),MATCH('Rekomendasi HAV'!B$1,Data_Assessment[#Headers],0))</f>
        <v>Irfan Febrianto</v>
      </c>
      <c r="C240" s="68" t="str">
        <f>INDEX(Data_Assessment[],MATCH('Rekomendasi HAV'!$A240,Data_Assessment[[INDEX]:[INDEX]],0),MATCH('Rekomendasi HAV'!C$1,Data_Assessment[#Headers],0))</f>
        <v>Jakarta</v>
      </c>
      <c r="D240" s="68" t="str">
        <f>INDEX(Data_Assessment[],MATCH('Rekomendasi HAV'!$A240,Data_Assessment[[INDEX]:[INDEX]],0),MATCH('Rekomendasi HAV'!D$1,Data_Assessment[#Headers],0))</f>
        <v>LSIP - HO Jakarta</v>
      </c>
      <c r="E240" s="68">
        <f>INDEX(Data_Assessment[],MATCH('Rekomendasi HAV'!$B240,Data_Assessment[[NAME]:[NAME]],0),MATCH('Rekomendasi HAV'!E$1,Data_Assessment[#Headers],0))</f>
        <v>0</v>
      </c>
      <c r="F240" s="68"/>
      <c r="G240" s="68">
        <f>IF(ISNUMBER(SEARCH("DEV",Assessment[[#This Row],[JOB TARGET]])),SUBSTITUTE(Assessment[[#This Row],[JOB TARGET]],"DEV","EST"),Assessment[[#This Row],[JOB TARGET]])</f>
        <v>0</v>
      </c>
      <c r="H240" s="146" t="str" cm="1">
        <f t="array" aca="1" ref="H240" ca="1">IF(Assessment[[#This Row],[JOB TARGET]]="","Job Target Kosong",IF(COUNT(IF('Data Assessment'!$N240:$Z240-OFFSET(Standar!$B$2,MATCH(Assessment[[#This Row],[JOB TARGET
(EST)]],Standar[NAMA JABATAN],0)-1,1,1,13)&lt;0,1,""))&lt;=3,'9 Grid'!$B$4,IF(COUNT(IF('Data Assessment'!$N240:$Z240-OFFSET(Standar!$B$2,MATCH(Assessment[[#This Row],[JOB TARGET]],Standar[NAMA JABATAN],0)-1,1,1,13)&lt;0,1,""))&gt;=7,'9 Grid'!$B$6,'9 Grid'!$B$5)))</f>
        <v>Job Target Kosong</v>
      </c>
      <c r="I240" s="146" t="str">
        <f>IFERROR(IF(Data_Assessment[[#This Row],[IPP (3 YEARS AVERAGE)]]="","(IPP Belum Ada)",IF(Data_Assessment[[#This Row],[IPP (3 YEARS AVERAGE)]]&lt;2,'9 Grid'!$F$2,IF(Data_Assessment[[#This Row],[IPP (3 YEARS AVERAGE)]]&gt;=4,'9 Grid'!$D$2,'9 Grid'!$E$2))),"")</f>
        <v>Fully Competence Performance</v>
      </c>
      <c r="J240" s="146" t="str">
        <f ca="1">IFERROR(INDEX('9 Grid'!$D$4:$F$6,MATCH('Rekomendasi HAV'!H240,'9 Grid'!$B$4:$B$6,0),MATCH('Rekomendasi HAV'!I240,'9 Grid'!$D$2:$F$2,0)),"")</f>
        <v/>
      </c>
      <c r="K240" s="146" t="str">
        <f>IFERROR(INDEX('9 Grid'!$D$8:$F$8,1,MATCH('Rekomendasi HAV'!I240,'9 Grid'!$D$2:$F$2,0)),"")</f>
        <v>(ST) Within 12 - 18 month</v>
      </c>
      <c r="L240" s="146">
        <f>IF(ISNUMBER(SEARCH("EST",Assessment[[#This Row],[JOB TARGET]])),SUBSTITUTE(Assessment[[#This Row],[JOB TARGET]],"EST","DEV"),Assessment[[#This Row],[JOB TARGET]])</f>
        <v>0</v>
      </c>
      <c r="M240" s="146" t="str" cm="1">
        <f t="array" aca="1" ref="M240" ca="1">IF(Assessment[[#This Row],[JOB TARGET]]="","Job Target Kosong",IF(COUNT(IF('Data Assessment'!$N240:$Z240-OFFSET(Standar!$B$2,MATCH(Assessment[[#This Row],[JOB TARGET
(DEV)]],Standar[NAMA JABATAN],0)-1,1,1,13)&lt;0,1,""))&lt;=3,'9 Grid'!$B$4,IF(COUNT(IF('Data Assessment'!$N240:$Z240-OFFSET(Standar!$B$2,MATCH(Assessment[[#This Row],[JOB TARGET
(DEV)]],Standar[NAMA JABATAN],0)-1,1,1,13)&lt;0,1,""))&gt;=7,'9 Grid'!$B$6,'9 Grid'!$B$5)))</f>
        <v>Job Target Kosong</v>
      </c>
      <c r="N240" s="146" t="str">
        <f>IFERROR(IF(Data_Assessment[[#This Row],[IPP (3 YEARS AVERAGE)]]="","(IPP Belum Ada)",IF(Data_Assessment[[#This Row],[IPP (3 YEARS AVERAGE)]]&lt;2,'9 Grid'!$F$2,IF(Data_Assessment[[#This Row],[IPP (3 YEARS AVERAGE)]]&gt;=4,'9 Grid'!$D$2,'9 Grid'!$E$2))),"")</f>
        <v>Fully Competence Performance</v>
      </c>
      <c r="O240" s="146" t="str">
        <f ca="1">IFERROR(INDEX('9 Grid'!$D$4:$F$6,MATCH('Rekomendasi HAV'!M240,'9 Grid'!$B$4:$B$6,0),MATCH('Rekomendasi HAV'!N240,'9 Grid'!$D$2:$F$2,0)),"")</f>
        <v/>
      </c>
      <c r="P240" s="147" t="str">
        <f>IFERROR(INDEX('9 Grid'!$D$8:$F$8,1,MATCH('Rekomendasi HAV'!N240,'9 Grid'!$D$2:$F$2,0)),"")</f>
        <v>(ST) Within 12 - 18 month</v>
      </c>
    </row>
    <row r="241" spans="1:16" ht="14.25">
      <c r="A241" s="67">
        <v>240</v>
      </c>
      <c r="B241" s="68" t="str">
        <f>INDEX(Data_Assessment[],MATCH('Rekomendasi HAV'!$A241,Data_Assessment[[INDEX]:[INDEX]],0),MATCH('Rekomendasi HAV'!B$1,Data_Assessment[#Headers],0))</f>
        <v>Erwin Yusrianta Bangun, Ir.</v>
      </c>
      <c r="C241" s="68" t="str">
        <f>INDEX(Data_Assessment[],MATCH('Rekomendasi HAV'!$A241,Data_Assessment[[INDEX]:[INDEX]],0),MATCH('Rekomendasi HAV'!C$1,Data_Assessment[#Headers],0))</f>
        <v>Palembang</v>
      </c>
      <c r="D241" s="68" t="str">
        <f>INDEX(Data_Assessment[],MATCH('Rekomendasi HAV'!$A241,Data_Assessment[[INDEX]:[INDEX]],0),MATCH('Rekomendasi HAV'!D$1,Data_Assessment[#Headers],0))</f>
        <v>LSIP - RO Palembang</v>
      </c>
      <c r="E241" s="68">
        <f>INDEX(Data_Assessment[],MATCH('Rekomendasi HAV'!$B241,Data_Assessment[[NAME]:[NAME]],0),MATCH('Rekomendasi HAV'!E$1,Data_Assessment[#Headers],0))</f>
        <v>0</v>
      </c>
      <c r="F241" s="68"/>
      <c r="G241" s="68">
        <f>IF(ISNUMBER(SEARCH("DEV",Assessment[[#This Row],[JOB TARGET]])),SUBSTITUTE(Assessment[[#This Row],[JOB TARGET]],"DEV","EST"),Assessment[[#This Row],[JOB TARGET]])</f>
        <v>0</v>
      </c>
      <c r="H241" s="146" t="str" cm="1">
        <f t="array" aca="1" ref="H241" ca="1">IF(Assessment[[#This Row],[JOB TARGET]]="","Job Target Kosong",IF(COUNT(IF('Data Assessment'!$N241:$Z241-OFFSET(Standar!$B$2,MATCH(Assessment[[#This Row],[JOB TARGET
(EST)]],Standar[NAMA JABATAN],0)-1,1,1,13)&lt;0,1,""))&lt;=3,'9 Grid'!$B$4,IF(COUNT(IF('Data Assessment'!$N241:$Z241-OFFSET(Standar!$B$2,MATCH(Assessment[[#This Row],[JOB TARGET]],Standar[NAMA JABATAN],0)-1,1,1,13)&lt;0,1,""))&gt;=7,'9 Grid'!$B$6,'9 Grid'!$B$5)))</f>
        <v>Job Target Kosong</v>
      </c>
      <c r="I241" s="146" t="str">
        <f>IFERROR(IF(Data_Assessment[[#This Row],[IPP (3 YEARS AVERAGE)]]="","(IPP Belum Ada)",IF(Data_Assessment[[#This Row],[IPP (3 YEARS AVERAGE)]]&lt;2,'9 Grid'!$F$2,IF(Data_Assessment[[#This Row],[IPP (3 YEARS AVERAGE)]]&gt;=4,'9 Grid'!$D$2,'9 Grid'!$E$2))),"")</f>
        <v>Exceptional Performance</v>
      </c>
      <c r="J241" s="146" t="str">
        <f ca="1">IFERROR(INDEX('9 Grid'!$D$4:$F$6,MATCH('Rekomendasi HAV'!H241,'9 Grid'!$B$4:$B$6,0),MATCH('Rekomendasi HAV'!I241,'9 Grid'!$D$2:$F$2,0)),"")</f>
        <v/>
      </c>
      <c r="K241" s="146" t="str">
        <f>IFERROR(INDEX('9 Grid'!$D$8:$F$8,1,MATCH('Rekomendasi HAV'!I241,'9 Grid'!$D$2:$F$2,0)),"")</f>
        <v>(I) Immediately</v>
      </c>
      <c r="L241" s="146">
        <f>IF(ISNUMBER(SEARCH("EST",Assessment[[#This Row],[JOB TARGET]])),SUBSTITUTE(Assessment[[#This Row],[JOB TARGET]],"EST","DEV"),Assessment[[#This Row],[JOB TARGET]])</f>
        <v>0</v>
      </c>
      <c r="M241" s="146" t="str" cm="1">
        <f t="array" aca="1" ref="M241" ca="1">IF(Assessment[[#This Row],[JOB TARGET]]="","Job Target Kosong",IF(COUNT(IF('Data Assessment'!$N241:$Z241-OFFSET(Standar!$B$2,MATCH(Assessment[[#This Row],[JOB TARGET
(DEV)]],Standar[NAMA JABATAN],0)-1,1,1,13)&lt;0,1,""))&lt;=3,'9 Grid'!$B$4,IF(COUNT(IF('Data Assessment'!$N241:$Z241-OFFSET(Standar!$B$2,MATCH(Assessment[[#This Row],[JOB TARGET
(DEV)]],Standar[NAMA JABATAN],0)-1,1,1,13)&lt;0,1,""))&gt;=7,'9 Grid'!$B$6,'9 Grid'!$B$5)))</f>
        <v>Job Target Kosong</v>
      </c>
      <c r="N241" s="146" t="str">
        <f>IFERROR(IF(Data_Assessment[[#This Row],[IPP (3 YEARS AVERAGE)]]="","(IPP Belum Ada)",IF(Data_Assessment[[#This Row],[IPP (3 YEARS AVERAGE)]]&lt;2,'9 Grid'!$F$2,IF(Data_Assessment[[#This Row],[IPP (3 YEARS AVERAGE)]]&gt;=4,'9 Grid'!$D$2,'9 Grid'!$E$2))),"")</f>
        <v>Exceptional Performance</v>
      </c>
      <c r="O241" s="146" t="str">
        <f ca="1">IFERROR(INDEX('9 Grid'!$D$4:$F$6,MATCH('Rekomendasi HAV'!M241,'9 Grid'!$B$4:$B$6,0),MATCH('Rekomendasi HAV'!N241,'9 Grid'!$D$2:$F$2,0)),"")</f>
        <v/>
      </c>
      <c r="P241" s="147" t="str">
        <f>IFERROR(INDEX('9 Grid'!$D$8:$F$8,1,MATCH('Rekomendasi HAV'!N241,'9 Grid'!$D$2:$F$2,0)),"")</f>
        <v>(I) Immediately</v>
      </c>
    </row>
    <row r="242" spans="1:16" ht="28.5">
      <c r="A242" s="67">
        <v>241</v>
      </c>
      <c r="B242" s="68" t="str">
        <f>INDEX(Data_Assessment[],MATCH('Rekomendasi HAV'!$A242,Data_Assessment[[INDEX]:[INDEX]],0),MATCH('Rekomendasi HAV'!B$1,Data_Assessment[#Headers],0))</f>
        <v>Yeni Setianingsih</v>
      </c>
      <c r="C242" s="68" t="str">
        <f>INDEX(Data_Assessment[],MATCH('Rekomendasi HAV'!$A242,Data_Assessment[[INDEX]:[INDEX]],0),MATCH('Rekomendasi HAV'!C$1,Data_Assessment[#Headers],0))</f>
        <v>Jakarta</v>
      </c>
      <c r="D242" s="68" t="str">
        <f>INDEX(Data_Assessment[],MATCH('Rekomendasi HAV'!$A242,Data_Assessment[[INDEX]:[INDEX]],0),MATCH('Rekomendasi HAV'!D$1,Data_Assessment[#Headers],0))</f>
        <v>LSIP - HO Jakarta</v>
      </c>
      <c r="E242" s="68">
        <f>INDEX(Data_Assessment[],MATCH('Rekomendasi HAV'!$B242,Data_Assessment[[NAME]:[NAME]],0),MATCH('Rekomendasi HAV'!E$1,Data_Assessment[#Headers],0))</f>
        <v>0</v>
      </c>
      <c r="F242" s="68"/>
      <c r="G242" s="68">
        <f>IF(ISNUMBER(SEARCH("DEV",Assessment[[#This Row],[JOB TARGET]])),SUBSTITUTE(Assessment[[#This Row],[JOB TARGET]],"DEV","EST"),Assessment[[#This Row],[JOB TARGET]])</f>
        <v>0</v>
      </c>
      <c r="H242" s="146" t="str" cm="1">
        <f t="array" aca="1" ref="H242" ca="1">IF(Assessment[[#This Row],[JOB TARGET]]="","Job Target Kosong",IF(COUNT(IF('Data Assessment'!$N242:$Z242-OFFSET(Standar!$B$2,MATCH(Assessment[[#This Row],[JOB TARGET
(EST)]],Standar[NAMA JABATAN],0)-1,1,1,13)&lt;0,1,""))&lt;=3,'9 Grid'!$B$4,IF(COUNT(IF('Data Assessment'!$N242:$Z242-OFFSET(Standar!$B$2,MATCH(Assessment[[#This Row],[JOB TARGET]],Standar[NAMA JABATAN],0)-1,1,1,13)&lt;0,1,""))&gt;=7,'9 Grid'!$B$6,'9 Grid'!$B$5)))</f>
        <v>Job Target Kosong</v>
      </c>
      <c r="I242" s="146" t="str">
        <f>IFERROR(IF(Data_Assessment[[#This Row],[IPP (3 YEARS AVERAGE)]]="","(IPP Belum Ada)",IF(Data_Assessment[[#This Row],[IPP (3 YEARS AVERAGE)]]&lt;2,'9 Grid'!$F$2,IF(Data_Assessment[[#This Row],[IPP (3 YEARS AVERAGE)]]&gt;=4,'9 Grid'!$D$2,'9 Grid'!$E$2))),"")</f>
        <v>Fully Competence Performance</v>
      </c>
      <c r="J242" s="146" t="str">
        <f ca="1">IFERROR(INDEX('9 Grid'!$D$4:$F$6,MATCH('Rekomendasi HAV'!H242,'9 Grid'!$B$4:$B$6,0),MATCH('Rekomendasi HAV'!I242,'9 Grid'!$D$2:$F$2,0)),"")</f>
        <v/>
      </c>
      <c r="K242" s="146" t="str">
        <f>IFERROR(INDEX('9 Grid'!$D$8:$F$8,1,MATCH('Rekomendasi HAV'!I242,'9 Grid'!$D$2:$F$2,0)),"")</f>
        <v>(ST) Within 12 - 18 month</v>
      </c>
      <c r="L242" s="146">
        <f>IF(ISNUMBER(SEARCH("EST",Assessment[[#This Row],[JOB TARGET]])),SUBSTITUTE(Assessment[[#This Row],[JOB TARGET]],"EST","DEV"),Assessment[[#This Row],[JOB TARGET]])</f>
        <v>0</v>
      </c>
      <c r="M242" s="146" t="str" cm="1">
        <f t="array" aca="1" ref="M242" ca="1">IF(Assessment[[#This Row],[JOB TARGET]]="","Job Target Kosong",IF(COUNT(IF('Data Assessment'!$N242:$Z242-OFFSET(Standar!$B$2,MATCH(Assessment[[#This Row],[JOB TARGET
(DEV)]],Standar[NAMA JABATAN],0)-1,1,1,13)&lt;0,1,""))&lt;=3,'9 Grid'!$B$4,IF(COUNT(IF('Data Assessment'!$N242:$Z242-OFFSET(Standar!$B$2,MATCH(Assessment[[#This Row],[JOB TARGET
(DEV)]],Standar[NAMA JABATAN],0)-1,1,1,13)&lt;0,1,""))&gt;=7,'9 Grid'!$B$6,'9 Grid'!$B$5)))</f>
        <v>Job Target Kosong</v>
      </c>
      <c r="N242" s="146" t="str">
        <f>IFERROR(IF(Data_Assessment[[#This Row],[IPP (3 YEARS AVERAGE)]]="","(IPP Belum Ada)",IF(Data_Assessment[[#This Row],[IPP (3 YEARS AVERAGE)]]&lt;2,'9 Grid'!$F$2,IF(Data_Assessment[[#This Row],[IPP (3 YEARS AVERAGE)]]&gt;=4,'9 Grid'!$D$2,'9 Grid'!$E$2))),"")</f>
        <v>Fully Competence Performance</v>
      </c>
      <c r="O242" s="146" t="str">
        <f ca="1">IFERROR(INDEX('9 Grid'!$D$4:$F$6,MATCH('Rekomendasi HAV'!M242,'9 Grid'!$B$4:$B$6,0),MATCH('Rekomendasi HAV'!N242,'9 Grid'!$D$2:$F$2,0)),"")</f>
        <v/>
      </c>
      <c r="P242" s="147" t="str">
        <f>IFERROR(INDEX('9 Grid'!$D$8:$F$8,1,MATCH('Rekomendasi HAV'!N242,'9 Grid'!$D$2:$F$2,0)),"")</f>
        <v>(ST) Within 12 - 18 month</v>
      </c>
    </row>
    <row r="243" spans="1:16" ht="14.25">
      <c r="A243" s="67">
        <v>242</v>
      </c>
      <c r="B243" s="68" t="str">
        <f>INDEX(Data_Assessment[],MATCH('Rekomendasi HAV'!$A243,Data_Assessment[[INDEX]:[INDEX]],0),MATCH('Rekomendasi HAV'!B$1,Data_Assessment[#Headers],0))</f>
        <v>Jefri Hidayat</v>
      </c>
      <c r="C243" s="68" t="str">
        <f>INDEX(Data_Assessment[],MATCH('Rekomendasi HAV'!$A243,Data_Assessment[[INDEX]:[INDEX]],0),MATCH('Rekomendasi HAV'!C$1,Data_Assessment[#Headers],0))</f>
        <v>Jakarta</v>
      </c>
      <c r="D243" s="68" t="str">
        <f>INDEX(Data_Assessment[],MATCH('Rekomendasi HAV'!$A243,Data_Assessment[[INDEX]:[INDEX]],0),MATCH('Rekomendasi HAV'!D$1,Data_Assessment[#Headers],0))</f>
        <v>LSIP - HO Jakarta</v>
      </c>
      <c r="E243" s="68">
        <f>INDEX(Data_Assessment[],MATCH('Rekomendasi HAV'!$B243,Data_Assessment[[NAME]:[NAME]],0),MATCH('Rekomendasi HAV'!E$1,Data_Assessment[#Headers],0))</f>
        <v>0</v>
      </c>
      <c r="F243" s="68"/>
      <c r="G243" s="68">
        <f>IF(ISNUMBER(SEARCH("DEV",Assessment[[#This Row],[JOB TARGET]])),SUBSTITUTE(Assessment[[#This Row],[JOB TARGET]],"DEV","EST"),Assessment[[#This Row],[JOB TARGET]])</f>
        <v>0</v>
      </c>
      <c r="H243" s="146" t="str" cm="1">
        <f t="array" aca="1" ref="H243" ca="1">IF(Assessment[[#This Row],[JOB TARGET]]="","Job Target Kosong",IF(COUNT(IF('Data Assessment'!$N243:$Z243-OFFSET(Standar!$B$2,MATCH(Assessment[[#This Row],[JOB TARGET
(EST)]],Standar[NAMA JABATAN],0)-1,1,1,13)&lt;0,1,""))&lt;=3,'9 Grid'!$B$4,IF(COUNT(IF('Data Assessment'!$N243:$Z243-OFFSET(Standar!$B$2,MATCH(Assessment[[#This Row],[JOB TARGET]],Standar[NAMA JABATAN],0)-1,1,1,13)&lt;0,1,""))&gt;=7,'9 Grid'!$B$6,'9 Grid'!$B$5)))</f>
        <v>Job Target Kosong</v>
      </c>
      <c r="I243" s="146" t="str">
        <f>IFERROR(IF(Data_Assessment[[#This Row],[IPP (3 YEARS AVERAGE)]]="","(IPP Belum Ada)",IF(Data_Assessment[[#This Row],[IPP (3 YEARS AVERAGE)]]&lt;2,'9 Grid'!$F$2,IF(Data_Assessment[[#This Row],[IPP (3 YEARS AVERAGE)]]&gt;=4,'9 Grid'!$D$2,'9 Grid'!$E$2))),"")</f>
        <v>Exceptional Performance</v>
      </c>
      <c r="J243" s="146" t="str">
        <f ca="1">IFERROR(INDEX('9 Grid'!$D$4:$F$6,MATCH('Rekomendasi HAV'!H243,'9 Grid'!$B$4:$B$6,0),MATCH('Rekomendasi HAV'!I243,'9 Grid'!$D$2:$F$2,0)),"")</f>
        <v/>
      </c>
      <c r="K243" s="146" t="str">
        <f>IFERROR(INDEX('9 Grid'!$D$8:$F$8,1,MATCH('Rekomendasi HAV'!I243,'9 Grid'!$D$2:$F$2,0)),"")</f>
        <v>(I) Immediately</v>
      </c>
      <c r="L243" s="146">
        <f>IF(ISNUMBER(SEARCH("EST",Assessment[[#This Row],[JOB TARGET]])),SUBSTITUTE(Assessment[[#This Row],[JOB TARGET]],"EST","DEV"),Assessment[[#This Row],[JOB TARGET]])</f>
        <v>0</v>
      </c>
      <c r="M243" s="146" t="str" cm="1">
        <f t="array" aca="1" ref="M243" ca="1">IF(Assessment[[#This Row],[JOB TARGET]]="","Job Target Kosong",IF(COUNT(IF('Data Assessment'!$N243:$Z243-OFFSET(Standar!$B$2,MATCH(Assessment[[#This Row],[JOB TARGET
(DEV)]],Standar[NAMA JABATAN],0)-1,1,1,13)&lt;0,1,""))&lt;=3,'9 Grid'!$B$4,IF(COUNT(IF('Data Assessment'!$N243:$Z243-OFFSET(Standar!$B$2,MATCH(Assessment[[#This Row],[JOB TARGET
(DEV)]],Standar[NAMA JABATAN],0)-1,1,1,13)&lt;0,1,""))&gt;=7,'9 Grid'!$B$6,'9 Grid'!$B$5)))</f>
        <v>Job Target Kosong</v>
      </c>
      <c r="N243" s="146" t="str">
        <f>IFERROR(IF(Data_Assessment[[#This Row],[IPP (3 YEARS AVERAGE)]]="","(IPP Belum Ada)",IF(Data_Assessment[[#This Row],[IPP (3 YEARS AVERAGE)]]&lt;2,'9 Grid'!$F$2,IF(Data_Assessment[[#This Row],[IPP (3 YEARS AVERAGE)]]&gt;=4,'9 Grid'!$D$2,'9 Grid'!$E$2))),"")</f>
        <v>Exceptional Performance</v>
      </c>
      <c r="O243" s="146" t="str">
        <f ca="1">IFERROR(INDEX('9 Grid'!$D$4:$F$6,MATCH('Rekomendasi HAV'!M243,'9 Grid'!$B$4:$B$6,0),MATCH('Rekomendasi HAV'!N243,'9 Grid'!$D$2:$F$2,0)),"")</f>
        <v/>
      </c>
      <c r="P243" s="147" t="str">
        <f>IFERROR(INDEX('9 Grid'!$D$8:$F$8,1,MATCH('Rekomendasi HAV'!N243,'9 Grid'!$D$2:$F$2,0)),"")</f>
        <v>(I) Immediately</v>
      </c>
    </row>
    <row r="244" spans="1:16" ht="28.5">
      <c r="A244" s="67">
        <v>243</v>
      </c>
      <c r="B244" s="68" t="str">
        <f>INDEX(Data_Assessment[],MATCH('Rekomendasi HAV'!$A244,Data_Assessment[[INDEX]:[INDEX]],0),MATCH('Rekomendasi HAV'!B$1,Data_Assessment[#Headers],0))</f>
        <v>Caturina Maryati, SP</v>
      </c>
      <c r="C244" s="68" t="str">
        <f>INDEX(Data_Assessment[],MATCH('Rekomendasi HAV'!$A244,Data_Assessment[[INDEX]:[INDEX]],0),MATCH('Rekomendasi HAV'!C$1,Data_Assessment[#Headers],0))</f>
        <v>Palembang</v>
      </c>
      <c r="D244" s="68" t="str">
        <f>INDEX(Data_Assessment[],MATCH('Rekomendasi HAV'!$A244,Data_Assessment[[INDEX]:[INDEX]],0),MATCH('Rekomendasi HAV'!D$1,Data_Assessment[#Headers],0))</f>
        <v>LSIP - RO Palembang</v>
      </c>
      <c r="E244" s="68">
        <f>INDEX(Data_Assessment[],MATCH('Rekomendasi HAV'!$B244,Data_Assessment[[NAME]:[NAME]],0),MATCH('Rekomendasi HAV'!E$1,Data_Assessment[#Headers],0))</f>
        <v>0</v>
      </c>
      <c r="F244" s="68"/>
      <c r="G244" s="68">
        <f>IF(ISNUMBER(SEARCH("DEV",Assessment[[#This Row],[JOB TARGET]])),SUBSTITUTE(Assessment[[#This Row],[JOB TARGET]],"DEV","EST"),Assessment[[#This Row],[JOB TARGET]])</f>
        <v>0</v>
      </c>
      <c r="H244" s="146" t="str" cm="1">
        <f t="array" aca="1" ref="H244" ca="1">IF(Assessment[[#This Row],[JOB TARGET]]="","Job Target Kosong",IF(COUNT(IF('Data Assessment'!$N244:$Z244-OFFSET(Standar!$B$2,MATCH(Assessment[[#This Row],[JOB TARGET
(EST)]],Standar[NAMA JABATAN],0)-1,1,1,13)&lt;0,1,""))&lt;=3,'9 Grid'!$B$4,IF(COUNT(IF('Data Assessment'!$N244:$Z244-OFFSET(Standar!$B$2,MATCH(Assessment[[#This Row],[JOB TARGET]],Standar[NAMA JABATAN],0)-1,1,1,13)&lt;0,1,""))&gt;=7,'9 Grid'!$B$6,'9 Grid'!$B$5)))</f>
        <v>Job Target Kosong</v>
      </c>
      <c r="I244" s="146" t="str">
        <f>IFERROR(IF(Data_Assessment[[#This Row],[IPP (3 YEARS AVERAGE)]]="","(IPP Belum Ada)",IF(Data_Assessment[[#This Row],[IPP (3 YEARS AVERAGE)]]&lt;2,'9 Grid'!$F$2,IF(Data_Assessment[[#This Row],[IPP (3 YEARS AVERAGE)]]&gt;=4,'9 Grid'!$D$2,'9 Grid'!$E$2))),"")</f>
        <v>Fully Competence Performance</v>
      </c>
      <c r="J244" s="146" t="str">
        <f ca="1">IFERROR(INDEX('9 Grid'!$D$4:$F$6,MATCH('Rekomendasi HAV'!H244,'9 Grid'!$B$4:$B$6,0),MATCH('Rekomendasi HAV'!I244,'9 Grid'!$D$2:$F$2,0)),"")</f>
        <v/>
      </c>
      <c r="K244" s="146" t="str">
        <f>IFERROR(INDEX('9 Grid'!$D$8:$F$8,1,MATCH('Rekomendasi HAV'!I244,'9 Grid'!$D$2:$F$2,0)),"")</f>
        <v>(ST) Within 12 - 18 month</v>
      </c>
      <c r="L244" s="146">
        <f>IF(ISNUMBER(SEARCH("EST",Assessment[[#This Row],[JOB TARGET]])),SUBSTITUTE(Assessment[[#This Row],[JOB TARGET]],"EST","DEV"),Assessment[[#This Row],[JOB TARGET]])</f>
        <v>0</v>
      </c>
      <c r="M244" s="146" t="str" cm="1">
        <f t="array" aca="1" ref="M244" ca="1">IF(Assessment[[#This Row],[JOB TARGET]]="","Job Target Kosong",IF(COUNT(IF('Data Assessment'!$N244:$Z244-OFFSET(Standar!$B$2,MATCH(Assessment[[#This Row],[JOB TARGET
(DEV)]],Standar[NAMA JABATAN],0)-1,1,1,13)&lt;0,1,""))&lt;=3,'9 Grid'!$B$4,IF(COUNT(IF('Data Assessment'!$N244:$Z244-OFFSET(Standar!$B$2,MATCH(Assessment[[#This Row],[JOB TARGET
(DEV)]],Standar[NAMA JABATAN],0)-1,1,1,13)&lt;0,1,""))&gt;=7,'9 Grid'!$B$6,'9 Grid'!$B$5)))</f>
        <v>Job Target Kosong</v>
      </c>
      <c r="N244" s="146" t="str">
        <f>IFERROR(IF(Data_Assessment[[#This Row],[IPP (3 YEARS AVERAGE)]]="","(IPP Belum Ada)",IF(Data_Assessment[[#This Row],[IPP (3 YEARS AVERAGE)]]&lt;2,'9 Grid'!$F$2,IF(Data_Assessment[[#This Row],[IPP (3 YEARS AVERAGE)]]&gt;=4,'9 Grid'!$D$2,'9 Grid'!$E$2))),"")</f>
        <v>Fully Competence Performance</v>
      </c>
      <c r="O244" s="146" t="str">
        <f ca="1">IFERROR(INDEX('9 Grid'!$D$4:$F$6,MATCH('Rekomendasi HAV'!M244,'9 Grid'!$B$4:$B$6,0),MATCH('Rekomendasi HAV'!N244,'9 Grid'!$D$2:$F$2,0)),"")</f>
        <v/>
      </c>
      <c r="P244" s="147" t="str">
        <f>IFERROR(INDEX('9 Grid'!$D$8:$F$8,1,MATCH('Rekomendasi HAV'!N244,'9 Grid'!$D$2:$F$2,0)),"")</f>
        <v>(ST) Within 12 - 18 month</v>
      </c>
    </row>
    <row r="245" spans="1:16" ht="28.5">
      <c r="A245" s="67">
        <v>244</v>
      </c>
      <c r="B245" s="68" t="str">
        <f>INDEX(Data_Assessment[],MATCH('Rekomendasi HAV'!$A245,Data_Assessment[[INDEX]:[INDEX]],0),MATCH('Rekomendasi HAV'!B$1,Data_Assessment[#Headers],0))</f>
        <v>Muhammad Saifun Nizam</v>
      </c>
      <c r="C245" s="68" t="str">
        <f>INDEX(Data_Assessment[],MATCH('Rekomendasi HAV'!$A245,Data_Assessment[[INDEX]:[INDEX]],0),MATCH('Rekomendasi HAV'!C$1,Data_Assessment[#Headers],0))</f>
        <v>Jakarta</v>
      </c>
      <c r="D245" s="68" t="str">
        <f>INDEX(Data_Assessment[],MATCH('Rekomendasi HAV'!$A245,Data_Assessment[[INDEX]:[INDEX]],0),MATCH('Rekomendasi HAV'!D$1,Data_Assessment[#Headers],0))</f>
        <v>LSIP - HO Jakarta</v>
      </c>
      <c r="E245" s="68">
        <f>INDEX(Data_Assessment[],MATCH('Rekomendasi HAV'!$B245,Data_Assessment[[NAME]:[NAME]],0),MATCH('Rekomendasi HAV'!E$1,Data_Assessment[#Headers],0))</f>
        <v>0</v>
      </c>
      <c r="F245" s="68"/>
      <c r="G245" s="68">
        <f>IF(ISNUMBER(SEARCH("DEV",Assessment[[#This Row],[JOB TARGET]])),SUBSTITUTE(Assessment[[#This Row],[JOB TARGET]],"DEV","EST"),Assessment[[#This Row],[JOB TARGET]])</f>
        <v>0</v>
      </c>
      <c r="H245" s="146" t="str" cm="1">
        <f t="array" aca="1" ref="H245" ca="1">IF(Assessment[[#This Row],[JOB TARGET]]="","Job Target Kosong",IF(COUNT(IF('Data Assessment'!$N245:$Z245-OFFSET(Standar!$B$2,MATCH(Assessment[[#This Row],[JOB TARGET
(EST)]],Standar[NAMA JABATAN],0)-1,1,1,13)&lt;0,1,""))&lt;=3,'9 Grid'!$B$4,IF(COUNT(IF('Data Assessment'!$N245:$Z245-OFFSET(Standar!$B$2,MATCH(Assessment[[#This Row],[JOB TARGET]],Standar[NAMA JABATAN],0)-1,1,1,13)&lt;0,1,""))&gt;=7,'9 Grid'!$B$6,'9 Grid'!$B$5)))</f>
        <v>Job Target Kosong</v>
      </c>
      <c r="I245" s="146" t="str">
        <f>IFERROR(IF(Data_Assessment[[#This Row],[IPP (3 YEARS AVERAGE)]]="","(IPP Belum Ada)",IF(Data_Assessment[[#This Row],[IPP (3 YEARS AVERAGE)]]&lt;2,'9 Grid'!$F$2,IF(Data_Assessment[[#This Row],[IPP (3 YEARS AVERAGE)]]&gt;=4,'9 Grid'!$D$2,'9 Grid'!$E$2))),"")</f>
        <v>Contributor</v>
      </c>
      <c r="J245" s="146" t="str">
        <f ca="1">IFERROR(INDEX('9 Grid'!$D$4:$F$6,MATCH('Rekomendasi HAV'!H245,'9 Grid'!$B$4:$B$6,0),MATCH('Rekomendasi HAV'!I245,'9 Grid'!$D$2:$F$2,0)),"")</f>
        <v/>
      </c>
      <c r="K245" s="146" t="str">
        <f>IFERROR(INDEX('9 Grid'!$D$8:$F$8,1,MATCH('Rekomendasi HAV'!I245,'9 Grid'!$D$2:$F$2,0)),"")</f>
        <v>(LT) More 2 - 3 year</v>
      </c>
      <c r="L245" s="146">
        <f>IF(ISNUMBER(SEARCH("EST",Assessment[[#This Row],[JOB TARGET]])),SUBSTITUTE(Assessment[[#This Row],[JOB TARGET]],"EST","DEV"),Assessment[[#This Row],[JOB TARGET]])</f>
        <v>0</v>
      </c>
      <c r="M245" s="146" t="str" cm="1">
        <f t="array" aca="1" ref="M245" ca="1">IF(Assessment[[#This Row],[JOB TARGET]]="","Job Target Kosong",IF(COUNT(IF('Data Assessment'!$N245:$Z245-OFFSET(Standar!$B$2,MATCH(Assessment[[#This Row],[JOB TARGET
(DEV)]],Standar[NAMA JABATAN],0)-1,1,1,13)&lt;0,1,""))&lt;=3,'9 Grid'!$B$4,IF(COUNT(IF('Data Assessment'!$N245:$Z245-OFFSET(Standar!$B$2,MATCH(Assessment[[#This Row],[JOB TARGET
(DEV)]],Standar[NAMA JABATAN],0)-1,1,1,13)&lt;0,1,""))&gt;=7,'9 Grid'!$B$6,'9 Grid'!$B$5)))</f>
        <v>Job Target Kosong</v>
      </c>
      <c r="N245" s="146" t="str">
        <f>IFERROR(IF(Data_Assessment[[#This Row],[IPP (3 YEARS AVERAGE)]]="","(IPP Belum Ada)",IF(Data_Assessment[[#This Row],[IPP (3 YEARS AVERAGE)]]&lt;2,'9 Grid'!$F$2,IF(Data_Assessment[[#This Row],[IPP (3 YEARS AVERAGE)]]&gt;=4,'9 Grid'!$D$2,'9 Grid'!$E$2))),"")</f>
        <v>Contributor</v>
      </c>
      <c r="O245" s="146" t="str">
        <f ca="1">IFERROR(INDEX('9 Grid'!$D$4:$F$6,MATCH('Rekomendasi HAV'!M245,'9 Grid'!$B$4:$B$6,0),MATCH('Rekomendasi HAV'!N245,'9 Grid'!$D$2:$F$2,0)),"")</f>
        <v/>
      </c>
      <c r="P245" s="147" t="str">
        <f>IFERROR(INDEX('9 Grid'!$D$8:$F$8,1,MATCH('Rekomendasi HAV'!N245,'9 Grid'!$D$2:$F$2,0)),"")</f>
        <v>(LT) More 2 - 3 year</v>
      </c>
    </row>
    <row r="246" spans="1:16" ht="28.5">
      <c r="A246" s="67">
        <v>245</v>
      </c>
      <c r="B246" s="68" t="str">
        <f>INDEX(Data_Assessment[],MATCH('Rekomendasi HAV'!$A246,Data_Assessment[[INDEX]:[INDEX]],0),MATCH('Rekomendasi HAV'!B$1,Data_Assessment[#Headers],0))</f>
        <v>Evamiko Sofiah</v>
      </c>
      <c r="C246" s="68" t="str">
        <f>INDEX(Data_Assessment[],MATCH('Rekomendasi HAV'!$A246,Data_Assessment[[INDEX]:[INDEX]],0),MATCH('Rekomendasi HAV'!C$1,Data_Assessment[#Headers],0))</f>
        <v>Palembang</v>
      </c>
      <c r="D246" s="68" t="str">
        <f>INDEX(Data_Assessment[],MATCH('Rekomendasi HAV'!$A246,Data_Assessment[[INDEX]:[INDEX]],0),MATCH('Rekomendasi HAV'!D$1,Data_Assessment[#Headers],0))</f>
        <v>LSIP - RO Palembang</v>
      </c>
      <c r="E246" s="68">
        <f>INDEX(Data_Assessment[],MATCH('Rekomendasi HAV'!$B246,Data_Assessment[[NAME]:[NAME]],0),MATCH('Rekomendasi HAV'!E$1,Data_Assessment[#Headers],0))</f>
        <v>0</v>
      </c>
      <c r="F246" s="68"/>
      <c r="G246" s="68">
        <f>IF(ISNUMBER(SEARCH("DEV",Assessment[[#This Row],[JOB TARGET]])),SUBSTITUTE(Assessment[[#This Row],[JOB TARGET]],"DEV","EST"),Assessment[[#This Row],[JOB TARGET]])</f>
        <v>0</v>
      </c>
      <c r="H246" s="146" t="str" cm="1">
        <f t="array" aca="1" ref="H246" ca="1">IF(Assessment[[#This Row],[JOB TARGET]]="","Job Target Kosong",IF(COUNT(IF('Data Assessment'!$N246:$Z246-OFFSET(Standar!$B$2,MATCH(Assessment[[#This Row],[JOB TARGET
(EST)]],Standar[NAMA JABATAN],0)-1,1,1,13)&lt;0,1,""))&lt;=3,'9 Grid'!$B$4,IF(COUNT(IF('Data Assessment'!$N246:$Z246-OFFSET(Standar!$B$2,MATCH(Assessment[[#This Row],[JOB TARGET]],Standar[NAMA JABATAN],0)-1,1,1,13)&lt;0,1,""))&gt;=7,'9 Grid'!$B$6,'9 Grid'!$B$5)))</f>
        <v>Job Target Kosong</v>
      </c>
      <c r="I246" s="146" t="str">
        <f>IFERROR(IF(Data_Assessment[[#This Row],[IPP (3 YEARS AVERAGE)]]="","(IPP Belum Ada)",IF(Data_Assessment[[#This Row],[IPP (3 YEARS AVERAGE)]]&lt;2,'9 Grid'!$F$2,IF(Data_Assessment[[#This Row],[IPP (3 YEARS AVERAGE)]]&gt;=4,'9 Grid'!$D$2,'9 Grid'!$E$2))),"")</f>
        <v>Fully Competence Performance</v>
      </c>
      <c r="J246" s="146" t="str">
        <f ca="1">IFERROR(INDEX('9 Grid'!$D$4:$F$6,MATCH('Rekomendasi HAV'!H246,'9 Grid'!$B$4:$B$6,0),MATCH('Rekomendasi HAV'!I246,'9 Grid'!$D$2:$F$2,0)),"")</f>
        <v/>
      </c>
      <c r="K246" s="146" t="str">
        <f>IFERROR(INDEX('9 Grid'!$D$8:$F$8,1,MATCH('Rekomendasi HAV'!I246,'9 Grid'!$D$2:$F$2,0)),"")</f>
        <v>(ST) Within 12 - 18 month</v>
      </c>
      <c r="L246" s="146">
        <f>IF(ISNUMBER(SEARCH("EST",Assessment[[#This Row],[JOB TARGET]])),SUBSTITUTE(Assessment[[#This Row],[JOB TARGET]],"EST","DEV"),Assessment[[#This Row],[JOB TARGET]])</f>
        <v>0</v>
      </c>
      <c r="M246" s="146" t="str" cm="1">
        <f t="array" aca="1" ref="M246" ca="1">IF(Assessment[[#This Row],[JOB TARGET]]="","Job Target Kosong",IF(COUNT(IF('Data Assessment'!$N246:$Z246-OFFSET(Standar!$B$2,MATCH(Assessment[[#This Row],[JOB TARGET
(DEV)]],Standar[NAMA JABATAN],0)-1,1,1,13)&lt;0,1,""))&lt;=3,'9 Grid'!$B$4,IF(COUNT(IF('Data Assessment'!$N246:$Z246-OFFSET(Standar!$B$2,MATCH(Assessment[[#This Row],[JOB TARGET
(DEV)]],Standar[NAMA JABATAN],0)-1,1,1,13)&lt;0,1,""))&gt;=7,'9 Grid'!$B$6,'9 Grid'!$B$5)))</f>
        <v>Job Target Kosong</v>
      </c>
      <c r="N246" s="146" t="str">
        <f>IFERROR(IF(Data_Assessment[[#This Row],[IPP (3 YEARS AVERAGE)]]="","(IPP Belum Ada)",IF(Data_Assessment[[#This Row],[IPP (3 YEARS AVERAGE)]]&lt;2,'9 Grid'!$F$2,IF(Data_Assessment[[#This Row],[IPP (3 YEARS AVERAGE)]]&gt;=4,'9 Grid'!$D$2,'9 Grid'!$E$2))),"")</f>
        <v>Fully Competence Performance</v>
      </c>
      <c r="O246" s="146" t="str">
        <f ca="1">IFERROR(INDEX('9 Grid'!$D$4:$F$6,MATCH('Rekomendasi HAV'!M246,'9 Grid'!$B$4:$B$6,0),MATCH('Rekomendasi HAV'!N246,'9 Grid'!$D$2:$F$2,0)),"")</f>
        <v/>
      </c>
      <c r="P246" s="147" t="str">
        <f>IFERROR(INDEX('9 Grid'!$D$8:$F$8,1,MATCH('Rekomendasi HAV'!N246,'9 Grid'!$D$2:$F$2,0)),"")</f>
        <v>(ST) Within 12 - 18 month</v>
      </c>
    </row>
    <row r="247" spans="1:16" ht="28.5">
      <c r="A247" s="67">
        <v>246</v>
      </c>
      <c r="B247" s="68" t="str">
        <f>INDEX(Data_Assessment[],MATCH('Rekomendasi HAV'!$A247,Data_Assessment[[INDEX]:[INDEX]],0),MATCH('Rekomendasi HAV'!B$1,Data_Assessment[#Headers],0))</f>
        <v>Ari Bahtiar</v>
      </c>
      <c r="C247" s="68" t="str">
        <f>INDEX(Data_Assessment[],MATCH('Rekomendasi HAV'!$A247,Data_Assessment[[INDEX]:[INDEX]],0),MATCH('Rekomendasi HAV'!C$1,Data_Assessment[#Headers],0))</f>
        <v>Jakarta</v>
      </c>
      <c r="D247" s="68" t="str">
        <f>INDEX(Data_Assessment[],MATCH('Rekomendasi HAV'!$A247,Data_Assessment[[INDEX]:[INDEX]],0),MATCH('Rekomendasi HAV'!D$1,Data_Assessment[#Headers],0))</f>
        <v>LSIP - HO Jakarta</v>
      </c>
      <c r="E247" s="68">
        <f>INDEX(Data_Assessment[],MATCH('Rekomendasi HAV'!$B247,Data_Assessment[[NAME]:[NAME]],0),MATCH('Rekomendasi HAV'!E$1,Data_Assessment[#Headers],0))</f>
        <v>0</v>
      </c>
      <c r="F247" s="68"/>
      <c r="G247" s="68">
        <f>IF(ISNUMBER(SEARCH("DEV",Assessment[[#This Row],[JOB TARGET]])),SUBSTITUTE(Assessment[[#This Row],[JOB TARGET]],"DEV","EST"),Assessment[[#This Row],[JOB TARGET]])</f>
        <v>0</v>
      </c>
      <c r="H247" s="146" t="str" cm="1">
        <f t="array" aca="1" ref="H247" ca="1">IF(Assessment[[#This Row],[JOB TARGET]]="","Job Target Kosong",IF(COUNT(IF('Data Assessment'!$N247:$Z247-OFFSET(Standar!$B$2,MATCH(Assessment[[#This Row],[JOB TARGET
(EST)]],Standar[NAMA JABATAN],0)-1,1,1,13)&lt;0,1,""))&lt;=3,'9 Grid'!$B$4,IF(COUNT(IF('Data Assessment'!$N247:$Z247-OFFSET(Standar!$B$2,MATCH(Assessment[[#This Row],[JOB TARGET]],Standar[NAMA JABATAN],0)-1,1,1,13)&lt;0,1,""))&gt;=7,'9 Grid'!$B$6,'9 Grid'!$B$5)))</f>
        <v>Job Target Kosong</v>
      </c>
      <c r="I247" s="146" t="str">
        <f>IFERROR(IF(Data_Assessment[[#This Row],[IPP (3 YEARS AVERAGE)]]="","(IPP Belum Ada)",IF(Data_Assessment[[#This Row],[IPP (3 YEARS AVERAGE)]]&lt;2,'9 Grid'!$F$2,IF(Data_Assessment[[#This Row],[IPP (3 YEARS AVERAGE)]]&gt;=4,'9 Grid'!$D$2,'9 Grid'!$E$2))),"")</f>
        <v>Contributor</v>
      </c>
      <c r="J247" s="146" t="str">
        <f ca="1">IFERROR(INDEX('9 Grid'!$D$4:$F$6,MATCH('Rekomendasi HAV'!H247,'9 Grid'!$B$4:$B$6,0),MATCH('Rekomendasi HAV'!I247,'9 Grid'!$D$2:$F$2,0)),"")</f>
        <v/>
      </c>
      <c r="K247" s="146" t="str">
        <f>IFERROR(INDEX('9 Grid'!$D$8:$F$8,1,MATCH('Rekomendasi HAV'!I247,'9 Grid'!$D$2:$F$2,0)),"")</f>
        <v>(LT) More 2 - 3 year</v>
      </c>
      <c r="L247" s="146">
        <f>IF(ISNUMBER(SEARCH("EST",Assessment[[#This Row],[JOB TARGET]])),SUBSTITUTE(Assessment[[#This Row],[JOB TARGET]],"EST","DEV"),Assessment[[#This Row],[JOB TARGET]])</f>
        <v>0</v>
      </c>
      <c r="M247" s="146" t="str" cm="1">
        <f t="array" aca="1" ref="M247" ca="1">IF(Assessment[[#This Row],[JOB TARGET]]="","Job Target Kosong",IF(COUNT(IF('Data Assessment'!$N247:$Z247-OFFSET(Standar!$B$2,MATCH(Assessment[[#This Row],[JOB TARGET
(DEV)]],Standar[NAMA JABATAN],0)-1,1,1,13)&lt;0,1,""))&lt;=3,'9 Grid'!$B$4,IF(COUNT(IF('Data Assessment'!$N247:$Z247-OFFSET(Standar!$B$2,MATCH(Assessment[[#This Row],[JOB TARGET
(DEV)]],Standar[NAMA JABATAN],0)-1,1,1,13)&lt;0,1,""))&gt;=7,'9 Grid'!$B$6,'9 Grid'!$B$5)))</f>
        <v>Job Target Kosong</v>
      </c>
      <c r="N247" s="146" t="str">
        <f>IFERROR(IF(Data_Assessment[[#This Row],[IPP (3 YEARS AVERAGE)]]="","(IPP Belum Ada)",IF(Data_Assessment[[#This Row],[IPP (3 YEARS AVERAGE)]]&lt;2,'9 Grid'!$F$2,IF(Data_Assessment[[#This Row],[IPP (3 YEARS AVERAGE)]]&gt;=4,'9 Grid'!$D$2,'9 Grid'!$E$2))),"")</f>
        <v>Contributor</v>
      </c>
      <c r="O247" s="146" t="str">
        <f ca="1">IFERROR(INDEX('9 Grid'!$D$4:$F$6,MATCH('Rekomendasi HAV'!M247,'9 Grid'!$B$4:$B$6,0),MATCH('Rekomendasi HAV'!N247,'9 Grid'!$D$2:$F$2,0)),"")</f>
        <v/>
      </c>
      <c r="P247" s="147" t="str">
        <f>IFERROR(INDEX('9 Grid'!$D$8:$F$8,1,MATCH('Rekomendasi HAV'!N247,'9 Grid'!$D$2:$F$2,0)),"")</f>
        <v>(LT) More 2 - 3 year</v>
      </c>
    </row>
    <row r="248" spans="1:16" ht="28.5">
      <c r="A248" s="67">
        <v>247</v>
      </c>
      <c r="B248" s="68" t="str">
        <f>INDEX(Data_Assessment[],MATCH('Rekomendasi HAV'!$A248,Data_Assessment[[INDEX]:[INDEX]],0),MATCH('Rekomendasi HAV'!B$1,Data_Assessment[#Headers],0))</f>
        <v>Sitti Fadhilah</v>
      </c>
      <c r="C248" s="68" t="str">
        <f>INDEX(Data_Assessment[],MATCH('Rekomendasi HAV'!$A248,Data_Assessment[[INDEX]:[INDEX]],0),MATCH('Rekomendasi HAV'!C$1,Data_Assessment[#Headers],0))</f>
        <v>Palembang</v>
      </c>
      <c r="D248" s="68" t="str">
        <f>INDEX(Data_Assessment[],MATCH('Rekomendasi HAV'!$A248,Data_Assessment[[INDEX]:[INDEX]],0),MATCH('Rekomendasi HAV'!D$1,Data_Assessment[#Headers],0))</f>
        <v>LSIP - RO Palembang</v>
      </c>
      <c r="E248" s="68">
        <f>INDEX(Data_Assessment[],MATCH('Rekomendasi HAV'!$B248,Data_Assessment[[NAME]:[NAME]],0),MATCH('Rekomendasi HAV'!E$1,Data_Assessment[#Headers],0))</f>
        <v>0</v>
      </c>
      <c r="F248" s="68"/>
      <c r="G248" s="68">
        <f>IF(ISNUMBER(SEARCH("DEV",Assessment[[#This Row],[JOB TARGET]])),SUBSTITUTE(Assessment[[#This Row],[JOB TARGET]],"DEV","EST"),Assessment[[#This Row],[JOB TARGET]])</f>
        <v>0</v>
      </c>
      <c r="H248" s="146" t="str" cm="1">
        <f t="array" aca="1" ref="H248" ca="1">IF(Assessment[[#This Row],[JOB TARGET]]="","Job Target Kosong",IF(COUNT(IF('Data Assessment'!$N248:$Z248-OFFSET(Standar!$B$2,MATCH(Assessment[[#This Row],[JOB TARGET
(EST)]],Standar[NAMA JABATAN],0)-1,1,1,13)&lt;0,1,""))&lt;=3,'9 Grid'!$B$4,IF(COUNT(IF('Data Assessment'!$N248:$Z248-OFFSET(Standar!$B$2,MATCH(Assessment[[#This Row],[JOB TARGET]],Standar[NAMA JABATAN],0)-1,1,1,13)&lt;0,1,""))&gt;=7,'9 Grid'!$B$6,'9 Grid'!$B$5)))</f>
        <v>Job Target Kosong</v>
      </c>
      <c r="I248" s="146" t="str">
        <f>IFERROR(IF(Data_Assessment[[#This Row],[IPP (3 YEARS AVERAGE)]]="","(IPP Belum Ada)",IF(Data_Assessment[[#This Row],[IPP (3 YEARS AVERAGE)]]&lt;2,'9 Grid'!$F$2,IF(Data_Assessment[[#This Row],[IPP (3 YEARS AVERAGE)]]&gt;=4,'9 Grid'!$D$2,'9 Grid'!$E$2))),"")</f>
        <v>Fully Competence Performance</v>
      </c>
      <c r="J248" s="146" t="str">
        <f ca="1">IFERROR(INDEX('9 Grid'!$D$4:$F$6,MATCH('Rekomendasi HAV'!H248,'9 Grid'!$B$4:$B$6,0),MATCH('Rekomendasi HAV'!I248,'9 Grid'!$D$2:$F$2,0)),"")</f>
        <v/>
      </c>
      <c r="K248" s="146" t="str">
        <f>IFERROR(INDEX('9 Grid'!$D$8:$F$8,1,MATCH('Rekomendasi HAV'!I248,'9 Grid'!$D$2:$F$2,0)),"")</f>
        <v>(ST) Within 12 - 18 month</v>
      </c>
      <c r="L248" s="146">
        <f>IF(ISNUMBER(SEARCH("EST",Assessment[[#This Row],[JOB TARGET]])),SUBSTITUTE(Assessment[[#This Row],[JOB TARGET]],"EST","DEV"),Assessment[[#This Row],[JOB TARGET]])</f>
        <v>0</v>
      </c>
      <c r="M248" s="146" t="str" cm="1">
        <f t="array" aca="1" ref="M248" ca="1">IF(Assessment[[#This Row],[JOB TARGET]]="","Job Target Kosong",IF(COUNT(IF('Data Assessment'!$N248:$Z248-OFFSET(Standar!$B$2,MATCH(Assessment[[#This Row],[JOB TARGET
(DEV)]],Standar[NAMA JABATAN],0)-1,1,1,13)&lt;0,1,""))&lt;=3,'9 Grid'!$B$4,IF(COUNT(IF('Data Assessment'!$N248:$Z248-OFFSET(Standar!$B$2,MATCH(Assessment[[#This Row],[JOB TARGET
(DEV)]],Standar[NAMA JABATAN],0)-1,1,1,13)&lt;0,1,""))&gt;=7,'9 Grid'!$B$6,'9 Grid'!$B$5)))</f>
        <v>Job Target Kosong</v>
      </c>
      <c r="N248" s="146" t="str">
        <f>IFERROR(IF(Data_Assessment[[#This Row],[IPP (3 YEARS AVERAGE)]]="","(IPP Belum Ada)",IF(Data_Assessment[[#This Row],[IPP (3 YEARS AVERAGE)]]&lt;2,'9 Grid'!$F$2,IF(Data_Assessment[[#This Row],[IPP (3 YEARS AVERAGE)]]&gt;=4,'9 Grid'!$D$2,'9 Grid'!$E$2))),"")</f>
        <v>Fully Competence Performance</v>
      </c>
      <c r="O248" s="146" t="str">
        <f ca="1">IFERROR(INDEX('9 Grid'!$D$4:$F$6,MATCH('Rekomendasi HAV'!M248,'9 Grid'!$B$4:$B$6,0),MATCH('Rekomendasi HAV'!N248,'9 Grid'!$D$2:$F$2,0)),"")</f>
        <v/>
      </c>
      <c r="P248" s="147" t="str">
        <f>IFERROR(INDEX('9 Grid'!$D$8:$F$8,1,MATCH('Rekomendasi HAV'!N248,'9 Grid'!$D$2:$F$2,0)),"")</f>
        <v>(ST) Within 12 - 18 month</v>
      </c>
    </row>
    <row r="249" spans="1:16" ht="28.5">
      <c r="A249" s="67">
        <v>248</v>
      </c>
      <c r="B249" s="68" t="str">
        <f>INDEX(Data_Assessment[],MATCH('Rekomendasi HAV'!$A249,Data_Assessment[[INDEX]:[INDEX]],0),MATCH('Rekomendasi HAV'!B$1,Data_Assessment[#Headers],0))</f>
        <v>Endang Mulyono</v>
      </c>
      <c r="C249" s="68" t="str">
        <f>INDEX(Data_Assessment[],MATCH('Rekomendasi HAV'!$A249,Data_Assessment[[INDEX]:[INDEX]],0),MATCH('Rekomendasi HAV'!C$1,Data_Assessment[#Headers],0))</f>
        <v>Palembang</v>
      </c>
      <c r="D249" s="68" t="str">
        <f>INDEX(Data_Assessment[],MATCH('Rekomendasi HAV'!$A249,Data_Assessment[[INDEX]:[INDEX]],0),MATCH('Rekomendasi HAV'!D$1,Data_Assessment[#Headers],0))</f>
        <v>LSIP - RO Palembang</v>
      </c>
      <c r="E249" s="68">
        <f>INDEX(Data_Assessment[],MATCH('Rekomendasi HAV'!$B249,Data_Assessment[[NAME]:[NAME]],0),MATCH('Rekomendasi HAV'!E$1,Data_Assessment[#Headers],0))</f>
        <v>0</v>
      </c>
      <c r="F249" s="68"/>
      <c r="G249" s="68">
        <f>IF(ISNUMBER(SEARCH("DEV",Assessment[[#This Row],[JOB TARGET]])),SUBSTITUTE(Assessment[[#This Row],[JOB TARGET]],"DEV","EST"),Assessment[[#This Row],[JOB TARGET]])</f>
        <v>0</v>
      </c>
      <c r="H249" s="146" t="str" cm="1">
        <f t="array" aca="1" ref="H249" ca="1">IF(Assessment[[#This Row],[JOB TARGET]]="","Job Target Kosong",IF(COUNT(IF('Data Assessment'!$N249:$Z249-OFFSET(Standar!$B$2,MATCH(Assessment[[#This Row],[JOB TARGET
(EST)]],Standar[NAMA JABATAN],0)-1,1,1,13)&lt;0,1,""))&lt;=3,'9 Grid'!$B$4,IF(COUNT(IF('Data Assessment'!$N249:$Z249-OFFSET(Standar!$B$2,MATCH(Assessment[[#This Row],[JOB TARGET]],Standar[NAMA JABATAN],0)-1,1,1,13)&lt;0,1,""))&gt;=7,'9 Grid'!$B$6,'9 Grid'!$B$5)))</f>
        <v>Job Target Kosong</v>
      </c>
      <c r="I249" s="146" t="str">
        <f>IFERROR(IF(Data_Assessment[[#This Row],[IPP (3 YEARS AVERAGE)]]="","(IPP Belum Ada)",IF(Data_Assessment[[#This Row],[IPP (3 YEARS AVERAGE)]]&lt;2,'9 Grid'!$F$2,IF(Data_Assessment[[#This Row],[IPP (3 YEARS AVERAGE)]]&gt;=4,'9 Grid'!$D$2,'9 Grid'!$E$2))),"")</f>
        <v>Fully Competence Performance</v>
      </c>
      <c r="J249" s="146" t="str">
        <f ca="1">IFERROR(INDEX('9 Grid'!$D$4:$F$6,MATCH('Rekomendasi HAV'!H249,'9 Grid'!$B$4:$B$6,0),MATCH('Rekomendasi HAV'!I249,'9 Grid'!$D$2:$F$2,0)),"")</f>
        <v/>
      </c>
      <c r="K249" s="146" t="str">
        <f>IFERROR(INDEX('9 Grid'!$D$8:$F$8,1,MATCH('Rekomendasi HAV'!I249,'9 Grid'!$D$2:$F$2,0)),"")</f>
        <v>(ST) Within 12 - 18 month</v>
      </c>
      <c r="L249" s="146">
        <f>IF(ISNUMBER(SEARCH("EST",Assessment[[#This Row],[JOB TARGET]])),SUBSTITUTE(Assessment[[#This Row],[JOB TARGET]],"EST","DEV"),Assessment[[#This Row],[JOB TARGET]])</f>
        <v>0</v>
      </c>
      <c r="M249" s="146" t="str" cm="1">
        <f t="array" aca="1" ref="M249" ca="1">IF(Assessment[[#This Row],[JOB TARGET]]="","Job Target Kosong",IF(COUNT(IF('Data Assessment'!$N249:$Z249-OFFSET(Standar!$B$2,MATCH(Assessment[[#This Row],[JOB TARGET
(DEV)]],Standar[NAMA JABATAN],0)-1,1,1,13)&lt;0,1,""))&lt;=3,'9 Grid'!$B$4,IF(COUNT(IF('Data Assessment'!$N249:$Z249-OFFSET(Standar!$B$2,MATCH(Assessment[[#This Row],[JOB TARGET
(DEV)]],Standar[NAMA JABATAN],0)-1,1,1,13)&lt;0,1,""))&gt;=7,'9 Grid'!$B$6,'9 Grid'!$B$5)))</f>
        <v>Job Target Kosong</v>
      </c>
      <c r="N249" s="146" t="str">
        <f>IFERROR(IF(Data_Assessment[[#This Row],[IPP (3 YEARS AVERAGE)]]="","(IPP Belum Ada)",IF(Data_Assessment[[#This Row],[IPP (3 YEARS AVERAGE)]]&lt;2,'9 Grid'!$F$2,IF(Data_Assessment[[#This Row],[IPP (3 YEARS AVERAGE)]]&gt;=4,'9 Grid'!$D$2,'9 Grid'!$E$2))),"")</f>
        <v>Fully Competence Performance</v>
      </c>
      <c r="O249" s="146" t="str">
        <f ca="1">IFERROR(INDEX('9 Grid'!$D$4:$F$6,MATCH('Rekomendasi HAV'!M249,'9 Grid'!$B$4:$B$6,0),MATCH('Rekomendasi HAV'!N249,'9 Grid'!$D$2:$F$2,0)),"")</f>
        <v/>
      </c>
      <c r="P249" s="147" t="str">
        <f>IFERROR(INDEX('9 Grid'!$D$8:$F$8,1,MATCH('Rekomendasi HAV'!N249,'9 Grid'!$D$2:$F$2,0)),"")</f>
        <v>(ST) Within 12 - 18 month</v>
      </c>
    </row>
    <row r="250" spans="1:16" ht="28.5">
      <c r="A250" s="67">
        <v>249</v>
      </c>
      <c r="B250" s="68" t="str">
        <f>INDEX(Data_Assessment[],MATCH('Rekomendasi HAV'!$A250,Data_Assessment[[INDEX]:[INDEX]],0),MATCH('Rekomendasi HAV'!B$1,Data_Assessment[#Headers],0))</f>
        <v>Suriyanto</v>
      </c>
      <c r="C250" s="68" t="str">
        <f>INDEX(Data_Assessment[],MATCH('Rekomendasi HAV'!$A250,Data_Assessment[[INDEX]:[INDEX]],0),MATCH('Rekomendasi HAV'!C$1,Data_Assessment[#Headers],0))</f>
        <v>Sumatera Utara</v>
      </c>
      <c r="D250" s="68" t="str">
        <f>INDEX(Data_Assessment[],MATCH('Rekomendasi HAV'!$A250,Data_Assessment[[INDEX]:[INDEX]],0),MATCH('Rekomendasi HAV'!D$1,Data_Assessment[#Headers],0))</f>
        <v>LSIP - HO Jakarta</v>
      </c>
      <c r="E250" s="68">
        <f>INDEX(Data_Assessment[],MATCH('Rekomendasi HAV'!$B250,Data_Assessment[[NAME]:[NAME]],0),MATCH('Rekomendasi HAV'!E$1,Data_Assessment[#Headers],0))</f>
        <v>0</v>
      </c>
      <c r="F250" s="68"/>
      <c r="G250" s="68">
        <f>IF(ISNUMBER(SEARCH("DEV",Assessment[[#This Row],[JOB TARGET]])),SUBSTITUTE(Assessment[[#This Row],[JOB TARGET]],"DEV","EST"),Assessment[[#This Row],[JOB TARGET]])</f>
        <v>0</v>
      </c>
      <c r="H250" s="146" t="str" cm="1">
        <f t="array" aca="1" ref="H250" ca="1">IF(Assessment[[#This Row],[JOB TARGET]]="","Job Target Kosong",IF(COUNT(IF('Data Assessment'!$N250:$Z250-OFFSET(Standar!$B$2,MATCH(Assessment[[#This Row],[JOB TARGET
(EST)]],Standar[NAMA JABATAN],0)-1,1,1,13)&lt;0,1,""))&lt;=3,'9 Grid'!$B$4,IF(COUNT(IF('Data Assessment'!$N250:$Z250-OFFSET(Standar!$B$2,MATCH(Assessment[[#This Row],[JOB TARGET]],Standar[NAMA JABATAN],0)-1,1,1,13)&lt;0,1,""))&gt;=7,'9 Grid'!$B$6,'9 Grid'!$B$5)))</f>
        <v>Job Target Kosong</v>
      </c>
      <c r="I250" s="146" t="str">
        <f>IFERROR(IF(Data_Assessment[[#This Row],[IPP (3 YEARS AVERAGE)]]="","(IPP Belum Ada)",IF(Data_Assessment[[#This Row],[IPP (3 YEARS AVERAGE)]]&lt;2,'9 Grid'!$F$2,IF(Data_Assessment[[#This Row],[IPP (3 YEARS AVERAGE)]]&gt;=4,'9 Grid'!$D$2,'9 Grid'!$E$2))),"")</f>
        <v>Fully Competence Performance</v>
      </c>
      <c r="J250" s="146" t="str">
        <f ca="1">IFERROR(INDEX('9 Grid'!$D$4:$F$6,MATCH('Rekomendasi HAV'!H250,'9 Grid'!$B$4:$B$6,0),MATCH('Rekomendasi HAV'!I250,'9 Grid'!$D$2:$F$2,0)),"")</f>
        <v/>
      </c>
      <c r="K250" s="146" t="str">
        <f>IFERROR(INDEX('9 Grid'!$D$8:$F$8,1,MATCH('Rekomendasi HAV'!I250,'9 Grid'!$D$2:$F$2,0)),"")</f>
        <v>(ST) Within 12 - 18 month</v>
      </c>
      <c r="L250" s="146">
        <f>IF(ISNUMBER(SEARCH("EST",Assessment[[#This Row],[JOB TARGET]])),SUBSTITUTE(Assessment[[#This Row],[JOB TARGET]],"EST","DEV"),Assessment[[#This Row],[JOB TARGET]])</f>
        <v>0</v>
      </c>
      <c r="M250" s="146" t="str" cm="1">
        <f t="array" aca="1" ref="M250" ca="1">IF(Assessment[[#This Row],[JOB TARGET]]="","Job Target Kosong",IF(COUNT(IF('Data Assessment'!$N250:$Z250-OFFSET(Standar!$B$2,MATCH(Assessment[[#This Row],[JOB TARGET
(DEV)]],Standar[NAMA JABATAN],0)-1,1,1,13)&lt;0,1,""))&lt;=3,'9 Grid'!$B$4,IF(COUNT(IF('Data Assessment'!$N250:$Z250-OFFSET(Standar!$B$2,MATCH(Assessment[[#This Row],[JOB TARGET
(DEV)]],Standar[NAMA JABATAN],0)-1,1,1,13)&lt;0,1,""))&gt;=7,'9 Grid'!$B$6,'9 Grid'!$B$5)))</f>
        <v>Job Target Kosong</v>
      </c>
      <c r="N250" s="146" t="str">
        <f>IFERROR(IF(Data_Assessment[[#This Row],[IPP (3 YEARS AVERAGE)]]="","(IPP Belum Ada)",IF(Data_Assessment[[#This Row],[IPP (3 YEARS AVERAGE)]]&lt;2,'9 Grid'!$F$2,IF(Data_Assessment[[#This Row],[IPP (3 YEARS AVERAGE)]]&gt;=4,'9 Grid'!$D$2,'9 Grid'!$E$2))),"")</f>
        <v>Fully Competence Performance</v>
      </c>
      <c r="O250" s="146" t="str">
        <f ca="1">IFERROR(INDEX('9 Grid'!$D$4:$F$6,MATCH('Rekomendasi HAV'!M250,'9 Grid'!$B$4:$B$6,0),MATCH('Rekomendasi HAV'!N250,'9 Grid'!$D$2:$F$2,0)),"")</f>
        <v/>
      </c>
      <c r="P250" s="147" t="str">
        <f>IFERROR(INDEX('9 Grid'!$D$8:$F$8,1,MATCH('Rekomendasi HAV'!N250,'9 Grid'!$D$2:$F$2,0)),"")</f>
        <v>(ST) Within 12 - 18 month</v>
      </c>
    </row>
    <row r="251" spans="1:16" ht="14.25">
      <c r="A251" s="67">
        <v>250</v>
      </c>
      <c r="B251" s="68" t="str">
        <f>INDEX(Data_Assessment[],MATCH('Rekomendasi HAV'!$A251,Data_Assessment[[INDEX]:[INDEX]],0),MATCH('Rekomendasi HAV'!B$1,Data_Assessment[#Headers],0))</f>
        <v>Ahmad Nur</v>
      </c>
      <c r="C251" s="68" t="str">
        <f>INDEX(Data_Assessment[],MATCH('Rekomendasi HAV'!$A251,Data_Assessment[[INDEX]:[INDEX]],0),MATCH('Rekomendasi HAV'!C$1,Data_Assessment[#Headers],0))</f>
        <v>Palembang</v>
      </c>
      <c r="D251" s="68" t="str">
        <f>INDEX(Data_Assessment[],MATCH('Rekomendasi HAV'!$A251,Data_Assessment[[INDEX]:[INDEX]],0),MATCH('Rekomendasi HAV'!D$1,Data_Assessment[#Headers],0))</f>
        <v>LSIP - RO Palembang</v>
      </c>
      <c r="E251" s="68">
        <f>INDEX(Data_Assessment[],MATCH('Rekomendasi HAV'!$B251,Data_Assessment[[NAME]:[NAME]],0),MATCH('Rekomendasi HAV'!E$1,Data_Assessment[#Headers],0))</f>
        <v>0</v>
      </c>
      <c r="F251" s="68"/>
      <c r="G251" s="68">
        <f>IF(ISNUMBER(SEARCH("DEV",Assessment[[#This Row],[JOB TARGET]])),SUBSTITUTE(Assessment[[#This Row],[JOB TARGET]],"DEV","EST"),Assessment[[#This Row],[JOB TARGET]])</f>
        <v>0</v>
      </c>
      <c r="H251" s="146" t="str" cm="1">
        <f t="array" aca="1" ref="H251" ca="1">IF(Assessment[[#This Row],[JOB TARGET]]="","Job Target Kosong",IF(COUNT(IF('Data Assessment'!$N251:$Z251-OFFSET(Standar!$B$2,MATCH(Assessment[[#This Row],[JOB TARGET
(EST)]],Standar[NAMA JABATAN],0)-1,1,1,13)&lt;0,1,""))&lt;=3,'9 Grid'!$B$4,IF(COUNT(IF('Data Assessment'!$N251:$Z251-OFFSET(Standar!$B$2,MATCH(Assessment[[#This Row],[JOB TARGET]],Standar[NAMA JABATAN],0)-1,1,1,13)&lt;0,1,""))&gt;=7,'9 Grid'!$B$6,'9 Grid'!$B$5)))</f>
        <v>Job Target Kosong</v>
      </c>
      <c r="I251" s="146" t="str">
        <f>IFERROR(IF(Data_Assessment[[#This Row],[IPP (3 YEARS AVERAGE)]]="","(IPP Belum Ada)",IF(Data_Assessment[[#This Row],[IPP (3 YEARS AVERAGE)]]&lt;2,'9 Grid'!$F$2,IF(Data_Assessment[[#This Row],[IPP (3 YEARS AVERAGE)]]&gt;=4,'9 Grid'!$D$2,'9 Grid'!$E$2))),"")</f>
        <v>Exceptional Performance</v>
      </c>
      <c r="J251" s="146" t="str">
        <f ca="1">IFERROR(INDEX('9 Grid'!$D$4:$F$6,MATCH('Rekomendasi HAV'!H251,'9 Grid'!$B$4:$B$6,0),MATCH('Rekomendasi HAV'!I251,'9 Grid'!$D$2:$F$2,0)),"")</f>
        <v/>
      </c>
      <c r="K251" s="146" t="str">
        <f>IFERROR(INDEX('9 Grid'!$D$8:$F$8,1,MATCH('Rekomendasi HAV'!I251,'9 Grid'!$D$2:$F$2,0)),"")</f>
        <v>(I) Immediately</v>
      </c>
      <c r="L251" s="146">
        <f>IF(ISNUMBER(SEARCH("EST",Assessment[[#This Row],[JOB TARGET]])),SUBSTITUTE(Assessment[[#This Row],[JOB TARGET]],"EST","DEV"),Assessment[[#This Row],[JOB TARGET]])</f>
        <v>0</v>
      </c>
      <c r="M251" s="146" t="str" cm="1">
        <f t="array" aca="1" ref="M251" ca="1">IF(Assessment[[#This Row],[JOB TARGET]]="","Job Target Kosong",IF(COUNT(IF('Data Assessment'!$N251:$Z251-OFFSET(Standar!$B$2,MATCH(Assessment[[#This Row],[JOB TARGET
(DEV)]],Standar[NAMA JABATAN],0)-1,1,1,13)&lt;0,1,""))&lt;=3,'9 Grid'!$B$4,IF(COUNT(IF('Data Assessment'!$N251:$Z251-OFFSET(Standar!$B$2,MATCH(Assessment[[#This Row],[JOB TARGET
(DEV)]],Standar[NAMA JABATAN],0)-1,1,1,13)&lt;0,1,""))&gt;=7,'9 Grid'!$B$6,'9 Grid'!$B$5)))</f>
        <v>Job Target Kosong</v>
      </c>
      <c r="N251" s="146" t="str">
        <f>IFERROR(IF(Data_Assessment[[#This Row],[IPP (3 YEARS AVERAGE)]]="","(IPP Belum Ada)",IF(Data_Assessment[[#This Row],[IPP (3 YEARS AVERAGE)]]&lt;2,'9 Grid'!$F$2,IF(Data_Assessment[[#This Row],[IPP (3 YEARS AVERAGE)]]&gt;=4,'9 Grid'!$D$2,'9 Grid'!$E$2))),"")</f>
        <v>Exceptional Performance</v>
      </c>
      <c r="O251" s="146" t="str">
        <f ca="1">IFERROR(INDEX('9 Grid'!$D$4:$F$6,MATCH('Rekomendasi HAV'!M251,'9 Grid'!$B$4:$B$6,0),MATCH('Rekomendasi HAV'!N251,'9 Grid'!$D$2:$F$2,0)),"")</f>
        <v/>
      </c>
      <c r="P251" s="147" t="str">
        <f>IFERROR(INDEX('9 Grid'!$D$8:$F$8,1,MATCH('Rekomendasi HAV'!N251,'9 Grid'!$D$2:$F$2,0)),"")</f>
        <v>(I) Immediately</v>
      </c>
    </row>
    <row r="252" spans="1:16" ht="28.5">
      <c r="A252" s="67">
        <v>251</v>
      </c>
      <c r="B252" s="68" t="str">
        <f>INDEX(Data_Assessment[],MATCH('Rekomendasi HAV'!$A252,Data_Assessment[[INDEX]:[INDEX]],0),MATCH('Rekomendasi HAV'!B$1,Data_Assessment[#Headers],0))</f>
        <v>Elvian Satya P., SH</v>
      </c>
      <c r="C252" s="68" t="str">
        <f>INDEX(Data_Assessment[],MATCH('Rekomendasi HAV'!$A252,Data_Assessment[[INDEX]:[INDEX]],0),MATCH('Rekomendasi HAV'!C$1,Data_Assessment[#Headers],0))</f>
        <v>Palembang</v>
      </c>
      <c r="D252" s="68" t="str">
        <f>INDEX(Data_Assessment[],MATCH('Rekomendasi HAV'!$A252,Data_Assessment[[INDEX]:[INDEX]],0),MATCH('Rekomendasi HAV'!D$1,Data_Assessment[#Headers],0))</f>
        <v>LSIP - RO Palembang</v>
      </c>
      <c r="E252" s="68">
        <f>INDEX(Data_Assessment[],MATCH('Rekomendasi HAV'!$B252,Data_Assessment[[NAME]:[NAME]],0),MATCH('Rekomendasi HAV'!E$1,Data_Assessment[#Headers],0))</f>
        <v>0</v>
      </c>
      <c r="F252" s="68"/>
      <c r="G252" s="68">
        <f>IF(ISNUMBER(SEARCH("DEV",Assessment[[#This Row],[JOB TARGET]])),SUBSTITUTE(Assessment[[#This Row],[JOB TARGET]],"DEV","EST"),Assessment[[#This Row],[JOB TARGET]])</f>
        <v>0</v>
      </c>
      <c r="H252" s="146" t="str" cm="1">
        <f t="array" aca="1" ref="H252" ca="1">IF(Assessment[[#This Row],[JOB TARGET]]="","Job Target Kosong",IF(COUNT(IF('Data Assessment'!$N252:$Z252-OFFSET(Standar!$B$2,MATCH(Assessment[[#This Row],[JOB TARGET
(EST)]],Standar[NAMA JABATAN],0)-1,1,1,13)&lt;0,1,""))&lt;=3,'9 Grid'!$B$4,IF(COUNT(IF('Data Assessment'!$N252:$Z252-OFFSET(Standar!$B$2,MATCH(Assessment[[#This Row],[JOB TARGET]],Standar[NAMA JABATAN],0)-1,1,1,13)&lt;0,1,""))&gt;=7,'9 Grid'!$B$6,'9 Grid'!$B$5)))</f>
        <v>Job Target Kosong</v>
      </c>
      <c r="I252" s="146" t="str">
        <f>IFERROR(IF(Data_Assessment[[#This Row],[IPP (3 YEARS AVERAGE)]]="","(IPP Belum Ada)",IF(Data_Assessment[[#This Row],[IPP (3 YEARS AVERAGE)]]&lt;2,'9 Grid'!$F$2,IF(Data_Assessment[[#This Row],[IPP (3 YEARS AVERAGE)]]&gt;=4,'9 Grid'!$D$2,'9 Grid'!$E$2))),"")</f>
        <v>Fully Competence Performance</v>
      </c>
      <c r="J252" s="146" t="str">
        <f ca="1">IFERROR(INDEX('9 Grid'!$D$4:$F$6,MATCH('Rekomendasi HAV'!H252,'9 Grid'!$B$4:$B$6,0),MATCH('Rekomendasi HAV'!I252,'9 Grid'!$D$2:$F$2,0)),"")</f>
        <v/>
      </c>
      <c r="K252" s="146" t="str">
        <f>IFERROR(INDEX('9 Grid'!$D$8:$F$8,1,MATCH('Rekomendasi HAV'!I252,'9 Grid'!$D$2:$F$2,0)),"")</f>
        <v>(ST) Within 12 - 18 month</v>
      </c>
      <c r="L252" s="146">
        <f>IF(ISNUMBER(SEARCH("EST",Assessment[[#This Row],[JOB TARGET]])),SUBSTITUTE(Assessment[[#This Row],[JOB TARGET]],"EST","DEV"),Assessment[[#This Row],[JOB TARGET]])</f>
        <v>0</v>
      </c>
      <c r="M252" s="146" t="str" cm="1">
        <f t="array" aca="1" ref="M252" ca="1">IF(Assessment[[#This Row],[JOB TARGET]]="","Job Target Kosong",IF(COUNT(IF('Data Assessment'!$N252:$Z252-OFFSET(Standar!$B$2,MATCH(Assessment[[#This Row],[JOB TARGET
(DEV)]],Standar[NAMA JABATAN],0)-1,1,1,13)&lt;0,1,""))&lt;=3,'9 Grid'!$B$4,IF(COUNT(IF('Data Assessment'!$N252:$Z252-OFFSET(Standar!$B$2,MATCH(Assessment[[#This Row],[JOB TARGET
(DEV)]],Standar[NAMA JABATAN],0)-1,1,1,13)&lt;0,1,""))&gt;=7,'9 Grid'!$B$6,'9 Grid'!$B$5)))</f>
        <v>Job Target Kosong</v>
      </c>
      <c r="N252" s="146" t="str">
        <f>IFERROR(IF(Data_Assessment[[#This Row],[IPP (3 YEARS AVERAGE)]]="","(IPP Belum Ada)",IF(Data_Assessment[[#This Row],[IPP (3 YEARS AVERAGE)]]&lt;2,'9 Grid'!$F$2,IF(Data_Assessment[[#This Row],[IPP (3 YEARS AVERAGE)]]&gt;=4,'9 Grid'!$D$2,'9 Grid'!$E$2))),"")</f>
        <v>Fully Competence Performance</v>
      </c>
      <c r="O252" s="146" t="str">
        <f ca="1">IFERROR(INDEX('9 Grid'!$D$4:$F$6,MATCH('Rekomendasi HAV'!M252,'9 Grid'!$B$4:$B$6,0),MATCH('Rekomendasi HAV'!N252,'9 Grid'!$D$2:$F$2,0)),"")</f>
        <v/>
      </c>
      <c r="P252" s="147" t="str">
        <f>IFERROR(INDEX('9 Grid'!$D$8:$F$8,1,MATCH('Rekomendasi HAV'!N252,'9 Grid'!$D$2:$F$2,0)),"")</f>
        <v>(ST) Within 12 - 18 month</v>
      </c>
    </row>
    <row r="253" spans="1:16" ht="14.25">
      <c r="A253" s="67">
        <v>252</v>
      </c>
      <c r="B253" s="68" t="str">
        <f>INDEX(Data_Assessment[],MATCH('Rekomendasi HAV'!$A253,Data_Assessment[[INDEX]:[INDEX]],0),MATCH('Rekomendasi HAV'!B$1,Data_Assessment[#Headers],0))</f>
        <v>Suhaina Tasrima, ST</v>
      </c>
      <c r="C253" s="68" t="str">
        <f>INDEX(Data_Assessment[],MATCH('Rekomendasi HAV'!$A253,Data_Assessment[[INDEX]:[INDEX]],0),MATCH('Rekomendasi HAV'!C$1,Data_Assessment[#Headers],0))</f>
        <v>Palembang</v>
      </c>
      <c r="D253" s="68" t="str">
        <f>INDEX(Data_Assessment[],MATCH('Rekomendasi HAV'!$A253,Data_Assessment[[INDEX]:[INDEX]],0),MATCH('Rekomendasi HAV'!D$1,Data_Assessment[#Headers],0))</f>
        <v>LSIP - RO Palembang</v>
      </c>
      <c r="E253" s="68">
        <f>INDEX(Data_Assessment[],MATCH('Rekomendasi HAV'!$B253,Data_Assessment[[NAME]:[NAME]],0),MATCH('Rekomendasi HAV'!E$1,Data_Assessment[#Headers],0))</f>
        <v>0</v>
      </c>
      <c r="F253" s="68"/>
      <c r="G253" s="68">
        <f>IF(ISNUMBER(SEARCH("DEV",Assessment[[#This Row],[JOB TARGET]])),SUBSTITUTE(Assessment[[#This Row],[JOB TARGET]],"DEV","EST"),Assessment[[#This Row],[JOB TARGET]])</f>
        <v>0</v>
      </c>
      <c r="H253" s="146" t="str" cm="1">
        <f t="array" aca="1" ref="H253" ca="1">IF(Assessment[[#This Row],[JOB TARGET]]="","Job Target Kosong",IF(COUNT(IF('Data Assessment'!$N253:$Z253-OFFSET(Standar!$B$2,MATCH(Assessment[[#This Row],[JOB TARGET
(EST)]],Standar[NAMA JABATAN],0)-1,1,1,13)&lt;0,1,""))&lt;=3,'9 Grid'!$B$4,IF(COUNT(IF('Data Assessment'!$N253:$Z253-OFFSET(Standar!$B$2,MATCH(Assessment[[#This Row],[JOB TARGET]],Standar[NAMA JABATAN],0)-1,1,1,13)&lt;0,1,""))&gt;=7,'9 Grid'!$B$6,'9 Grid'!$B$5)))</f>
        <v>Job Target Kosong</v>
      </c>
      <c r="I253" s="146" t="str">
        <f>IFERROR(IF(Data_Assessment[[#This Row],[IPP (3 YEARS AVERAGE)]]="","(IPP Belum Ada)",IF(Data_Assessment[[#This Row],[IPP (3 YEARS AVERAGE)]]&lt;2,'9 Grid'!$F$2,IF(Data_Assessment[[#This Row],[IPP (3 YEARS AVERAGE)]]&gt;=4,'9 Grid'!$D$2,'9 Grid'!$E$2))),"")</f>
        <v>Exceptional Performance</v>
      </c>
      <c r="J253" s="146" t="str">
        <f ca="1">IFERROR(INDEX('9 Grid'!$D$4:$F$6,MATCH('Rekomendasi HAV'!H253,'9 Grid'!$B$4:$B$6,0),MATCH('Rekomendasi HAV'!I253,'9 Grid'!$D$2:$F$2,0)),"")</f>
        <v/>
      </c>
      <c r="K253" s="146" t="str">
        <f>IFERROR(INDEX('9 Grid'!$D$8:$F$8,1,MATCH('Rekomendasi HAV'!I253,'9 Grid'!$D$2:$F$2,0)),"")</f>
        <v>(I) Immediately</v>
      </c>
      <c r="L253" s="146">
        <f>IF(ISNUMBER(SEARCH("EST",Assessment[[#This Row],[JOB TARGET]])),SUBSTITUTE(Assessment[[#This Row],[JOB TARGET]],"EST","DEV"),Assessment[[#This Row],[JOB TARGET]])</f>
        <v>0</v>
      </c>
      <c r="M253" s="146" t="str" cm="1">
        <f t="array" aca="1" ref="M253" ca="1">IF(Assessment[[#This Row],[JOB TARGET]]="","Job Target Kosong",IF(COUNT(IF('Data Assessment'!$N253:$Z253-OFFSET(Standar!$B$2,MATCH(Assessment[[#This Row],[JOB TARGET
(DEV)]],Standar[NAMA JABATAN],0)-1,1,1,13)&lt;0,1,""))&lt;=3,'9 Grid'!$B$4,IF(COUNT(IF('Data Assessment'!$N253:$Z253-OFFSET(Standar!$B$2,MATCH(Assessment[[#This Row],[JOB TARGET
(DEV)]],Standar[NAMA JABATAN],0)-1,1,1,13)&lt;0,1,""))&gt;=7,'9 Grid'!$B$6,'9 Grid'!$B$5)))</f>
        <v>Job Target Kosong</v>
      </c>
      <c r="N253" s="146" t="str">
        <f>IFERROR(IF(Data_Assessment[[#This Row],[IPP (3 YEARS AVERAGE)]]="","(IPP Belum Ada)",IF(Data_Assessment[[#This Row],[IPP (3 YEARS AVERAGE)]]&lt;2,'9 Grid'!$F$2,IF(Data_Assessment[[#This Row],[IPP (3 YEARS AVERAGE)]]&gt;=4,'9 Grid'!$D$2,'9 Grid'!$E$2))),"")</f>
        <v>Exceptional Performance</v>
      </c>
      <c r="O253" s="146" t="str">
        <f ca="1">IFERROR(INDEX('9 Grid'!$D$4:$F$6,MATCH('Rekomendasi HAV'!M253,'9 Grid'!$B$4:$B$6,0),MATCH('Rekomendasi HAV'!N253,'9 Grid'!$D$2:$F$2,0)),"")</f>
        <v/>
      </c>
      <c r="P253" s="147" t="str">
        <f>IFERROR(INDEX('9 Grid'!$D$8:$F$8,1,MATCH('Rekomendasi HAV'!N253,'9 Grid'!$D$2:$F$2,0)),"")</f>
        <v>(I) Immediately</v>
      </c>
    </row>
    <row r="254" spans="1:16" ht="14.25">
      <c r="A254" s="67">
        <v>253</v>
      </c>
      <c r="B254" s="68" t="str">
        <f>INDEX(Data_Assessment[],MATCH('Rekomendasi HAV'!$A254,Data_Assessment[[INDEX]:[INDEX]],0),MATCH('Rekomendasi HAV'!B$1,Data_Assessment[#Headers],0))</f>
        <v>Masniari Sianturi</v>
      </c>
      <c r="C254" s="68" t="str">
        <f>INDEX(Data_Assessment[],MATCH('Rekomendasi HAV'!$A254,Data_Assessment[[INDEX]:[INDEX]],0),MATCH('Rekomendasi HAV'!C$1,Data_Assessment[#Headers],0))</f>
        <v>Palembang</v>
      </c>
      <c r="D254" s="68" t="str">
        <f>INDEX(Data_Assessment[],MATCH('Rekomendasi HAV'!$A254,Data_Assessment[[INDEX]:[INDEX]],0),MATCH('Rekomendasi HAV'!D$1,Data_Assessment[#Headers],0))</f>
        <v>LSIP - RO Palembang</v>
      </c>
      <c r="E254" s="68">
        <f>INDEX(Data_Assessment[],MATCH('Rekomendasi HAV'!$B254,Data_Assessment[[NAME]:[NAME]],0),MATCH('Rekomendasi HAV'!E$1,Data_Assessment[#Headers],0))</f>
        <v>0</v>
      </c>
      <c r="F254" s="68"/>
      <c r="G254" s="68">
        <f>IF(ISNUMBER(SEARCH("DEV",Assessment[[#This Row],[JOB TARGET]])),SUBSTITUTE(Assessment[[#This Row],[JOB TARGET]],"DEV","EST"),Assessment[[#This Row],[JOB TARGET]])</f>
        <v>0</v>
      </c>
      <c r="H254" s="146" t="str" cm="1">
        <f t="array" aca="1" ref="H254" ca="1">IF(Assessment[[#This Row],[JOB TARGET]]="","Job Target Kosong",IF(COUNT(IF('Data Assessment'!$N254:$Z254-OFFSET(Standar!$B$2,MATCH(Assessment[[#This Row],[JOB TARGET
(EST)]],Standar[NAMA JABATAN],0)-1,1,1,13)&lt;0,1,""))&lt;=3,'9 Grid'!$B$4,IF(COUNT(IF('Data Assessment'!$N254:$Z254-OFFSET(Standar!$B$2,MATCH(Assessment[[#This Row],[JOB TARGET]],Standar[NAMA JABATAN],0)-1,1,1,13)&lt;0,1,""))&gt;=7,'9 Grid'!$B$6,'9 Grid'!$B$5)))</f>
        <v>Job Target Kosong</v>
      </c>
      <c r="I254" s="146" t="str">
        <f>IFERROR(IF(Data_Assessment[[#This Row],[IPP (3 YEARS AVERAGE)]]="","(IPP Belum Ada)",IF(Data_Assessment[[#This Row],[IPP (3 YEARS AVERAGE)]]&lt;2,'9 Grid'!$F$2,IF(Data_Assessment[[#This Row],[IPP (3 YEARS AVERAGE)]]&gt;=4,'9 Grid'!$D$2,'9 Grid'!$E$2))),"")</f>
        <v>Exceptional Performance</v>
      </c>
      <c r="J254" s="146" t="str">
        <f ca="1">IFERROR(INDEX('9 Grid'!$D$4:$F$6,MATCH('Rekomendasi HAV'!H254,'9 Grid'!$B$4:$B$6,0),MATCH('Rekomendasi HAV'!I254,'9 Grid'!$D$2:$F$2,0)),"")</f>
        <v/>
      </c>
      <c r="K254" s="146" t="str">
        <f>IFERROR(INDEX('9 Grid'!$D$8:$F$8,1,MATCH('Rekomendasi HAV'!I254,'9 Grid'!$D$2:$F$2,0)),"")</f>
        <v>(I) Immediately</v>
      </c>
      <c r="L254" s="146">
        <f>IF(ISNUMBER(SEARCH("EST",Assessment[[#This Row],[JOB TARGET]])),SUBSTITUTE(Assessment[[#This Row],[JOB TARGET]],"EST","DEV"),Assessment[[#This Row],[JOB TARGET]])</f>
        <v>0</v>
      </c>
      <c r="M254" s="146" t="str" cm="1">
        <f t="array" aca="1" ref="M254" ca="1">IF(Assessment[[#This Row],[JOB TARGET]]="","Job Target Kosong",IF(COUNT(IF('Data Assessment'!$N254:$Z254-OFFSET(Standar!$B$2,MATCH(Assessment[[#This Row],[JOB TARGET
(DEV)]],Standar[NAMA JABATAN],0)-1,1,1,13)&lt;0,1,""))&lt;=3,'9 Grid'!$B$4,IF(COUNT(IF('Data Assessment'!$N254:$Z254-OFFSET(Standar!$B$2,MATCH(Assessment[[#This Row],[JOB TARGET
(DEV)]],Standar[NAMA JABATAN],0)-1,1,1,13)&lt;0,1,""))&gt;=7,'9 Grid'!$B$6,'9 Grid'!$B$5)))</f>
        <v>Job Target Kosong</v>
      </c>
      <c r="N254" s="146" t="str">
        <f>IFERROR(IF(Data_Assessment[[#This Row],[IPP (3 YEARS AVERAGE)]]="","(IPP Belum Ada)",IF(Data_Assessment[[#This Row],[IPP (3 YEARS AVERAGE)]]&lt;2,'9 Grid'!$F$2,IF(Data_Assessment[[#This Row],[IPP (3 YEARS AVERAGE)]]&gt;=4,'9 Grid'!$D$2,'9 Grid'!$E$2))),"")</f>
        <v>Exceptional Performance</v>
      </c>
      <c r="O254" s="146" t="str">
        <f ca="1">IFERROR(INDEX('9 Grid'!$D$4:$F$6,MATCH('Rekomendasi HAV'!M254,'9 Grid'!$B$4:$B$6,0),MATCH('Rekomendasi HAV'!N254,'9 Grid'!$D$2:$F$2,0)),"")</f>
        <v/>
      </c>
      <c r="P254" s="147" t="str">
        <f>IFERROR(INDEX('9 Grid'!$D$8:$F$8,1,MATCH('Rekomendasi HAV'!N254,'9 Grid'!$D$2:$F$2,0)),"")</f>
        <v>(I) Immediately</v>
      </c>
    </row>
    <row r="255" spans="1:16" ht="28.5">
      <c r="A255" s="67">
        <v>254</v>
      </c>
      <c r="B255" s="68" t="str">
        <f>INDEX(Data_Assessment[],MATCH('Rekomendasi HAV'!$A255,Data_Assessment[[INDEX]:[INDEX]],0),MATCH('Rekomendasi HAV'!B$1,Data_Assessment[#Headers],0))</f>
        <v>Firdaus Azis</v>
      </c>
      <c r="C255" s="68" t="str">
        <f>INDEX(Data_Assessment[],MATCH('Rekomendasi HAV'!$A255,Data_Assessment[[INDEX]:[INDEX]],0),MATCH('Rekomendasi HAV'!C$1,Data_Assessment[#Headers],0))</f>
        <v>Palembang</v>
      </c>
      <c r="D255" s="68" t="str">
        <f>INDEX(Data_Assessment[],MATCH('Rekomendasi HAV'!$A255,Data_Assessment[[INDEX]:[INDEX]],0),MATCH('Rekomendasi HAV'!D$1,Data_Assessment[#Headers],0))</f>
        <v>LSIP - RO Palembang</v>
      </c>
      <c r="E255" s="68">
        <f>INDEX(Data_Assessment[],MATCH('Rekomendasi HAV'!$B255,Data_Assessment[[NAME]:[NAME]],0),MATCH('Rekomendasi HAV'!E$1,Data_Assessment[#Headers],0))</f>
        <v>0</v>
      </c>
      <c r="F255" s="68"/>
      <c r="G255" s="68">
        <f>IF(ISNUMBER(SEARCH("DEV",Assessment[[#This Row],[JOB TARGET]])),SUBSTITUTE(Assessment[[#This Row],[JOB TARGET]],"DEV","EST"),Assessment[[#This Row],[JOB TARGET]])</f>
        <v>0</v>
      </c>
      <c r="H255" s="146" t="str" cm="1">
        <f t="array" aca="1" ref="H255" ca="1">IF(Assessment[[#This Row],[JOB TARGET]]="","Job Target Kosong",IF(COUNT(IF('Data Assessment'!$N255:$Z255-OFFSET(Standar!$B$2,MATCH(Assessment[[#This Row],[JOB TARGET
(EST)]],Standar[NAMA JABATAN],0)-1,1,1,13)&lt;0,1,""))&lt;=3,'9 Grid'!$B$4,IF(COUNT(IF('Data Assessment'!$N255:$Z255-OFFSET(Standar!$B$2,MATCH(Assessment[[#This Row],[JOB TARGET]],Standar[NAMA JABATAN],0)-1,1,1,13)&lt;0,1,""))&gt;=7,'9 Grid'!$B$6,'9 Grid'!$B$5)))</f>
        <v>Job Target Kosong</v>
      </c>
      <c r="I255" s="146" t="str">
        <f>IFERROR(IF(Data_Assessment[[#This Row],[IPP (3 YEARS AVERAGE)]]="","(IPP Belum Ada)",IF(Data_Assessment[[#This Row],[IPP (3 YEARS AVERAGE)]]&lt;2,'9 Grid'!$F$2,IF(Data_Assessment[[#This Row],[IPP (3 YEARS AVERAGE)]]&gt;=4,'9 Grid'!$D$2,'9 Grid'!$E$2))),"")</f>
        <v>Fully Competence Performance</v>
      </c>
      <c r="J255" s="146" t="str">
        <f ca="1">IFERROR(INDEX('9 Grid'!$D$4:$F$6,MATCH('Rekomendasi HAV'!H255,'9 Grid'!$B$4:$B$6,0),MATCH('Rekomendasi HAV'!I255,'9 Grid'!$D$2:$F$2,0)),"")</f>
        <v/>
      </c>
      <c r="K255" s="146" t="str">
        <f>IFERROR(INDEX('9 Grid'!$D$8:$F$8,1,MATCH('Rekomendasi HAV'!I255,'9 Grid'!$D$2:$F$2,0)),"")</f>
        <v>(ST) Within 12 - 18 month</v>
      </c>
      <c r="L255" s="146">
        <f>IF(ISNUMBER(SEARCH("EST",Assessment[[#This Row],[JOB TARGET]])),SUBSTITUTE(Assessment[[#This Row],[JOB TARGET]],"EST","DEV"),Assessment[[#This Row],[JOB TARGET]])</f>
        <v>0</v>
      </c>
      <c r="M255" s="146" t="str" cm="1">
        <f t="array" aca="1" ref="M255" ca="1">IF(Assessment[[#This Row],[JOB TARGET]]="","Job Target Kosong",IF(COUNT(IF('Data Assessment'!$N255:$Z255-OFFSET(Standar!$B$2,MATCH(Assessment[[#This Row],[JOB TARGET
(DEV)]],Standar[NAMA JABATAN],0)-1,1,1,13)&lt;0,1,""))&lt;=3,'9 Grid'!$B$4,IF(COUNT(IF('Data Assessment'!$N255:$Z255-OFFSET(Standar!$B$2,MATCH(Assessment[[#This Row],[JOB TARGET
(DEV)]],Standar[NAMA JABATAN],0)-1,1,1,13)&lt;0,1,""))&gt;=7,'9 Grid'!$B$6,'9 Grid'!$B$5)))</f>
        <v>Job Target Kosong</v>
      </c>
      <c r="N255" s="146" t="str">
        <f>IFERROR(IF(Data_Assessment[[#This Row],[IPP (3 YEARS AVERAGE)]]="","(IPP Belum Ada)",IF(Data_Assessment[[#This Row],[IPP (3 YEARS AVERAGE)]]&lt;2,'9 Grid'!$F$2,IF(Data_Assessment[[#This Row],[IPP (3 YEARS AVERAGE)]]&gt;=4,'9 Grid'!$D$2,'9 Grid'!$E$2))),"")</f>
        <v>Fully Competence Performance</v>
      </c>
      <c r="O255" s="146" t="str">
        <f ca="1">IFERROR(INDEX('9 Grid'!$D$4:$F$6,MATCH('Rekomendasi HAV'!M255,'9 Grid'!$B$4:$B$6,0),MATCH('Rekomendasi HAV'!N255,'9 Grid'!$D$2:$F$2,0)),"")</f>
        <v/>
      </c>
      <c r="P255" s="147" t="str">
        <f>IFERROR(INDEX('9 Grid'!$D$8:$F$8,1,MATCH('Rekomendasi HAV'!N255,'9 Grid'!$D$2:$F$2,0)),"")</f>
        <v>(ST) Within 12 - 18 month</v>
      </c>
    </row>
    <row r="256" spans="1:16" ht="28.5">
      <c r="A256" s="67">
        <v>255</v>
      </c>
      <c r="B256" s="68" t="str">
        <f>INDEX(Data_Assessment[],MATCH('Rekomendasi HAV'!$A256,Data_Assessment[[INDEX]:[INDEX]],0),MATCH('Rekomendasi HAV'!B$1,Data_Assessment[#Headers],0))</f>
        <v>Endang Saptorini</v>
      </c>
      <c r="C256" s="68" t="str">
        <f>INDEX(Data_Assessment[],MATCH('Rekomendasi HAV'!$A256,Data_Assessment[[INDEX]:[INDEX]],0),MATCH('Rekomendasi HAV'!C$1,Data_Assessment[#Headers],0))</f>
        <v>Samarinda</v>
      </c>
      <c r="D256" s="68" t="str">
        <f>INDEX(Data_Assessment[],MATCH('Rekomendasi HAV'!$A256,Data_Assessment[[INDEX]:[INDEX]],0),MATCH('Rekomendasi HAV'!D$1,Data_Assessment[#Headers],0))</f>
        <v>LSIP - RO Samarinda</v>
      </c>
      <c r="E256" s="68">
        <f>INDEX(Data_Assessment[],MATCH('Rekomendasi HAV'!$B256,Data_Assessment[[NAME]:[NAME]],0),MATCH('Rekomendasi HAV'!E$1,Data_Assessment[#Headers],0))</f>
        <v>0</v>
      </c>
      <c r="F256" s="68"/>
      <c r="G256" s="68">
        <f>IF(ISNUMBER(SEARCH("DEV",Assessment[[#This Row],[JOB TARGET]])),SUBSTITUTE(Assessment[[#This Row],[JOB TARGET]],"DEV","EST"),Assessment[[#This Row],[JOB TARGET]])</f>
        <v>0</v>
      </c>
      <c r="H256" s="146" t="str" cm="1">
        <f t="array" aca="1" ref="H256" ca="1">IF(Assessment[[#This Row],[JOB TARGET]]="","Job Target Kosong",IF(COUNT(IF('Data Assessment'!$N256:$Z256-OFFSET(Standar!$B$2,MATCH(Assessment[[#This Row],[JOB TARGET
(EST)]],Standar[NAMA JABATAN],0)-1,1,1,13)&lt;0,1,""))&lt;=3,'9 Grid'!$B$4,IF(COUNT(IF('Data Assessment'!$N256:$Z256-OFFSET(Standar!$B$2,MATCH(Assessment[[#This Row],[JOB TARGET]],Standar[NAMA JABATAN],0)-1,1,1,13)&lt;0,1,""))&gt;=7,'9 Grid'!$B$6,'9 Grid'!$B$5)))</f>
        <v>Job Target Kosong</v>
      </c>
      <c r="I256" s="146" t="str">
        <f>IFERROR(IF(Data_Assessment[[#This Row],[IPP (3 YEARS AVERAGE)]]="","(IPP Belum Ada)",IF(Data_Assessment[[#This Row],[IPP (3 YEARS AVERAGE)]]&lt;2,'9 Grid'!$F$2,IF(Data_Assessment[[#This Row],[IPP (3 YEARS AVERAGE)]]&gt;=4,'9 Grid'!$D$2,'9 Grid'!$E$2))),"")</f>
        <v>Fully Competence Performance</v>
      </c>
      <c r="J256" s="146" t="str">
        <f ca="1">IFERROR(INDEX('9 Grid'!$D$4:$F$6,MATCH('Rekomendasi HAV'!H256,'9 Grid'!$B$4:$B$6,0),MATCH('Rekomendasi HAV'!I256,'9 Grid'!$D$2:$F$2,0)),"")</f>
        <v/>
      </c>
      <c r="K256" s="146" t="str">
        <f>IFERROR(INDEX('9 Grid'!$D$8:$F$8,1,MATCH('Rekomendasi HAV'!I256,'9 Grid'!$D$2:$F$2,0)),"")</f>
        <v>(ST) Within 12 - 18 month</v>
      </c>
      <c r="L256" s="146">
        <f>IF(ISNUMBER(SEARCH("EST",Assessment[[#This Row],[JOB TARGET]])),SUBSTITUTE(Assessment[[#This Row],[JOB TARGET]],"EST","DEV"),Assessment[[#This Row],[JOB TARGET]])</f>
        <v>0</v>
      </c>
      <c r="M256" s="146" t="str" cm="1">
        <f t="array" aca="1" ref="M256" ca="1">IF(Assessment[[#This Row],[JOB TARGET]]="","Job Target Kosong",IF(COUNT(IF('Data Assessment'!$N256:$Z256-OFFSET(Standar!$B$2,MATCH(Assessment[[#This Row],[JOB TARGET
(DEV)]],Standar[NAMA JABATAN],0)-1,1,1,13)&lt;0,1,""))&lt;=3,'9 Grid'!$B$4,IF(COUNT(IF('Data Assessment'!$N256:$Z256-OFFSET(Standar!$B$2,MATCH(Assessment[[#This Row],[JOB TARGET
(DEV)]],Standar[NAMA JABATAN],0)-1,1,1,13)&lt;0,1,""))&gt;=7,'9 Grid'!$B$6,'9 Grid'!$B$5)))</f>
        <v>Job Target Kosong</v>
      </c>
      <c r="N256" s="146" t="str">
        <f>IFERROR(IF(Data_Assessment[[#This Row],[IPP (3 YEARS AVERAGE)]]="","(IPP Belum Ada)",IF(Data_Assessment[[#This Row],[IPP (3 YEARS AVERAGE)]]&lt;2,'9 Grid'!$F$2,IF(Data_Assessment[[#This Row],[IPP (3 YEARS AVERAGE)]]&gt;=4,'9 Grid'!$D$2,'9 Grid'!$E$2))),"")</f>
        <v>Fully Competence Performance</v>
      </c>
      <c r="O256" s="146" t="str">
        <f ca="1">IFERROR(INDEX('9 Grid'!$D$4:$F$6,MATCH('Rekomendasi HAV'!M256,'9 Grid'!$B$4:$B$6,0),MATCH('Rekomendasi HAV'!N256,'9 Grid'!$D$2:$F$2,0)),"")</f>
        <v/>
      </c>
      <c r="P256" s="147" t="str">
        <f>IFERROR(INDEX('9 Grid'!$D$8:$F$8,1,MATCH('Rekomendasi HAV'!N256,'9 Grid'!$D$2:$F$2,0)),"")</f>
        <v>(ST) Within 12 - 18 month</v>
      </c>
    </row>
    <row r="257" spans="1:16" ht="28.5">
      <c r="A257" s="67">
        <v>256</v>
      </c>
      <c r="B257" s="68" t="str">
        <f>INDEX(Data_Assessment[],MATCH('Rekomendasi HAV'!$A257,Data_Assessment[[INDEX]:[INDEX]],0),MATCH('Rekomendasi HAV'!B$1,Data_Assessment[#Headers],0))</f>
        <v>Sumartini</v>
      </c>
      <c r="C257" s="68" t="str">
        <f>INDEX(Data_Assessment[],MATCH('Rekomendasi HAV'!$A257,Data_Assessment[[INDEX]:[INDEX]],0),MATCH('Rekomendasi HAV'!C$1,Data_Assessment[#Headers],0))</f>
        <v>Samarinda</v>
      </c>
      <c r="D257" s="68" t="str">
        <f>INDEX(Data_Assessment[],MATCH('Rekomendasi HAV'!$A257,Data_Assessment[[INDEX]:[INDEX]],0),MATCH('Rekomendasi HAV'!D$1,Data_Assessment[#Headers],0))</f>
        <v>LSIP - RO Samarinda</v>
      </c>
      <c r="E257" s="68">
        <f>INDEX(Data_Assessment[],MATCH('Rekomendasi HAV'!$B257,Data_Assessment[[NAME]:[NAME]],0),MATCH('Rekomendasi HAV'!E$1,Data_Assessment[#Headers],0))</f>
        <v>0</v>
      </c>
      <c r="F257" s="68"/>
      <c r="G257" s="68">
        <f>IF(ISNUMBER(SEARCH("DEV",Assessment[[#This Row],[JOB TARGET]])),SUBSTITUTE(Assessment[[#This Row],[JOB TARGET]],"DEV","EST"),Assessment[[#This Row],[JOB TARGET]])</f>
        <v>0</v>
      </c>
      <c r="H257" s="146" t="str" cm="1">
        <f t="array" aca="1" ref="H257" ca="1">IF(Assessment[[#This Row],[JOB TARGET]]="","Job Target Kosong",IF(COUNT(IF('Data Assessment'!$N257:$Z257-OFFSET(Standar!$B$2,MATCH(Assessment[[#This Row],[JOB TARGET
(EST)]],Standar[NAMA JABATAN],0)-1,1,1,13)&lt;0,1,""))&lt;=3,'9 Grid'!$B$4,IF(COUNT(IF('Data Assessment'!$N257:$Z257-OFFSET(Standar!$B$2,MATCH(Assessment[[#This Row],[JOB TARGET]],Standar[NAMA JABATAN],0)-1,1,1,13)&lt;0,1,""))&gt;=7,'9 Grid'!$B$6,'9 Grid'!$B$5)))</f>
        <v>Job Target Kosong</v>
      </c>
      <c r="I257" s="146" t="str">
        <f>IFERROR(IF(Data_Assessment[[#This Row],[IPP (3 YEARS AVERAGE)]]="","(IPP Belum Ada)",IF(Data_Assessment[[#This Row],[IPP (3 YEARS AVERAGE)]]&lt;2,'9 Grid'!$F$2,IF(Data_Assessment[[#This Row],[IPP (3 YEARS AVERAGE)]]&gt;=4,'9 Grid'!$D$2,'9 Grid'!$E$2))),"")</f>
        <v>Fully Competence Performance</v>
      </c>
      <c r="J257" s="146" t="str">
        <f ca="1">IFERROR(INDEX('9 Grid'!$D$4:$F$6,MATCH('Rekomendasi HAV'!H257,'9 Grid'!$B$4:$B$6,0),MATCH('Rekomendasi HAV'!I257,'9 Grid'!$D$2:$F$2,0)),"")</f>
        <v/>
      </c>
      <c r="K257" s="146" t="str">
        <f>IFERROR(INDEX('9 Grid'!$D$8:$F$8,1,MATCH('Rekomendasi HAV'!I257,'9 Grid'!$D$2:$F$2,0)),"")</f>
        <v>(ST) Within 12 - 18 month</v>
      </c>
      <c r="L257" s="146">
        <f>IF(ISNUMBER(SEARCH("EST",Assessment[[#This Row],[JOB TARGET]])),SUBSTITUTE(Assessment[[#This Row],[JOB TARGET]],"EST","DEV"),Assessment[[#This Row],[JOB TARGET]])</f>
        <v>0</v>
      </c>
      <c r="M257" s="146" t="str" cm="1">
        <f t="array" aca="1" ref="M257" ca="1">IF(Assessment[[#This Row],[JOB TARGET]]="","Job Target Kosong",IF(COUNT(IF('Data Assessment'!$N257:$Z257-OFFSET(Standar!$B$2,MATCH(Assessment[[#This Row],[JOB TARGET
(DEV)]],Standar[NAMA JABATAN],0)-1,1,1,13)&lt;0,1,""))&lt;=3,'9 Grid'!$B$4,IF(COUNT(IF('Data Assessment'!$N257:$Z257-OFFSET(Standar!$B$2,MATCH(Assessment[[#This Row],[JOB TARGET
(DEV)]],Standar[NAMA JABATAN],0)-1,1,1,13)&lt;0,1,""))&gt;=7,'9 Grid'!$B$6,'9 Grid'!$B$5)))</f>
        <v>Job Target Kosong</v>
      </c>
      <c r="N257" s="146" t="str">
        <f>IFERROR(IF(Data_Assessment[[#This Row],[IPP (3 YEARS AVERAGE)]]="","(IPP Belum Ada)",IF(Data_Assessment[[#This Row],[IPP (3 YEARS AVERAGE)]]&lt;2,'9 Grid'!$F$2,IF(Data_Assessment[[#This Row],[IPP (3 YEARS AVERAGE)]]&gt;=4,'9 Grid'!$D$2,'9 Grid'!$E$2))),"")</f>
        <v>Fully Competence Performance</v>
      </c>
      <c r="O257" s="146" t="str">
        <f ca="1">IFERROR(INDEX('9 Grid'!$D$4:$F$6,MATCH('Rekomendasi HAV'!M257,'9 Grid'!$B$4:$B$6,0),MATCH('Rekomendasi HAV'!N257,'9 Grid'!$D$2:$F$2,0)),"")</f>
        <v/>
      </c>
      <c r="P257" s="147" t="str">
        <f>IFERROR(INDEX('9 Grid'!$D$8:$F$8,1,MATCH('Rekomendasi HAV'!N257,'9 Grid'!$D$2:$F$2,0)),"")</f>
        <v>(ST) Within 12 - 18 month</v>
      </c>
    </row>
    <row r="258" spans="1:16" ht="28.5">
      <c r="A258" s="67">
        <v>257</v>
      </c>
      <c r="B258" s="68" t="str">
        <f>INDEX(Data_Assessment[],MATCH('Rekomendasi HAV'!$A258,Data_Assessment[[INDEX]:[INDEX]],0),MATCH('Rekomendasi HAV'!B$1,Data_Assessment[#Headers],0))</f>
        <v>Ahmad Khairi Lubis, Ir</v>
      </c>
      <c r="C258" s="68" t="str">
        <f>INDEX(Data_Assessment[],MATCH('Rekomendasi HAV'!$A258,Data_Assessment[[INDEX]:[INDEX]],0),MATCH('Rekomendasi HAV'!C$1,Data_Assessment[#Headers],0))</f>
        <v>Samarinda</v>
      </c>
      <c r="D258" s="68" t="str">
        <f>INDEX(Data_Assessment[],MATCH('Rekomendasi HAV'!$A258,Data_Assessment[[INDEX]:[INDEX]],0),MATCH('Rekomendasi HAV'!D$1,Data_Assessment[#Headers],0))</f>
        <v>LSIP - RO Samarinda</v>
      </c>
      <c r="E258" s="68">
        <f>INDEX(Data_Assessment[],MATCH('Rekomendasi HAV'!$B258,Data_Assessment[[NAME]:[NAME]],0),MATCH('Rekomendasi HAV'!E$1,Data_Assessment[#Headers],0))</f>
        <v>0</v>
      </c>
      <c r="F258" s="68"/>
      <c r="G258" s="68">
        <f>IF(ISNUMBER(SEARCH("DEV",Assessment[[#This Row],[JOB TARGET]])),SUBSTITUTE(Assessment[[#This Row],[JOB TARGET]],"DEV","EST"),Assessment[[#This Row],[JOB TARGET]])</f>
        <v>0</v>
      </c>
      <c r="H258" s="146" t="str" cm="1">
        <f t="array" aca="1" ref="H258" ca="1">IF(Assessment[[#This Row],[JOB TARGET]]="","Job Target Kosong",IF(COUNT(IF('Data Assessment'!$N258:$Z258-OFFSET(Standar!$B$2,MATCH(Assessment[[#This Row],[JOB TARGET
(EST)]],Standar[NAMA JABATAN],0)-1,1,1,13)&lt;0,1,""))&lt;=3,'9 Grid'!$B$4,IF(COUNT(IF('Data Assessment'!$N258:$Z258-OFFSET(Standar!$B$2,MATCH(Assessment[[#This Row],[JOB TARGET]],Standar[NAMA JABATAN],0)-1,1,1,13)&lt;0,1,""))&gt;=7,'9 Grid'!$B$6,'9 Grid'!$B$5)))</f>
        <v>Job Target Kosong</v>
      </c>
      <c r="I258" s="146" t="str">
        <f>IFERROR(IF(Data_Assessment[[#This Row],[IPP (3 YEARS AVERAGE)]]="","(IPP Belum Ada)",IF(Data_Assessment[[#This Row],[IPP (3 YEARS AVERAGE)]]&lt;2,'9 Grid'!$F$2,IF(Data_Assessment[[#This Row],[IPP (3 YEARS AVERAGE)]]&gt;=4,'9 Grid'!$D$2,'9 Grid'!$E$2))),"")</f>
        <v>Fully Competence Performance</v>
      </c>
      <c r="J258" s="146" t="str">
        <f ca="1">IFERROR(INDEX('9 Grid'!$D$4:$F$6,MATCH('Rekomendasi HAV'!H258,'9 Grid'!$B$4:$B$6,0),MATCH('Rekomendasi HAV'!I258,'9 Grid'!$D$2:$F$2,0)),"")</f>
        <v/>
      </c>
      <c r="K258" s="146" t="str">
        <f>IFERROR(INDEX('9 Grid'!$D$8:$F$8,1,MATCH('Rekomendasi HAV'!I258,'9 Grid'!$D$2:$F$2,0)),"")</f>
        <v>(ST) Within 12 - 18 month</v>
      </c>
      <c r="L258" s="146">
        <f>IF(ISNUMBER(SEARCH("EST",Assessment[[#This Row],[JOB TARGET]])),SUBSTITUTE(Assessment[[#This Row],[JOB TARGET]],"EST","DEV"),Assessment[[#This Row],[JOB TARGET]])</f>
        <v>0</v>
      </c>
      <c r="M258" s="146" t="str" cm="1">
        <f t="array" aca="1" ref="M258" ca="1">IF(Assessment[[#This Row],[JOB TARGET]]="","Job Target Kosong",IF(COUNT(IF('Data Assessment'!$N258:$Z258-OFFSET(Standar!$B$2,MATCH(Assessment[[#This Row],[JOB TARGET
(DEV)]],Standar[NAMA JABATAN],0)-1,1,1,13)&lt;0,1,""))&lt;=3,'9 Grid'!$B$4,IF(COUNT(IF('Data Assessment'!$N258:$Z258-OFFSET(Standar!$B$2,MATCH(Assessment[[#This Row],[JOB TARGET
(DEV)]],Standar[NAMA JABATAN],0)-1,1,1,13)&lt;0,1,""))&gt;=7,'9 Grid'!$B$6,'9 Grid'!$B$5)))</f>
        <v>Job Target Kosong</v>
      </c>
      <c r="N258" s="146" t="str">
        <f>IFERROR(IF(Data_Assessment[[#This Row],[IPP (3 YEARS AVERAGE)]]="","(IPP Belum Ada)",IF(Data_Assessment[[#This Row],[IPP (3 YEARS AVERAGE)]]&lt;2,'9 Grid'!$F$2,IF(Data_Assessment[[#This Row],[IPP (3 YEARS AVERAGE)]]&gt;=4,'9 Grid'!$D$2,'9 Grid'!$E$2))),"")</f>
        <v>Fully Competence Performance</v>
      </c>
      <c r="O258" s="146" t="str">
        <f ca="1">IFERROR(INDEX('9 Grid'!$D$4:$F$6,MATCH('Rekomendasi HAV'!M258,'9 Grid'!$B$4:$B$6,0),MATCH('Rekomendasi HAV'!N258,'9 Grid'!$D$2:$F$2,0)),"")</f>
        <v/>
      </c>
      <c r="P258" s="147" t="str">
        <f>IFERROR(INDEX('9 Grid'!$D$8:$F$8,1,MATCH('Rekomendasi HAV'!N258,'9 Grid'!$D$2:$F$2,0)),"")</f>
        <v>(ST) Within 12 - 18 month</v>
      </c>
    </row>
    <row r="259" spans="1:16" ht="28.5">
      <c r="A259" s="67">
        <v>258</v>
      </c>
      <c r="B259" s="68" t="str">
        <f>INDEX(Data_Assessment[],MATCH('Rekomendasi HAV'!$A259,Data_Assessment[[INDEX]:[INDEX]],0),MATCH('Rekomendasi HAV'!B$1,Data_Assessment[#Headers],0))</f>
        <v>Abdullah Sandi, SH</v>
      </c>
      <c r="C259" s="68" t="str">
        <f>INDEX(Data_Assessment[],MATCH('Rekomendasi HAV'!$A259,Data_Assessment[[INDEX]:[INDEX]],0),MATCH('Rekomendasi HAV'!C$1,Data_Assessment[#Headers],0))</f>
        <v>Sumatera Selatan</v>
      </c>
      <c r="D259" s="68" t="str">
        <f>INDEX(Data_Assessment[],MATCH('Rekomendasi HAV'!$A259,Data_Assessment[[INDEX]:[INDEX]],0),MATCH('Rekomendasi HAV'!D$1,Data_Assessment[#Headers],0))</f>
        <v>LSIP - RO Palembang</v>
      </c>
      <c r="E259" s="68">
        <f>INDEX(Data_Assessment[],MATCH('Rekomendasi HAV'!$B259,Data_Assessment[[NAME]:[NAME]],0),MATCH('Rekomendasi HAV'!E$1,Data_Assessment[#Headers],0))</f>
        <v>0</v>
      </c>
      <c r="F259" s="68"/>
      <c r="G259" s="68">
        <f>IF(ISNUMBER(SEARCH("DEV",Assessment[[#This Row],[JOB TARGET]])),SUBSTITUTE(Assessment[[#This Row],[JOB TARGET]],"DEV","EST"),Assessment[[#This Row],[JOB TARGET]])</f>
        <v>0</v>
      </c>
      <c r="H259" s="146" t="str" cm="1">
        <f t="array" aca="1" ref="H259" ca="1">IF(Assessment[[#This Row],[JOB TARGET]]="","Job Target Kosong",IF(COUNT(IF('Data Assessment'!$N259:$Z259-OFFSET(Standar!$B$2,MATCH(Assessment[[#This Row],[JOB TARGET
(EST)]],Standar[NAMA JABATAN],0)-1,1,1,13)&lt;0,1,""))&lt;=3,'9 Grid'!$B$4,IF(COUNT(IF('Data Assessment'!$N259:$Z259-OFFSET(Standar!$B$2,MATCH(Assessment[[#This Row],[JOB TARGET]],Standar[NAMA JABATAN],0)-1,1,1,13)&lt;0,1,""))&gt;=7,'9 Grid'!$B$6,'9 Grid'!$B$5)))</f>
        <v>Job Target Kosong</v>
      </c>
      <c r="I259" s="146" t="str">
        <f>IFERROR(IF(Data_Assessment[[#This Row],[IPP (3 YEARS AVERAGE)]]="","(IPP Belum Ada)",IF(Data_Assessment[[#This Row],[IPP (3 YEARS AVERAGE)]]&lt;2,'9 Grid'!$F$2,IF(Data_Assessment[[#This Row],[IPP (3 YEARS AVERAGE)]]&gt;=4,'9 Grid'!$D$2,'9 Grid'!$E$2))),"")</f>
        <v>Fully Competence Performance</v>
      </c>
      <c r="J259" s="146" t="str">
        <f ca="1">IFERROR(INDEX('9 Grid'!$D$4:$F$6,MATCH('Rekomendasi HAV'!H259,'9 Grid'!$B$4:$B$6,0),MATCH('Rekomendasi HAV'!I259,'9 Grid'!$D$2:$F$2,0)),"")</f>
        <v/>
      </c>
      <c r="K259" s="146" t="str">
        <f>IFERROR(INDEX('9 Grid'!$D$8:$F$8,1,MATCH('Rekomendasi HAV'!I259,'9 Grid'!$D$2:$F$2,0)),"")</f>
        <v>(ST) Within 12 - 18 month</v>
      </c>
      <c r="L259" s="146">
        <f>IF(ISNUMBER(SEARCH("EST",Assessment[[#This Row],[JOB TARGET]])),SUBSTITUTE(Assessment[[#This Row],[JOB TARGET]],"EST","DEV"),Assessment[[#This Row],[JOB TARGET]])</f>
        <v>0</v>
      </c>
      <c r="M259" s="146" t="str" cm="1">
        <f t="array" aca="1" ref="M259" ca="1">IF(Assessment[[#This Row],[JOB TARGET]]="","Job Target Kosong",IF(COUNT(IF('Data Assessment'!$N259:$Z259-OFFSET(Standar!$B$2,MATCH(Assessment[[#This Row],[JOB TARGET
(DEV)]],Standar[NAMA JABATAN],0)-1,1,1,13)&lt;0,1,""))&lt;=3,'9 Grid'!$B$4,IF(COUNT(IF('Data Assessment'!$N259:$Z259-OFFSET(Standar!$B$2,MATCH(Assessment[[#This Row],[JOB TARGET
(DEV)]],Standar[NAMA JABATAN],0)-1,1,1,13)&lt;0,1,""))&gt;=7,'9 Grid'!$B$6,'9 Grid'!$B$5)))</f>
        <v>Job Target Kosong</v>
      </c>
      <c r="N259" s="146" t="str">
        <f>IFERROR(IF(Data_Assessment[[#This Row],[IPP (3 YEARS AVERAGE)]]="","(IPP Belum Ada)",IF(Data_Assessment[[#This Row],[IPP (3 YEARS AVERAGE)]]&lt;2,'9 Grid'!$F$2,IF(Data_Assessment[[#This Row],[IPP (3 YEARS AVERAGE)]]&gt;=4,'9 Grid'!$D$2,'9 Grid'!$E$2))),"")</f>
        <v>Fully Competence Performance</v>
      </c>
      <c r="O259" s="146" t="str">
        <f ca="1">IFERROR(INDEX('9 Grid'!$D$4:$F$6,MATCH('Rekomendasi HAV'!M259,'9 Grid'!$B$4:$B$6,0),MATCH('Rekomendasi HAV'!N259,'9 Grid'!$D$2:$F$2,0)),"")</f>
        <v/>
      </c>
      <c r="P259" s="147" t="str">
        <f>IFERROR(INDEX('9 Grid'!$D$8:$F$8,1,MATCH('Rekomendasi HAV'!N259,'9 Grid'!$D$2:$F$2,0)),"")</f>
        <v>(ST) Within 12 - 18 month</v>
      </c>
    </row>
    <row r="260" spans="1:16" ht="28.5">
      <c r="A260" s="67">
        <v>259</v>
      </c>
      <c r="B260" s="68" t="str">
        <f>INDEX(Data_Assessment[],MATCH('Rekomendasi HAV'!$A260,Data_Assessment[[INDEX]:[INDEX]],0),MATCH('Rekomendasi HAV'!B$1,Data_Assessment[#Headers],0))</f>
        <v>Ade Susilo</v>
      </c>
      <c r="C260" s="68" t="str">
        <f>INDEX(Data_Assessment[],MATCH('Rekomendasi HAV'!$A260,Data_Assessment[[INDEX]:[INDEX]],0),MATCH('Rekomendasi HAV'!C$1,Data_Assessment[#Headers],0))</f>
        <v>Jakarta</v>
      </c>
      <c r="D260" s="68" t="str">
        <f>INDEX(Data_Assessment[],MATCH('Rekomendasi HAV'!$A260,Data_Assessment[[INDEX]:[INDEX]],0),MATCH('Rekomendasi HAV'!D$1,Data_Assessment[#Headers],0))</f>
        <v>LSIP - HO Jakarta</v>
      </c>
      <c r="E260" s="68">
        <f>INDEX(Data_Assessment[],MATCH('Rekomendasi HAV'!$B260,Data_Assessment[[NAME]:[NAME]],0),MATCH('Rekomendasi HAV'!E$1,Data_Assessment[#Headers],0))</f>
        <v>0</v>
      </c>
      <c r="F260" s="68"/>
      <c r="G260" s="68">
        <f>IF(ISNUMBER(SEARCH("DEV",Assessment[[#This Row],[JOB TARGET]])),SUBSTITUTE(Assessment[[#This Row],[JOB TARGET]],"DEV","EST"),Assessment[[#This Row],[JOB TARGET]])</f>
        <v>0</v>
      </c>
      <c r="H260" s="146" t="str" cm="1">
        <f t="array" aca="1" ref="H260" ca="1">IF(Assessment[[#This Row],[JOB TARGET]]="","Job Target Kosong",IF(COUNT(IF('Data Assessment'!$N260:$Z260-OFFSET(Standar!$B$2,MATCH(Assessment[[#This Row],[JOB TARGET
(EST)]],Standar[NAMA JABATAN],0)-1,1,1,13)&lt;0,1,""))&lt;=3,'9 Grid'!$B$4,IF(COUNT(IF('Data Assessment'!$N260:$Z260-OFFSET(Standar!$B$2,MATCH(Assessment[[#This Row],[JOB TARGET]],Standar[NAMA JABATAN],0)-1,1,1,13)&lt;0,1,""))&gt;=7,'9 Grid'!$B$6,'9 Grid'!$B$5)))</f>
        <v>Job Target Kosong</v>
      </c>
      <c r="I260" s="146" t="str">
        <f>IFERROR(IF(Data_Assessment[[#This Row],[IPP (3 YEARS AVERAGE)]]="","(IPP Belum Ada)",IF(Data_Assessment[[#This Row],[IPP (3 YEARS AVERAGE)]]&lt;2,'9 Grid'!$F$2,IF(Data_Assessment[[#This Row],[IPP (3 YEARS AVERAGE)]]&gt;=4,'9 Grid'!$D$2,'9 Grid'!$E$2))),"")</f>
        <v>Fully Competence Performance</v>
      </c>
      <c r="J260" s="146" t="str">
        <f ca="1">IFERROR(INDEX('9 Grid'!$D$4:$F$6,MATCH('Rekomendasi HAV'!H260,'9 Grid'!$B$4:$B$6,0),MATCH('Rekomendasi HAV'!I260,'9 Grid'!$D$2:$F$2,0)),"")</f>
        <v/>
      </c>
      <c r="K260" s="146" t="str">
        <f>IFERROR(INDEX('9 Grid'!$D$8:$F$8,1,MATCH('Rekomendasi HAV'!I260,'9 Grid'!$D$2:$F$2,0)),"")</f>
        <v>(ST) Within 12 - 18 month</v>
      </c>
      <c r="L260" s="146">
        <f>IF(ISNUMBER(SEARCH("EST",Assessment[[#This Row],[JOB TARGET]])),SUBSTITUTE(Assessment[[#This Row],[JOB TARGET]],"EST","DEV"),Assessment[[#This Row],[JOB TARGET]])</f>
        <v>0</v>
      </c>
      <c r="M260" s="146" t="str" cm="1">
        <f t="array" aca="1" ref="M260" ca="1">IF(Assessment[[#This Row],[JOB TARGET]]="","Job Target Kosong",IF(COUNT(IF('Data Assessment'!$N260:$Z260-OFFSET(Standar!$B$2,MATCH(Assessment[[#This Row],[JOB TARGET
(DEV)]],Standar[NAMA JABATAN],0)-1,1,1,13)&lt;0,1,""))&lt;=3,'9 Grid'!$B$4,IF(COUNT(IF('Data Assessment'!$N260:$Z260-OFFSET(Standar!$B$2,MATCH(Assessment[[#This Row],[JOB TARGET
(DEV)]],Standar[NAMA JABATAN],0)-1,1,1,13)&lt;0,1,""))&gt;=7,'9 Grid'!$B$6,'9 Grid'!$B$5)))</f>
        <v>Job Target Kosong</v>
      </c>
      <c r="N260" s="146" t="str">
        <f>IFERROR(IF(Data_Assessment[[#This Row],[IPP (3 YEARS AVERAGE)]]="","(IPP Belum Ada)",IF(Data_Assessment[[#This Row],[IPP (3 YEARS AVERAGE)]]&lt;2,'9 Grid'!$F$2,IF(Data_Assessment[[#This Row],[IPP (3 YEARS AVERAGE)]]&gt;=4,'9 Grid'!$D$2,'9 Grid'!$E$2))),"")</f>
        <v>Fully Competence Performance</v>
      </c>
      <c r="O260" s="146" t="str">
        <f ca="1">IFERROR(INDEX('9 Grid'!$D$4:$F$6,MATCH('Rekomendasi HAV'!M260,'9 Grid'!$B$4:$B$6,0),MATCH('Rekomendasi HAV'!N260,'9 Grid'!$D$2:$F$2,0)),"")</f>
        <v/>
      </c>
      <c r="P260" s="147" t="str">
        <f>IFERROR(INDEX('9 Grid'!$D$8:$F$8,1,MATCH('Rekomendasi HAV'!N260,'9 Grid'!$D$2:$F$2,0)),"")</f>
        <v>(ST) Within 12 - 18 month</v>
      </c>
    </row>
    <row r="261" spans="1:16" ht="28.5">
      <c r="A261" s="67">
        <v>260</v>
      </c>
      <c r="B261" s="68" t="str">
        <f>INDEX(Data_Assessment[],MATCH('Rekomendasi HAV'!$A261,Data_Assessment[[INDEX]:[INDEX]],0),MATCH('Rekomendasi HAV'!B$1,Data_Assessment[#Headers],0))</f>
        <v>R. Suprayogi Syahputra</v>
      </c>
      <c r="C261" s="68" t="str">
        <f>INDEX(Data_Assessment[],MATCH('Rekomendasi HAV'!$A261,Data_Assessment[[INDEX]:[INDEX]],0),MATCH('Rekomendasi HAV'!C$1,Data_Assessment[#Headers],0))</f>
        <v>Sumatera Selatan</v>
      </c>
      <c r="D261" s="68" t="str">
        <f>INDEX(Data_Assessment[],MATCH('Rekomendasi HAV'!$A261,Data_Assessment[[INDEX]:[INDEX]],0),MATCH('Rekomendasi HAV'!D$1,Data_Assessment[#Headers],0))</f>
        <v>LSIP - HO Jakarta</v>
      </c>
      <c r="E261" s="68">
        <f>INDEX(Data_Assessment[],MATCH('Rekomendasi HAV'!$B261,Data_Assessment[[NAME]:[NAME]],0),MATCH('Rekomendasi HAV'!E$1,Data_Assessment[#Headers],0))</f>
        <v>0</v>
      </c>
      <c r="F261" s="68"/>
      <c r="G261" s="68">
        <f>IF(ISNUMBER(SEARCH("DEV",Assessment[[#This Row],[JOB TARGET]])),SUBSTITUTE(Assessment[[#This Row],[JOB TARGET]],"DEV","EST"),Assessment[[#This Row],[JOB TARGET]])</f>
        <v>0</v>
      </c>
      <c r="H261" s="146" t="str" cm="1">
        <f t="array" aca="1" ref="H261" ca="1">IF(Assessment[[#This Row],[JOB TARGET]]="","Job Target Kosong",IF(COUNT(IF('Data Assessment'!$N261:$Z261-OFFSET(Standar!$B$2,MATCH(Assessment[[#This Row],[JOB TARGET
(EST)]],Standar[NAMA JABATAN],0)-1,1,1,13)&lt;0,1,""))&lt;=3,'9 Grid'!$B$4,IF(COUNT(IF('Data Assessment'!$N261:$Z261-OFFSET(Standar!$B$2,MATCH(Assessment[[#This Row],[JOB TARGET]],Standar[NAMA JABATAN],0)-1,1,1,13)&lt;0,1,""))&gt;=7,'9 Grid'!$B$6,'9 Grid'!$B$5)))</f>
        <v>Job Target Kosong</v>
      </c>
      <c r="I261" s="146" t="str">
        <f>IFERROR(IF(Data_Assessment[[#This Row],[IPP (3 YEARS AVERAGE)]]="","(IPP Belum Ada)",IF(Data_Assessment[[#This Row],[IPP (3 YEARS AVERAGE)]]&lt;2,'9 Grid'!$F$2,IF(Data_Assessment[[#This Row],[IPP (3 YEARS AVERAGE)]]&gt;=4,'9 Grid'!$D$2,'9 Grid'!$E$2))),"")</f>
        <v>Fully Competence Performance</v>
      </c>
      <c r="J261" s="146" t="str">
        <f ca="1">IFERROR(INDEX('9 Grid'!$D$4:$F$6,MATCH('Rekomendasi HAV'!H261,'9 Grid'!$B$4:$B$6,0),MATCH('Rekomendasi HAV'!I261,'9 Grid'!$D$2:$F$2,0)),"")</f>
        <v/>
      </c>
      <c r="K261" s="146" t="str">
        <f>IFERROR(INDEX('9 Grid'!$D$8:$F$8,1,MATCH('Rekomendasi HAV'!I261,'9 Grid'!$D$2:$F$2,0)),"")</f>
        <v>(ST) Within 12 - 18 month</v>
      </c>
      <c r="L261" s="146">
        <f>IF(ISNUMBER(SEARCH("EST",Assessment[[#This Row],[JOB TARGET]])),SUBSTITUTE(Assessment[[#This Row],[JOB TARGET]],"EST","DEV"),Assessment[[#This Row],[JOB TARGET]])</f>
        <v>0</v>
      </c>
      <c r="M261" s="146" t="str" cm="1">
        <f t="array" aca="1" ref="M261" ca="1">IF(Assessment[[#This Row],[JOB TARGET]]="","Job Target Kosong",IF(COUNT(IF('Data Assessment'!$N261:$Z261-OFFSET(Standar!$B$2,MATCH(Assessment[[#This Row],[JOB TARGET
(DEV)]],Standar[NAMA JABATAN],0)-1,1,1,13)&lt;0,1,""))&lt;=3,'9 Grid'!$B$4,IF(COUNT(IF('Data Assessment'!$N261:$Z261-OFFSET(Standar!$B$2,MATCH(Assessment[[#This Row],[JOB TARGET
(DEV)]],Standar[NAMA JABATAN],0)-1,1,1,13)&lt;0,1,""))&gt;=7,'9 Grid'!$B$6,'9 Grid'!$B$5)))</f>
        <v>Job Target Kosong</v>
      </c>
      <c r="N261" s="146" t="str">
        <f>IFERROR(IF(Data_Assessment[[#This Row],[IPP (3 YEARS AVERAGE)]]="","(IPP Belum Ada)",IF(Data_Assessment[[#This Row],[IPP (3 YEARS AVERAGE)]]&lt;2,'9 Grid'!$F$2,IF(Data_Assessment[[#This Row],[IPP (3 YEARS AVERAGE)]]&gt;=4,'9 Grid'!$D$2,'9 Grid'!$E$2))),"")</f>
        <v>Fully Competence Performance</v>
      </c>
      <c r="O261" s="146" t="str">
        <f ca="1">IFERROR(INDEX('9 Grid'!$D$4:$F$6,MATCH('Rekomendasi HAV'!M261,'9 Grid'!$B$4:$B$6,0),MATCH('Rekomendasi HAV'!N261,'9 Grid'!$D$2:$F$2,0)),"")</f>
        <v/>
      </c>
      <c r="P261" s="147" t="str">
        <f>IFERROR(INDEX('9 Grid'!$D$8:$F$8,1,MATCH('Rekomendasi HAV'!N261,'9 Grid'!$D$2:$F$2,0)),"")</f>
        <v>(ST) Within 12 - 18 month</v>
      </c>
    </row>
    <row r="262" spans="1:16" ht="28.5">
      <c r="A262" s="67">
        <v>261</v>
      </c>
      <c r="B262" s="68" t="str">
        <f>INDEX(Data_Assessment[],MATCH('Rekomendasi HAV'!$A262,Data_Assessment[[INDEX]:[INDEX]],0),MATCH('Rekomendasi HAV'!B$1,Data_Assessment[#Headers],0))</f>
        <v>Edi Muntazar</v>
      </c>
      <c r="C262" s="68" t="str">
        <f>INDEX(Data_Assessment[],MATCH('Rekomendasi HAV'!$A262,Data_Assessment[[INDEX]:[INDEX]],0),MATCH('Rekomendasi HAV'!C$1,Data_Assessment[#Headers],0))</f>
        <v>Samarinda</v>
      </c>
      <c r="D262" s="68" t="str">
        <f>INDEX(Data_Assessment[],MATCH('Rekomendasi HAV'!$A262,Data_Assessment[[INDEX]:[INDEX]],0),MATCH('Rekomendasi HAV'!D$1,Data_Assessment[#Headers],0))</f>
        <v>LSIP - RO Samarinda</v>
      </c>
      <c r="E262" s="68">
        <f>INDEX(Data_Assessment[],MATCH('Rekomendasi HAV'!$B262,Data_Assessment[[NAME]:[NAME]],0),MATCH('Rekomendasi HAV'!E$1,Data_Assessment[#Headers],0))</f>
        <v>0</v>
      </c>
      <c r="F262" s="68"/>
      <c r="G262" s="68">
        <f>IF(ISNUMBER(SEARCH("DEV",Assessment[[#This Row],[JOB TARGET]])),SUBSTITUTE(Assessment[[#This Row],[JOB TARGET]],"DEV","EST"),Assessment[[#This Row],[JOB TARGET]])</f>
        <v>0</v>
      </c>
      <c r="H262" s="146" t="str" cm="1">
        <f t="array" aca="1" ref="H262" ca="1">IF(Assessment[[#This Row],[JOB TARGET]]="","Job Target Kosong",IF(COUNT(IF('Data Assessment'!$N262:$Z262-OFFSET(Standar!$B$2,MATCH(Assessment[[#This Row],[JOB TARGET
(EST)]],Standar[NAMA JABATAN],0)-1,1,1,13)&lt;0,1,""))&lt;=3,'9 Grid'!$B$4,IF(COUNT(IF('Data Assessment'!$N262:$Z262-OFFSET(Standar!$B$2,MATCH(Assessment[[#This Row],[JOB TARGET]],Standar[NAMA JABATAN],0)-1,1,1,13)&lt;0,1,""))&gt;=7,'9 Grid'!$B$6,'9 Grid'!$B$5)))</f>
        <v>Job Target Kosong</v>
      </c>
      <c r="I262" s="146" t="str">
        <f>IFERROR(IF(Data_Assessment[[#This Row],[IPP (3 YEARS AVERAGE)]]="","(IPP Belum Ada)",IF(Data_Assessment[[#This Row],[IPP (3 YEARS AVERAGE)]]&lt;2,'9 Grid'!$F$2,IF(Data_Assessment[[#This Row],[IPP (3 YEARS AVERAGE)]]&gt;=4,'9 Grid'!$D$2,'9 Grid'!$E$2))),"")</f>
        <v>Fully Competence Performance</v>
      </c>
      <c r="J262" s="146" t="str">
        <f ca="1">IFERROR(INDEX('9 Grid'!$D$4:$F$6,MATCH('Rekomendasi HAV'!H262,'9 Grid'!$B$4:$B$6,0),MATCH('Rekomendasi HAV'!I262,'9 Grid'!$D$2:$F$2,0)),"")</f>
        <v/>
      </c>
      <c r="K262" s="146" t="str">
        <f>IFERROR(INDEX('9 Grid'!$D$8:$F$8,1,MATCH('Rekomendasi HAV'!I262,'9 Grid'!$D$2:$F$2,0)),"")</f>
        <v>(ST) Within 12 - 18 month</v>
      </c>
      <c r="L262" s="146">
        <f>IF(ISNUMBER(SEARCH("EST",Assessment[[#This Row],[JOB TARGET]])),SUBSTITUTE(Assessment[[#This Row],[JOB TARGET]],"EST","DEV"),Assessment[[#This Row],[JOB TARGET]])</f>
        <v>0</v>
      </c>
      <c r="M262" s="146" t="str" cm="1">
        <f t="array" aca="1" ref="M262" ca="1">IF(Assessment[[#This Row],[JOB TARGET]]="","Job Target Kosong",IF(COUNT(IF('Data Assessment'!$N262:$Z262-OFFSET(Standar!$B$2,MATCH(Assessment[[#This Row],[JOB TARGET
(DEV)]],Standar[NAMA JABATAN],0)-1,1,1,13)&lt;0,1,""))&lt;=3,'9 Grid'!$B$4,IF(COUNT(IF('Data Assessment'!$N262:$Z262-OFFSET(Standar!$B$2,MATCH(Assessment[[#This Row],[JOB TARGET
(DEV)]],Standar[NAMA JABATAN],0)-1,1,1,13)&lt;0,1,""))&gt;=7,'9 Grid'!$B$6,'9 Grid'!$B$5)))</f>
        <v>Job Target Kosong</v>
      </c>
      <c r="N262" s="146" t="str">
        <f>IFERROR(IF(Data_Assessment[[#This Row],[IPP (3 YEARS AVERAGE)]]="","(IPP Belum Ada)",IF(Data_Assessment[[#This Row],[IPP (3 YEARS AVERAGE)]]&lt;2,'9 Grid'!$F$2,IF(Data_Assessment[[#This Row],[IPP (3 YEARS AVERAGE)]]&gt;=4,'9 Grid'!$D$2,'9 Grid'!$E$2))),"")</f>
        <v>Fully Competence Performance</v>
      </c>
      <c r="O262" s="146" t="str">
        <f ca="1">IFERROR(INDEX('9 Grid'!$D$4:$F$6,MATCH('Rekomendasi HAV'!M262,'9 Grid'!$B$4:$B$6,0),MATCH('Rekomendasi HAV'!N262,'9 Grid'!$D$2:$F$2,0)),"")</f>
        <v/>
      </c>
      <c r="P262" s="147" t="str">
        <f>IFERROR(INDEX('9 Grid'!$D$8:$F$8,1,MATCH('Rekomendasi HAV'!N262,'9 Grid'!$D$2:$F$2,0)),"")</f>
        <v>(ST) Within 12 - 18 month</v>
      </c>
    </row>
    <row r="263" spans="1:16" ht="14.25">
      <c r="A263" s="67">
        <v>262</v>
      </c>
      <c r="B263" s="68" t="str">
        <f>INDEX(Data_Assessment[],MATCH('Rekomendasi HAV'!$A263,Data_Assessment[[INDEX]:[INDEX]],0),MATCH('Rekomendasi HAV'!B$1,Data_Assessment[#Headers],0))</f>
        <v>Wilson</v>
      </c>
      <c r="C263" s="68" t="str">
        <f>INDEX(Data_Assessment[],MATCH('Rekomendasi HAV'!$A263,Data_Assessment[[INDEX]:[INDEX]],0),MATCH('Rekomendasi HAV'!C$1,Data_Assessment[#Headers],0))</f>
        <v>Jakarta</v>
      </c>
      <c r="D263" s="68" t="str">
        <f>INDEX(Data_Assessment[],MATCH('Rekomendasi HAV'!$A263,Data_Assessment[[INDEX]:[INDEX]],0),MATCH('Rekomendasi HAV'!D$1,Data_Assessment[#Headers],0))</f>
        <v>LSIP - HO Jakarta</v>
      </c>
      <c r="E263" s="68">
        <f>INDEX(Data_Assessment[],MATCH('Rekomendasi HAV'!$B263,Data_Assessment[[NAME]:[NAME]],0),MATCH('Rekomendasi HAV'!E$1,Data_Assessment[#Headers],0))</f>
        <v>0</v>
      </c>
      <c r="F263" s="68"/>
      <c r="G263" s="68">
        <f>IF(ISNUMBER(SEARCH("DEV",Assessment[[#This Row],[JOB TARGET]])),SUBSTITUTE(Assessment[[#This Row],[JOB TARGET]],"DEV","EST"),Assessment[[#This Row],[JOB TARGET]])</f>
        <v>0</v>
      </c>
      <c r="H263" s="146" t="str" cm="1">
        <f t="array" aca="1" ref="H263" ca="1">IF(Assessment[[#This Row],[JOB TARGET]]="","Job Target Kosong",IF(COUNT(IF('Data Assessment'!$N263:$Z263-OFFSET(Standar!$B$2,MATCH(Assessment[[#This Row],[JOB TARGET
(EST)]],Standar[NAMA JABATAN],0)-1,1,1,13)&lt;0,1,""))&lt;=3,'9 Grid'!$B$4,IF(COUNT(IF('Data Assessment'!$N263:$Z263-OFFSET(Standar!$B$2,MATCH(Assessment[[#This Row],[JOB TARGET]],Standar[NAMA JABATAN],0)-1,1,1,13)&lt;0,1,""))&gt;=7,'9 Grid'!$B$6,'9 Grid'!$B$5)))</f>
        <v>Job Target Kosong</v>
      </c>
      <c r="I263" s="146" t="str">
        <f>IFERROR(IF(Data_Assessment[[#This Row],[IPP (3 YEARS AVERAGE)]]="","(IPP Belum Ada)",IF(Data_Assessment[[#This Row],[IPP (3 YEARS AVERAGE)]]&lt;2,'9 Grid'!$F$2,IF(Data_Assessment[[#This Row],[IPP (3 YEARS AVERAGE)]]&gt;=4,'9 Grid'!$D$2,'9 Grid'!$E$2))),"")</f>
        <v>Exceptional Performance</v>
      </c>
      <c r="J263" s="146" t="str">
        <f ca="1">IFERROR(INDEX('9 Grid'!$D$4:$F$6,MATCH('Rekomendasi HAV'!H263,'9 Grid'!$B$4:$B$6,0),MATCH('Rekomendasi HAV'!I263,'9 Grid'!$D$2:$F$2,0)),"")</f>
        <v/>
      </c>
      <c r="K263" s="146" t="str">
        <f>IFERROR(INDEX('9 Grid'!$D$8:$F$8,1,MATCH('Rekomendasi HAV'!I263,'9 Grid'!$D$2:$F$2,0)),"")</f>
        <v>(I) Immediately</v>
      </c>
      <c r="L263" s="146">
        <f>IF(ISNUMBER(SEARCH("EST",Assessment[[#This Row],[JOB TARGET]])),SUBSTITUTE(Assessment[[#This Row],[JOB TARGET]],"EST","DEV"),Assessment[[#This Row],[JOB TARGET]])</f>
        <v>0</v>
      </c>
      <c r="M263" s="146" t="str" cm="1">
        <f t="array" aca="1" ref="M263" ca="1">IF(Assessment[[#This Row],[JOB TARGET]]="","Job Target Kosong",IF(COUNT(IF('Data Assessment'!$N263:$Z263-OFFSET(Standar!$B$2,MATCH(Assessment[[#This Row],[JOB TARGET
(DEV)]],Standar[NAMA JABATAN],0)-1,1,1,13)&lt;0,1,""))&lt;=3,'9 Grid'!$B$4,IF(COUNT(IF('Data Assessment'!$N263:$Z263-OFFSET(Standar!$B$2,MATCH(Assessment[[#This Row],[JOB TARGET
(DEV)]],Standar[NAMA JABATAN],0)-1,1,1,13)&lt;0,1,""))&gt;=7,'9 Grid'!$B$6,'9 Grid'!$B$5)))</f>
        <v>Job Target Kosong</v>
      </c>
      <c r="N263" s="146" t="str">
        <f>IFERROR(IF(Data_Assessment[[#This Row],[IPP (3 YEARS AVERAGE)]]="","(IPP Belum Ada)",IF(Data_Assessment[[#This Row],[IPP (3 YEARS AVERAGE)]]&lt;2,'9 Grid'!$F$2,IF(Data_Assessment[[#This Row],[IPP (3 YEARS AVERAGE)]]&gt;=4,'9 Grid'!$D$2,'9 Grid'!$E$2))),"")</f>
        <v>Exceptional Performance</v>
      </c>
      <c r="O263" s="146" t="str">
        <f ca="1">IFERROR(INDEX('9 Grid'!$D$4:$F$6,MATCH('Rekomendasi HAV'!M263,'9 Grid'!$B$4:$B$6,0),MATCH('Rekomendasi HAV'!N263,'9 Grid'!$D$2:$F$2,0)),"")</f>
        <v/>
      </c>
      <c r="P263" s="147" t="str">
        <f>IFERROR(INDEX('9 Grid'!$D$8:$F$8,1,MATCH('Rekomendasi HAV'!N263,'9 Grid'!$D$2:$F$2,0)),"")</f>
        <v>(I) Immediately</v>
      </c>
    </row>
    <row r="264" spans="1:16" ht="28.5">
      <c r="A264" s="67">
        <v>263</v>
      </c>
      <c r="B264" s="68" t="str">
        <f>INDEX(Data_Assessment[],MATCH('Rekomendasi HAV'!$A264,Data_Assessment[[INDEX]:[INDEX]],0),MATCH('Rekomendasi HAV'!B$1,Data_Assessment[#Headers],0))</f>
        <v>Saeri</v>
      </c>
      <c r="C264" s="68" t="str">
        <f>INDEX(Data_Assessment[],MATCH('Rekomendasi HAV'!$A264,Data_Assessment[[INDEX]:[INDEX]],0),MATCH('Rekomendasi HAV'!C$1,Data_Assessment[#Headers],0))</f>
        <v>Samarinda</v>
      </c>
      <c r="D264" s="68" t="str">
        <f>INDEX(Data_Assessment[],MATCH('Rekomendasi HAV'!$A264,Data_Assessment[[INDEX]:[INDEX]],0),MATCH('Rekomendasi HAV'!D$1,Data_Assessment[#Headers],0))</f>
        <v>LSIP - RO Samarinda</v>
      </c>
      <c r="E264" s="68">
        <f>INDEX(Data_Assessment[],MATCH('Rekomendasi HAV'!$B264,Data_Assessment[[NAME]:[NAME]],0),MATCH('Rekomendasi HAV'!E$1,Data_Assessment[#Headers],0))</f>
        <v>0</v>
      </c>
      <c r="F264" s="68"/>
      <c r="G264" s="68">
        <f>IF(ISNUMBER(SEARCH("DEV",Assessment[[#This Row],[JOB TARGET]])),SUBSTITUTE(Assessment[[#This Row],[JOB TARGET]],"DEV","EST"),Assessment[[#This Row],[JOB TARGET]])</f>
        <v>0</v>
      </c>
      <c r="H264" s="146" t="str" cm="1">
        <f t="array" aca="1" ref="H264" ca="1">IF(Assessment[[#This Row],[JOB TARGET]]="","Job Target Kosong",IF(COUNT(IF('Data Assessment'!$N264:$Z264-OFFSET(Standar!$B$2,MATCH(Assessment[[#This Row],[JOB TARGET
(EST)]],Standar[NAMA JABATAN],0)-1,1,1,13)&lt;0,1,""))&lt;=3,'9 Grid'!$B$4,IF(COUNT(IF('Data Assessment'!$N264:$Z264-OFFSET(Standar!$B$2,MATCH(Assessment[[#This Row],[JOB TARGET]],Standar[NAMA JABATAN],0)-1,1,1,13)&lt;0,1,""))&gt;=7,'9 Grid'!$B$6,'9 Grid'!$B$5)))</f>
        <v>Job Target Kosong</v>
      </c>
      <c r="I264" s="146" t="str">
        <f>IFERROR(IF(Data_Assessment[[#This Row],[IPP (3 YEARS AVERAGE)]]="","(IPP Belum Ada)",IF(Data_Assessment[[#This Row],[IPP (3 YEARS AVERAGE)]]&lt;2,'9 Grid'!$F$2,IF(Data_Assessment[[#This Row],[IPP (3 YEARS AVERAGE)]]&gt;=4,'9 Grid'!$D$2,'9 Grid'!$E$2))),"")</f>
        <v>Contributor</v>
      </c>
      <c r="J264" s="146" t="str">
        <f ca="1">IFERROR(INDEX('9 Grid'!$D$4:$F$6,MATCH('Rekomendasi HAV'!H264,'9 Grid'!$B$4:$B$6,0),MATCH('Rekomendasi HAV'!I264,'9 Grid'!$D$2:$F$2,0)),"")</f>
        <v/>
      </c>
      <c r="K264" s="146" t="str">
        <f>IFERROR(INDEX('9 Grid'!$D$8:$F$8,1,MATCH('Rekomendasi HAV'!I264,'9 Grid'!$D$2:$F$2,0)),"")</f>
        <v>(LT) More 2 - 3 year</v>
      </c>
      <c r="L264" s="146">
        <f>IF(ISNUMBER(SEARCH("EST",Assessment[[#This Row],[JOB TARGET]])),SUBSTITUTE(Assessment[[#This Row],[JOB TARGET]],"EST","DEV"),Assessment[[#This Row],[JOB TARGET]])</f>
        <v>0</v>
      </c>
      <c r="M264" s="146" t="str" cm="1">
        <f t="array" aca="1" ref="M264" ca="1">IF(Assessment[[#This Row],[JOB TARGET]]="","Job Target Kosong",IF(COUNT(IF('Data Assessment'!$N264:$Z264-OFFSET(Standar!$B$2,MATCH(Assessment[[#This Row],[JOB TARGET
(DEV)]],Standar[NAMA JABATAN],0)-1,1,1,13)&lt;0,1,""))&lt;=3,'9 Grid'!$B$4,IF(COUNT(IF('Data Assessment'!$N264:$Z264-OFFSET(Standar!$B$2,MATCH(Assessment[[#This Row],[JOB TARGET
(DEV)]],Standar[NAMA JABATAN],0)-1,1,1,13)&lt;0,1,""))&gt;=7,'9 Grid'!$B$6,'9 Grid'!$B$5)))</f>
        <v>Job Target Kosong</v>
      </c>
      <c r="N264" s="146" t="str">
        <f>IFERROR(IF(Data_Assessment[[#This Row],[IPP (3 YEARS AVERAGE)]]="","(IPP Belum Ada)",IF(Data_Assessment[[#This Row],[IPP (3 YEARS AVERAGE)]]&lt;2,'9 Grid'!$F$2,IF(Data_Assessment[[#This Row],[IPP (3 YEARS AVERAGE)]]&gt;=4,'9 Grid'!$D$2,'9 Grid'!$E$2))),"")</f>
        <v>Contributor</v>
      </c>
      <c r="O264" s="146" t="str">
        <f ca="1">IFERROR(INDEX('9 Grid'!$D$4:$F$6,MATCH('Rekomendasi HAV'!M264,'9 Grid'!$B$4:$B$6,0),MATCH('Rekomendasi HAV'!N264,'9 Grid'!$D$2:$F$2,0)),"")</f>
        <v/>
      </c>
      <c r="P264" s="147" t="str">
        <f>IFERROR(INDEX('9 Grid'!$D$8:$F$8,1,MATCH('Rekomendasi HAV'!N264,'9 Grid'!$D$2:$F$2,0)),"")</f>
        <v>(LT) More 2 - 3 year</v>
      </c>
    </row>
    <row r="265" spans="1:16" ht="28.5">
      <c r="A265" s="67">
        <v>264</v>
      </c>
      <c r="B265" s="68" t="str">
        <f>INDEX(Data_Assessment[],MATCH('Rekomendasi HAV'!$A265,Data_Assessment[[INDEX]:[INDEX]],0),MATCH('Rekomendasi HAV'!B$1,Data_Assessment[#Headers],0))</f>
        <v>Agus Wahyu Widodo</v>
      </c>
      <c r="C265" s="68" t="str">
        <f>INDEX(Data_Assessment[],MATCH('Rekomendasi HAV'!$A265,Data_Assessment[[INDEX]:[INDEX]],0),MATCH('Rekomendasi HAV'!C$1,Data_Assessment[#Headers],0))</f>
        <v>Jawa Timur</v>
      </c>
      <c r="D265" s="68" t="str">
        <f>INDEX(Data_Assessment[],MATCH('Rekomendasi HAV'!$A265,Data_Assessment[[INDEX]:[INDEX]],0),MATCH('Rekomendasi HAV'!D$1,Data_Assessment[#Headers],0))</f>
        <v>LSIP - RO Surabaya</v>
      </c>
      <c r="E265" s="68">
        <f>INDEX(Data_Assessment[],MATCH('Rekomendasi HAV'!$B265,Data_Assessment[[NAME]:[NAME]],0),MATCH('Rekomendasi HAV'!E$1,Data_Assessment[#Headers],0))</f>
        <v>0</v>
      </c>
      <c r="F265" s="68"/>
      <c r="G265" s="68">
        <f>IF(ISNUMBER(SEARCH("DEV",Assessment[[#This Row],[JOB TARGET]])),SUBSTITUTE(Assessment[[#This Row],[JOB TARGET]],"DEV","EST"),Assessment[[#This Row],[JOB TARGET]])</f>
        <v>0</v>
      </c>
      <c r="H265" s="146" t="str" cm="1">
        <f t="array" aca="1" ref="H265" ca="1">IF(Assessment[[#This Row],[JOB TARGET]]="","Job Target Kosong",IF(COUNT(IF('Data Assessment'!$N265:$Z265-OFFSET(Standar!$B$2,MATCH(Assessment[[#This Row],[JOB TARGET
(EST)]],Standar[NAMA JABATAN],0)-1,1,1,13)&lt;0,1,""))&lt;=3,'9 Grid'!$B$4,IF(COUNT(IF('Data Assessment'!$N265:$Z265-OFFSET(Standar!$B$2,MATCH(Assessment[[#This Row],[JOB TARGET]],Standar[NAMA JABATAN],0)-1,1,1,13)&lt;0,1,""))&gt;=7,'9 Grid'!$B$6,'9 Grid'!$B$5)))</f>
        <v>Job Target Kosong</v>
      </c>
      <c r="I265" s="146" t="str">
        <f>IFERROR(IF(Data_Assessment[[#This Row],[IPP (3 YEARS AVERAGE)]]="","(IPP Belum Ada)",IF(Data_Assessment[[#This Row],[IPP (3 YEARS AVERAGE)]]&lt;2,'9 Grid'!$F$2,IF(Data_Assessment[[#This Row],[IPP (3 YEARS AVERAGE)]]&gt;=4,'9 Grid'!$D$2,'9 Grid'!$E$2))),"")</f>
        <v>Fully Competence Performance</v>
      </c>
      <c r="J265" s="146" t="str">
        <f ca="1">IFERROR(INDEX('9 Grid'!$D$4:$F$6,MATCH('Rekomendasi HAV'!H265,'9 Grid'!$B$4:$B$6,0),MATCH('Rekomendasi HAV'!I265,'9 Grid'!$D$2:$F$2,0)),"")</f>
        <v/>
      </c>
      <c r="K265" s="146" t="str">
        <f>IFERROR(INDEX('9 Grid'!$D$8:$F$8,1,MATCH('Rekomendasi HAV'!I265,'9 Grid'!$D$2:$F$2,0)),"")</f>
        <v>(ST) Within 12 - 18 month</v>
      </c>
      <c r="L265" s="146">
        <f>IF(ISNUMBER(SEARCH("EST",Assessment[[#This Row],[JOB TARGET]])),SUBSTITUTE(Assessment[[#This Row],[JOB TARGET]],"EST","DEV"),Assessment[[#This Row],[JOB TARGET]])</f>
        <v>0</v>
      </c>
      <c r="M265" s="146" t="str" cm="1">
        <f t="array" aca="1" ref="M265" ca="1">IF(Assessment[[#This Row],[JOB TARGET]]="","Job Target Kosong",IF(COUNT(IF('Data Assessment'!$N265:$Z265-OFFSET(Standar!$B$2,MATCH(Assessment[[#This Row],[JOB TARGET
(DEV)]],Standar[NAMA JABATAN],0)-1,1,1,13)&lt;0,1,""))&lt;=3,'9 Grid'!$B$4,IF(COUNT(IF('Data Assessment'!$N265:$Z265-OFFSET(Standar!$B$2,MATCH(Assessment[[#This Row],[JOB TARGET
(DEV)]],Standar[NAMA JABATAN],0)-1,1,1,13)&lt;0,1,""))&gt;=7,'9 Grid'!$B$6,'9 Grid'!$B$5)))</f>
        <v>Job Target Kosong</v>
      </c>
      <c r="N265" s="146" t="str">
        <f>IFERROR(IF(Data_Assessment[[#This Row],[IPP (3 YEARS AVERAGE)]]="","(IPP Belum Ada)",IF(Data_Assessment[[#This Row],[IPP (3 YEARS AVERAGE)]]&lt;2,'9 Grid'!$F$2,IF(Data_Assessment[[#This Row],[IPP (3 YEARS AVERAGE)]]&gt;=4,'9 Grid'!$D$2,'9 Grid'!$E$2))),"")</f>
        <v>Fully Competence Performance</v>
      </c>
      <c r="O265" s="146" t="str">
        <f ca="1">IFERROR(INDEX('9 Grid'!$D$4:$F$6,MATCH('Rekomendasi HAV'!M265,'9 Grid'!$B$4:$B$6,0),MATCH('Rekomendasi HAV'!N265,'9 Grid'!$D$2:$F$2,0)),"")</f>
        <v/>
      </c>
      <c r="P265" s="147" t="str">
        <f>IFERROR(INDEX('9 Grid'!$D$8:$F$8,1,MATCH('Rekomendasi HAV'!N265,'9 Grid'!$D$2:$F$2,0)),"")</f>
        <v>(ST) Within 12 - 18 month</v>
      </c>
    </row>
    <row r="266" spans="1:16" ht="28.5">
      <c r="A266" s="67">
        <v>265</v>
      </c>
      <c r="B266" s="68" t="str">
        <f>INDEX(Data_Assessment[],MATCH('Rekomendasi HAV'!$A266,Data_Assessment[[INDEX]:[INDEX]],0),MATCH('Rekomendasi HAV'!B$1,Data_Assessment[#Headers],0))</f>
        <v>Adek Irwan</v>
      </c>
      <c r="C266" s="68" t="str">
        <f>INDEX(Data_Assessment[],MATCH('Rekomendasi HAV'!$A266,Data_Assessment[[INDEX]:[INDEX]],0),MATCH('Rekomendasi HAV'!C$1,Data_Assessment[#Headers],0))</f>
        <v>Sumatera Selatan</v>
      </c>
      <c r="D266" s="68" t="str">
        <f>INDEX(Data_Assessment[],MATCH('Rekomendasi HAV'!$A266,Data_Assessment[[INDEX]:[INDEX]],0),MATCH('Rekomendasi HAV'!D$1,Data_Assessment[#Headers],0))</f>
        <v>LSIP - RO Palembang</v>
      </c>
      <c r="E266" s="68">
        <f>INDEX(Data_Assessment[],MATCH('Rekomendasi HAV'!$B266,Data_Assessment[[NAME]:[NAME]],0),MATCH('Rekomendasi HAV'!E$1,Data_Assessment[#Headers],0))</f>
        <v>0</v>
      </c>
      <c r="F266" s="68"/>
      <c r="G266" s="68">
        <f>IF(ISNUMBER(SEARCH("DEV",Assessment[[#This Row],[JOB TARGET]])),SUBSTITUTE(Assessment[[#This Row],[JOB TARGET]],"DEV","EST"),Assessment[[#This Row],[JOB TARGET]])</f>
        <v>0</v>
      </c>
      <c r="H266" s="146" t="str" cm="1">
        <f t="array" aca="1" ref="H266" ca="1">IF(Assessment[[#This Row],[JOB TARGET]]="","Job Target Kosong",IF(COUNT(IF('Data Assessment'!$N266:$Z266-OFFSET(Standar!$B$2,MATCH(Assessment[[#This Row],[JOB TARGET
(EST)]],Standar[NAMA JABATAN],0)-1,1,1,13)&lt;0,1,""))&lt;=3,'9 Grid'!$B$4,IF(COUNT(IF('Data Assessment'!$N266:$Z266-OFFSET(Standar!$B$2,MATCH(Assessment[[#This Row],[JOB TARGET]],Standar[NAMA JABATAN],0)-1,1,1,13)&lt;0,1,""))&gt;=7,'9 Grid'!$B$6,'9 Grid'!$B$5)))</f>
        <v>Job Target Kosong</v>
      </c>
      <c r="I266" s="146" t="str">
        <f>IFERROR(IF(Data_Assessment[[#This Row],[IPP (3 YEARS AVERAGE)]]="","(IPP Belum Ada)",IF(Data_Assessment[[#This Row],[IPP (3 YEARS AVERAGE)]]&lt;2,'9 Grid'!$F$2,IF(Data_Assessment[[#This Row],[IPP (3 YEARS AVERAGE)]]&gt;=4,'9 Grid'!$D$2,'9 Grid'!$E$2))),"")</f>
        <v>Fully Competence Performance</v>
      </c>
      <c r="J266" s="146" t="str">
        <f ca="1">IFERROR(INDEX('9 Grid'!$D$4:$F$6,MATCH('Rekomendasi HAV'!H266,'9 Grid'!$B$4:$B$6,0),MATCH('Rekomendasi HAV'!I266,'9 Grid'!$D$2:$F$2,0)),"")</f>
        <v/>
      </c>
      <c r="K266" s="146" t="str">
        <f>IFERROR(INDEX('9 Grid'!$D$8:$F$8,1,MATCH('Rekomendasi HAV'!I266,'9 Grid'!$D$2:$F$2,0)),"")</f>
        <v>(ST) Within 12 - 18 month</v>
      </c>
      <c r="L266" s="146">
        <f>IF(ISNUMBER(SEARCH("EST",Assessment[[#This Row],[JOB TARGET]])),SUBSTITUTE(Assessment[[#This Row],[JOB TARGET]],"EST","DEV"),Assessment[[#This Row],[JOB TARGET]])</f>
        <v>0</v>
      </c>
      <c r="M266" s="146" t="str" cm="1">
        <f t="array" aca="1" ref="M266" ca="1">IF(Assessment[[#This Row],[JOB TARGET]]="","Job Target Kosong",IF(COUNT(IF('Data Assessment'!$N266:$Z266-OFFSET(Standar!$B$2,MATCH(Assessment[[#This Row],[JOB TARGET
(DEV)]],Standar[NAMA JABATAN],0)-1,1,1,13)&lt;0,1,""))&lt;=3,'9 Grid'!$B$4,IF(COUNT(IF('Data Assessment'!$N266:$Z266-OFFSET(Standar!$B$2,MATCH(Assessment[[#This Row],[JOB TARGET
(DEV)]],Standar[NAMA JABATAN],0)-1,1,1,13)&lt;0,1,""))&gt;=7,'9 Grid'!$B$6,'9 Grid'!$B$5)))</f>
        <v>Job Target Kosong</v>
      </c>
      <c r="N266" s="146" t="str">
        <f>IFERROR(IF(Data_Assessment[[#This Row],[IPP (3 YEARS AVERAGE)]]="","(IPP Belum Ada)",IF(Data_Assessment[[#This Row],[IPP (3 YEARS AVERAGE)]]&lt;2,'9 Grid'!$F$2,IF(Data_Assessment[[#This Row],[IPP (3 YEARS AVERAGE)]]&gt;=4,'9 Grid'!$D$2,'9 Grid'!$E$2))),"")</f>
        <v>Fully Competence Performance</v>
      </c>
      <c r="O266" s="146" t="str">
        <f ca="1">IFERROR(INDEX('9 Grid'!$D$4:$F$6,MATCH('Rekomendasi HAV'!M266,'9 Grid'!$B$4:$B$6,0),MATCH('Rekomendasi HAV'!N266,'9 Grid'!$D$2:$F$2,0)),"")</f>
        <v/>
      </c>
      <c r="P266" s="147" t="str">
        <f>IFERROR(INDEX('9 Grid'!$D$8:$F$8,1,MATCH('Rekomendasi HAV'!N266,'9 Grid'!$D$2:$F$2,0)),"")</f>
        <v>(ST) Within 12 - 18 month</v>
      </c>
    </row>
    <row r="267" spans="1:16" ht="14.25">
      <c r="A267" s="67">
        <v>266</v>
      </c>
      <c r="B267" s="68" t="str">
        <f>INDEX(Data_Assessment[],MATCH('Rekomendasi HAV'!$A267,Data_Assessment[[INDEX]:[INDEX]],0),MATCH('Rekomendasi HAV'!B$1,Data_Assessment[#Headers],0))</f>
        <v>M. Sufinur</v>
      </c>
      <c r="C267" s="68" t="str">
        <f>INDEX(Data_Assessment[],MATCH('Rekomendasi HAV'!$A267,Data_Assessment[[INDEX]:[INDEX]],0),MATCH('Rekomendasi HAV'!C$1,Data_Assessment[#Headers],0))</f>
        <v>Samarinda</v>
      </c>
      <c r="D267" s="68" t="str">
        <f>INDEX(Data_Assessment[],MATCH('Rekomendasi HAV'!$A267,Data_Assessment[[INDEX]:[INDEX]],0),MATCH('Rekomendasi HAV'!D$1,Data_Assessment[#Headers],0))</f>
        <v>LSIP - RO Samarinda</v>
      </c>
      <c r="E267" s="68">
        <f>INDEX(Data_Assessment[],MATCH('Rekomendasi HAV'!$B267,Data_Assessment[[NAME]:[NAME]],0),MATCH('Rekomendasi HAV'!E$1,Data_Assessment[#Headers],0))</f>
        <v>0</v>
      </c>
      <c r="F267" s="68"/>
      <c r="G267" s="68">
        <f>IF(ISNUMBER(SEARCH("DEV",Assessment[[#This Row],[JOB TARGET]])),SUBSTITUTE(Assessment[[#This Row],[JOB TARGET]],"DEV","EST"),Assessment[[#This Row],[JOB TARGET]])</f>
        <v>0</v>
      </c>
      <c r="H267" s="146" t="str" cm="1">
        <f t="array" aca="1" ref="H267" ca="1">IF(Assessment[[#This Row],[JOB TARGET]]="","Job Target Kosong",IF(COUNT(IF('Data Assessment'!$N267:$Z267-OFFSET(Standar!$B$2,MATCH(Assessment[[#This Row],[JOB TARGET
(EST)]],Standar[NAMA JABATAN],0)-1,1,1,13)&lt;0,1,""))&lt;=3,'9 Grid'!$B$4,IF(COUNT(IF('Data Assessment'!$N267:$Z267-OFFSET(Standar!$B$2,MATCH(Assessment[[#This Row],[JOB TARGET]],Standar[NAMA JABATAN],0)-1,1,1,13)&lt;0,1,""))&gt;=7,'9 Grid'!$B$6,'9 Grid'!$B$5)))</f>
        <v>Job Target Kosong</v>
      </c>
      <c r="I267" s="146" t="str">
        <f>IFERROR(IF(Data_Assessment[[#This Row],[IPP (3 YEARS AVERAGE)]]="","(IPP Belum Ada)",IF(Data_Assessment[[#This Row],[IPP (3 YEARS AVERAGE)]]&lt;2,'9 Grid'!$F$2,IF(Data_Assessment[[#This Row],[IPP (3 YEARS AVERAGE)]]&gt;=4,'9 Grid'!$D$2,'9 Grid'!$E$2))),"")</f>
        <v>Exceptional Performance</v>
      </c>
      <c r="J267" s="146" t="str">
        <f ca="1">IFERROR(INDEX('9 Grid'!$D$4:$F$6,MATCH('Rekomendasi HAV'!H267,'9 Grid'!$B$4:$B$6,0),MATCH('Rekomendasi HAV'!I267,'9 Grid'!$D$2:$F$2,0)),"")</f>
        <v/>
      </c>
      <c r="K267" s="146" t="str">
        <f>IFERROR(INDEX('9 Grid'!$D$8:$F$8,1,MATCH('Rekomendasi HAV'!I267,'9 Grid'!$D$2:$F$2,0)),"")</f>
        <v>(I) Immediately</v>
      </c>
      <c r="L267" s="146">
        <f>IF(ISNUMBER(SEARCH("EST",Assessment[[#This Row],[JOB TARGET]])),SUBSTITUTE(Assessment[[#This Row],[JOB TARGET]],"EST","DEV"),Assessment[[#This Row],[JOB TARGET]])</f>
        <v>0</v>
      </c>
      <c r="M267" s="146" t="str" cm="1">
        <f t="array" aca="1" ref="M267" ca="1">IF(Assessment[[#This Row],[JOB TARGET]]="","Job Target Kosong",IF(COUNT(IF('Data Assessment'!$N267:$Z267-OFFSET(Standar!$B$2,MATCH(Assessment[[#This Row],[JOB TARGET
(DEV)]],Standar[NAMA JABATAN],0)-1,1,1,13)&lt;0,1,""))&lt;=3,'9 Grid'!$B$4,IF(COUNT(IF('Data Assessment'!$N267:$Z267-OFFSET(Standar!$B$2,MATCH(Assessment[[#This Row],[JOB TARGET
(DEV)]],Standar[NAMA JABATAN],0)-1,1,1,13)&lt;0,1,""))&gt;=7,'9 Grid'!$B$6,'9 Grid'!$B$5)))</f>
        <v>Job Target Kosong</v>
      </c>
      <c r="N267" s="146" t="str">
        <f>IFERROR(IF(Data_Assessment[[#This Row],[IPP (3 YEARS AVERAGE)]]="","(IPP Belum Ada)",IF(Data_Assessment[[#This Row],[IPP (3 YEARS AVERAGE)]]&lt;2,'9 Grid'!$F$2,IF(Data_Assessment[[#This Row],[IPP (3 YEARS AVERAGE)]]&gt;=4,'9 Grid'!$D$2,'9 Grid'!$E$2))),"")</f>
        <v>Exceptional Performance</v>
      </c>
      <c r="O267" s="146" t="str">
        <f ca="1">IFERROR(INDEX('9 Grid'!$D$4:$F$6,MATCH('Rekomendasi HAV'!M267,'9 Grid'!$B$4:$B$6,0),MATCH('Rekomendasi HAV'!N267,'9 Grid'!$D$2:$F$2,0)),"")</f>
        <v/>
      </c>
      <c r="P267" s="147" t="str">
        <f>IFERROR(INDEX('9 Grid'!$D$8:$F$8,1,MATCH('Rekomendasi HAV'!N267,'9 Grid'!$D$2:$F$2,0)),"")</f>
        <v>(I) Immediately</v>
      </c>
    </row>
    <row r="268" spans="1:16" ht="14.25">
      <c r="A268" s="67">
        <v>267</v>
      </c>
      <c r="B268" s="68" t="str">
        <f>INDEX(Data_Assessment[],MATCH('Rekomendasi HAV'!$A268,Data_Assessment[[INDEX]:[INDEX]],0),MATCH('Rekomendasi HAV'!B$1,Data_Assessment[#Headers],0))</f>
        <v>Muhammad Dimas Hertanto</v>
      </c>
      <c r="C268" s="68" t="str">
        <f>INDEX(Data_Assessment[],MATCH('Rekomendasi HAV'!$A268,Data_Assessment[[INDEX]:[INDEX]],0),MATCH('Rekomendasi HAV'!C$1,Data_Assessment[#Headers],0))</f>
        <v>Jakarta</v>
      </c>
      <c r="D268" s="68" t="str">
        <f>INDEX(Data_Assessment[],MATCH('Rekomendasi HAV'!$A268,Data_Assessment[[INDEX]:[INDEX]],0),MATCH('Rekomendasi HAV'!D$1,Data_Assessment[#Headers],0))</f>
        <v>LSIP - HO Jakarta</v>
      </c>
      <c r="E268" s="68">
        <f>INDEX(Data_Assessment[],MATCH('Rekomendasi HAV'!$B268,Data_Assessment[[NAME]:[NAME]],0),MATCH('Rekomendasi HAV'!E$1,Data_Assessment[#Headers],0))</f>
        <v>0</v>
      </c>
      <c r="F268" s="68"/>
      <c r="G268" s="68">
        <f>IF(ISNUMBER(SEARCH("DEV",Assessment[[#This Row],[JOB TARGET]])),SUBSTITUTE(Assessment[[#This Row],[JOB TARGET]],"DEV","EST"),Assessment[[#This Row],[JOB TARGET]])</f>
        <v>0</v>
      </c>
      <c r="H268" s="146" t="str" cm="1">
        <f t="array" aca="1" ref="H268" ca="1">IF(Assessment[[#This Row],[JOB TARGET]]="","Job Target Kosong",IF(COUNT(IF('Data Assessment'!$N268:$Z268-OFFSET(Standar!$B$2,MATCH(Assessment[[#This Row],[JOB TARGET
(EST)]],Standar[NAMA JABATAN],0)-1,1,1,13)&lt;0,1,""))&lt;=3,'9 Grid'!$B$4,IF(COUNT(IF('Data Assessment'!$N268:$Z268-OFFSET(Standar!$B$2,MATCH(Assessment[[#This Row],[JOB TARGET]],Standar[NAMA JABATAN],0)-1,1,1,13)&lt;0,1,""))&gt;=7,'9 Grid'!$B$6,'9 Grid'!$B$5)))</f>
        <v>Job Target Kosong</v>
      </c>
      <c r="I268" s="146" t="str">
        <f>IFERROR(IF(Data_Assessment[[#This Row],[IPP (3 YEARS AVERAGE)]]="","(IPP Belum Ada)",IF(Data_Assessment[[#This Row],[IPP (3 YEARS AVERAGE)]]&lt;2,'9 Grid'!$F$2,IF(Data_Assessment[[#This Row],[IPP (3 YEARS AVERAGE)]]&gt;=4,'9 Grid'!$D$2,'9 Grid'!$E$2))),"")</f>
        <v>Exceptional Performance</v>
      </c>
      <c r="J268" s="146" t="str">
        <f ca="1">IFERROR(INDEX('9 Grid'!$D$4:$F$6,MATCH('Rekomendasi HAV'!H268,'9 Grid'!$B$4:$B$6,0),MATCH('Rekomendasi HAV'!I268,'9 Grid'!$D$2:$F$2,0)),"")</f>
        <v/>
      </c>
      <c r="K268" s="146" t="str">
        <f>IFERROR(INDEX('9 Grid'!$D$8:$F$8,1,MATCH('Rekomendasi HAV'!I268,'9 Grid'!$D$2:$F$2,0)),"")</f>
        <v>(I) Immediately</v>
      </c>
      <c r="L268" s="146">
        <f>IF(ISNUMBER(SEARCH("EST",Assessment[[#This Row],[JOB TARGET]])),SUBSTITUTE(Assessment[[#This Row],[JOB TARGET]],"EST","DEV"),Assessment[[#This Row],[JOB TARGET]])</f>
        <v>0</v>
      </c>
      <c r="M268" s="146" t="str" cm="1">
        <f t="array" aca="1" ref="M268" ca="1">IF(Assessment[[#This Row],[JOB TARGET]]="","Job Target Kosong",IF(COUNT(IF('Data Assessment'!$N268:$Z268-OFFSET(Standar!$B$2,MATCH(Assessment[[#This Row],[JOB TARGET
(DEV)]],Standar[NAMA JABATAN],0)-1,1,1,13)&lt;0,1,""))&lt;=3,'9 Grid'!$B$4,IF(COUNT(IF('Data Assessment'!$N268:$Z268-OFFSET(Standar!$B$2,MATCH(Assessment[[#This Row],[JOB TARGET
(DEV)]],Standar[NAMA JABATAN],0)-1,1,1,13)&lt;0,1,""))&gt;=7,'9 Grid'!$B$6,'9 Grid'!$B$5)))</f>
        <v>Job Target Kosong</v>
      </c>
      <c r="N268" s="146" t="str">
        <f>IFERROR(IF(Data_Assessment[[#This Row],[IPP (3 YEARS AVERAGE)]]="","(IPP Belum Ada)",IF(Data_Assessment[[#This Row],[IPP (3 YEARS AVERAGE)]]&lt;2,'9 Grid'!$F$2,IF(Data_Assessment[[#This Row],[IPP (3 YEARS AVERAGE)]]&gt;=4,'9 Grid'!$D$2,'9 Grid'!$E$2))),"")</f>
        <v>Exceptional Performance</v>
      </c>
      <c r="O268" s="146" t="str">
        <f ca="1">IFERROR(INDEX('9 Grid'!$D$4:$F$6,MATCH('Rekomendasi HAV'!M268,'9 Grid'!$B$4:$B$6,0),MATCH('Rekomendasi HAV'!N268,'9 Grid'!$D$2:$F$2,0)),"")</f>
        <v/>
      </c>
      <c r="P268" s="147" t="str">
        <f>IFERROR(INDEX('9 Grid'!$D$8:$F$8,1,MATCH('Rekomendasi HAV'!N268,'9 Grid'!$D$2:$F$2,0)),"")</f>
        <v>(I) Immediately</v>
      </c>
    </row>
    <row r="269" spans="1:16" ht="28.5">
      <c r="A269" s="67">
        <v>268</v>
      </c>
      <c r="B269" s="68" t="str">
        <f>INDEX(Data_Assessment[],MATCH('Rekomendasi HAV'!$A269,Data_Assessment[[INDEX]:[INDEX]],0),MATCH('Rekomendasi HAV'!B$1,Data_Assessment[#Headers],0))</f>
        <v>Sabar Widodo</v>
      </c>
      <c r="C269" s="68" t="str">
        <f>INDEX(Data_Assessment[],MATCH('Rekomendasi HAV'!$A269,Data_Assessment[[INDEX]:[INDEX]],0),MATCH('Rekomendasi HAV'!C$1,Data_Assessment[#Headers],0))</f>
        <v>Samarinda</v>
      </c>
      <c r="D269" s="68" t="str">
        <f>INDEX(Data_Assessment[],MATCH('Rekomendasi HAV'!$A269,Data_Assessment[[INDEX]:[INDEX]],0),MATCH('Rekomendasi HAV'!D$1,Data_Assessment[#Headers],0))</f>
        <v>LSIP - RO Samarinda</v>
      </c>
      <c r="E269" s="68">
        <f>INDEX(Data_Assessment[],MATCH('Rekomendasi HAV'!$B269,Data_Assessment[[NAME]:[NAME]],0),MATCH('Rekomendasi HAV'!E$1,Data_Assessment[#Headers],0))</f>
        <v>0</v>
      </c>
      <c r="F269" s="68"/>
      <c r="G269" s="68">
        <f>IF(ISNUMBER(SEARCH("DEV",Assessment[[#This Row],[JOB TARGET]])),SUBSTITUTE(Assessment[[#This Row],[JOB TARGET]],"DEV","EST"),Assessment[[#This Row],[JOB TARGET]])</f>
        <v>0</v>
      </c>
      <c r="H269" s="146" t="str" cm="1">
        <f t="array" aca="1" ref="H269" ca="1">IF(Assessment[[#This Row],[JOB TARGET]]="","Job Target Kosong",IF(COUNT(IF('Data Assessment'!$N269:$Z269-OFFSET(Standar!$B$2,MATCH(Assessment[[#This Row],[JOB TARGET
(EST)]],Standar[NAMA JABATAN],0)-1,1,1,13)&lt;0,1,""))&lt;=3,'9 Grid'!$B$4,IF(COUNT(IF('Data Assessment'!$N269:$Z269-OFFSET(Standar!$B$2,MATCH(Assessment[[#This Row],[JOB TARGET]],Standar[NAMA JABATAN],0)-1,1,1,13)&lt;0,1,""))&gt;=7,'9 Grid'!$B$6,'9 Grid'!$B$5)))</f>
        <v>Job Target Kosong</v>
      </c>
      <c r="I269" s="146" t="str">
        <f>IFERROR(IF(Data_Assessment[[#This Row],[IPP (3 YEARS AVERAGE)]]="","(IPP Belum Ada)",IF(Data_Assessment[[#This Row],[IPP (3 YEARS AVERAGE)]]&lt;2,'9 Grid'!$F$2,IF(Data_Assessment[[#This Row],[IPP (3 YEARS AVERAGE)]]&gt;=4,'9 Grid'!$D$2,'9 Grid'!$E$2))),"")</f>
        <v>Fully Competence Performance</v>
      </c>
      <c r="J269" s="146" t="str">
        <f ca="1">IFERROR(INDEX('9 Grid'!$D$4:$F$6,MATCH('Rekomendasi HAV'!H269,'9 Grid'!$B$4:$B$6,0),MATCH('Rekomendasi HAV'!I269,'9 Grid'!$D$2:$F$2,0)),"")</f>
        <v/>
      </c>
      <c r="K269" s="146" t="str">
        <f>IFERROR(INDEX('9 Grid'!$D$8:$F$8,1,MATCH('Rekomendasi HAV'!I269,'9 Grid'!$D$2:$F$2,0)),"")</f>
        <v>(ST) Within 12 - 18 month</v>
      </c>
      <c r="L269" s="146">
        <f>IF(ISNUMBER(SEARCH("EST",Assessment[[#This Row],[JOB TARGET]])),SUBSTITUTE(Assessment[[#This Row],[JOB TARGET]],"EST","DEV"),Assessment[[#This Row],[JOB TARGET]])</f>
        <v>0</v>
      </c>
      <c r="M269" s="146" t="str" cm="1">
        <f t="array" aca="1" ref="M269" ca="1">IF(Assessment[[#This Row],[JOB TARGET]]="","Job Target Kosong",IF(COUNT(IF('Data Assessment'!$N269:$Z269-OFFSET(Standar!$B$2,MATCH(Assessment[[#This Row],[JOB TARGET
(DEV)]],Standar[NAMA JABATAN],0)-1,1,1,13)&lt;0,1,""))&lt;=3,'9 Grid'!$B$4,IF(COUNT(IF('Data Assessment'!$N269:$Z269-OFFSET(Standar!$B$2,MATCH(Assessment[[#This Row],[JOB TARGET
(DEV)]],Standar[NAMA JABATAN],0)-1,1,1,13)&lt;0,1,""))&gt;=7,'9 Grid'!$B$6,'9 Grid'!$B$5)))</f>
        <v>Job Target Kosong</v>
      </c>
      <c r="N269" s="146" t="str">
        <f>IFERROR(IF(Data_Assessment[[#This Row],[IPP (3 YEARS AVERAGE)]]="","(IPP Belum Ada)",IF(Data_Assessment[[#This Row],[IPP (3 YEARS AVERAGE)]]&lt;2,'9 Grid'!$F$2,IF(Data_Assessment[[#This Row],[IPP (3 YEARS AVERAGE)]]&gt;=4,'9 Grid'!$D$2,'9 Grid'!$E$2))),"")</f>
        <v>Fully Competence Performance</v>
      </c>
      <c r="O269" s="146" t="str">
        <f ca="1">IFERROR(INDEX('9 Grid'!$D$4:$F$6,MATCH('Rekomendasi HAV'!M269,'9 Grid'!$B$4:$B$6,0),MATCH('Rekomendasi HAV'!N269,'9 Grid'!$D$2:$F$2,0)),"")</f>
        <v/>
      </c>
      <c r="P269" s="147" t="str">
        <f>IFERROR(INDEX('9 Grid'!$D$8:$F$8,1,MATCH('Rekomendasi HAV'!N269,'9 Grid'!$D$2:$F$2,0)),"")</f>
        <v>(ST) Within 12 - 18 month</v>
      </c>
    </row>
    <row r="270" spans="1:16" ht="28.5">
      <c r="A270" s="67">
        <v>269</v>
      </c>
      <c r="B270" s="68" t="str">
        <f>INDEX(Data_Assessment[],MATCH('Rekomendasi HAV'!$A270,Data_Assessment[[INDEX]:[INDEX]],0),MATCH('Rekomendasi HAV'!B$1,Data_Assessment[#Headers],0))</f>
        <v>Meilany Sari Ulina</v>
      </c>
      <c r="C270" s="68" t="str">
        <f>INDEX(Data_Assessment[],MATCH('Rekomendasi HAV'!$A270,Data_Assessment[[INDEX]:[INDEX]],0),MATCH('Rekomendasi HAV'!C$1,Data_Assessment[#Headers],0))</f>
        <v>Jakarta</v>
      </c>
      <c r="D270" s="68" t="str">
        <f>INDEX(Data_Assessment[],MATCH('Rekomendasi HAV'!$A270,Data_Assessment[[INDEX]:[INDEX]],0),MATCH('Rekomendasi HAV'!D$1,Data_Assessment[#Headers],0))</f>
        <v>LSIP - HO Jakarta</v>
      </c>
      <c r="E270" s="68">
        <f>INDEX(Data_Assessment[],MATCH('Rekomendasi HAV'!$B270,Data_Assessment[[NAME]:[NAME]],0),MATCH('Rekomendasi HAV'!E$1,Data_Assessment[#Headers],0))</f>
        <v>0</v>
      </c>
      <c r="F270" s="68"/>
      <c r="G270" s="68">
        <f>IF(ISNUMBER(SEARCH("DEV",Assessment[[#This Row],[JOB TARGET]])),SUBSTITUTE(Assessment[[#This Row],[JOB TARGET]],"DEV","EST"),Assessment[[#This Row],[JOB TARGET]])</f>
        <v>0</v>
      </c>
      <c r="H270" s="146" t="str" cm="1">
        <f t="array" aca="1" ref="H270" ca="1">IF(Assessment[[#This Row],[JOB TARGET]]="","Job Target Kosong",IF(COUNT(IF('Data Assessment'!$N270:$Z270-OFFSET(Standar!$B$2,MATCH(Assessment[[#This Row],[JOB TARGET
(EST)]],Standar[NAMA JABATAN],0)-1,1,1,13)&lt;0,1,""))&lt;=3,'9 Grid'!$B$4,IF(COUNT(IF('Data Assessment'!$N270:$Z270-OFFSET(Standar!$B$2,MATCH(Assessment[[#This Row],[JOB TARGET]],Standar[NAMA JABATAN],0)-1,1,1,13)&lt;0,1,""))&gt;=7,'9 Grid'!$B$6,'9 Grid'!$B$5)))</f>
        <v>Job Target Kosong</v>
      </c>
      <c r="I270" s="146" t="str">
        <f>IFERROR(IF(Data_Assessment[[#This Row],[IPP (3 YEARS AVERAGE)]]="","(IPP Belum Ada)",IF(Data_Assessment[[#This Row],[IPP (3 YEARS AVERAGE)]]&lt;2,'9 Grid'!$F$2,IF(Data_Assessment[[#This Row],[IPP (3 YEARS AVERAGE)]]&gt;=4,'9 Grid'!$D$2,'9 Grid'!$E$2))),"")</f>
        <v>Fully Competence Performance</v>
      </c>
      <c r="J270" s="146" t="str">
        <f ca="1">IFERROR(INDEX('9 Grid'!$D$4:$F$6,MATCH('Rekomendasi HAV'!H270,'9 Grid'!$B$4:$B$6,0),MATCH('Rekomendasi HAV'!I270,'9 Grid'!$D$2:$F$2,0)),"")</f>
        <v/>
      </c>
      <c r="K270" s="146" t="str">
        <f>IFERROR(INDEX('9 Grid'!$D$8:$F$8,1,MATCH('Rekomendasi HAV'!I270,'9 Grid'!$D$2:$F$2,0)),"")</f>
        <v>(ST) Within 12 - 18 month</v>
      </c>
      <c r="L270" s="146">
        <f>IF(ISNUMBER(SEARCH("EST",Assessment[[#This Row],[JOB TARGET]])),SUBSTITUTE(Assessment[[#This Row],[JOB TARGET]],"EST","DEV"),Assessment[[#This Row],[JOB TARGET]])</f>
        <v>0</v>
      </c>
      <c r="M270" s="146" t="str" cm="1">
        <f t="array" aca="1" ref="M270" ca="1">IF(Assessment[[#This Row],[JOB TARGET]]="","Job Target Kosong",IF(COUNT(IF('Data Assessment'!$N270:$Z270-OFFSET(Standar!$B$2,MATCH(Assessment[[#This Row],[JOB TARGET
(DEV)]],Standar[NAMA JABATAN],0)-1,1,1,13)&lt;0,1,""))&lt;=3,'9 Grid'!$B$4,IF(COUNT(IF('Data Assessment'!$N270:$Z270-OFFSET(Standar!$B$2,MATCH(Assessment[[#This Row],[JOB TARGET
(DEV)]],Standar[NAMA JABATAN],0)-1,1,1,13)&lt;0,1,""))&gt;=7,'9 Grid'!$B$6,'9 Grid'!$B$5)))</f>
        <v>Job Target Kosong</v>
      </c>
      <c r="N270" s="146" t="str">
        <f>IFERROR(IF(Data_Assessment[[#This Row],[IPP (3 YEARS AVERAGE)]]="","(IPP Belum Ada)",IF(Data_Assessment[[#This Row],[IPP (3 YEARS AVERAGE)]]&lt;2,'9 Grid'!$F$2,IF(Data_Assessment[[#This Row],[IPP (3 YEARS AVERAGE)]]&gt;=4,'9 Grid'!$D$2,'9 Grid'!$E$2))),"")</f>
        <v>Fully Competence Performance</v>
      </c>
      <c r="O270" s="146" t="str">
        <f ca="1">IFERROR(INDEX('9 Grid'!$D$4:$F$6,MATCH('Rekomendasi HAV'!M270,'9 Grid'!$B$4:$B$6,0),MATCH('Rekomendasi HAV'!N270,'9 Grid'!$D$2:$F$2,0)),"")</f>
        <v/>
      </c>
      <c r="P270" s="147" t="str">
        <f>IFERROR(INDEX('9 Grid'!$D$8:$F$8,1,MATCH('Rekomendasi HAV'!N270,'9 Grid'!$D$2:$F$2,0)),"")</f>
        <v>(ST) Within 12 - 18 month</v>
      </c>
    </row>
    <row r="271" spans="1:16" ht="28.5">
      <c r="A271" s="67">
        <v>270</v>
      </c>
      <c r="B271" s="68" t="str">
        <f>INDEX(Data_Assessment[],MATCH('Rekomendasi HAV'!$A271,Data_Assessment[[INDEX]:[INDEX]],0),MATCH('Rekomendasi HAV'!B$1,Data_Assessment[#Headers],0))</f>
        <v>Yenmy Felina</v>
      </c>
      <c r="C271" s="68" t="str">
        <f>INDEX(Data_Assessment[],MATCH('Rekomendasi HAV'!$A271,Data_Assessment[[INDEX]:[INDEX]],0),MATCH('Rekomendasi HAV'!C$1,Data_Assessment[#Headers],0))</f>
        <v>Jakarta</v>
      </c>
      <c r="D271" s="68" t="str">
        <f>INDEX(Data_Assessment[],MATCH('Rekomendasi HAV'!$A271,Data_Assessment[[INDEX]:[INDEX]],0),MATCH('Rekomendasi HAV'!D$1,Data_Assessment[#Headers],0))</f>
        <v>LSIP - HO Jakarta</v>
      </c>
      <c r="E271" s="68">
        <f>INDEX(Data_Assessment[],MATCH('Rekomendasi HAV'!$B271,Data_Assessment[[NAME]:[NAME]],0),MATCH('Rekomendasi HAV'!E$1,Data_Assessment[#Headers],0))</f>
        <v>0</v>
      </c>
      <c r="F271" s="68"/>
      <c r="G271" s="68">
        <f>IF(ISNUMBER(SEARCH("DEV",Assessment[[#This Row],[JOB TARGET]])),SUBSTITUTE(Assessment[[#This Row],[JOB TARGET]],"DEV","EST"),Assessment[[#This Row],[JOB TARGET]])</f>
        <v>0</v>
      </c>
      <c r="H271" s="146" t="str" cm="1">
        <f t="array" aca="1" ref="H271" ca="1">IF(Assessment[[#This Row],[JOB TARGET]]="","Job Target Kosong",IF(COUNT(IF('Data Assessment'!$N271:$Z271-OFFSET(Standar!$B$2,MATCH(Assessment[[#This Row],[JOB TARGET
(EST)]],Standar[NAMA JABATAN],0)-1,1,1,13)&lt;0,1,""))&lt;=3,'9 Grid'!$B$4,IF(COUNT(IF('Data Assessment'!$N271:$Z271-OFFSET(Standar!$B$2,MATCH(Assessment[[#This Row],[JOB TARGET]],Standar[NAMA JABATAN],0)-1,1,1,13)&lt;0,1,""))&gt;=7,'9 Grid'!$B$6,'9 Grid'!$B$5)))</f>
        <v>Job Target Kosong</v>
      </c>
      <c r="I271" s="146" t="str">
        <f>IFERROR(IF(Data_Assessment[[#This Row],[IPP (3 YEARS AVERAGE)]]="","(IPP Belum Ada)",IF(Data_Assessment[[#This Row],[IPP (3 YEARS AVERAGE)]]&lt;2,'9 Grid'!$F$2,IF(Data_Assessment[[#This Row],[IPP (3 YEARS AVERAGE)]]&gt;=4,'9 Grid'!$D$2,'9 Grid'!$E$2))),"")</f>
        <v>Fully Competence Performance</v>
      </c>
      <c r="J271" s="146" t="str">
        <f ca="1">IFERROR(INDEX('9 Grid'!$D$4:$F$6,MATCH('Rekomendasi HAV'!H271,'9 Grid'!$B$4:$B$6,0),MATCH('Rekomendasi HAV'!I271,'9 Grid'!$D$2:$F$2,0)),"")</f>
        <v/>
      </c>
      <c r="K271" s="146" t="str">
        <f>IFERROR(INDEX('9 Grid'!$D$8:$F$8,1,MATCH('Rekomendasi HAV'!I271,'9 Grid'!$D$2:$F$2,0)),"")</f>
        <v>(ST) Within 12 - 18 month</v>
      </c>
      <c r="L271" s="146">
        <f>IF(ISNUMBER(SEARCH("EST",Assessment[[#This Row],[JOB TARGET]])),SUBSTITUTE(Assessment[[#This Row],[JOB TARGET]],"EST","DEV"),Assessment[[#This Row],[JOB TARGET]])</f>
        <v>0</v>
      </c>
      <c r="M271" s="146" t="str" cm="1">
        <f t="array" aca="1" ref="M271" ca="1">IF(Assessment[[#This Row],[JOB TARGET]]="","Job Target Kosong",IF(COUNT(IF('Data Assessment'!$N271:$Z271-OFFSET(Standar!$B$2,MATCH(Assessment[[#This Row],[JOB TARGET
(DEV)]],Standar[NAMA JABATAN],0)-1,1,1,13)&lt;0,1,""))&lt;=3,'9 Grid'!$B$4,IF(COUNT(IF('Data Assessment'!$N271:$Z271-OFFSET(Standar!$B$2,MATCH(Assessment[[#This Row],[JOB TARGET
(DEV)]],Standar[NAMA JABATAN],0)-1,1,1,13)&lt;0,1,""))&gt;=7,'9 Grid'!$B$6,'9 Grid'!$B$5)))</f>
        <v>Job Target Kosong</v>
      </c>
      <c r="N271" s="146" t="str">
        <f>IFERROR(IF(Data_Assessment[[#This Row],[IPP (3 YEARS AVERAGE)]]="","(IPP Belum Ada)",IF(Data_Assessment[[#This Row],[IPP (3 YEARS AVERAGE)]]&lt;2,'9 Grid'!$F$2,IF(Data_Assessment[[#This Row],[IPP (3 YEARS AVERAGE)]]&gt;=4,'9 Grid'!$D$2,'9 Grid'!$E$2))),"")</f>
        <v>Fully Competence Performance</v>
      </c>
      <c r="O271" s="146" t="str">
        <f ca="1">IFERROR(INDEX('9 Grid'!$D$4:$F$6,MATCH('Rekomendasi HAV'!M271,'9 Grid'!$B$4:$B$6,0),MATCH('Rekomendasi HAV'!N271,'9 Grid'!$D$2:$F$2,0)),"")</f>
        <v/>
      </c>
      <c r="P271" s="147" t="str">
        <f>IFERROR(INDEX('9 Grid'!$D$8:$F$8,1,MATCH('Rekomendasi HAV'!N271,'9 Grid'!$D$2:$F$2,0)),"")</f>
        <v>(ST) Within 12 - 18 month</v>
      </c>
    </row>
    <row r="272" spans="1:16" ht="28.5">
      <c r="A272" s="67">
        <v>271</v>
      </c>
      <c r="B272" s="68" t="str">
        <f>INDEX(Data_Assessment[],MATCH('Rekomendasi HAV'!$A272,Data_Assessment[[INDEX]:[INDEX]],0),MATCH('Rekomendasi HAV'!B$1,Data_Assessment[#Headers],0))</f>
        <v>M. Taufik Lahabu</v>
      </c>
      <c r="C272" s="68" t="str">
        <f>INDEX(Data_Assessment[],MATCH('Rekomendasi HAV'!$A272,Data_Assessment[[INDEX]:[INDEX]],0),MATCH('Rekomendasi HAV'!C$1,Data_Assessment[#Headers],0))</f>
        <v>Samarinda</v>
      </c>
      <c r="D272" s="68" t="str">
        <f>INDEX(Data_Assessment[],MATCH('Rekomendasi HAV'!$A272,Data_Assessment[[INDEX]:[INDEX]],0),MATCH('Rekomendasi HAV'!D$1,Data_Assessment[#Headers],0))</f>
        <v>LSIP - RO Samarinda</v>
      </c>
      <c r="E272" s="68">
        <f>INDEX(Data_Assessment[],MATCH('Rekomendasi HAV'!$B272,Data_Assessment[[NAME]:[NAME]],0),MATCH('Rekomendasi HAV'!E$1,Data_Assessment[#Headers],0))</f>
        <v>0</v>
      </c>
      <c r="F272" s="68"/>
      <c r="G272" s="68">
        <f>IF(ISNUMBER(SEARCH("DEV",Assessment[[#This Row],[JOB TARGET]])),SUBSTITUTE(Assessment[[#This Row],[JOB TARGET]],"DEV","EST"),Assessment[[#This Row],[JOB TARGET]])</f>
        <v>0</v>
      </c>
      <c r="H272" s="146" t="str" cm="1">
        <f t="array" aca="1" ref="H272" ca="1">IF(Assessment[[#This Row],[JOB TARGET]]="","Job Target Kosong",IF(COUNT(IF('Data Assessment'!$N272:$Z272-OFFSET(Standar!$B$2,MATCH(Assessment[[#This Row],[JOB TARGET
(EST)]],Standar[NAMA JABATAN],0)-1,1,1,13)&lt;0,1,""))&lt;=3,'9 Grid'!$B$4,IF(COUNT(IF('Data Assessment'!$N272:$Z272-OFFSET(Standar!$B$2,MATCH(Assessment[[#This Row],[JOB TARGET]],Standar[NAMA JABATAN],0)-1,1,1,13)&lt;0,1,""))&gt;=7,'9 Grid'!$B$6,'9 Grid'!$B$5)))</f>
        <v>Job Target Kosong</v>
      </c>
      <c r="I272" s="146" t="str">
        <f>IFERROR(IF(Data_Assessment[[#This Row],[IPP (3 YEARS AVERAGE)]]="","(IPP Belum Ada)",IF(Data_Assessment[[#This Row],[IPP (3 YEARS AVERAGE)]]&lt;2,'9 Grid'!$F$2,IF(Data_Assessment[[#This Row],[IPP (3 YEARS AVERAGE)]]&gt;=4,'9 Grid'!$D$2,'9 Grid'!$E$2))),"")</f>
        <v>Fully Competence Performance</v>
      </c>
      <c r="J272" s="146" t="str">
        <f ca="1">IFERROR(INDEX('9 Grid'!$D$4:$F$6,MATCH('Rekomendasi HAV'!H272,'9 Grid'!$B$4:$B$6,0),MATCH('Rekomendasi HAV'!I272,'9 Grid'!$D$2:$F$2,0)),"")</f>
        <v/>
      </c>
      <c r="K272" s="146" t="str">
        <f>IFERROR(INDEX('9 Grid'!$D$8:$F$8,1,MATCH('Rekomendasi HAV'!I272,'9 Grid'!$D$2:$F$2,0)),"")</f>
        <v>(ST) Within 12 - 18 month</v>
      </c>
      <c r="L272" s="146">
        <f>IF(ISNUMBER(SEARCH("EST",Assessment[[#This Row],[JOB TARGET]])),SUBSTITUTE(Assessment[[#This Row],[JOB TARGET]],"EST","DEV"),Assessment[[#This Row],[JOB TARGET]])</f>
        <v>0</v>
      </c>
      <c r="M272" s="146" t="str" cm="1">
        <f t="array" aca="1" ref="M272" ca="1">IF(Assessment[[#This Row],[JOB TARGET]]="","Job Target Kosong",IF(COUNT(IF('Data Assessment'!$N272:$Z272-OFFSET(Standar!$B$2,MATCH(Assessment[[#This Row],[JOB TARGET
(DEV)]],Standar[NAMA JABATAN],0)-1,1,1,13)&lt;0,1,""))&lt;=3,'9 Grid'!$B$4,IF(COUNT(IF('Data Assessment'!$N272:$Z272-OFFSET(Standar!$B$2,MATCH(Assessment[[#This Row],[JOB TARGET
(DEV)]],Standar[NAMA JABATAN],0)-1,1,1,13)&lt;0,1,""))&gt;=7,'9 Grid'!$B$6,'9 Grid'!$B$5)))</f>
        <v>Job Target Kosong</v>
      </c>
      <c r="N272" s="146" t="str">
        <f>IFERROR(IF(Data_Assessment[[#This Row],[IPP (3 YEARS AVERAGE)]]="","(IPP Belum Ada)",IF(Data_Assessment[[#This Row],[IPP (3 YEARS AVERAGE)]]&lt;2,'9 Grid'!$F$2,IF(Data_Assessment[[#This Row],[IPP (3 YEARS AVERAGE)]]&gt;=4,'9 Grid'!$D$2,'9 Grid'!$E$2))),"")</f>
        <v>Fully Competence Performance</v>
      </c>
      <c r="O272" s="146" t="str">
        <f ca="1">IFERROR(INDEX('9 Grid'!$D$4:$F$6,MATCH('Rekomendasi HAV'!M272,'9 Grid'!$B$4:$B$6,0),MATCH('Rekomendasi HAV'!N272,'9 Grid'!$D$2:$F$2,0)),"")</f>
        <v/>
      </c>
      <c r="P272" s="147" t="str">
        <f>IFERROR(INDEX('9 Grid'!$D$8:$F$8,1,MATCH('Rekomendasi HAV'!N272,'9 Grid'!$D$2:$F$2,0)),"")</f>
        <v>(ST) Within 12 - 18 month</v>
      </c>
    </row>
    <row r="273" spans="1:16" ht="28.5">
      <c r="A273" s="67">
        <v>272</v>
      </c>
      <c r="B273" s="68" t="str">
        <f>INDEX(Data_Assessment[],MATCH('Rekomendasi HAV'!$A273,Data_Assessment[[INDEX]:[INDEX]],0),MATCH('Rekomendasi HAV'!B$1,Data_Assessment[#Headers],0))</f>
        <v>Vertiny Wulansari</v>
      </c>
      <c r="C273" s="68" t="str">
        <f>INDEX(Data_Assessment[],MATCH('Rekomendasi HAV'!$A273,Data_Assessment[[INDEX]:[INDEX]],0),MATCH('Rekomendasi HAV'!C$1,Data_Assessment[#Headers],0))</f>
        <v>Jakarta</v>
      </c>
      <c r="D273" s="68" t="str">
        <f>INDEX(Data_Assessment[],MATCH('Rekomendasi HAV'!$A273,Data_Assessment[[INDEX]:[INDEX]],0),MATCH('Rekomendasi HAV'!D$1,Data_Assessment[#Headers],0))</f>
        <v>LSIP - HO Jakarta</v>
      </c>
      <c r="E273" s="68">
        <f>INDEX(Data_Assessment[],MATCH('Rekomendasi HAV'!$B273,Data_Assessment[[NAME]:[NAME]],0),MATCH('Rekomendasi HAV'!E$1,Data_Assessment[#Headers],0))</f>
        <v>0</v>
      </c>
      <c r="F273" s="68"/>
      <c r="G273" s="68">
        <f>IF(ISNUMBER(SEARCH("DEV",Assessment[[#This Row],[JOB TARGET]])),SUBSTITUTE(Assessment[[#This Row],[JOB TARGET]],"DEV","EST"),Assessment[[#This Row],[JOB TARGET]])</f>
        <v>0</v>
      </c>
      <c r="H273" s="146" t="str" cm="1">
        <f t="array" aca="1" ref="H273" ca="1">IF(Assessment[[#This Row],[JOB TARGET]]="","Job Target Kosong",IF(COUNT(IF('Data Assessment'!$N273:$Z273-OFFSET(Standar!$B$2,MATCH(Assessment[[#This Row],[JOB TARGET
(EST)]],Standar[NAMA JABATAN],0)-1,1,1,13)&lt;0,1,""))&lt;=3,'9 Grid'!$B$4,IF(COUNT(IF('Data Assessment'!$N273:$Z273-OFFSET(Standar!$B$2,MATCH(Assessment[[#This Row],[JOB TARGET]],Standar[NAMA JABATAN],0)-1,1,1,13)&lt;0,1,""))&gt;=7,'9 Grid'!$B$6,'9 Grid'!$B$5)))</f>
        <v>Job Target Kosong</v>
      </c>
      <c r="I273" s="146" t="str">
        <f>IFERROR(IF(Data_Assessment[[#This Row],[IPP (3 YEARS AVERAGE)]]="","(IPP Belum Ada)",IF(Data_Assessment[[#This Row],[IPP (3 YEARS AVERAGE)]]&lt;2,'9 Grid'!$F$2,IF(Data_Assessment[[#This Row],[IPP (3 YEARS AVERAGE)]]&gt;=4,'9 Grid'!$D$2,'9 Grid'!$E$2))),"")</f>
        <v>Fully Competence Performance</v>
      </c>
      <c r="J273" s="146" t="str">
        <f ca="1">IFERROR(INDEX('9 Grid'!$D$4:$F$6,MATCH('Rekomendasi HAV'!H273,'9 Grid'!$B$4:$B$6,0),MATCH('Rekomendasi HAV'!I273,'9 Grid'!$D$2:$F$2,0)),"")</f>
        <v/>
      </c>
      <c r="K273" s="146" t="str">
        <f>IFERROR(INDEX('9 Grid'!$D$8:$F$8,1,MATCH('Rekomendasi HAV'!I273,'9 Grid'!$D$2:$F$2,0)),"")</f>
        <v>(ST) Within 12 - 18 month</v>
      </c>
      <c r="L273" s="146">
        <f>IF(ISNUMBER(SEARCH("EST",Assessment[[#This Row],[JOB TARGET]])),SUBSTITUTE(Assessment[[#This Row],[JOB TARGET]],"EST","DEV"),Assessment[[#This Row],[JOB TARGET]])</f>
        <v>0</v>
      </c>
      <c r="M273" s="146" t="str" cm="1">
        <f t="array" aca="1" ref="M273" ca="1">IF(Assessment[[#This Row],[JOB TARGET]]="","Job Target Kosong",IF(COUNT(IF('Data Assessment'!$N273:$Z273-OFFSET(Standar!$B$2,MATCH(Assessment[[#This Row],[JOB TARGET
(DEV)]],Standar[NAMA JABATAN],0)-1,1,1,13)&lt;0,1,""))&lt;=3,'9 Grid'!$B$4,IF(COUNT(IF('Data Assessment'!$N273:$Z273-OFFSET(Standar!$B$2,MATCH(Assessment[[#This Row],[JOB TARGET
(DEV)]],Standar[NAMA JABATAN],0)-1,1,1,13)&lt;0,1,""))&gt;=7,'9 Grid'!$B$6,'9 Grid'!$B$5)))</f>
        <v>Job Target Kosong</v>
      </c>
      <c r="N273" s="146" t="str">
        <f>IFERROR(IF(Data_Assessment[[#This Row],[IPP (3 YEARS AVERAGE)]]="","(IPP Belum Ada)",IF(Data_Assessment[[#This Row],[IPP (3 YEARS AVERAGE)]]&lt;2,'9 Grid'!$F$2,IF(Data_Assessment[[#This Row],[IPP (3 YEARS AVERAGE)]]&gt;=4,'9 Grid'!$D$2,'9 Grid'!$E$2))),"")</f>
        <v>Fully Competence Performance</v>
      </c>
      <c r="O273" s="146" t="str">
        <f ca="1">IFERROR(INDEX('9 Grid'!$D$4:$F$6,MATCH('Rekomendasi HAV'!M273,'9 Grid'!$B$4:$B$6,0),MATCH('Rekomendasi HAV'!N273,'9 Grid'!$D$2:$F$2,0)),"")</f>
        <v/>
      </c>
      <c r="P273" s="147" t="str">
        <f>IFERROR(INDEX('9 Grid'!$D$8:$F$8,1,MATCH('Rekomendasi HAV'!N273,'9 Grid'!$D$2:$F$2,0)),"")</f>
        <v>(ST) Within 12 - 18 month</v>
      </c>
    </row>
    <row r="274" spans="1:16" ht="28.5">
      <c r="A274" s="67">
        <v>273</v>
      </c>
      <c r="B274" s="68" t="str">
        <f>INDEX(Data_Assessment[],MATCH('Rekomendasi HAV'!$A274,Data_Assessment[[INDEX]:[INDEX]],0),MATCH('Rekomendasi HAV'!B$1,Data_Assessment[#Headers],0))</f>
        <v>Rika Tania</v>
      </c>
      <c r="C274" s="68" t="str">
        <f>INDEX(Data_Assessment[],MATCH('Rekomendasi HAV'!$A274,Data_Assessment[[INDEX]:[INDEX]],0),MATCH('Rekomendasi HAV'!C$1,Data_Assessment[#Headers],0))</f>
        <v>Jakarta</v>
      </c>
      <c r="D274" s="68" t="str">
        <f>INDEX(Data_Assessment[],MATCH('Rekomendasi HAV'!$A274,Data_Assessment[[INDEX]:[INDEX]],0),MATCH('Rekomendasi HAV'!D$1,Data_Assessment[#Headers],0))</f>
        <v>LSIP - HO Jakarta</v>
      </c>
      <c r="E274" s="68">
        <f>INDEX(Data_Assessment[],MATCH('Rekomendasi HAV'!$B274,Data_Assessment[[NAME]:[NAME]],0),MATCH('Rekomendasi HAV'!E$1,Data_Assessment[#Headers],0))</f>
        <v>0</v>
      </c>
      <c r="F274" s="68"/>
      <c r="G274" s="68">
        <f>IF(ISNUMBER(SEARCH("DEV",Assessment[[#This Row],[JOB TARGET]])),SUBSTITUTE(Assessment[[#This Row],[JOB TARGET]],"DEV","EST"),Assessment[[#This Row],[JOB TARGET]])</f>
        <v>0</v>
      </c>
      <c r="H274" s="146" t="str" cm="1">
        <f t="array" aca="1" ref="H274" ca="1">IF(Assessment[[#This Row],[JOB TARGET]]="","Job Target Kosong",IF(COUNT(IF('Data Assessment'!$N274:$Z274-OFFSET(Standar!$B$2,MATCH(Assessment[[#This Row],[JOB TARGET
(EST)]],Standar[NAMA JABATAN],0)-1,1,1,13)&lt;0,1,""))&lt;=3,'9 Grid'!$B$4,IF(COUNT(IF('Data Assessment'!$N274:$Z274-OFFSET(Standar!$B$2,MATCH(Assessment[[#This Row],[JOB TARGET]],Standar[NAMA JABATAN],0)-1,1,1,13)&lt;0,1,""))&gt;=7,'9 Grid'!$B$6,'9 Grid'!$B$5)))</f>
        <v>Job Target Kosong</v>
      </c>
      <c r="I274" s="146" t="str">
        <f>IFERROR(IF(Data_Assessment[[#This Row],[IPP (3 YEARS AVERAGE)]]="","(IPP Belum Ada)",IF(Data_Assessment[[#This Row],[IPP (3 YEARS AVERAGE)]]&lt;2,'9 Grid'!$F$2,IF(Data_Assessment[[#This Row],[IPP (3 YEARS AVERAGE)]]&gt;=4,'9 Grid'!$D$2,'9 Grid'!$E$2))),"")</f>
        <v>Fully Competence Performance</v>
      </c>
      <c r="J274" s="146" t="str">
        <f ca="1">IFERROR(INDEX('9 Grid'!$D$4:$F$6,MATCH('Rekomendasi HAV'!H274,'9 Grid'!$B$4:$B$6,0),MATCH('Rekomendasi HAV'!I274,'9 Grid'!$D$2:$F$2,0)),"")</f>
        <v/>
      </c>
      <c r="K274" s="146" t="str">
        <f>IFERROR(INDEX('9 Grid'!$D$8:$F$8,1,MATCH('Rekomendasi HAV'!I274,'9 Grid'!$D$2:$F$2,0)),"")</f>
        <v>(ST) Within 12 - 18 month</v>
      </c>
      <c r="L274" s="146">
        <f>IF(ISNUMBER(SEARCH("EST",Assessment[[#This Row],[JOB TARGET]])),SUBSTITUTE(Assessment[[#This Row],[JOB TARGET]],"EST","DEV"),Assessment[[#This Row],[JOB TARGET]])</f>
        <v>0</v>
      </c>
      <c r="M274" s="146" t="str" cm="1">
        <f t="array" aca="1" ref="M274" ca="1">IF(Assessment[[#This Row],[JOB TARGET]]="","Job Target Kosong",IF(COUNT(IF('Data Assessment'!$N274:$Z274-OFFSET(Standar!$B$2,MATCH(Assessment[[#This Row],[JOB TARGET
(DEV)]],Standar[NAMA JABATAN],0)-1,1,1,13)&lt;0,1,""))&lt;=3,'9 Grid'!$B$4,IF(COUNT(IF('Data Assessment'!$N274:$Z274-OFFSET(Standar!$B$2,MATCH(Assessment[[#This Row],[JOB TARGET
(DEV)]],Standar[NAMA JABATAN],0)-1,1,1,13)&lt;0,1,""))&gt;=7,'9 Grid'!$B$6,'9 Grid'!$B$5)))</f>
        <v>Job Target Kosong</v>
      </c>
      <c r="N274" s="146" t="str">
        <f>IFERROR(IF(Data_Assessment[[#This Row],[IPP (3 YEARS AVERAGE)]]="","(IPP Belum Ada)",IF(Data_Assessment[[#This Row],[IPP (3 YEARS AVERAGE)]]&lt;2,'9 Grid'!$F$2,IF(Data_Assessment[[#This Row],[IPP (3 YEARS AVERAGE)]]&gt;=4,'9 Grid'!$D$2,'9 Grid'!$E$2))),"")</f>
        <v>Fully Competence Performance</v>
      </c>
      <c r="O274" s="146" t="str">
        <f ca="1">IFERROR(INDEX('9 Grid'!$D$4:$F$6,MATCH('Rekomendasi HAV'!M274,'9 Grid'!$B$4:$B$6,0),MATCH('Rekomendasi HAV'!N274,'9 Grid'!$D$2:$F$2,0)),"")</f>
        <v/>
      </c>
      <c r="P274" s="147" t="str">
        <f>IFERROR(INDEX('9 Grid'!$D$8:$F$8,1,MATCH('Rekomendasi HAV'!N274,'9 Grid'!$D$2:$F$2,0)),"")</f>
        <v>(ST) Within 12 - 18 month</v>
      </c>
    </row>
    <row r="275" spans="1:16" ht="14.25">
      <c r="A275" s="67">
        <v>274</v>
      </c>
      <c r="B275" s="68" t="str">
        <f>INDEX(Data_Assessment[],MATCH('Rekomendasi HAV'!$A275,Data_Assessment[[INDEX]:[INDEX]],0),MATCH('Rekomendasi HAV'!B$1,Data_Assessment[#Headers],0))</f>
        <v>Mercy Nuh</v>
      </c>
      <c r="C275" s="68" t="str">
        <f>INDEX(Data_Assessment[],MATCH('Rekomendasi HAV'!$A275,Data_Assessment[[INDEX]:[INDEX]],0),MATCH('Rekomendasi HAV'!C$1,Data_Assessment[#Headers],0))</f>
        <v>Jakarta</v>
      </c>
      <c r="D275" s="68" t="str">
        <f>INDEX(Data_Assessment[],MATCH('Rekomendasi HAV'!$A275,Data_Assessment[[INDEX]:[INDEX]],0),MATCH('Rekomendasi HAV'!D$1,Data_Assessment[#Headers],0))</f>
        <v>LSIP - HO Jakarta</v>
      </c>
      <c r="E275" s="68">
        <f>INDEX(Data_Assessment[],MATCH('Rekomendasi HAV'!$B275,Data_Assessment[[NAME]:[NAME]],0),MATCH('Rekomendasi HAV'!E$1,Data_Assessment[#Headers],0))</f>
        <v>0</v>
      </c>
      <c r="F275" s="68"/>
      <c r="G275" s="68">
        <f>IF(ISNUMBER(SEARCH("DEV",Assessment[[#This Row],[JOB TARGET]])),SUBSTITUTE(Assessment[[#This Row],[JOB TARGET]],"DEV","EST"),Assessment[[#This Row],[JOB TARGET]])</f>
        <v>0</v>
      </c>
      <c r="H275" s="146" t="str" cm="1">
        <f t="array" aca="1" ref="H275" ca="1">IF(Assessment[[#This Row],[JOB TARGET]]="","Job Target Kosong",IF(COUNT(IF('Data Assessment'!$N275:$Z275-OFFSET(Standar!$B$2,MATCH(Assessment[[#This Row],[JOB TARGET
(EST)]],Standar[NAMA JABATAN],0)-1,1,1,13)&lt;0,1,""))&lt;=3,'9 Grid'!$B$4,IF(COUNT(IF('Data Assessment'!$N275:$Z275-OFFSET(Standar!$B$2,MATCH(Assessment[[#This Row],[JOB TARGET]],Standar[NAMA JABATAN],0)-1,1,1,13)&lt;0,1,""))&gt;=7,'9 Grid'!$B$6,'9 Grid'!$B$5)))</f>
        <v>Job Target Kosong</v>
      </c>
      <c r="I275" s="146" t="str">
        <f>IFERROR(IF(Data_Assessment[[#This Row],[IPP (3 YEARS AVERAGE)]]="","(IPP Belum Ada)",IF(Data_Assessment[[#This Row],[IPP (3 YEARS AVERAGE)]]&lt;2,'9 Grid'!$F$2,IF(Data_Assessment[[#This Row],[IPP (3 YEARS AVERAGE)]]&gt;=4,'9 Grid'!$D$2,'9 Grid'!$E$2))),"")</f>
        <v>Exceptional Performance</v>
      </c>
      <c r="J275" s="146" t="str">
        <f ca="1">IFERROR(INDEX('9 Grid'!$D$4:$F$6,MATCH('Rekomendasi HAV'!H275,'9 Grid'!$B$4:$B$6,0),MATCH('Rekomendasi HAV'!I275,'9 Grid'!$D$2:$F$2,0)),"")</f>
        <v/>
      </c>
      <c r="K275" s="146" t="str">
        <f>IFERROR(INDEX('9 Grid'!$D$8:$F$8,1,MATCH('Rekomendasi HAV'!I275,'9 Grid'!$D$2:$F$2,0)),"")</f>
        <v>(I) Immediately</v>
      </c>
      <c r="L275" s="146">
        <f>IF(ISNUMBER(SEARCH("EST",Assessment[[#This Row],[JOB TARGET]])),SUBSTITUTE(Assessment[[#This Row],[JOB TARGET]],"EST","DEV"),Assessment[[#This Row],[JOB TARGET]])</f>
        <v>0</v>
      </c>
      <c r="M275" s="146" t="str" cm="1">
        <f t="array" aca="1" ref="M275" ca="1">IF(Assessment[[#This Row],[JOB TARGET]]="","Job Target Kosong",IF(COUNT(IF('Data Assessment'!$N275:$Z275-OFFSET(Standar!$B$2,MATCH(Assessment[[#This Row],[JOB TARGET
(DEV)]],Standar[NAMA JABATAN],0)-1,1,1,13)&lt;0,1,""))&lt;=3,'9 Grid'!$B$4,IF(COUNT(IF('Data Assessment'!$N275:$Z275-OFFSET(Standar!$B$2,MATCH(Assessment[[#This Row],[JOB TARGET
(DEV)]],Standar[NAMA JABATAN],0)-1,1,1,13)&lt;0,1,""))&gt;=7,'9 Grid'!$B$6,'9 Grid'!$B$5)))</f>
        <v>Job Target Kosong</v>
      </c>
      <c r="N275" s="146" t="str">
        <f>IFERROR(IF(Data_Assessment[[#This Row],[IPP (3 YEARS AVERAGE)]]="","(IPP Belum Ada)",IF(Data_Assessment[[#This Row],[IPP (3 YEARS AVERAGE)]]&lt;2,'9 Grid'!$F$2,IF(Data_Assessment[[#This Row],[IPP (3 YEARS AVERAGE)]]&gt;=4,'9 Grid'!$D$2,'9 Grid'!$E$2))),"")</f>
        <v>Exceptional Performance</v>
      </c>
      <c r="O275" s="146" t="str">
        <f ca="1">IFERROR(INDEX('9 Grid'!$D$4:$F$6,MATCH('Rekomendasi HAV'!M275,'9 Grid'!$B$4:$B$6,0),MATCH('Rekomendasi HAV'!N275,'9 Grid'!$D$2:$F$2,0)),"")</f>
        <v/>
      </c>
      <c r="P275" s="147" t="str">
        <f>IFERROR(INDEX('9 Grid'!$D$8:$F$8,1,MATCH('Rekomendasi HAV'!N275,'9 Grid'!$D$2:$F$2,0)),"")</f>
        <v>(I) Immediately</v>
      </c>
    </row>
    <row r="276" spans="1:16" ht="28.5">
      <c r="A276" s="67">
        <v>275</v>
      </c>
      <c r="B276" s="68" t="str">
        <f>INDEX(Data_Assessment[],MATCH('Rekomendasi HAV'!$A276,Data_Assessment[[INDEX]:[INDEX]],0),MATCH('Rekomendasi HAV'!B$1,Data_Assessment[#Headers],0))</f>
        <v>Nopial Ishak</v>
      </c>
      <c r="C276" s="68" t="str">
        <f>INDEX(Data_Assessment[],MATCH('Rekomendasi HAV'!$A276,Data_Assessment[[INDEX]:[INDEX]],0),MATCH('Rekomendasi HAV'!C$1,Data_Assessment[#Headers],0))</f>
        <v>Sumatera Selatan</v>
      </c>
      <c r="D276" s="68" t="str">
        <f>INDEX(Data_Assessment[],MATCH('Rekomendasi HAV'!$A276,Data_Assessment[[INDEX]:[INDEX]],0),MATCH('Rekomendasi HAV'!D$1,Data_Assessment[#Headers],0))</f>
        <v>LSIP - HO Jakarta</v>
      </c>
      <c r="E276" s="68">
        <f>INDEX(Data_Assessment[],MATCH('Rekomendasi HAV'!$B276,Data_Assessment[[NAME]:[NAME]],0),MATCH('Rekomendasi HAV'!E$1,Data_Assessment[#Headers],0))</f>
        <v>0</v>
      </c>
      <c r="F276" s="68"/>
      <c r="G276" s="68">
        <f>IF(ISNUMBER(SEARCH("DEV",Assessment[[#This Row],[JOB TARGET]])),SUBSTITUTE(Assessment[[#This Row],[JOB TARGET]],"DEV","EST"),Assessment[[#This Row],[JOB TARGET]])</f>
        <v>0</v>
      </c>
      <c r="H276" s="146" t="str" cm="1">
        <f t="array" aca="1" ref="H276" ca="1">IF(Assessment[[#This Row],[JOB TARGET]]="","Job Target Kosong",IF(COUNT(IF('Data Assessment'!$N276:$Z276-OFFSET(Standar!$B$2,MATCH(Assessment[[#This Row],[JOB TARGET
(EST)]],Standar[NAMA JABATAN],0)-1,1,1,13)&lt;0,1,""))&lt;=3,'9 Grid'!$B$4,IF(COUNT(IF('Data Assessment'!$N276:$Z276-OFFSET(Standar!$B$2,MATCH(Assessment[[#This Row],[JOB TARGET]],Standar[NAMA JABATAN],0)-1,1,1,13)&lt;0,1,""))&gt;=7,'9 Grid'!$B$6,'9 Grid'!$B$5)))</f>
        <v>Job Target Kosong</v>
      </c>
      <c r="I276" s="146" t="str">
        <f>IFERROR(IF(Data_Assessment[[#This Row],[IPP (3 YEARS AVERAGE)]]="","(IPP Belum Ada)",IF(Data_Assessment[[#This Row],[IPP (3 YEARS AVERAGE)]]&lt;2,'9 Grid'!$F$2,IF(Data_Assessment[[#This Row],[IPP (3 YEARS AVERAGE)]]&gt;=4,'9 Grid'!$D$2,'9 Grid'!$E$2))),"")</f>
        <v>Fully Competence Performance</v>
      </c>
      <c r="J276" s="146" t="str">
        <f ca="1">IFERROR(INDEX('9 Grid'!$D$4:$F$6,MATCH('Rekomendasi HAV'!H276,'9 Grid'!$B$4:$B$6,0),MATCH('Rekomendasi HAV'!I276,'9 Grid'!$D$2:$F$2,0)),"")</f>
        <v/>
      </c>
      <c r="K276" s="146" t="str">
        <f>IFERROR(INDEX('9 Grid'!$D$8:$F$8,1,MATCH('Rekomendasi HAV'!I276,'9 Grid'!$D$2:$F$2,0)),"")</f>
        <v>(ST) Within 12 - 18 month</v>
      </c>
      <c r="L276" s="146">
        <f>IF(ISNUMBER(SEARCH("EST",Assessment[[#This Row],[JOB TARGET]])),SUBSTITUTE(Assessment[[#This Row],[JOB TARGET]],"EST","DEV"),Assessment[[#This Row],[JOB TARGET]])</f>
        <v>0</v>
      </c>
      <c r="M276" s="146" t="str" cm="1">
        <f t="array" aca="1" ref="M276" ca="1">IF(Assessment[[#This Row],[JOB TARGET]]="","Job Target Kosong",IF(COUNT(IF('Data Assessment'!$N276:$Z276-OFFSET(Standar!$B$2,MATCH(Assessment[[#This Row],[JOB TARGET
(DEV)]],Standar[NAMA JABATAN],0)-1,1,1,13)&lt;0,1,""))&lt;=3,'9 Grid'!$B$4,IF(COUNT(IF('Data Assessment'!$N276:$Z276-OFFSET(Standar!$B$2,MATCH(Assessment[[#This Row],[JOB TARGET
(DEV)]],Standar[NAMA JABATAN],0)-1,1,1,13)&lt;0,1,""))&gt;=7,'9 Grid'!$B$6,'9 Grid'!$B$5)))</f>
        <v>Job Target Kosong</v>
      </c>
      <c r="N276" s="146" t="str">
        <f>IFERROR(IF(Data_Assessment[[#This Row],[IPP (3 YEARS AVERAGE)]]="","(IPP Belum Ada)",IF(Data_Assessment[[#This Row],[IPP (3 YEARS AVERAGE)]]&lt;2,'9 Grid'!$F$2,IF(Data_Assessment[[#This Row],[IPP (3 YEARS AVERAGE)]]&gt;=4,'9 Grid'!$D$2,'9 Grid'!$E$2))),"")</f>
        <v>Fully Competence Performance</v>
      </c>
      <c r="O276" s="146" t="str">
        <f ca="1">IFERROR(INDEX('9 Grid'!$D$4:$F$6,MATCH('Rekomendasi HAV'!M276,'9 Grid'!$B$4:$B$6,0),MATCH('Rekomendasi HAV'!N276,'9 Grid'!$D$2:$F$2,0)),"")</f>
        <v/>
      </c>
      <c r="P276" s="147" t="str">
        <f>IFERROR(INDEX('9 Grid'!$D$8:$F$8,1,MATCH('Rekomendasi HAV'!N276,'9 Grid'!$D$2:$F$2,0)),"")</f>
        <v>(ST) Within 12 - 18 month</v>
      </c>
    </row>
    <row r="277" spans="1:16" ht="28.5">
      <c r="A277" s="67">
        <v>276</v>
      </c>
      <c r="B277" s="68" t="str">
        <f>INDEX(Data_Assessment[],MATCH('Rekomendasi HAV'!$A277,Data_Assessment[[INDEX]:[INDEX]],0),MATCH('Rekomendasi HAV'!B$1,Data_Assessment[#Headers],0))</f>
        <v>Herdyana Achmadi</v>
      </c>
      <c r="C277" s="68" t="str">
        <f>INDEX(Data_Assessment[],MATCH('Rekomendasi HAV'!$A277,Data_Assessment[[INDEX]:[INDEX]],0),MATCH('Rekomendasi HAV'!C$1,Data_Assessment[#Headers],0))</f>
        <v>Jakarta</v>
      </c>
      <c r="D277" s="68" t="str">
        <f>INDEX(Data_Assessment[],MATCH('Rekomendasi HAV'!$A277,Data_Assessment[[INDEX]:[INDEX]],0),MATCH('Rekomendasi HAV'!D$1,Data_Assessment[#Headers],0))</f>
        <v>LSIP - HO Jakarta</v>
      </c>
      <c r="E277" s="68">
        <f>INDEX(Data_Assessment[],MATCH('Rekomendasi HAV'!$B277,Data_Assessment[[NAME]:[NAME]],0),MATCH('Rekomendasi HAV'!E$1,Data_Assessment[#Headers],0))</f>
        <v>0</v>
      </c>
      <c r="F277" s="68"/>
      <c r="G277" s="68">
        <f>IF(ISNUMBER(SEARCH("DEV",Assessment[[#This Row],[JOB TARGET]])),SUBSTITUTE(Assessment[[#This Row],[JOB TARGET]],"DEV","EST"),Assessment[[#This Row],[JOB TARGET]])</f>
        <v>0</v>
      </c>
      <c r="H277" s="146" t="str" cm="1">
        <f t="array" aca="1" ref="H277" ca="1">IF(Assessment[[#This Row],[JOB TARGET]]="","Job Target Kosong",IF(COUNT(IF('Data Assessment'!$N277:$Z277-OFFSET(Standar!$B$2,MATCH(Assessment[[#This Row],[JOB TARGET
(EST)]],Standar[NAMA JABATAN],0)-1,1,1,13)&lt;0,1,""))&lt;=3,'9 Grid'!$B$4,IF(COUNT(IF('Data Assessment'!$N277:$Z277-OFFSET(Standar!$B$2,MATCH(Assessment[[#This Row],[JOB TARGET]],Standar[NAMA JABATAN],0)-1,1,1,13)&lt;0,1,""))&gt;=7,'9 Grid'!$B$6,'9 Grid'!$B$5)))</f>
        <v>Job Target Kosong</v>
      </c>
      <c r="I277" s="146" t="str">
        <f>IFERROR(IF(Data_Assessment[[#This Row],[IPP (3 YEARS AVERAGE)]]="","(IPP Belum Ada)",IF(Data_Assessment[[#This Row],[IPP (3 YEARS AVERAGE)]]&lt;2,'9 Grid'!$F$2,IF(Data_Assessment[[#This Row],[IPP (3 YEARS AVERAGE)]]&gt;=4,'9 Grid'!$D$2,'9 Grid'!$E$2))),"")</f>
        <v>Fully Competence Performance</v>
      </c>
      <c r="J277" s="146" t="str">
        <f ca="1">IFERROR(INDEX('9 Grid'!$D$4:$F$6,MATCH('Rekomendasi HAV'!H277,'9 Grid'!$B$4:$B$6,0),MATCH('Rekomendasi HAV'!I277,'9 Grid'!$D$2:$F$2,0)),"")</f>
        <v/>
      </c>
      <c r="K277" s="146" t="str">
        <f>IFERROR(INDEX('9 Grid'!$D$8:$F$8,1,MATCH('Rekomendasi HAV'!I277,'9 Grid'!$D$2:$F$2,0)),"")</f>
        <v>(ST) Within 12 - 18 month</v>
      </c>
      <c r="L277" s="146">
        <f>IF(ISNUMBER(SEARCH("EST",Assessment[[#This Row],[JOB TARGET]])),SUBSTITUTE(Assessment[[#This Row],[JOB TARGET]],"EST","DEV"),Assessment[[#This Row],[JOB TARGET]])</f>
        <v>0</v>
      </c>
      <c r="M277" s="146" t="str" cm="1">
        <f t="array" aca="1" ref="M277" ca="1">IF(Assessment[[#This Row],[JOB TARGET]]="","Job Target Kosong",IF(COUNT(IF('Data Assessment'!$N277:$Z277-OFFSET(Standar!$B$2,MATCH(Assessment[[#This Row],[JOB TARGET
(DEV)]],Standar[NAMA JABATAN],0)-1,1,1,13)&lt;0,1,""))&lt;=3,'9 Grid'!$B$4,IF(COUNT(IF('Data Assessment'!$N277:$Z277-OFFSET(Standar!$B$2,MATCH(Assessment[[#This Row],[JOB TARGET
(DEV)]],Standar[NAMA JABATAN],0)-1,1,1,13)&lt;0,1,""))&gt;=7,'9 Grid'!$B$6,'9 Grid'!$B$5)))</f>
        <v>Job Target Kosong</v>
      </c>
      <c r="N277" s="146" t="str">
        <f>IFERROR(IF(Data_Assessment[[#This Row],[IPP (3 YEARS AVERAGE)]]="","(IPP Belum Ada)",IF(Data_Assessment[[#This Row],[IPP (3 YEARS AVERAGE)]]&lt;2,'9 Grid'!$F$2,IF(Data_Assessment[[#This Row],[IPP (3 YEARS AVERAGE)]]&gt;=4,'9 Grid'!$D$2,'9 Grid'!$E$2))),"")</f>
        <v>Fully Competence Performance</v>
      </c>
      <c r="O277" s="146" t="str">
        <f ca="1">IFERROR(INDEX('9 Grid'!$D$4:$F$6,MATCH('Rekomendasi HAV'!M277,'9 Grid'!$B$4:$B$6,0),MATCH('Rekomendasi HAV'!N277,'9 Grid'!$D$2:$F$2,0)),"")</f>
        <v/>
      </c>
      <c r="P277" s="147" t="str">
        <f>IFERROR(INDEX('9 Grid'!$D$8:$F$8,1,MATCH('Rekomendasi HAV'!N277,'9 Grid'!$D$2:$F$2,0)),"")</f>
        <v>(ST) Within 12 - 18 month</v>
      </c>
    </row>
    <row r="278" spans="1:16" ht="28.5">
      <c r="A278" s="67">
        <v>277</v>
      </c>
      <c r="B278" s="68" t="str">
        <f>INDEX(Data_Assessment[],MATCH('Rekomendasi HAV'!$A278,Data_Assessment[[INDEX]:[INDEX]],0),MATCH('Rekomendasi HAV'!B$1,Data_Assessment[#Headers],0))</f>
        <v>Anggoro Santoso</v>
      </c>
      <c r="C278" s="68" t="str">
        <f>INDEX(Data_Assessment[],MATCH('Rekomendasi HAV'!$A278,Data_Assessment[[INDEX]:[INDEX]],0),MATCH('Rekomendasi HAV'!C$1,Data_Assessment[#Headers],0))</f>
        <v>Jakarta</v>
      </c>
      <c r="D278" s="68" t="str">
        <f>INDEX(Data_Assessment[],MATCH('Rekomendasi HAV'!$A278,Data_Assessment[[INDEX]:[INDEX]],0),MATCH('Rekomendasi HAV'!D$1,Data_Assessment[#Headers],0))</f>
        <v>LSIP - HO Jakarta</v>
      </c>
      <c r="E278" s="68">
        <f>INDEX(Data_Assessment[],MATCH('Rekomendasi HAV'!$B278,Data_Assessment[[NAME]:[NAME]],0),MATCH('Rekomendasi HAV'!E$1,Data_Assessment[#Headers],0))</f>
        <v>0</v>
      </c>
      <c r="F278" s="68"/>
      <c r="G278" s="68">
        <f>IF(ISNUMBER(SEARCH("DEV",Assessment[[#This Row],[JOB TARGET]])),SUBSTITUTE(Assessment[[#This Row],[JOB TARGET]],"DEV","EST"),Assessment[[#This Row],[JOB TARGET]])</f>
        <v>0</v>
      </c>
      <c r="H278" s="146" t="str" cm="1">
        <f t="array" aca="1" ref="H278" ca="1">IF(Assessment[[#This Row],[JOB TARGET]]="","Job Target Kosong",IF(COUNT(IF('Data Assessment'!$N278:$Z278-OFFSET(Standar!$B$2,MATCH(Assessment[[#This Row],[JOB TARGET
(EST)]],Standar[NAMA JABATAN],0)-1,1,1,13)&lt;0,1,""))&lt;=3,'9 Grid'!$B$4,IF(COUNT(IF('Data Assessment'!$N278:$Z278-OFFSET(Standar!$B$2,MATCH(Assessment[[#This Row],[JOB TARGET]],Standar[NAMA JABATAN],0)-1,1,1,13)&lt;0,1,""))&gt;=7,'9 Grid'!$B$6,'9 Grid'!$B$5)))</f>
        <v>Job Target Kosong</v>
      </c>
      <c r="I278" s="146" t="str">
        <f>IFERROR(IF(Data_Assessment[[#This Row],[IPP (3 YEARS AVERAGE)]]="","(IPP Belum Ada)",IF(Data_Assessment[[#This Row],[IPP (3 YEARS AVERAGE)]]&lt;2,'9 Grid'!$F$2,IF(Data_Assessment[[#This Row],[IPP (3 YEARS AVERAGE)]]&gt;=4,'9 Grid'!$D$2,'9 Grid'!$E$2))),"")</f>
        <v>Fully Competence Performance</v>
      </c>
      <c r="J278" s="146" t="str">
        <f ca="1">IFERROR(INDEX('9 Grid'!$D$4:$F$6,MATCH('Rekomendasi HAV'!H278,'9 Grid'!$B$4:$B$6,0),MATCH('Rekomendasi HAV'!I278,'9 Grid'!$D$2:$F$2,0)),"")</f>
        <v/>
      </c>
      <c r="K278" s="146" t="str">
        <f>IFERROR(INDEX('9 Grid'!$D$8:$F$8,1,MATCH('Rekomendasi HAV'!I278,'9 Grid'!$D$2:$F$2,0)),"")</f>
        <v>(ST) Within 12 - 18 month</v>
      </c>
      <c r="L278" s="146">
        <f>IF(ISNUMBER(SEARCH("EST",Assessment[[#This Row],[JOB TARGET]])),SUBSTITUTE(Assessment[[#This Row],[JOB TARGET]],"EST","DEV"),Assessment[[#This Row],[JOB TARGET]])</f>
        <v>0</v>
      </c>
      <c r="M278" s="146" t="str" cm="1">
        <f t="array" aca="1" ref="M278" ca="1">IF(Assessment[[#This Row],[JOB TARGET]]="","Job Target Kosong",IF(COUNT(IF('Data Assessment'!$N278:$Z278-OFFSET(Standar!$B$2,MATCH(Assessment[[#This Row],[JOB TARGET
(DEV)]],Standar[NAMA JABATAN],0)-1,1,1,13)&lt;0,1,""))&lt;=3,'9 Grid'!$B$4,IF(COUNT(IF('Data Assessment'!$N278:$Z278-OFFSET(Standar!$B$2,MATCH(Assessment[[#This Row],[JOB TARGET
(DEV)]],Standar[NAMA JABATAN],0)-1,1,1,13)&lt;0,1,""))&gt;=7,'9 Grid'!$B$6,'9 Grid'!$B$5)))</f>
        <v>Job Target Kosong</v>
      </c>
      <c r="N278" s="146" t="str">
        <f>IFERROR(IF(Data_Assessment[[#This Row],[IPP (3 YEARS AVERAGE)]]="","(IPP Belum Ada)",IF(Data_Assessment[[#This Row],[IPP (3 YEARS AVERAGE)]]&lt;2,'9 Grid'!$F$2,IF(Data_Assessment[[#This Row],[IPP (3 YEARS AVERAGE)]]&gt;=4,'9 Grid'!$D$2,'9 Grid'!$E$2))),"")</f>
        <v>Fully Competence Performance</v>
      </c>
      <c r="O278" s="146" t="str">
        <f ca="1">IFERROR(INDEX('9 Grid'!$D$4:$F$6,MATCH('Rekomendasi HAV'!M278,'9 Grid'!$B$4:$B$6,0),MATCH('Rekomendasi HAV'!N278,'9 Grid'!$D$2:$F$2,0)),"")</f>
        <v/>
      </c>
      <c r="P278" s="147" t="str">
        <f>IFERROR(INDEX('9 Grid'!$D$8:$F$8,1,MATCH('Rekomendasi HAV'!N278,'9 Grid'!$D$2:$F$2,0)),"")</f>
        <v>(ST) Within 12 - 18 month</v>
      </c>
    </row>
    <row r="279" spans="1:16" ht="28.5">
      <c r="A279" s="67">
        <v>278</v>
      </c>
      <c r="B279" s="68" t="str">
        <f>INDEX(Data_Assessment[],MATCH('Rekomendasi HAV'!$A279,Data_Assessment[[INDEX]:[INDEX]],0),MATCH('Rekomendasi HAV'!B$1,Data_Assessment[#Headers],0))</f>
        <v>Rika Ade Septiana</v>
      </c>
      <c r="C279" s="68" t="str">
        <f>INDEX(Data_Assessment[],MATCH('Rekomendasi HAV'!$A279,Data_Assessment[[INDEX]:[INDEX]],0),MATCH('Rekomendasi HAV'!C$1,Data_Assessment[#Headers],0))</f>
        <v>Jakarta</v>
      </c>
      <c r="D279" s="68" t="str">
        <f>INDEX(Data_Assessment[],MATCH('Rekomendasi HAV'!$A279,Data_Assessment[[INDEX]:[INDEX]],0),MATCH('Rekomendasi HAV'!D$1,Data_Assessment[#Headers],0))</f>
        <v>LSIP - HO Jakarta</v>
      </c>
      <c r="E279" s="68">
        <f>INDEX(Data_Assessment[],MATCH('Rekomendasi HAV'!$B279,Data_Assessment[[NAME]:[NAME]],0),MATCH('Rekomendasi HAV'!E$1,Data_Assessment[#Headers],0))</f>
        <v>0</v>
      </c>
      <c r="F279" s="68"/>
      <c r="G279" s="68">
        <f>IF(ISNUMBER(SEARCH("DEV",Assessment[[#This Row],[JOB TARGET]])),SUBSTITUTE(Assessment[[#This Row],[JOB TARGET]],"DEV","EST"),Assessment[[#This Row],[JOB TARGET]])</f>
        <v>0</v>
      </c>
      <c r="H279" s="146" t="str" cm="1">
        <f t="array" aca="1" ref="H279" ca="1">IF(Assessment[[#This Row],[JOB TARGET]]="","Job Target Kosong",IF(COUNT(IF('Data Assessment'!$N279:$Z279-OFFSET(Standar!$B$2,MATCH(Assessment[[#This Row],[JOB TARGET
(EST)]],Standar[NAMA JABATAN],0)-1,1,1,13)&lt;0,1,""))&lt;=3,'9 Grid'!$B$4,IF(COUNT(IF('Data Assessment'!$N279:$Z279-OFFSET(Standar!$B$2,MATCH(Assessment[[#This Row],[JOB TARGET]],Standar[NAMA JABATAN],0)-1,1,1,13)&lt;0,1,""))&gt;=7,'9 Grid'!$B$6,'9 Grid'!$B$5)))</f>
        <v>Job Target Kosong</v>
      </c>
      <c r="I279" s="146" t="str">
        <f>IFERROR(IF(Data_Assessment[[#This Row],[IPP (3 YEARS AVERAGE)]]="","(IPP Belum Ada)",IF(Data_Assessment[[#This Row],[IPP (3 YEARS AVERAGE)]]&lt;2,'9 Grid'!$F$2,IF(Data_Assessment[[#This Row],[IPP (3 YEARS AVERAGE)]]&gt;=4,'9 Grid'!$D$2,'9 Grid'!$E$2))),"")</f>
        <v>Fully Competence Performance</v>
      </c>
      <c r="J279" s="146" t="str">
        <f ca="1">IFERROR(INDEX('9 Grid'!$D$4:$F$6,MATCH('Rekomendasi HAV'!H279,'9 Grid'!$B$4:$B$6,0),MATCH('Rekomendasi HAV'!I279,'9 Grid'!$D$2:$F$2,0)),"")</f>
        <v/>
      </c>
      <c r="K279" s="146" t="str">
        <f>IFERROR(INDEX('9 Grid'!$D$8:$F$8,1,MATCH('Rekomendasi HAV'!I279,'9 Grid'!$D$2:$F$2,0)),"")</f>
        <v>(ST) Within 12 - 18 month</v>
      </c>
      <c r="L279" s="146">
        <f>IF(ISNUMBER(SEARCH("EST",Assessment[[#This Row],[JOB TARGET]])),SUBSTITUTE(Assessment[[#This Row],[JOB TARGET]],"EST","DEV"),Assessment[[#This Row],[JOB TARGET]])</f>
        <v>0</v>
      </c>
      <c r="M279" s="146" t="str" cm="1">
        <f t="array" aca="1" ref="M279" ca="1">IF(Assessment[[#This Row],[JOB TARGET]]="","Job Target Kosong",IF(COUNT(IF('Data Assessment'!$N279:$Z279-OFFSET(Standar!$B$2,MATCH(Assessment[[#This Row],[JOB TARGET
(DEV)]],Standar[NAMA JABATAN],0)-1,1,1,13)&lt;0,1,""))&lt;=3,'9 Grid'!$B$4,IF(COUNT(IF('Data Assessment'!$N279:$Z279-OFFSET(Standar!$B$2,MATCH(Assessment[[#This Row],[JOB TARGET
(DEV)]],Standar[NAMA JABATAN],0)-1,1,1,13)&lt;0,1,""))&gt;=7,'9 Grid'!$B$6,'9 Grid'!$B$5)))</f>
        <v>Job Target Kosong</v>
      </c>
      <c r="N279" s="146" t="str">
        <f>IFERROR(IF(Data_Assessment[[#This Row],[IPP (3 YEARS AVERAGE)]]="","(IPP Belum Ada)",IF(Data_Assessment[[#This Row],[IPP (3 YEARS AVERAGE)]]&lt;2,'9 Grid'!$F$2,IF(Data_Assessment[[#This Row],[IPP (3 YEARS AVERAGE)]]&gt;=4,'9 Grid'!$D$2,'9 Grid'!$E$2))),"")</f>
        <v>Fully Competence Performance</v>
      </c>
      <c r="O279" s="146" t="str">
        <f ca="1">IFERROR(INDEX('9 Grid'!$D$4:$F$6,MATCH('Rekomendasi HAV'!M279,'9 Grid'!$B$4:$B$6,0),MATCH('Rekomendasi HAV'!N279,'9 Grid'!$D$2:$F$2,0)),"")</f>
        <v/>
      </c>
      <c r="P279" s="147" t="str">
        <f>IFERROR(INDEX('9 Grid'!$D$8:$F$8,1,MATCH('Rekomendasi HAV'!N279,'9 Grid'!$D$2:$F$2,0)),"")</f>
        <v>(ST) Within 12 - 18 month</v>
      </c>
    </row>
    <row r="280" spans="1:16" ht="28.5">
      <c r="A280" s="67">
        <v>279</v>
      </c>
      <c r="B280" s="68" t="str">
        <f>INDEX(Data_Assessment[],MATCH('Rekomendasi HAV'!$A280,Data_Assessment[[INDEX]:[INDEX]],0),MATCH('Rekomendasi HAV'!B$1,Data_Assessment[#Headers],0))</f>
        <v>Heru Hermawan</v>
      </c>
      <c r="C280" s="68" t="str">
        <f>INDEX(Data_Assessment[],MATCH('Rekomendasi HAV'!$A280,Data_Assessment[[INDEX]:[INDEX]],0),MATCH('Rekomendasi HAV'!C$1,Data_Assessment[#Headers],0))</f>
        <v>Jakarta</v>
      </c>
      <c r="D280" s="68" t="str">
        <f>INDEX(Data_Assessment[],MATCH('Rekomendasi HAV'!$A280,Data_Assessment[[INDEX]:[INDEX]],0),MATCH('Rekomendasi HAV'!D$1,Data_Assessment[#Headers],0))</f>
        <v>LSIP - HO Jakarta</v>
      </c>
      <c r="E280" s="68">
        <f>INDEX(Data_Assessment[],MATCH('Rekomendasi HAV'!$B280,Data_Assessment[[NAME]:[NAME]],0),MATCH('Rekomendasi HAV'!E$1,Data_Assessment[#Headers],0))</f>
        <v>0</v>
      </c>
      <c r="F280" s="68"/>
      <c r="G280" s="68">
        <f>IF(ISNUMBER(SEARCH("DEV",Assessment[[#This Row],[JOB TARGET]])),SUBSTITUTE(Assessment[[#This Row],[JOB TARGET]],"DEV","EST"),Assessment[[#This Row],[JOB TARGET]])</f>
        <v>0</v>
      </c>
      <c r="H280" s="146" t="str" cm="1">
        <f t="array" aca="1" ref="H280" ca="1">IF(Assessment[[#This Row],[JOB TARGET]]="","Job Target Kosong",IF(COUNT(IF('Data Assessment'!$N280:$Z280-OFFSET(Standar!$B$2,MATCH(Assessment[[#This Row],[JOB TARGET
(EST)]],Standar[NAMA JABATAN],0)-1,1,1,13)&lt;0,1,""))&lt;=3,'9 Grid'!$B$4,IF(COUNT(IF('Data Assessment'!$N280:$Z280-OFFSET(Standar!$B$2,MATCH(Assessment[[#This Row],[JOB TARGET]],Standar[NAMA JABATAN],0)-1,1,1,13)&lt;0,1,""))&gt;=7,'9 Grid'!$B$6,'9 Grid'!$B$5)))</f>
        <v>Job Target Kosong</v>
      </c>
      <c r="I280" s="146" t="str">
        <f>IFERROR(IF(Data_Assessment[[#This Row],[IPP (3 YEARS AVERAGE)]]="","(IPP Belum Ada)",IF(Data_Assessment[[#This Row],[IPP (3 YEARS AVERAGE)]]&lt;2,'9 Grid'!$F$2,IF(Data_Assessment[[#This Row],[IPP (3 YEARS AVERAGE)]]&gt;=4,'9 Grid'!$D$2,'9 Grid'!$E$2))),"")</f>
        <v>Fully Competence Performance</v>
      </c>
      <c r="J280" s="146" t="str">
        <f ca="1">IFERROR(INDEX('9 Grid'!$D$4:$F$6,MATCH('Rekomendasi HAV'!H280,'9 Grid'!$B$4:$B$6,0),MATCH('Rekomendasi HAV'!I280,'9 Grid'!$D$2:$F$2,0)),"")</f>
        <v/>
      </c>
      <c r="K280" s="146" t="str">
        <f>IFERROR(INDEX('9 Grid'!$D$8:$F$8,1,MATCH('Rekomendasi HAV'!I280,'9 Grid'!$D$2:$F$2,0)),"")</f>
        <v>(ST) Within 12 - 18 month</v>
      </c>
      <c r="L280" s="146">
        <f>IF(ISNUMBER(SEARCH("EST",Assessment[[#This Row],[JOB TARGET]])),SUBSTITUTE(Assessment[[#This Row],[JOB TARGET]],"EST","DEV"),Assessment[[#This Row],[JOB TARGET]])</f>
        <v>0</v>
      </c>
      <c r="M280" s="146" t="str" cm="1">
        <f t="array" aca="1" ref="M280" ca="1">IF(Assessment[[#This Row],[JOB TARGET]]="","Job Target Kosong",IF(COUNT(IF('Data Assessment'!$N280:$Z280-OFFSET(Standar!$B$2,MATCH(Assessment[[#This Row],[JOB TARGET
(DEV)]],Standar[NAMA JABATAN],0)-1,1,1,13)&lt;0,1,""))&lt;=3,'9 Grid'!$B$4,IF(COUNT(IF('Data Assessment'!$N280:$Z280-OFFSET(Standar!$B$2,MATCH(Assessment[[#This Row],[JOB TARGET
(DEV)]],Standar[NAMA JABATAN],0)-1,1,1,13)&lt;0,1,""))&gt;=7,'9 Grid'!$B$6,'9 Grid'!$B$5)))</f>
        <v>Job Target Kosong</v>
      </c>
      <c r="N280" s="146" t="str">
        <f>IFERROR(IF(Data_Assessment[[#This Row],[IPP (3 YEARS AVERAGE)]]="","(IPP Belum Ada)",IF(Data_Assessment[[#This Row],[IPP (3 YEARS AVERAGE)]]&lt;2,'9 Grid'!$F$2,IF(Data_Assessment[[#This Row],[IPP (3 YEARS AVERAGE)]]&gt;=4,'9 Grid'!$D$2,'9 Grid'!$E$2))),"")</f>
        <v>Fully Competence Performance</v>
      </c>
      <c r="O280" s="146" t="str">
        <f ca="1">IFERROR(INDEX('9 Grid'!$D$4:$F$6,MATCH('Rekomendasi HAV'!M280,'9 Grid'!$B$4:$B$6,0),MATCH('Rekomendasi HAV'!N280,'9 Grid'!$D$2:$F$2,0)),"")</f>
        <v/>
      </c>
      <c r="P280" s="147" t="str">
        <f>IFERROR(INDEX('9 Grid'!$D$8:$F$8,1,MATCH('Rekomendasi HAV'!N280,'9 Grid'!$D$2:$F$2,0)),"")</f>
        <v>(ST) Within 12 - 18 month</v>
      </c>
    </row>
    <row r="281" spans="1:16" ht="28.5">
      <c r="A281" s="67">
        <v>280</v>
      </c>
      <c r="B281" s="68" t="str">
        <f>INDEX(Data_Assessment[],MATCH('Rekomendasi HAV'!$A281,Data_Assessment[[INDEX]:[INDEX]],0),MATCH('Rekomendasi HAV'!B$1,Data_Assessment[#Headers],0))</f>
        <v>Donni Febianto</v>
      </c>
      <c r="C281" s="68" t="str">
        <f>INDEX(Data_Assessment[],MATCH('Rekomendasi HAV'!$A281,Data_Assessment[[INDEX]:[INDEX]],0),MATCH('Rekomendasi HAV'!C$1,Data_Assessment[#Headers],0))</f>
        <v>Jakarta</v>
      </c>
      <c r="D281" s="68" t="str">
        <f>INDEX(Data_Assessment[],MATCH('Rekomendasi HAV'!$A281,Data_Assessment[[INDEX]:[INDEX]],0),MATCH('Rekomendasi HAV'!D$1,Data_Assessment[#Headers],0))</f>
        <v>LSIP - HO Jakarta</v>
      </c>
      <c r="E281" s="68">
        <f>INDEX(Data_Assessment[],MATCH('Rekomendasi HAV'!$B281,Data_Assessment[[NAME]:[NAME]],0),MATCH('Rekomendasi HAV'!E$1,Data_Assessment[#Headers],0))</f>
        <v>0</v>
      </c>
      <c r="F281" s="68"/>
      <c r="G281" s="68">
        <f>IF(ISNUMBER(SEARCH("DEV",Assessment[[#This Row],[JOB TARGET]])),SUBSTITUTE(Assessment[[#This Row],[JOB TARGET]],"DEV","EST"),Assessment[[#This Row],[JOB TARGET]])</f>
        <v>0</v>
      </c>
      <c r="H281" s="146" t="str" cm="1">
        <f t="array" aca="1" ref="H281" ca="1">IF(Assessment[[#This Row],[JOB TARGET]]="","Job Target Kosong",IF(COUNT(IF('Data Assessment'!$N281:$Z281-OFFSET(Standar!$B$2,MATCH(Assessment[[#This Row],[JOB TARGET
(EST)]],Standar[NAMA JABATAN],0)-1,1,1,13)&lt;0,1,""))&lt;=3,'9 Grid'!$B$4,IF(COUNT(IF('Data Assessment'!$N281:$Z281-OFFSET(Standar!$B$2,MATCH(Assessment[[#This Row],[JOB TARGET]],Standar[NAMA JABATAN],0)-1,1,1,13)&lt;0,1,""))&gt;=7,'9 Grid'!$B$6,'9 Grid'!$B$5)))</f>
        <v>Job Target Kosong</v>
      </c>
      <c r="I281" s="146" t="str">
        <f>IFERROR(IF(Data_Assessment[[#This Row],[IPP (3 YEARS AVERAGE)]]="","(IPP Belum Ada)",IF(Data_Assessment[[#This Row],[IPP (3 YEARS AVERAGE)]]&lt;2,'9 Grid'!$F$2,IF(Data_Assessment[[#This Row],[IPP (3 YEARS AVERAGE)]]&gt;=4,'9 Grid'!$D$2,'9 Grid'!$E$2))),"")</f>
        <v>Fully Competence Performance</v>
      </c>
      <c r="J281" s="146" t="str">
        <f ca="1">IFERROR(INDEX('9 Grid'!$D$4:$F$6,MATCH('Rekomendasi HAV'!H281,'9 Grid'!$B$4:$B$6,0),MATCH('Rekomendasi HAV'!I281,'9 Grid'!$D$2:$F$2,0)),"")</f>
        <v/>
      </c>
      <c r="K281" s="146" t="str">
        <f>IFERROR(INDEX('9 Grid'!$D$8:$F$8,1,MATCH('Rekomendasi HAV'!I281,'9 Grid'!$D$2:$F$2,0)),"")</f>
        <v>(ST) Within 12 - 18 month</v>
      </c>
      <c r="L281" s="146">
        <f>IF(ISNUMBER(SEARCH("EST",Assessment[[#This Row],[JOB TARGET]])),SUBSTITUTE(Assessment[[#This Row],[JOB TARGET]],"EST","DEV"),Assessment[[#This Row],[JOB TARGET]])</f>
        <v>0</v>
      </c>
      <c r="M281" s="146" t="str" cm="1">
        <f t="array" aca="1" ref="M281" ca="1">IF(Assessment[[#This Row],[JOB TARGET]]="","Job Target Kosong",IF(COUNT(IF('Data Assessment'!$N281:$Z281-OFFSET(Standar!$B$2,MATCH(Assessment[[#This Row],[JOB TARGET
(DEV)]],Standar[NAMA JABATAN],0)-1,1,1,13)&lt;0,1,""))&lt;=3,'9 Grid'!$B$4,IF(COUNT(IF('Data Assessment'!$N281:$Z281-OFFSET(Standar!$B$2,MATCH(Assessment[[#This Row],[JOB TARGET
(DEV)]],Standar[NAMA JABATAN],0)-1,1,1,13)&lt;0,1,""))&gt;=7,'9 Grid'!$B$6,'9 Grid'!$B$5)))</f>
        <v>Job Target Kosong</v>
      </c>
      <c r="N281" s="146" t="str">
        <f>IFERROR(IF(Data_Assessment[[#This Row],[IPP (3 YEARS AVERAGE)]]="","(IPP Belum Ada)",IF(Data_Assessment[[#This Row],[IPP (3 YEARS AVERAGE)]]&lt;2,'9 Grid'!$F$2,IF(Data_Assessment[[#This Row],[IPP (3 YEARS AVERAGE)]]&gt;=4,'9 Grid'!$D$2,'9 Grid'!$E$2))),"")</f>
        <v>Fully Competence Performance</v>
      </c>
      <c r="O281" s="146" t="str">
        <f ca="1">IFERROR(INDEX('9 Grid'!$D$4:$F$6,MATCH('Rekomendasi HAV'!M281,'9 Grid'!$B$4:$B$6,0),MATCH('Rekomendasi HAV'!N281,'9 Grid'!$D$2:$F$2,0)),"")</f>
        <v/>
      </c>
      <c r="P281" s="147" t="str">
        <f>IFERROR(INDEX('9 Grid'!$D$8:$F$8,1,MATCH('Rekomendasi HAV'!N281,'9 Grid'!$D$2:$F$2,0)),"")</f>
        <v>(ST) Within 12 - 18 month</v>
      </c>
    </row>
    <row r="282" spans="1:16" ht="14.25">
      <c r="A282" s="67">
        <v>281</v>
      </c>
      <c r="B282" s="68" t="str">
        <f>INDEX(Data_Assessment[],MATCH('Rekomendasi HAV'!$A282,Data_Assessment[[INDEX]:[INDEX]],0),MATCH('Rekomendasi HAV'!B$1,Data_Assessment[#Headers],0))</f>
        <v>Susanty Loka</v>
      </c>
      <c r="C282" s="68" t="str">
        <f>INDEX(Data_Assessment[],MATCH('Rekomendasi HAV'!$A282,Data_Assessment[[INDEX]:[INDEX]],0),MATCH('Rekomendasi HAV'!C$1,Data_Assessment[#Headers],0))</f>
        <v>Jakarta</v>
      </c>
      <c r="D282" s="68" t="str">
        <f>INDEX(Data_Assessment[],MATCH('Rekomendasi HAV'!$A282,Data_Assessment[[INDEX]:[INDEX]],0),MATCH('Rekomendasi HAV'!D$1,Data_Assessment[#Headers],0))</f>
        <v>LSIP - HO Jakarta</v>
      </c>
      <c r="E282" s="68">
        <f>INDEX(Data_Assessment[],MATCH('Rekomendasi HAV'!$B282,Data_Assessment[[NAME]:[NAME]],0),MATCH('Rekomendasi HAV'!E$1,Data_Assessment[#Headers],0))</f>
        <v>0</v>
      </c>
      <c r="F282" s="68"/>
      <c r="G282" s="68">
        <f>IF(ISNUMBER(SEARCH("DEV",Assessment[[#This Row],[JOB TARGET]])),SUBSTITUTE(Assessment[[#This Row],[JOB TARGET]],"DEV","EST"),Assessment[[#This Row],[JOB TARGET]])</f>
        <v>0</v>
      </c>
      <c r="H282" s="146" t="str" cm="1">
        <f t="array" aca="1" ref="H282" ca="1">IF(Assessment[[#This Row],[JOB TARGET]]="","Job Target Kosong",IF(COUNT(IF('Data Assessment'!$N282:$Z282-OFFSET(Standar!$B$2,MATCH(Assessment[[#This Row],[JOB TARGET
(EST)]],Standar[NAMA JABATAN],0)-1,1,1,13)&lt;0,1,""))&lt;=3,'9 Grid'!$B$4,IF(COUNT(IF('Data Assessment'!$N282:$Z282-OFFSET(Standar!$B$2,MATCH(Assessment[[#This Row],[JOB TARGET]],Standar[NAMA JABATAN],0)-1,1,1,13)&lt;0,1,""))&gt;=7,'9 Grid'!$B$6,'9 Grid'!$B$5)))</f>
        <v>Job Target Kosong</v>
      </c>
      <c r="I282" s="146" t="str">
        <f>IFERROR(IF(Data_Assessment[[#This Row],[IPP (3 YEARS AVERAGE)]]="","(IPP Belum Ada)",IF(Data_Assessment[[#This Row],[IPP (3 YEARS AVERAGE)]]&lt;2,'9 Grid'!$F$2,IF(Data_Assessment[[#This Row],[IPP (3 YEARS AVERAGE)]]&gt;=4,'9 Grid'!$D$2,'9 Grid'!$E$2))),"")</f>
        <v>Exceptional Performance</v>
      </c>
      <c r="J282" s="146" t="str">
        <f ca="1">IFERROR(INDEX('9 Grid'!$D$4:$F$6,MATCH('Rekomendasi HAV'!H282,'9 Grid'!$B$4:$B$6,0),MATCH('Rekomendasi HAV'!I282,'9 Grid'!$D$2:$F$2,0)),"")</f>
        <v/>
      </c>
      <c r="K282" s="146" t="str">
        <f>IFERROR(INDEX('9 Grid'!$D$8:$F$8,1,MATCH('Rekomendasi HAV'!I282,'9 Grid'!$D$2:$F$2,0)),"")</f>
        <v>(I) Immediately</v>
      </c>
      <c r="L282" s="146">
        <f>IF(ISNUMBER(SEARCH("EST",Assessment[[#This Row],[JOB TARGET]])),SUBSTITUTE(Assessment[[#This Row],[JOB TARGET]],"EST","DEV"),Assessment[[#This Row],[JOB TARGET]])</f>
        <v>0</v>
      </c>
      <c r="M282" s="146" t="str" cm="1">
        <f t="array" aca="1" ref="M282" ca="1">IF(Assessment[[#This Row],[JOB TARGET]]="","Job Target Kosong",IF(COUNT(IF('Data Assessment'!$N282:$Z282-OFFSET(Standar!$B$2,MATCH(Assessment[[#This Row],[JOB TARGET
(DEV)]],Standar[NAMA JABATAN],0)-1,1,1,13)&lt;0,1,""))&lt;=3,'9 Grid'!$B$4,IF(COUNT(IF('Data Assessment'!$N282:$Z282-OFFSET(Standar!$B$2,MATCH(Assessment[[#This Row],[JOB TARGET
(DEV)]],Standar[NAMA JABATAN],0)-1,1,1,13)&lt;0,1,""))&gt;=7,'9 Grid'!$B$6,'9 Grid'!$B$5)))</f>
        <v>Job Target Kosong</v>
      </c>
      <c r="N282" s="146" t="str">
        <f>IFERROR(IF(Data_Assessment[[#This Row],[IPP (3 YEARS AVERAGE)]]="","(IPP Belum Ada)",IF(Data_Assessment[[#This Row],[IPP (3 YEARS AVERAGE)]]&lt;2,'9 Grid'!$F$2,IF(Data_Assessment[[#This Row],[IPP (3 YEARS AVERAGE)]]&gt;=4,'9 Grid'!$D$2,'9 Grid'!$E$2))),"")</f>
        <v>Exceptional Performance</v>
      </c>
      <c r="O282" s="146" t="str">
        <f ca="1">IFERROR(INDEX('9 Grid'!$D$4:$F$6,MATCH('Rekomendasi HAV'!M282,'9 Grid'!$B$4:$B$6,0),MATCH('Rekomendasi HAV'!N282,'9 Grid'!$D$2:$F$2,0)),"")</f>
        <v/>
      </c>
      <c r="P282" s="147" t="str">
        <f>IFERROR(INDEX('9 Grid'!$D$8:$F$8,1,MATCH('Rekomendasi HAV'!N282,'9 Grid'!$D$2:$F$2,0)),"")</f>
        <v>(I) Immediately</v>
      </c>
    </row>
    <row r="283" spans="1:16" ht="28.5">
      <c r="A283" s="67">
        <v>282</v>
      </c>
      <c r="B283" s="68" t="str">
        <f>INDEX(Data_Assessment[],MATCH('Rekomendasi HAV'!$A283,Data_Assessment[[INDEX]:[INDEX]],0),MATCH('Rekomendasi HAV'!B$1,Data_Assessment[#Headers],0))</f>
        <v>Irpan Irawan</v>
      </c>
      <c r="C283" s="68" t="str">
        <f>INDEX(Data_Assessment[],MATCH('Rekomendasi HAV'!$A283,Data_Assessment[[INDEX]:[INDEX]],0),MATCH('Rekomendasi HAV'!C$1,Data_Assessment[#Headers],0))</f>
        <v>Jakarta</v>
      </c>
      <c r="D283" s="68" t="str">
        <f>INDEX(Data_Assessment[],MATCH('Rekomendasi HAV'!$A283,Data_Assessment[[INDEX]:[INDEX]],0),MATCH('Rekomendasi HAV'!D$1,Data_Assessment[#Headers],0))</f>
        <v>LSIP - HO Jakarta</v>
      </c>
      <c r="E283" s="68">
        <f>INDEX(Data_Assessment[],MATCH('Rekomendasi HAV'!$B283,Data_Assessment[[NAME]:[NAME]],0),MATCH('Rekomendasi HAV'!E$1,Data_Assessment[#Headers],0))</f>
        <v>0</v>
      </c>
      <c r="F283" s="68"/>
      <c r="G283" s="68">
        <f>IF(ISNUMBER(SEARCH("DEV",Assessment[[#This Row],[JOB TARGET]])),SUBSTITUTE(Assessment[[#This Row],[JOB TARGET]],"DEV","EST"),Assessment[[#This Row],[JOB TARGET]])</f>
        <v>0</v>
      </c>
      <c r="H283" s="146" t="str" cm="1">
        <f t="array" aca="1" ref="H283" ca="1">IF(Assessment[[#This Row],[JOB TARGET]]="","Job Target Kosong",IF(COUNT(IF('Data Assessment'!$N283:$Z283-OFFSET(Standar!$B$2,MATCH(Assessment[[#This Row],[JOB TARGET
(EST)]],Standar[NAMA JABATAN],0)-1,1,1,13)&lt;0,1,""))&lt;=3,'9 Grid'!$B$4,IF(COUNT(IF('Data Assessment'!$N283:$Z283-OFFSET(Standar!$B$2,MATCH(Assessment[[#This Row],[JOB TARGET]],Standar[NAMA JABATAN],0)-1,1,1,13)&lt;0,1,""))&gt;=7,'9 Grid'!$B$6,'9 Grid'!$B$5)))</f>
        <v>Job Target Kosong</v>
      </c>
      <c r="I283" s="146" t="str">
        <f>IFERROR(IF(Data_Assessment[[#This Row],[IPP (3 YEARS AVERAGE)]]="","(IPP Belum Ada)",IF(Data_Assessment[[#This Row],[IPP (3 YEARS AVERAGE)]]&lt;2,'9 Grid'!$F$2,IF(Data_Assessment[[#This Row],[IPP (3 YEARS AVERAGE)]]&gt;=4,'9 Grid'!$D$2,'9 Grid'!$E$2))),"")</f>
        <v>Fully Competence Performance</v>
      </c>
      <c r="J283" s="146" t="str">
        <f ca="1">IFERROR(INDEX('9 Grid'!$D$4:$F$6,MATCH('Rekomendasi HAV'!H283,'9 Grid'!$B$4:$B$6,0),MATCH('Rekomendasi HAV'!I283,'9 Grid'!$D$2:$F$2,0)),"")</f>
        <v/>
      </c>
      <c r="K283" s="146" t="str">
        <f>IFERROR(INDEX('9 Grid'!$D$8:$F$8,1,MATCH('Rekomendasi HAV'!I283,'9 Grid'!$D$2:$F$2,0)),"")</f>
        <v>(ST) Within 12 - 18 month</v>
      </c>
      <c r="L283" s="146">
        <f>IF(ISNUMBER(SEARCH("EST",Assessment[[#This Row],[JOB TARGET]])),SUBSTITUTE(Assessment[[#This Row],[JOB TARGET]],"EST","DEV"),Assessment[[#This Row],[JOB TARGET]])</f>
        <v>0</v>
      </c>
      <c r="M283" s="146" t="str" cm="1">
        <f t="array" aca="1" ref="M283" ca="1">IF(Assessment[[#This Row],[JOB TARGET]]="","Job Target Kosong",IF(COUNT(IF('Data Assessment'!$N283:$Z283-OFFSET(Standar!$B$2,MATCH(Assessment[[#This Row],[JOB TARGET
(DEV)]],Standar[NAMA JABATAN],0)-1,1,1,13)&lt;0,1,""))&lt;=3,'9 Grid'!$B$4,IF(COUNT(IF('Data Assessment'!$N283:$Z283-OFFSET(Standar!$B$2,MATCH(Assessment[[#This Row],[JOB TARGET
(DEV)]],Standar[NAMA JABATAN],0)-1,1,1,13)&lt;0,1,""))&gt;=7,'9 Grid'!$B$6,'9 Grid'!$B$5)))</f>
        <v>Job Target Kosong</v>
      </c>
      <c r="N283" s="146" t="str">
        <f>IFERROR(IF(Data_Assessment[[#This Row],[IPP (3 YEARS AVERAGE)]]="","(IPP Belum Ada)",IF(Data_Assessment[[#This Row],[IPP (3 YEARS AVERAGE)]]&lt;2,'9 Grid'!$F$2,IF(Data_Assessment[[#This Row],[IPP (3 YEARS AVERAGE)]]&gt;=4,'9 Grid'!$D$2,'9 Grid'!$E$2))),"")</f>
        <v>Fully Competence Performance</v>
      </c>
      <c r="O283" s="146" t="str">
        <f ca="1">IFERROR(INDEX('9 Grid'!$D$4:$F$6,MATCH('Rekomendasi HAV'!M283,'9 Grid'!$B$4:$B$6,0),MATCH('Rekomendasi HAV'!N283,'9 Grid'!$D$2:$F$2,0)),"")</f>
        <v/>
      </c>
      <c r="P283" s="147" t="str">
        <f>IFERROR(INDEX('9 Grid'!$D$8:$F$8,1,MATCH('Rekomendasi HAV'!N283,'9 Grid'!$D$2:$F$2,0)),"")</f>
        <v>(ST) Within 12 - 18 month</v>
      </c>
    </row>
    <row r="284" spans="1:16" ht="28.5">
      <c r="A284" s="67">
        <v>283</v>
      </c>
      <c r="B284" s="68" t="str">
        <f>INDEX(Data_Assessment[],MATCH('Rekomendasi HAV'!$A284,Data_Assessment[[INDEX]:[INDEX]],0),MATCH('Rekomendasi HAV'!B$1,Data_Assessment[#Headers],0))</f>
        <v>Septiyani</v>
      </c>
      <c r="C284" s="68" t="str">
        <f>INDEX(Data_Assessment[],MATCH('Rekomendasi HAV'!$A284,Data_Assessment[[INDEX]:[INDEX]],0),MATCH('Rekomendasi HAV'!C$1,Data_Assessment[#Headers],0))</f>
        <v>Jakarta</v>
      </c>
      <c r="D284" s="68" t="str">
        <f>INDEX(Data_Assessment[],MATCH('Rekomendasi HAV'!$A284,Data_Assessment[[INDEX]:[INDEX]],0),MATCH('Rekomendasi HAV'!D$1,Data_Assessment[#Headers],0))</f>
        <v>LSIP - HO Jakarta</v>
      </c>
      <c r="E284" s="68">
        <f>INDEX(Data_Assessment[],MATCH('Rekomendasi HAV'!$B284,Data_Assessment[[NAME]:[NAME]],0),MATCH('Rekomendasi HAV'!E$1,Data_Assessment[#Headers],0))</f>
        <v>0</v>
      </c>
      <c r="F284" s="68"/>
      <c r="G284" s="68">
        <f>IF(ISNUMBER(SEARCH("DEV",Assessment[[#This Row],[JOB TARGET]])),SUBSTITUTE(Assessment[[#This Row],[JOB TARGET]],"DEV","EST"),Assessment[[#This Row],[JOB TARGET]])</f>
        <v>0</v>
      </c>
      <c r="H284" s="146" t="str" cm="1">
        <f t="array" aca="1" ref="H284" ca="1">IF(Assessment[[#This Row],[JOB TARGET]]="","Job Target Kosong",IF(COUNT(IF('Data Assessment'!$N284:$Z284-OFFSET(Standar!$B$2,MATCH(Assessment[[#This Row],[JOB TARGET
(EST)]],Standar[NAMA JABATAN],0)-1,1,1,13)&lt;0,1,""))&lt;=3,'9 Grid'!$B$4,IF(COUNT(IF('Data Assessment'!$N284:$Z284-OFFSET(Standar!$B$2,MATCH(Assessment[[#This Row],[JOB TARGET]],Standar[NAMA JABATAN],0)-1,1,1,13)&lt;0,1,""))&gt;=7,'9 Grid'!$B$6,'9 Grid'!$B$5)))</f>
        <v>Job Target Kosong</v>
      </c>
      <c r="I284" s="146" t="str">
        <f>IFERROR(IF(Data_Assessment[[#This Row],[IPP (3 YEARS AVERAGE)]]="","(IPP Belum Ada)",IF(Data_Assessment[[#This Row],[IPP (3 YEARS AVERAGE)]]&lt;2,'9 Grid'!$F$2,IF(Data_Assessment[[#This Row],[IPP (3 YEARS AVERAGE)]]&gt;=4,'9 Grid'!$D$2,'9 Grid'!$E$2))),"")</f>
        <v>Fully Competence Performance</v>
      </c>
      <c r="J284" s="146" t="str">
        <f ca="1">IFERROR(INDEX('9 Grid'!$D$4:$F$6,MATCH('Rekomendasi HAV'!H284,'9 Grid'!$B$4:$B$6,0),MATCH('Rekomendasi HAV'!I284,'9 Grid'!$D$2:$F$2,0)),"")</f>
        <v/>
      </c>
      <c r="K284" s="146" t="str">
        <f>IFERROR(INDEX('9 Grid'!$D$8:$F$8,1,MATCH('Rekomendasi HAV'!I284,'9 Grid'!$D$2:$F$2,0)),"")</f>
        <v>(ST) Within 12 - 18 month</v>
      </c>
      <c r="L284" s="146">
        <f>IF(ISNUMBER(SEARCH("EST",Assessment[[#This Row],[JOB TARGET]])),SUBSTITUTE(Assessment[[#This Row],[JOB TARGET]],"EST","DEV"),Assessment[[#This Row],[JOB TARGET]])</f>
        <v>0</v>
      </c>
      <c r="M284" s="146" t="str" cm="1">
        <f t="array" aca="1" ref="M284" ca="1">IF(Assessment[[#This Row],[JOB TARGET]]="","Job Target Kosong",IF(COUNT(IF('Data Assessment'!$N284:$Z284-OFFSET(Standar!$B$2,MATCH(Assessment[[#This Row],[JOB TARGET
(DEV)]],Standar[NAMA JABATAN],0)-1,1,1,13)&lt;0,1,""))&lt;=3,'9 Grid'!$B$4,IF(COUNT(IF('Data Assessment'!$N284:$Z284-OFFSET(Standar!$B$2,MATCH(Assessment[[#This Row],[JOB TARGET
(DEV)]],Standar[NAMA JABATAN],0)-1,1,1,13)&lt;0,1,""))&gt;=7,'9 Grid'!$B$6,'9 Grid'!$B$5)))</f>
        <v>Job Target Kosong</v>
      </c>
      <c r="N284" s="146" t="str">
        <f>IFERROR(IF(Data_Assessment[[#This Row],[IPP (3 YEARS AVERAGE)]]="","(IPP Belum Ada)",IF(Data_Assessment[[#This Row],[IPP (3 YEARS AVERAGE)]]&lt;2,'9 Grid'!$F$2,IF(Data_Assessment[[#This Row],[IPP (3 YEARS AVERAGE)]]&gt;=4,'9 Grid'!$D$2,'9 Grid'!$E$2))),"")</f>
        <v>Fully Competence Performance</v>
      </c>
      <c r="O284" s="146" t="str">
        <f ca="1">IFERROR(INDEX('9 Grid'!$D$4:$F$6,MATCH('Rekomendasi HAV'!M284,'9 Grid'!$B$4:$B$6,0),MATCH('Rekomendasi HAV'!N284,'9 Grid'!$D$2:$F$2,0)),"")</f>
        <v/>
      </c>
      <c r="P284" s="147" t="str">
        <f>IFERROR(INDEX('9 Grid'!$D$8:$F$8,1,MATCH('Rekomendasi HAV'!N284,'9 Grid'!$D$2:$F$2,0)),"")</f>
        <v>(ST) Within 12 - 18 month</v>
      </c>
    </row>
    <row r="285" spans="1:16" ht="28.5">
      <c r="A285" s="67">
        <v>284</v>
      </c>
      <c r="B285" s="68" t="str">
        <f>INDEX(Data_Assessment[],MATCH('Rekomendasi HAV'!$A285,Data_Assessment[[INDEX]:[INDEX]],0),MATCH('Rekomendasi HAV'!B$1,Data_Assessment[#Headers],0))</f>
        <v>Rengga Prabualam</v>
      </c>
      <c r="C285" s="68" t="str">
        <f>INDEX(Data_Assessment[],MATCH('Rekomendasi HAV'!$A285,Data_Assessment[[INDEX]:[INDEX]],0),MATCH('Rekomendasi HAV'!C$1,Data_Assessment[#Headers],0))</f>
        <v>Jakarta</v>
      </c>
      <c r="D285" s="68" t="str">
        <f>INDEX(Data_Assessment[],MATCH('Rekomendasi HAV'!$A285,Data_Assessment[[INDEX]:[INDEX]],0),MATCH('Rekomendasi HAV'!D$1,Data_Assessment[#Headers],0))</f>
        <v>LSIP - HO Jakarta</v>
      </c>
      <c r="E285" s="68">
        <f>INDEX(Data_Assessment[],MATCH('Rekomendasi HAV'!$B285,Data_Assessment[[NAME]:[NAME]],0),MATCH('Rekomendasi HAV'!E$1,Data_Assessment[#Headers],0))</f>
        <v>0</v>
      </c>
      <c r="F285" s="68"/>
      <c r="G285" s="68">
        <f>IF(ISNUMBER(SEARCH("DEV",Assessment[[#This Row],[JOB TARGET]])),SUBSTITUTE(Assessment[[#This Row],[JOB TARGET]],"DEV","EST"),Assessment[[#This Row],[JOB TARGET]])</f>
        <v>0</v>
      </c>
      <c r="H285" s="146" t="str" cm="1">
        <f t="array" aca="1" ref="H285" ca="1">IF(Assessment[[#This Row],[JOB TARGET]]="","Job Target Kosong",IF(COUNT(IF('Data Assessment'!$N285:$Z285-OFFSET(Standar!$B$2,MATCH(Assessment[[#This Row],[JOB TARGET
(EST)]],Standar[NAMA JABATAN],0)-1,1,1,13)&lt;0,1,""))&lt;=3,'9 Grid'!$B$4,IF(COUNT(IF('Data Assessment'!$N285:$Z285-OFFSET(Standar!$B$2,MATCH(Assessment[[#This Row],[JOB TARGET]],Standar[NAMA JABATAN],0)-1,1,1,13)&lt;0,1,""))&gt;=7,'9 Grid'!$B$6,'9 Grid'!$B$5)))</f>
        <v>Job Target Kosong</v>
      </c>
      <c r="I285" s="146" t="str">
        <f>IFERROR(IF(Data_Assessment[[#This Row],[IPP (3 YEARS AVERAGE)]]="","(IPP Belum Ada)",IF(Data_Assessment[[#This Row],[IPP (3 YEARS AVERAGE)]]&lt;2,'9 Grid'!$F$2,IF(Data_Assessment[[#This Row],[IPP (3 YEARS AVERAGE)]]&gt;=4,'9 Grid'!$D$2,'9 Grid'!$E$2))),"")</f>
        <v>Fully Competence Performance</v>
      </c>
      <c r="J285" s="146" t="str">
        <f ca="1">IFERROR(INDEX('9 Grid'!$D$4:$F$6,MATCH('Rekomendasi HAV'!H285,'9 Grid'!$B$4:$B$6,0),MATCH('Rekomendasi HAV'!I285,'9 Grid'!$D$2:$F$2,0)),"")</f>
        <v/>
      </c>
      <c r="K285" s="146" t="str">
        <f>IFERROR(INDEX('9 Grid'!$D$8:$F$8,1,MATCH('Rekomendasi HAV'!I285,'9 Grid'!$D$2:$F$2,0)),"")</f>
        <v>(ST) Within 12 - 18 month</v>
      </c>
      <c r="L285" s="146">
        <f>IF(ISNUMBER(SEARCH("EST",Assessment[[#This Row],[JOB TARGET]])),SUBSTITUTE(Assessment[[#This Row],[JOB TARGET]],"EST","DEV"),Assessment[[#This Row],[JOB TARGET]])</f>
        <v>0</v>
      </c>
      <c r="M285" s="146" t="str" cm="1">
        <f t="array" aca="1" ref="M285" ca="1">IF(Assessment[[#This Row],[JOB TARGET]]="","Job Target Kosong",IF(COUNT(IF('Data Assessment'!$N285:$Z285-OFFSET(Standar!$B$2,MATCH(Assessment[[#This Row],[JOB TARGET
(DEV)]],Standar[NAMA JABATAN],0)-1,1,1,13)&lt;0,1,""))&lt;=3,'9 Grid'!$B$4,IF(COUNT(IF('Data Assessment'!$N285:$Z285-OFFSET(Standar!$B$2,MATCH(Assessment[[#This Row],[JOB TARGET
(DEV)]],Standar[NAMA JABATAN],0)-1,1,1,13)&lt;0,1,""))&gt;=7,'9 Grid'!$B$6,'9 Grid'!$B$5)))</f>
        <v>Job Target Kosong</v>
      </c>
      <c r="N285" s="146" t="str">
        <f>IFERROR(IF(Data_Assessment[[#This Row],[IPP (3 YEARS AVERAGE)]]="","(IPP Belum Ada)",IF(Data_Assessment[[#This Row],[IPP (3 YEARS AVERAGE)]]&lt;2,'9 Grid'!$F$2,IF(Data_Assessment[[#This Row],[IPP (3 YEARS AVERAGE)]]&gt;=4,'9 Grid'!$D$2,'9 Grid'!$E$2))),"")</f>
        <v>Fully Competence Performance</v>
      </c>
      <c r="O285" s="146" t="str">
        <f ca="1">IFERROR(INDEX('9 Grid'!$D$4:$F$6,MATCH('Rekomendasi HAV'!M285,'9 Grid'!$B$4:$B$6,0),MATCH('Rekomendasi HAV'!N285,'9 Grid'!$D$2:$F$2,0)),"")</f>
        <v/>
      </c>
      <c r="P285" s="147" t="str">
        <f>IFERROR(INDEX('9 Grid'!$D$8:$F$8,1,MATCH('Rekomendasi HAV'!N285,'9 Grid'!$D$2:$F$2,0)),"")</f>
        <v>(ST) Within 12 - 18 month</v>
      </c>
    </row>
    <row r="286" spans="1:16" ht="28.5">
      <c r="A286" s="67">
        <v>285</v>
      </c>
      <c r="B286" s="68" t="str">
        <f>INDEX(Data_Assessment[],MATCH('Rekomendasi HAV'!$A286,Data_Assessment[[INDEX]:[INDEX]],0),MATCH('Rekomendasi HAV'!B$1,Data_Assessment[#Headers],0))</f>
        <v>Felicita Maureen Cassela</v>
      </c>
      <c r="C286" s="68" t="str">
        <f>INDEX(Data_Assessment[],MATCH('Rekomendasi HAV'!$A286,Data_Assessment[[INDEX]:[INDEX]],0),MATCH('Rekomendasi HAV'!C$1,Data_Assessment[#Headers],0))</f>
        <v>Jakarta</v>
      </c>
      <c r="D286" s="68" t="str">
        <f>INDEX(Data_Assessment[],MATCH('Rekomendasi HAV'!$A286,Data_Assessment[[INDEX]:[INDEX]],0),MATCH('Rekomendasi HAV'!D$1,Data_Assessment[#Headers],0))</f>
        <v>LSIP - HO Jakarta</v>
      </c>
      <c r="E286" s="68">
        <f>INDEX(Data_Assessment[],MATCH('Rekomendasi HAV'!$B286,Data_Assessment[[NAME]:[NAME]],0),MATCH('Rekomendasi HAV'!E$1,Data_Assessment[#Headers],0))</f>
        <v>0</v>
      </c>
      <c r="F286" s="68"/>
      <c r="G286" s="68">
        <f>IF(ISNUMBER(SEARCH("DEV",Assessment[[#This Row],[JOB TARGET]])),SUBSTITUTE(Assessment[[#This Row],[JOB TARGET]],"DEV","EST"),Assessment[[#This Row],[JOB TARGET]])</f>
        <v>0</v>
      </c>
      <c r="H286" s="146" t="str" cm="1">
        <f t="array" aca="1" ref="H286" ca="1">IF(Assessment[[#This Row],[JOB TARGET]]="","Job Target Kosong",IF(COUNT(IF('Data Assessment'!$N286:$Z286-OFFSET(Standar!$B$2,MATCH(Assessment[[#This Row],[JOB TARGET
(EST)]],Standar[NAMA JABATAN],0)-1,1,1,13)&lt;0,1,""))&lt;=3,'9 Grid'!$B$4,IF(COUNT(IF('Data Assessment'!$N286:$Z286-OFFSET(Standar!$B$2,MATCH(Assessment[[#This Row],[JOB TARGET]],Standar[NAMA JABATAN],0)-1,1,1,13)&lt;0,1,""))&gt;=7,'9 Grid'!$B$6,'9 Grid'!$B$5)))</f>
        <v>Job Target Kosong</v>
      </c>
      <c r="I286" s="146" t="str">
        <f>IFERROR(IF(Data_Assessment[[#This Row],[IPP (3 YEARS AVERAGE)]]="","(IPP Belum Ada)",IF(Data_Assessment[[#This Row],[IPP (3 YEARS AVERAGE)]]&lt;2,'9 Grid'!$F$2,IF(Data_Assessment[[#This Row],[IPP (3 YEARS AVERAGE)]]&gt;=4,'9 Grid'!$D$2,'9 Grid'!$E$2))),"")</f>
        <v>Fully Competence Performance</v>
      </c>
      <c r="J286" s="146" t="str">
        <f ca="1">IFERROR(INDEX('9 Grid'!$D$4:$F$6,MATCH('Rekomendasi HAV'!H286,'9 Grid'!$B$4:$B$6,0),MATCH('Rekomendasi HAV'!I286,'9 Grid'!$D$2:$F$2,0)),"")</f>
        <v/>
      </c>
      <c r="K286" s="146" t="str">
        <f>IFERROR(INDEX('9 Grid'!$D$8:$F$8,1,MATCH('Rekomendasi HAV'!I286,'9 Grid'!$D$2:$F$2,0)),"")</f>
        <v>(ST) Within 12 - 18 month</v>
      </c>
      <c r="L286" s="146">
        <f>IF(ISNUMBER(SEARCH("EST",Assessment[[#This Row],[JOB TARGET]])),SUBSTITUTE(Assessment[[#This Row],[JOB TARGET]],"EST","DEV"),Assessment[[#This Row],[JOB TARGET]])</f>
        <v>0</v>
      </c>
      <c r="M286" s="146" t="str" cm="1">
        <f t="array" aca="1" ref="M286" ca="1">IF(Assessment[[#This Row],[JOB TARGET]]="","Job Target Kosong",IF(COUNT(IF('Data Assessment'!$N286:$Z286-OFFSET(Standar!$B$2,MATCH(Assessment[[#This Row],[JOB TARGET
(DEV)]],Standar[NAMA JABATAN],0)-1,1,1,13)&lt;0,1,""))&lt;=3,'9 Grid'!$B$4,IF(COUNT(IF('Data Assessment'!$N286:$Z286-OFFSET(Standar!$B$2,MATCH(Assessment[[#This Row],[JOB TARGET
(DEV)]],Standar[NAMA JABATAN],0)-1,1,1,13)&lt;0,1,""))&gt;=7,'9 Grid'!$B$6,'9 Grid'!$B$5)))</f>
        <v>Job Target Kosong</v>
      </c>
      <c r="N286" s="146" t="str">
        <f>IFERROR(IF(Data_Assessment[[#This Row],[IPP (3 YEARS AVERAGE)]]="","(IPP Belum Ada)",IF(Data_Assessment[[#This Row],[IPP (3 YEARS AVERAGE)]]&lt;2,'9 Grid'!$F$2,IF(Data_Assessment[[#This Row],[IPP (3 YEARS AVERAGE)]]&gt;=4,'9 Grid'!$D$2,'9 Grid'!$E$2))),"")</f>
        <v>Fully Competence Performance</v>
      </c>
      <c r="O286" s="146" t="str">
        <f ca="1">IFERROR(INDEX('9 Grid'!$D$4:$F$6,MATCH('Rekomendasi HAV'!M286,'9 Grid'!$B$4:$B$6,0),MATCH('Rekomendasi HAV'!N286,'9 Grid'!$D$2:$F$2,0)),"")</f>
        <v/>
      </c>
      <c r="P286" s="147" t="str">
        <f>IFERROR(INDEX('9 Grid'!$D$8:$F$8,1,MATCH('Rekomendasi HAV'!N286,'9 Grid'!$D$2:$F$2,0)),"")</f>
        <v>(ST) Within 12 - 18 month</v>
      </c>
    </row>
    <row r="287" spans="1:16" ht="28.5">
      <c r="A287" s="67">
        <v>286</v>
      </c>
      <c r="B287" s="68" t="str">
        <f>INDEX(Data_Assessment[],MATCH('Rekomendasi HAV'!$A287,Data_Assessment[[INDEX]:[INDEX]],0),MATCH('Rekomendasi HAV'!B$1,Data_Assessment[#Headers],0))</f>
        <v>Dian Fidelia</v>
      </c>
      <c r="C287" s="68" t="str">
        <f>INDEX(Data_Assessment[],MATCH('Rekomendasi HAV'!$A287,Data_Assessment[[INDEX]:[INDEX]],0),MATCH('Rekomendasi HAV'!C$1,Data_Assessment[#Headers],0))</f>
        <v>Jakarta</v>
      </c>
      <c r="D287" s="68" t="str">
        <f>INDEX(Data_Assessment[],MATCH('Rekomendasi HAV'!$A287,Data_Assessment[[INDEX]:[INDEX]],0),MATCH('Rekomendasi HAV'!D$1,Data_Assessment[#Headers],0))</f>
        <v>LSIP - HO Jakarta</v>
      </c>
      <c r="E287" s="68">
        <f>INDEX(Data_Assessment[],MATCH('Rekomendasi HAV'!$B287,Data_Assessment[[NAME]:[NAME]],0),MATCH('Rekomendasi HAV'!E$1,Data_Assessment[#Headers],0))</f>
        <v>0</v>
      </c>
      <c r="F287" s="68"/>
      <c r="G287" s="68">
        <f>IF(ISNUMBER(SEARCH("DEV",Assessment[[#This Row],[JOB TARGET]])),SUBSTITUTE(Assessment[[#This Row],[JOB TARGET]],"DEV","EST"),Assessment[[#This Row],[JOB TARGET]])</f>
        <v>0</v>
      </c>
      <c r="H287" s="146" t="str" cm="1">
        <f t="array" aca="1" ref="H287" ca="1">IF(Assessment[[#This Row],[JOB TARGET]]="","Job Target Kosong",IF(COUNT(IF('Data Assessment'!$N287:$Z287-OFFSET(Standar!$B$2,MATCH(Assessment[[#This Row],[JOB TARGET
(EST)]],Standar[NAMA JABATAN],0)-1,1,1,13)&lt;0,1,""))&lt;=3,'9 Grid'!$B$4,IF(COUNT(IF('Data Assessment'!$N287:$Z287-OFFSET(Standar!$B$2,MATCH(Assessment[[#This Row],[JOB TARGET]],Standar[NAMA JABATAN],0)-1,1,1,13)&lt;0,1,""))&gt;=7,'9 Grid'!$B$6,'9 Grid'!$B$5)))</f>
        <v>Job Target Kosong</v>
      </c>
      <c r="I287" s="146" t="str">
        <f>IFERROR(IF(Data_Assessment[[#This Row],[IPP (3 YEARS AVERAGE)]]="","(IPP Belum Ada)",IF(Data_Assessment[[#This Row],[IPP (3 YEARS AVERAGE)]]&lt;2,'9 Grid'!$F$2,IF(Data_Assessment[[#This Row],[IPP (3 YEARS AVERAGE)]]&gt;=4,'9 Grid'!$D$2,'9 Grid'!$E$2))),"")</f>
        <v>Contributor</v>
      </c>
      <c r="J287" s="146" t="str">
        <f ca="1">IFERROR(INDEX('9 Grid'!$D$4:$F$6,MATCH('Rekomendasi HAV'!H287,'9 Grid'!$B$4:$B$6,0),MATCH('Rekomendasi HAV'!I287,'9 Grid'!$D$2:$F$2,0)),"")</f>
        <v/>
      </c>
      <c r="K287" s="146" t="str">
        <f>IFERROR(INDEX('9 Grid'!$D$8:$F$8,1,MATCH('Rekomendasi HAV'!I287,'9 Grid'!$D$2:$F$2,0)),"")</f>
        <v>(LT) More 2 - 3 year</v>
      </c>
      <c r="L287" s="146">
        <f>IF(ISNUMBER(SEARCH("EST",Assessment[[#This Row],[JOB TARGET]])),SUBSTITUTE(Assessment[[#This Row],[JOB TARGET]],"EST","DEV"),Assessment[[#This Row],[JOB TARGET]])</f>
        <v>0</v>
      </c>
      <c r="M287" s="146" t="str" cm="1">
        <f t="array" aca="1" ref="M287" ca="1">IF(Assessment[[#This Row],[JOB TARGET]]="","Job Target Kosong",IF(COUNT(IF('Data Assessment'!$N287:$Z287-OFFSET(Standar!$B$2,MATCH(Assessment[[#This Row],[JOB TARGET
(DEV)]],Standar[NAMA JABATAN],0)-1,1,1,13)&lt;0,1,""))&lt;=3,'9 Grid'!$B$4,IF(COUNT(IF('Data Assessment'!$N287:$Z287-OFFSET(Standar!$B$2,MATCH(Assessment[[#This Row],[JOB TARGET
(DEV)]],Standar[NAMA JABATAN],0)-1,1,1,13)&lt;0,1,""))&gt;=7,'9 Grid'!$B$6,'9 Grid'!$B$5)))</f>
        <v>Job Target Kosong</v>
      </c>
      <c r="N287" s="146" t="str">
        <f>IFERROR(IF(Data_Assessment[[#This Row],[IPP (3 YEARS AVERAGE)]]="","(IPP Belum Ada)",IF(Data_Assessment[[#This Row],[IPP (3 YEARS AVERAGE)]]&lt;2,'9 Grid'!$F$2,IF(Data_Assessment[[#This Row],[IPP (3 YEARS AVERAGE)]]&gt;=4,'9 Grid'!$D$2,'9 Grid'!$E$2))),"")</f>
        <v>Contributor</v>
      </c>
      <c r="O287" s="146" t="str">
        <f ca="1">IFERROR(INDEX('9 Grid'!$D$4:$F$6,MATCH('Rekomendasi HAV'!M287,'9 Grid'!$B$4:$B$6,0),MATCH('Rekomendasi HAV'!N287,'9 Grid'!$D$2:$F$2,0)),"")</f>
        <v/>
      </c>
      <c r="P287" s="147" t="str">
        <f>IFERROR(INDEX('9 Grid'!$D$8:$F$8,1,MATCH('Rekomendasi HAV'!N287,'9 Grid'!$D$2:$F$2,0)),"")</f>
        <v>(LT) More 2 - 3 year</v>
      </c>
    </row>
    <row r="288" spans="1:16" ht="28.5">
      <c r="A288" s="67">
        <v>287</v>
      </c>
      <c r="B288" s="68" t="str">
        <f>INDEX(Data_Assessment[],MATCH('Rekomendasi HAV'!$A288,Data_Assessment[[INDEX]:[INDEX]],0),MATCH('Rekomendasi HAV'!B$1,Data_Assessment[#Headers],0))</f>
        <v>Indah Rosnindah</v>
      </c>
      <c r="C288" s="68" t="str">
        <f>INDEX(Data_Assessment[],MATCH('Rekomendasi HAV'!$A288,Data_Assessment[[INDEX]:[INDEX]],0),MATCH('Rekomendasi HAV'!C$1,Data_Assessment[#Headers],0))</f>
        <v>Jakarta</v>
      </c>
      <c r="D288" s="68" t="str">
        <f>INDEX(Data_Assessment[],MATCH('Rekomendasi HAV'!$A288,Data_Assessment[[INDEX]:[INDEX]],0),MATCH('Rekomendasi HAV'!D$1,Data_Assessment[#Headers],0))</f>
        <v>LSIP - HO Jakarta</v>
      </c>
      <c r="E288" s="68">
        <f>INDEX(Data_Assessment[],MATCH('Rekomendasi HAV'!$B288,Data_Assessment[[NAME]:[NAME]],0),MATCH('Rekomendasi HAV'!E$1,Data_Assessment[#Headers],0))</f>
        <v>0</v>
      </c>
      <c r="F288" s="68"/>
      <c r="G288" s="68">
        <f>IF(ISNUMBER(SEARCH("DEV",Assessment[[#This Row],[JOB TARGET]])),SUBSTITUTE(Assessment[[#This Row],[JOB TARGET]],"DEV","EST"),Assessment[[#This Row],[JOB TARGET]])</f>
        <v>0</v>
      </c>
      <c r="H288" s="146" t="str" cm="1">
        <f t="array" aca="1" ref="H288" ca="1">IF(Assessment[[#This Row],[JOB TARGET]]="","Job Target Kosong",IF(COUNT(IF('Data Assessment'!$N288:$Z288-OFFSET(Standar!$B$2,MATCH(Assessment[[#This Row],[JOB TARGET
(EST)]],Standar[NAMA JABATAN],0)-1,1,1,13)&lt;0,1,""))&lt;=3,'9 Grid'!$B$4,IF(COUNT(IF('Data Assessment'!$N288:$Z288-OFFSET(Standar!$B$2,MATCH(Assessment[[#This Row],[JOB TARGET]],Standar[NAMA JABATAN],0)-1,1,1,13)&lt;0,1,""))&gt;=7,'9 Grid'!$B$6,'9 Grid'!$B$5)))</f>
        <v>Job Target Kosong</v>
      </c>
      <c r="I288" s="146" t="str">
        <f>IFERROR(IF(Data_Assessment[[#This Row],[IPP (3 YEARS AVERAGE)]]="","(IPP Belum Ada)",IF(Data_Assessment[[#This Row],[IPP (3 YEARS AVERAGE)]]&lt;2,'9 Grid'!$F$2,IF(Data_Assessment[[#This Row],[IPP (3 YEARS AVERAGE)]]&gt;=4,'9 Grid'!$D$2,'9 Grid'!$E$2))),"")</f>
        <v>Fully Competence Performance</v>
      </c>
      <c r="J288" s="146" t="str">
        <f ca="1">IFERROR(INDEX('9 Grid'!$D$4:$F$6,MATCH('Rekomendasi HAV'!H288,'9 Grid'!$B$4:$B$6,0),MATCH('Rekomendasi HAV'!I288,'9 Grid'!$D$2:$F$2,0)),"")</f>
        <v/>
      </c>
      <c r="K288" s="146" t="str">
        <f>IFERROR(INDEX('9 Grid'!$D$8:$F$8,1,MATCH('Rekomendasi HAV'!I288,'9 Grid'!$D$2:$F$2,0)),"")</f>
        <v>(ST) Within 12 - 18 month</v>
      </c>
      <c r="L288" s="146">
        <f>IF(ISNUMBER(SEARCH("EST",Assessment[[#This Row],[JOB TARGET]])),SUBSTITUTE(Assessment[[#This Row],[JOB TARGET]],"EST","DEV"),Assessment[[#This Row],[JOB TARGET]])</f>
        <v>0</v>
      </c>
      <c r="M288" s="146" t="str" cm="1">
        <f t="array" aca="1" ref="M288" ca="1">IF(Assessment[[#This Row],[JOB TARGET]]="","Job Target Kosong",IF(COUNT(IF('Data Assessment'!$N288:$Z288-OFFSET(Standar!$B$2,MATCH(Assessment[[#This Row],[JOB TARGET
(DEV)]],Standar[NAMA JABATAN],0)-1,1,1,13)&lt;0,1,""))&lt;=3,'9 Grid'!$B$4,IF(COUNT(IF('Data Assessment'!$N288:$Z288-OFFSET(Standar!$B$2,MATCH(Assessment[[#This Row],[JOB TARGET
(DEV)]],Standar[NAMA JABATAN],0)-1,1,1,13)&lt;0,1,""))&gt;=7,'9 Grid'!$B$6,'9 Grid'!$B$5)))</f>
        <v>Job Target Kosong</v>
      </c>
      <c r="N288" s="146" t="str">
        <f>IFERROR(IF(Data_Assessment[[#This Row],[IPP (3 YEARS AVERAGE)]]="","(IPP Belum Ada)",IF(Data_Assessment[[#This Row],[IPP (3 YEARS AVERAGE)]]&lt;2,'9 Grid'!$F$2,IF(Data_Assessment[[#This Row],[IPP (3 YEARS AVERAGE)]]&gt;=4,'9 Grid'!$D$2,'9 Grid'!$E$2))),"")</f>
        <v>Fully Competence Performance</v>
      </c>
      <c r="O288" s="146" t="str">
        <f ca="1">IFERROR(INDEX('9 Grid'!$D$4:$F$6,MATCH('Rekomendasi HAV'!M288,'9 Grid'!$B$4:$B$6,0),MATCH('Rekomendasi HAV'!N288,'9 Grid'!$D$2:$F$2,0)),"")</f>
        <v/>
      </c>
      <c r="P288" s="147" t="str">
        <f>IFERROR(INDEX('9 Grid'!$D$8:$F$8,1,MATCH('Rekomendasi HAV'!N288,'9 Grid'!$D$2:$F$2,0)),"")</f>
        <v>(ST) Within 12 - 18 month</v>
      </c>
    </row>
    <row r="289" spans="1:16" ht="28.5">
      <c r="A289" s="67">
        <v>288</v>
      </c>
      <c r="B289" s="68" t="str">
        <f>INDEX(Data_Assessment[],MATCH('Rekomendasi HAV'!$A289,Data_Assessment[[INDEX]:[INDEX]],0),MATCH('Rekomendasi HAV'!B$1,Data_Assessment[#Headers],0))</f>
        <v>Muhammad Abbas</v>
      </c>
      <c r="C289" s="68" t="str">
        <f>INDEX(Data_Assessment[],MATCH('Rekomendasi HAV'!$A289,Data_Assessment[[INDEX]:[INDEX]],0),MATCH('Rekomendasi HAV'!C$1,Data_Assessment[#Headers],0))</f>
        <v>Jawa Barat</v>
      </c>
      <c r="D289" s="68" t="str">
        <f>INDEX(Data_Assessment[],MATCH('Rekomendasi HAV'!$A289,Data_Assessment[[INDEX]:[INDEX]],0),MATCH('Rekomendasi HAV'!D$1,Data_Assessment[#Headers],0))</f>
        <v>LSIP - HO Jakarta</v>
      </c>
      <c r="E289" s="68">
        <f>INDEX(Data_Assessment[],MATCH('Rekomendasi HAV'!$B289,Data_Assessment[[NAME]:[NAME]],0),MATCH('Rekomendasi HAV'!E$1,Data_Assessment[#Headers],0))</f>
        <v>0</v>
      </c>
      <c r="F289" s="68"/>
      <c r="G289" s="68">
        <f>IF(ISNUMBER(SEARCH("DEV",Assessment[[#This Row],[JOB TARGET]])),SUBSTITUTE(Assessment[[#This Row],[JOB TARGET]],"DEV","EST"),Assessment[[#This Row],[JOB TARGET]])</f>
        <v>0</v>
      </c>
      <c r="H289" s="146" t="str" cm="1">
        <f t="array" aca="1" ref="H289" ca="1">IF(Assessment[[#This Row],[JOB TARGET]]="","Job Target Kosong",IF(COUNT(IF('Data Assessment'!$N289:$Z289-OFFSET(Standar!$B$2,MATCH(Assessment[[#This Row],[JOB TARGET
(EST)]],Standar[NAMA JABATAN],0)-1,1,1,13)&lt;0,1,""))&lt;=3,'9 Grid'!$B$4,IF(COUNT(IF('Data Assessment'!$N289:$Z289-OFFSET(Standar!$B$2,MATCH(Assessment[[#This Row],[JOB TARGET]],Standar[NAMA JABATAN],0)-1,1,1,13)&lt;0,1,""))&gt;=7,'9 Grid'!$B$6,'9 Grid'!$B$5)))</f>
        <v>Job Target Kosong</v>
      </c>
      <c r="I289" s="146" t="str">
        <f>IFERROR(IF(Data_Assessment[[#This Row],[IPP (3 YEARS AVERAGE)]]="","(IPP Belum Ada)",IF(Data_Assessment[[#This Row],[IPP (3 YEARS AVERAGE)]]&lt;2,'9 Grid'!$F$2,IF(Data_Assessment[[#This Row],[IPP (3 YEARS AVERAGE)]]&gt;=4,'9 Grid'!$D$2,'9 Grid'!$E$2))),"")</f>
        <v>Fully Competence Performance</v>
      </c>
      <c r="J289" s="146" t="str">
        <f ca="1">IFERROR(INDEX('9 Grid'!$D$4:$F$6,MATCH('Rekomendasi HAV'!H289,'9 Grid'!$B$4:$B$6,0),MATCH('Rekomendasi HAV'!I289,'9 Grid'!$D$2:$F$2,0)),"")</f>
        <v/>
      </c>
      <c r="K289" s="146" t="str">
        <f>IFERROR(INDEX('9 Grid'!$D$8:$F$8,1,MATCH('Rekomendasi HAV'!I289,'9 Grid'!$D$2:$F$2,0)),"")</f>
        <v>(ST) Within 12 - 18 month</v>
      </c>
      <c r="L289" s="146">
        <f>IF(ISNUMBER(SEARCH("EST",Assessment[[#This Row],[JOB TARGET]])),SUBSTITUTE(Assessment[[#This Row],[JOB TARGET]],"EST","DEV"),Assessment[[#This Row],[JOB TARGET]])</f>
        <v>0</v>
      </c>
      <c r="M289" s="146" t="str" cm="1">
        <f t="array" aca="1" ref="M289" ca="1">IF(Assessment[[#This Row],[JOB TARGET]]="","Job Target Kosong",IF(COUNT(IF('Data Assessment'!$N289:$Z289-OFFSET(Standar!$B$2,MATCH(Assessment[[#This Row],[JOB TARGET
(DEV)]],Standar[NAMA JABATAN],0)-1,1,1,13)&lt;0,1,""))&lt;=3,'9 Grid'!$B$4,IF(COUNT(IF('Data Assessment'!$N289:$Z289-OFFSET(Standar!$B$2,MATCH(Assessment[[#This Row],[JOB TARGET
(DEV)]],Standar[NAMA JABATAN],0)-1,1,1,13)&lt;0,1,""))&gt;=7,'9 Grid'!$B$6,'9 Grid'!$B$5)))</f>
        <v>Job Target Kosong</v>
      </c>
      <c r="N289" s="146" t="str">
        <f>IFERROR(IF(Data_Assessment[[#This Row],[IPP (3 YEARS AVERAGE)]]="","(IPP Belum Ada)",IF(Data_Assessment[[#This Row],[IPP (3 YEARS AVERAGE)]]&lt;2,'9 Grid'!$F$2,IF(Data_Assessment[[#This Row],[IPP (3 YEARS AVERAGE)]]&gt;=4,'9 Grid'!$D$2,'9 Grid'!$E$2))),"")</f>
        <v>Fully Competence Performance</v>
      </c>
      <c r="O289" s="146" t="str">
        <f ca="1">IFERROR(INDEX('9 Grid'!$D$4:$F$6,MATCH('Rekomendasi HAV'!M289,'9 Grid'!$B$4:$B$6,0),MATCH('Rekomendasi HAV'!N289,'9 Grid'!$D$2:$F$2,0)),"")</f>
        <v/>
      </c>
      <c r="P289" s="147" t="str">
        <f>IFERROR(INDEX('9 Grid'!$D$8:$F$8,1,MATCH('Rekomendasi HAV'!N289,'9 Grid'!$D$2:$F$2,0)),"")</f>
        <v>(ST) Within 12 - 18 month</v>
      </c>
    </row>
    <row r="290" spans="1:16" ht="28.5">
      <c r="A290" s="67">
        <v>289</v>
      </c>
      <c r="B290" s="68" t="str">
        <f>INDEX(Data_Assessment[],MATCH('Rekomendasi HAV'!$A290,Data_Assessment[[INDEX]:[INDEX]],0),MATCH('Rekomendasi HAV'!B$1,Data_Assessment[#Headers],0))</f>
        <v>Jumansyah</v>
      </c>
      <c r="C290" s="68" t="str">
        <f>INDEX(Data_Assessment[],MATCH('Rekomendasi HAV'!$A290,Data_Assessment[[INDEX]:[INDEX]],0),MATCH('Rekomendasi HAV'!C$1,Data_Assessment[#Headers],0))</f>
        <v>Kalimantan Timur</v>
      </c>
      <c r="D290" s="68" t="str">
        <f>INDEX(Data_Assessment[],MATCH('Rekomendasi HAV'!$A290,Data_Assessment[[INDEX]:[INDEX]],0),MATCH('Rekomendasi HAV'!D$1,Data_Assessment[#Headers],0))</f>
        <v>LSIP - BLRS - NS</v>
      </c>
      <c r="E290" s="68">
        <f>INDEX(Data_Assessment[],MATCH('Rekomendasi HAV'!$B290,Data_Assessment[[NAME]:[NAME]],0),MATCH('Rekomendasi HAV'!E$1,Data_Assessment[#Headers],0))</f>
        <v>0</v>
      </c>
      <c r="F290" s="68"/>
      <c r="G290" s="68">
        <f>IF(ISNUMBER(SEARCH("DEV",Assessment[[#This Row],[JOB TARGET]])),SUBSTITUTE(Assessment[[#This Row],[JOB TARGET]],"DEV","EST"),Assessment[[#This Row],[JOB TARGET]])</f>
        <v>0</v>
      </c>
      <c r="H290" s="146" t="str" cm="1">
        <f t="array" aca="1" ref="H290" ca="1">IF(Assessment[[#This Row],[JOB TARGET]]="","Job Target Kosong",IF(COUNT(IF('Data Assessment'!$N290:$Z290-OFFSET(Standar!$B$2,MATCH(Assessment[[#This Row],[JOB TARGET
(EST)]],Standar[NAMA JABATAN],0)-1,1,1,13)&lt;0,1,""))&lt;=3,'9 Grid'!$B$4,IF(COUNT(IF('Data Assessment'!$N290:$Z290-OFFSET(Standar!$B$2,MATCH(Assessment[[#This Row],[JOB TARGET]],Standar[NAMA JABATAN],0)-1,1,1,13)&lt;0,1,""))&gt;=7,'9 Grid'!$B$6,'9 Grid'!$B$5)))</f>
        <v>Job Target Kosong</v>
      </c>
      <c r="I290" s="146" t="str">
        <f>IFERROR(IF(Data_Assessment[[#This Row],[IPP (3 YEARS AVERAGE)]]="","(IPP Belum Ada)",IF(Data_Assessment[[#This Row],[IPP (3 YEARS AVERAGE)]]&lt;2,'9 Grid'!$F$2,IF(Data_Assessment[[#This Row],[IPP (3 YEARS AVERAGE)]]&gt;=4,'9 Grid'!$D$2,'9 Grid'!$E$2))),"")</f>
        <v>Fully Competence Performance</v>
      </c>
      <c r="J290" s="146" t="str">
        <f ca="1">IFERROR(INDEX('9 Grid'!$D$4:$F$6,MATCH('Rekomendasi HAV'!H290,'9 Grid'!$B$4:$B$6,0),MATCH('Rekomendasi HAV'!I290,'9 Grid'!$D$2:$F$2,0)),"")</f>
        <v/>
      </c>
      <c r="K290" s="146" t="str">
        <f>IFERROR(INDEX('9 Grid'!$D$8:$F$8,1,MATCH('Rekomendasi HAV'!I290,'9 Grid'!$D$2:$F$2,0)),"")</f>
        <v>(ST) Within 12 - 18 month</v>
      </c>
      <c r="L290" s="146">
        <f>IF(ISNUMBER(SEARCH("EST",Assessment[[#This Row],[JOB TARGET]])),SUBSTITUTE(Assessment[[#This Row],[JOB TARGET]],"EST","DEV"),Assessment[[#This Row],[JOB TARGET]])</f>
        <v>0</v>
      </c>
      <c r="M290" s="146" t="str" cm="1">
        <f t="array" aca="1" ref="M290" ca="1">IF(Assessment[[#This Row],[JOB TARGET]]="","Job Target Kosong",IF(COUNT(IF('Data Assessment'!$N290:$Z290-OFFSET(Standar!$B$2,MATCH(Assessment[[#This Row],[JOB TARGET
(DEV)]],Standar[NAMA JABATAN],0)-1,1,1,13)&lt;0,1,""))&lt;=3,'9 Grid'!$B$4,IF(COUNT(IF('Data Assessment'!$N290:$Z290-OFFSET(Standar!$B$2,MATCH(Assessment[[#This Row],[JOB TARGET
(DEV)]],Standar[NAMA JABATAN],0)-1,1,1,13)&lt;0,1,""))&gt;=7,'9 Grid'!$B$6,'9 Grid'!$B$5)))</f>
        <v>Job Target Kosong</v>
      </c>
      <c r="N290" s="146" t="str">
        <f>IFERROR(IF(Data_Assessment[[#This Row],[IPP (3 YEARS AVERAGE)]]="","(IPP Belum Ada)",IF(Data_Assessment[[#This Row],[IPP (3 YEARS AVERAGE)]]&lt;2,'9 Grid'!$F$2,IF(Data_Assessment[[#This Row],[IPP (3 YEARS AVERAGE)]]&gt;=4,'9 Grid'!$D$2,'9 Grid'!$E$2))),"")</f>
        <v>Fully Competence Performance</v>
      </c>
      <c r="O290" s="146" t="str">
        <f ca="1">IFERROR(INDEX('9 Grid'!$D$4:$F$6,MATCH('Rekomendasi HAV'!M290,'9 Grid'!$B$4:$B$6,0),MATCH('Rekomendasi HAV'!N290,'9 Grid'!$D$2:$F$2,0)),"")</f>
        <v/>
      </c>
      <c r="P290" s="147" t="str">
        <f>IFERROR(INDEX('9 Grid'!$D$8:$F$8,1,MATCH('Rekomendasi HAV'!N290,'9 Grid'!$D$2:$F$2,0)),"")</f>
        <v>(ST) Within 12 - 18 month</v>
      </c>
    </row>
    <row r="291" spans="1:16" ht="28.5">
      <c r="A291" s="67">
        <v>290</v>
      </c>
      <c r="B291" s="68" t="str">
        <f>INDEX(Data_Assessment[],MATCH('Rekomendasi HAV'!$A291,Data_Assessment[[INDEX]:[INDEX]],0),MATCH('Rekomendasi HAV'!B$1,Data_Assessment[#Headers],0))</f>
        <v>Fitrah Putranda Ramadan</v>
      </c>
      <c r="C291" s="68" t="str">
        <f>INDEX(Data_Assessment[],MATCH('Rekomendasi HAV'!$A291,Data_Assessment[[INDEX]:[INDEX]],0),MATCH('Rekomendasi HAV'!C$1,Data_Assessment[#Headers],0))</f>
        <v>Jawa Barat</v>
      </c>
      <c r="D291" s="68" t="str">
        <f>INDEX(Data_Assessment[],MATCH('Rekomendasi HAV'!$A291,Data_Assessment[[INDEX]:[INDEX]],0),MATCH('Rekomendasi HAV'!D$1,Data_Assessment[#Headers],0))</f>
        <v>LSIP - HO Jakarta</v>
      </c>
      <c r="E291" s="68">
        <f>INDEX(Data_Assessment[],MATCH('Rekomendasi HAV'!$B291,Data_Assessment[[NAME]:[NAME]],0),MATCH('Rekomendasi HAV'!E$1,Data_Assessment[#Headers],0))</f>
        <v>0</v>
      </c>
      <c r="F291" s="68"/>
      <c r="G291" s="68">
        <f>IF(ISNUMBER(SEARCH("DEV",Assessment[[#This Row],[JOB TARGET]])),SUBSTITUTE(Assessment[[#This Row],[JOB TARGET]],"DEV","EST"),Assessment[[#This Row],[JOB TARGET]])</f>
        <v>0</v>
      </c>
      <c r="H291" s="146" t="str" cm="1">
        <f t="array" aca="1" ref="H291" ca="1">IF(Assessment[[#This Row],[JOB TARGET]]="","Job Target Kosong",IF(COUNT(IF('Data Assessment'!$N291:$Z291-OFFSET(Standar!$B$2,MATCH(Assessment[[#This Row],[JOB TARGET
(EST)]],Standar[NAMA JABATAN],0)-1,1,1,13)&lt;0,1,""))&lt;=3,'9 Grid'!$B$4,IF(COUNT(IF('Data Assessment'!$N291:$Z291-OFFSET(Standar!$B$2,MATCH(Assessment[[#This Row],[JOB TARGET]],Standar[NAMA JABATAN],0)-1,1,1,13)&lt;0,1,""))&gt;=7,'9 Grid'!$B$6,'9 Grid'!$B$5)))</f>
        <v>Job Target Kosong</v>
      </c>
      <c r="I291" s="146" t="str">
        <f>IFERROR(IF(Data_Assessment[[#This Row],[IPP (3 YEARS AVERAGE)]]="","(IPP Belum Ada)",IF(Data_Assessment[[#This Row],[IPP (3 YEARS AVERAGE)]]&lt;2,'9 Grid'!$F$2,IF(Data_Assessment[[#This Row],[IPP (3 YEARS AVERAGE)]]&gt;=4,'9 Grid'!$D$2,'9 Grid'!$E$2))),"")</f>
        <v>Fully Competence Performance</v>
      </c>
      <c r="J291" s="146" t="str">
        <f ca="1">IFERROR(INDEX('9 Grid'!$D$4:$F$6,MATCH('Rekomendasi HAV'!H291,'9 Grid'!$B$4:$B$6,0),MATCH('Rekomendasi HAV'!I291,'9 Grid'!$D$2:$F$2,0)),"")</f>
        <v/>
      </c>
      <c r="K291" s="146" t="str">
        <f>IFERROR(INDEX('9 Grid'!$D$8:$F$8,1,MATCH('Rekomendasi HAV'!I291,'9 Grid'!$D$2:$F$2,0)),"")</f>
        <v>(ST) Within 12 - 18 month</v>
      </c>
      <c r="L291" s="146">
        <f>IF(ISNUMBER(SEARCH("EST",Assessment[[#This Row],[JOB TARGET]])),SUBSTITUTE(Assessment[[#This Row],[JOB TARGET]],"EST","DEV"),Assessment[[#This Row],[JOB TARGET]])</f>
        <v>0</v>
      </c>
      <c r="M291" s="146" t="str" cm="1">
        <f t="array" aca="1" ref="M291" ca="1">IF(Assessment[[#This Row],[JOB TARGET]]="","Job Target Kosong",IF(COUNT(IF('Data Assessment'!$N291:$Z291-OFFSET(Standar!$B$2,MATCH(Assessment[[#This Row],[JOB TARGET
(DEV)]],Standar[NAMA JABATAN],0)-1,1,1,13)&lt;0,1,""))&lt;=3,'9 Grid'!$B$4,IF(COUNT(IF('Data Assessment'!$N291:$Z291-OFFSET(Standar!$B$2,MATCH(Assessment[[#This Row],[JOB TARGET
(DEV)]],Standar[NAMA JABATAN],0)-1,1,1,13)&lt;0,1,""))&gt;=7,'9 Grid'!$B$6,'9 Grid'!$B$5)))</f>
        <v>Job Target Kosong</v>
      </c>
      <c r="N291" s="146" t="str">
        <f>IFERROR(IF(Data_Assessment[[#This Row],[IPP (3 YEARS AVERAGE)]]="","(IPP Belum Ada)",IF(Data_Assessment[[#This Row],[IPP (3 YEARS AVERAGE)]]&lt;2,'9 Grid'!$F$2,IF(Data_Assessment[[#This Row],[IPP (3 YEARS AVERAGE)]]&gt;=4,'9 Grid'!$D$2,'9 Grid'!$E$2))),"")</f>
        <v>Fully Competence Performance</v>
      </c>
      <c r="O291" s="146" t="str">
        <f ca="1">IFERROR(INDEX('9 Grid'!$D$4:$F$6,MATCH('Rekomendasi HAV'!M291,'9 Grid'!$B$4:$B$6,0),MATCH('Rekomendasi HAV'!N291,'9 Grid'!$D$2:$F$2,0)),"")</f>
        <v/>
      </c>
      <c r="P291" s="147" t="str">
        <f>IFERROR(INDEX('9 Grid'!$D$8:$F$8,1,MATCH('Rekomendasi HAV'!N291,'9 Grid'!$D$2:$F$2,0)),"")</f>
        <v>(ST) Within 12 - 18 month</v>
      </c>
    </row>
    <row r="292" spans="1:16" ht="14.25">
      <c r="A292" s="67">
        <v>291</v>
      </c>
      <c r="B292" s="68" t="str">
        <f>INDEX(Data_Assessment[],MATCH('Rekomendasi HAV'!$A292,Data_Assessment[[INDEX]:[INDEX]],0),MATCH('Rekomendasi HAV'!B$1,Data_Assessment[#Headers],0))</f>
        <v>Endah Resmiati Madnawidjaja</v>
      </c>
      <c r="C292" s="68" t="str">
        <f>INDEX(Data_Assessment[],MATCH('Rekomendasi HAV'!$A292,Data_Assessment[[INDEX]:[INDEX]],0),MATCH('Rekomendasi HAV'!C$1,Data_Assessment[#Headers],0))</f>
        <v>Jakarta</v>
      </c>
      <c r="D292" s="68" t="str">
        <f>INDEX(Data_Assessment[],MATCH('Rekomendasi HAV'!$A292,Data_Assessment[[INDEX]:[INDEX]],0),MATCH('Rekomendasi HAV'!D$1,Data_Assessment[#Headers],0))</f>
        <v>LSIP - HO Jakarta</v>
      </c>
      <c r="E292" s="68">
        <f>INDEX(Data_Assessment[],MATCH('Rekomendasi HAV'!$B292,Data_Assessment[[NAME]:[NAME]],0),MATCH('Rekomendasi HAV'!E$1,Data_Assessment[#Headers],0))</f>
        <v>0</v>
      </c>
      <c r="F292" s="68"/>
      <c r="G292" s="68">
        <f>IF(ISNUMBER(SEARCH("DEV",Assessment[[#This Row],[JOB TARGET]])),SUBSTITUTE(Assessment[[#This Row],[JOB TARGET]],"DEV","EST"),Assessment[[#This Row],[JOB TARGET]])</f>
        <v>0</v>
      </c>
      <c r="H292" s="146" t="str" cm="1">
        <f t="array" aca="1" ref="H292" ca="1">IF(Assessment[[#This Row],[JOB TARGET]]="","Job Target Kosong",IF(COUNT(IF('Data Assessment'!$N292:$Z292-OFFSET(Standar!$B$2,MATCH(Assessment[[#This Row],[JOB TARGET
(EST)]],Standar[NAMA JABATAN],0)-1,1,1,13)&lt;0,1,""))&lt;=3,'9 Grid'!$B$4,IF(COUNT(IF('Data Assessment'!$N292:$Z292-OFFSET(Standar!$B$2,MATCH(Assessment[[#This Row],[JOB TARGET]],Standar[NAMA JABATAN],0)-1,1,1,13)&lt;0,1,""))&gt;=7,'9 Grid'!$B$6,'9 Grid'!$B$5)))</f>
        <v>Job Target Kosong</v>
      </c>
      <c r="I292" s="146" t="str">
        <f>IFERROR(IF(Data_Assessment[[#This Row],[IPP (3 YEARS AVERAGE)]]="","(IPP Belum Ada)",IF(Data_Assessment[[#This Row],[IPP (3 YEARS AVERAGE)]]&lt;2,'9 Grid'!$F$2,IF(Data_Assessment[[#This Row],[IPP (3 YEARS AVERAGE)]]&gt;=4,'9 Grid'!$D$2,'9 Grid'!$E$2))),"")</f>
        <v>Exceptional Performance</v>
      </c>
      <c r="J292" s="146" t="str">
        <f ca="1">IFERROR(INDEX('9 Grid'!$D$4:$F$6,MATCH('Rekomendasi HAV'!H292,'9 Grid'!$B$4:$B$6,0),MATCH('Rekomendasi HAV'!I292,'9 Grid'!$D$2:$F$2,0)),"")</f>
        <v/>
      </c>
      <c r="K292" s="146" t="str">
        <f>IFERROR(INDEX('9 Grid'!$D$8:$F$8,1,MATCH('Rekomendasi HAV'!I292,'9 Grid'!$D$2:$F$2,0)),"")</f>
        <v>(I) Immediately</v>
      </c>
      <c r="L292" s="146">
        <f>IF(ISNUMBER(SEARCH("EST",Assessment[[#This Row],[JOB TARGET]])),SUBSTITUTE(Assessment[[#This Row],[JOB TARGET]],"EST","DEV"),Assessment[[#This Row],[JOB TARGET]])</f>
        <v>0</v>
      </c>
      <c r="M292" s="146" t="str" cm="1">
        <f t="array" aca="1" ref="M292" ca="1">IF(Assessment[[#This Row],[JOB TARGET]]="","Job Target Kosong",IF(COUNT(IF('Data Assessment'!$N292:$Z292-OFFSET(Standar!$B$2,MATCH(Assessment[[#This Row],[JOB TARGET
(DEV)]],Standar[NAMA JABATAN],0)-1,1,1,13)&lt;0,1,""))&lt;=3,'9 Grid'!$B$4,IF(COUNT(IF('Data Assessment'!$N292:$Z292-OFFSET(Standar!$B$2,MATCH(Assessment[[#This Row],[JOB TARGET
(DEV)]],Standar[NAMA JABATAN],0)-1,1,1,13)&lt;0,1,""))&gt;=7,'9 Grid'!$B$6,'9 Grid'!$B$5)))</f>
        <v>Job Target Kosong</v>
      </c>
      <c r="N292" s="146" t="str">
        <f>IFERROR(IF(Data_Assessment[[#This Row],[IPP (3 YEARS AVERAGE)]]="","(IPP Belum Ada)",IF(Data_Assessment[[#This Row],[IPP (3 YEARS AVERAGE)]]&lt;2,'9 Grid'!$F$2,IF(Data_Assessment[[#This Row],[IPP (3 YEARS AVERAGE)]]&gt;=4,'9 Grid'!$D$2,'9 Grid'!$E$2))),"")</f>
        <v>Exceptional Performance</v>
      </c>
      <c r="O292" s="146" t="str">
        <f ca="1">IFERROR(INDEX('9 Grid'!$D$4:$F$6,MATCH('Rekomendasi HAV'!M292,'9 Grid'!$B$4:$B$6,0),MATCH('Rekomendasi HAV'!N292,'9 Grid'!$D$2:$F$2,0)),"")</f>
        <v/>
      </c>
      <c r="P292" s="147" t="str">
        <f>IFERROR(INDEX('9 Grid'!$D$8:$F$8,1,MATCH('Rekomendasi HAV'!N292,'9 Grid'!$D$2:$F$2,0)),"")</f>
        <v>(I) Immediately</v>
      </c>
    </row>
    <row r="293" spans="1:16" ht="14.25">
      <c r="A293" s="67">
        <v>292</v>
      </c>
      <c r="B293" s="68" t="str">
        <f>INDEX(Data_Assessment[],MATCH('Rekomendasi HAV'!$A293,Data_Assessment[[INDEX]:[INDEX]],0),MATCH('Rekomendasi HAV'!B$1,Data_Assessment[#Headers],0))</f>
        <v>Halima Tusadiah</v>
      </c>
      <c r="C293" s="68" t="str">
        <f>INDEX(Data_Assessment[],MATCH('Rekomendasi HAV'!$A293,Data_Assessment[[INDEX]:[INDEX]],0),MATCH('Rekomendasi HAV'!C$1,Data_Assessment[#Headers],0))</f>
        <v>Jakarta</v>
      </c>
      <c r="D293" s="68" t="str">
        <f>INDEX(Data_Assessment[],MATCH('Rekomendasi HAV'!$A293,Data_Assessment[[INDEX]:[INDEX]],0),MATCH('Rekomendasi HAV'!D$1,Data_Assessment[#Headers],0))</f>
        <v>LSIP - HO Jakarta</v>
      </c>
      <c r="E293" s="68">
        <f>INDEX(Data_Assessment[],MATCH('Rekomendasi HAV'!$B293,Data_Assessment[[NAME]:[NAME]],0),MATCH('Rekomendasi HAV'!E$1,Data_Assessment[#Headers],0))</f>
        <v>0</v>
      </c>
      <c r="F293" s="68"/>
      <c r="G293" s="68">
        <f>IF(ISNUMBER(SEARCH("DEV",Assessment[[#This Row],[JOB TARGET]])),SUBSTITUTE(Assessment[[#This Row],[JOB TARGET]],"DEV","EST"),Assessment[[#This Row],[JOB TARGET]])</f>
        <v>0</v>
      </c>
      <c r="H293" s="146" t="str" cm="1">
        <f t="array" aca="1" ref="H293" ca="1">IF(Assessment[[#This Row],[JOB TARGET]]="","Job Target Kosong",IF(COUNT(IF('Data Assessment'!$N293:$Z293-OFFSET(Standar!$B$2,MATCH(Assessment[[#This Row],[JOB TARGET
(EST)]],Standar[NAMA JABATAN],0)-1,1,1,13)&lt;0,1,""))&lt;=3,'9 Grid'!$B$4,IF(COUNT(IF('Data Assessment'!$N293:$Z293-OFFSET(Standar!$B$2,MATCH(Assessment[[#This Row],[JOB TARGET]],Standar[NAMA JABATAN],0)-1,1,1,13)&lt;0,1,""))&gt;=7,'9 Grid'!$B$6,'9 Grid'!$B$5)))</f>
        <v>Job Target Kosong</v>
      </c>
      <c r="I293" s="146" t="str">
        <f>IFERROR(IF(Data_Assessment[[#This Row],[IPP (3 YEARS AVERAGE)]]="","(IPP Belum Ada)",IF(Data_Assessment[[#This Row],[IPP (3 YEARS AVERAGE)]]&lt;2,'9 Grid'!$F$2,IF(Data_Assessment[[#This Row],[IPP (3 YEARS AVERAGE)]]&gt;=4,'9 Grid'!$D$2,'9 Grid'!$E$2))),"")</f>
        <v>Exceptional Performance</v>
      </c>
      <c r="J293" s="146" t="str">
        <f ca="1">IFERROR(INDEX('9 Grid'!$D$4:$F$6,MATCH('Rekomendasi HAV'!H293,'9 Grid'!$B$4:$B$6,0),MATCH('Rekomendasi HAV'!I293,'9 Grid'!$D$2:$F$2,0)),"")</f>
        <v/>
      </c>
      <c r="K293" s="146" t="str">
        <f>IFERROR(INDEX('9 Grid'!$D$8:$F$8,1,MATCH('Rekomendasi HAV'!I293,'9 Grid'!$D$2:$F$2,0)),"")</f>
        <v>(I) Immediately</v>
      </c>
      <c r="L293" s="146">
        <f>IF(ISNUMBER(SEARCH("EST",Assessment[[#This Row],[JOB TARGET]])),SUBSTITUTE(Assessment[[#This Row],[JOB TARGET]],"EST","DEV"),Assessment[[#This Row],[JOB TARGET]])</f>
        <v>0</v>
      </c>
      <c r="M293" s="146" t="str" cm="1">
        <f t="array" aca="1" ref="M293" ca="1">IF(Assessment[[#This Row],[JOB TARGET]]="","Job Target Kosong",IF(COUNT(IF('Data Assessment'!$N293:$Z293-OFFSET(Standar!$B$2,MATCH(Assessment[[#This Row],[JOB TARGET
(DEV)]],Standar[NAMA JABATAN],0)-1,1,1,13)&lt;0,1,""))&lt;=3,'9 Grid'!$B$4,IF(COUNT(IF('Data Assessment'!$N293:$Z293-OFFSET(Standar!$B$2,MATCH(Assessment[[#This Row],[JOB TARGET
(DEV)]],Standar[NAMA JABATAN],0)-1,1,1,13)&lt;0,1,""))&gt;=7,'9 Grid'!$B$6,'9 Grid'!$B$5)))</f>
        <v>Job Target Kosong</v>
      </c>
      <c r="N293" s="146" t="str">
        <f>IFERROR(IF(Data_Assessment[[#This Row],[IPP (3 YEARS AVERAGE)]]="","(IPP Belum Ada)",IF(Data_Assessment[[#This Row],[IPP (3 YEARS AVERAGE)]]&lt;2,'9 Grid'!$F$2,IF(Data_Assessment[[#This Row],[IPP (3 YEARS AVERAGE)]]&gt;=4,'9 Grid'!$D$2,'9 Grid'!$E$2))),"")</f>
        <v>Exceptional Performance</v>
      </c>
      <c r="O293" s="146" t="str">
        <f ca="1">IFERROR(INDEX('9 Grid'!$D$4:$F$6,MATCH('Rekomendasi HAV'!M293,'9 Grid'!$B$4:$B$6,0),MATCH('Rekomendasi HAV'!N293,'9 Grid'!$D$2:$F$2,0)),"")</f>
        <v/>
      </c>
      <c r="P293" s="147" t="str">
        <f>IFERROR(INDEX('9 Grid'!$D$8:$F$8,1,MATCH('Rekomendasi HAV'!N293,'9 Grid'!$D$2:$F$2,0)),"")</f>
        <v>(I) Immediately</v>
      </c>
    </row>
    <row r="294" spans="1:16" ht="28.5">
      <c r="A294" s="67">
        <v>293</v>
      </c>
      <c r="B294" s="68" t="str">
        <f>INDEX(Data_Assessment[],MATCH('Rekomendasi HAV'!$A294,Data_Assessment[[INDEX]:[INDEX]],0),MATCH('Rekomendasi HAV'!B$1,Data_Assessment[#Headers],0))</f>
        <v>Werdini</v>
      </c>
      <c r="C294" s="68" t="str">
        <f>INDEX(Data_Assessment[],MATCH('Rekomendasi HAV'!$A294,Data_Assessment[[INDEX]:[INDEX]],0),MATCH('Rekomendasi HAV'!C$1,Data_Assessment[#Headers],0))</f>
        <v>Jakarta</v>
      </c>
      <c r="D294" s="68" t="str">
        <f>INDEX(Data_Assessment[],MATCH('Rekomendasi HAV'!$A294,Data_Assessment[[INDEX]:[INDEX]],0),MATCH('Rekomendasi HAV'!D$1,Data_Assessment[#Headers],0))</f>
        <v>LSIP - HO Jakarta</v>
      </c>
      <c r="E294" s="68">
        <f>INDEX(Data_Assessment[],MATCH('Rekomendasi HAV'!$B294,Data_Assessment[[NAME]:[NAME]],0),MATCH('Rekomendasi HAV'!E$1,Data_Assessment[#Headers],0))</f>
        <v>0</v>
      </c>
      <c r="F294" s="68"/>
      <c r="G294" s="68">
        <f>IF(ISNUMBER(SEARCH("DEV",Assessment[[#This Row],[JOB TARGET]])),SUBSTITUTE(Assessment[[#This Row],[JOB TARGET]],"DEV","EST"),Assessment[[#This Row],[JOB TARGET]])</f>
        <v>0</v>
      </c>
      <c r="H294" s="146" t="str" cm="1">
        <f t="array" aca="1" ref="H294" ca="1">IF(Assessment[[#This Row],[JOB TARGET]]="","Job Target Kosong",IF(COUNT(IF('Data Assessment'!$N294:$Z294-OFFSET(Standar!$B$2,MATCH(Assessment[[#This Row],[JOB TARGET
(EST)]],Standar[NAMA JABATAN],0)-1,1,1,13)&lt;0,1,""))&lt;=3,'9 Grid'!$B$4,IF(COUNT(IF('Data Assessment'!$N294:$Z294-OFFSET(Standar!$B$2,MATCH(Assessment[[#This Row],[JOB TARGET]],Standar[NAMA JABATAN],0)-1,1,1,13)&lt;0,1,""))&gt;=7,'9 Grid'!$B$6,'9 Grid'!$B$5)))</f>
        <v>Job Target Kosong</v>
      </c>
      <c r="I294" s="146" t="str">
        <f>IFERROR(IF(Data_Assessment[[#This Row],[IPP (3 YEARS AVERAGE)]]="","(IPP Belum Ada)",IF(Data_Assessment[[#This Row],[IPP (3 YEARS AVERAGE)]]&lt;2,'9 Grid'!$F$2,IF(Data_Assessment[[#This Row],[IPP (3 YEARS AVERAGE)]]&gt;=4,'9 Grid'!$D$2,'9 Grid'!$E$2))),"")</f>
        <v>Fully Competence Performance</v>
      </c>
      <c r="J294" s="146" t="str">
        <f ca="1">IFERROR(INDEX('9 Grid'!$D$4:$F$6,MATCH('Rekomendasi HAV'!H294,'9 Grid'!$B$4:$B$6,0),MATCH('Rekomendasi HAV'!I294,'9 Grid'!$D$2:$F$2,0)),"")</f>
        <v/>
      </c>
      <c r="K294" s="146" t="str">
        <f>IFERROR(INDEX('9 Grid'!$D$8:$F$8,1,MATCH('Rekomendasi HAV'!I294,'9 Grid'!$D$2:$F$2,0)),"")</f>
        <v>(ST) Within 12 - 18 month</v>
      </c>
      <c r="L294" s="146">
        <f>IF(ISNUMBER(SEARCH("EST",Assessment[[#This Row],[JOB TARGET]])),SUBSTITUTE(Assessment[[#This Row],[JOB TARGET]],"EST","DEV"),Assessment[[#This Row],[JOB TARGET]])</f>
        <v>0</v>
      </c>
      <c r="M294" s="146" t="str" cm="1">
        <f t="array" aca="1" ref="M294" ca="1">IF(Assessment[[#This Row],[JOB TARGET]]="","Job Target Kosong",IF(COUNT(IF('Data Assessment'!$N294:$Z294-OFFSET(Standar!$B$2,MATCH(Assessment[[#This Row],[JOB TARGET
(DEV)]],Standar[NAMA JABATAN],0)-1,1,1,13)&lt;0,1,""))&lt;=3,'9 Grid'!$B$4,IF(COUNT(IF('Data Assessment'!$N294:$Z294-OFFSET(Standar!$B$2,MATCH(Assessment[[#This Row],[JOB TARGET
(DEV)]],Standar[NAMA JABATAN],0)-1,1,1,13)&lt;0,1,""))&gt;=7,'9 Grid'!$B$6,'9 Grid'!$B$5)))</f>
        <v>Job Target Kosong</v>
      </c>
      <c r="N294" s="146" t="str">
        <f>IFERROR(IF(Data_Assessment[[#This Row],[IPP (3 YEARS AVERAGE)]]="","(IPP Belum Ada)",IF(Data_Assessment[[#This Row],[IPP (3 YEARS AVERAGE)]]&lt;2,'9 Grid'!$F$2,IF(Data_Assessment[[#This Row],[IPP (3 YEARS AVERAGE)]]&gt;=4,'9 Grid'!$D$2,'9 Grid'!$E$2))),"")</f>
        <v>Fully Competence Performance</v>
      </c>
      <c r="O294" s="146" t="str">
        <f ca="1">IFERROR(INDEX('9 Grid'!$D$4:$F$6,MATCH('Rekomendasi HAV'!M294,'9 Grid'!$B$4:$B$6,0),MATCH('Rekomendasi HAV'!N294,'9 Grid'!$D$2:$F$2,0)),"")</f>
        <v/>
      </c>
      <c r="P294" s="147" t="str">
        <f>IFERROR(INDEX('9 Grid'!$D$8:$F$8,1,MATCH('Rekomendasi HAV'!N294,'9 Grid'!$D$2:$F$2,0)),"")</f>
        <v>(ST) Within 12 - 18 month</v>
      </c>
    </row>
    <row r="295" spans="1:16" ht="28.5">
      <c r="A295" s="67">
        <v>294</v>
      </c>
      <c r="B295" s="68" t="str">
        <f>INDEX(Data_Assessment[],MATCH('Rekomendasi HAV'!$A295,Data_Assessment[[INDEX]:[INDEX]],0),MATCH('Rekomendasi HAV'!B$1,Data_Assessment[#Headers],0))</f>
        <v>Eko Budi Prasetyo</v>
      </c>
      <c r="C295" s="68" t="str">
        <f>INDEX(Data_Assessment[],MATCH('Rekomendasi HAV'!$A295,Data_Assessment[[INDEX]:[INDEX]],0),MATCH('Rekomendasi HAV'!C$1,Data_Assessment[#Headers],0))</f>
        <v>Jakarta</v>
      </c>
      <c r="D295" s="68" t="str">
        <f>INDEX(Data_Assessment[],MATCH('Rekomendasi HAV'!$A295,Data_Assessment[[INDEX]:[INDEX]],0),MATCH('Rekomendasi HAV'!D$1,Data_Assessment[#Headers],0))</f>
        <v>LSIP - HO Jakarta</v>
      </c>
      <c r="E295" s="68">
        <f>INDEX(Data_Assessment[],MATCH('Rekomendasi HAV'!$B295,Data_Assessment[[NAME]:[NAME]],0),MATCH('Rekomendasi HAV'!E$1,Data_Assessment[#Headers],0))</f>
        <v>0</v>
      </c>
      <c r="F295" s="68"/>
      <c r="G295" s="68">
        <f>IF(ISNUMBER(SEARCH("DEV",Assessment[[#This Row],[JOB TARGET]])),SUBSTITUTE(Assessment[[#This Row],[JOB TARGET]],"DEV","EST"),Assessment[[#This Row],[JOB TARGET]])</f>
        <v>0</v>
      </c>
      <c r="H295" s="146" t="str" cm="1">
        <f t="array" aca="1" ref="H295" ca="1">IF(Assessment[[#This Row],[JOB TARGET]]="","Job Target Kosong",IF(COUNT(IF('Data Assessment'!$N295:$Z295-OFFSET(Standar!$B$2,MATCH(Assessment[[#This Row],[JOB TARGET
(EST)]],Standar[NAMA JABATAN],0)-1,1,1,13)&lt;0,1,""))&lt;=3,'9 Grid'!$B$4,IF(COUNT(IF('Data Assessment'!$N295:$Z295-OFFSET(Standar!$B$2,MATCH(Assessment[[#This Row],[JOB TARGET]],Standar[NAMA JABATAN],0)-1,1,1,13)&lt;0,1,""))&gt;=7,'9 Grid'!$B$6,'9 Grid'!$B$5)))</f>
        <v>Job Target Kosong</v>
      </c>
      <c r="I295" s="146" t="str">
        <f>IFERROR(IF(Data_Assessment[[#This Row],[IPP (3 YEARS AVERAGE)]]="","(IPP Belum Ada)",IF(Data_Assessment[[#This Row],[IPP (3 YEARS AVERAGE)]]&lt;2,'9 Grid'!$F$2,IF(Data_Assessment[[#This Row],[IPP (3 YEARS AVERAGE)]]&gt;=4,'9 Grid'!$D$2,'9 Grid'!$E$2))),"")</f>
        <v>Contributor</v>
      </c>
      <c r="J295" s="146" t="str">
        <f ca="1">IFERROR(INDEX('9 Grid'!$D$4:$F$6,MATCH('Rekomendasi HAV'!H295,'9 Grid'!$B$4:$B$6,0),MATCH('Rekomendasi HAV'!I295,'9 Grid'!$D$2:$F$2,0)),"")</f>
        <v/>
      </c>
      <c r="K295" s="146" t="str">
        <f>IFERROR(INDEX('9 Grid'!$D$8:$F$8,1,MATCH('Rekomendasi HAV'!I295,'9 Grid'!$D$2:$F$2,0)),"")</f>
        <v>(LT) More 2 - 3 year</v>
      </c>
      <c r="L295" s="146">
        <f>IF(ISNUMBER(SEARCH("EST",Assessment[[#This Row],[JOB TARGET]])),SUBSTITUTE(Assessment[[#This Row],[JOB TARGET]],"EST","DEV"),Assessment[[#This Row],[JOB TARGET]])</f>
        <v>0</v>
      </c>
      <c r="M295" s="146" t="str" cm="1">
        <f t="array" aca="1" ref="M295" ca="1">IF(Assessment[[#This Row],[JOB TARGET]]="","Job Target Kosong",IF(COUNT(IF('Data Assessment'!$N295:$Z295-OFFSET(Standar!$B$2,MATCH(Assessment[[#This Row],[JOB TARGET
(DEV)]],Standar[NAMA JABATAN],0)-1,1,1,13)&lt;0,1,""))&lt;=3,'9 Grid'!$B$4,IF(COUNT(IF('Data Assessment'!$N295:$Z295-OFFSET(Standar!$B$2,MATCH(Assessment[[#This Row],[JOB TARGET
(DEV)]],Standar[NAMA JABATAN],0)-1,1,1,13)&lt;0,1,""))&gt;=7,'9 Grid'!$B$6,'9 Grid'!$B$5)))</f>
        <v>Job Target Kosong</v>
      </c>
      <c r="N295" s="146" t="str">
        <f>IFERROR(IF(Data_Assessment[[#This Row],[IPP (3 YEARS AVERAGE)]]="","(IPP Belum Ada)",IF(Data_Assessment[[#This Row],[IPP (3 YEARS AVERAGE)]]&lt;2,'9 Grid'!$F$2,IF(Data_Assessment[[#This Row],[IPP (3 YEARS AVERAGE)]]&gt;=4,'9 Grid'!$D$2,'9 Grid'!$E$2))),"")</f>
        <v>Contributor</v>
      </c>
      <c r="O295" s="146" t="str">
        <f ca="1">IFERROR(INDEX('9 Grid'!$D$4:$F$6,MATCH('Rekomendasi HAV'!M295,'9 Grid'!$B$4:$B$6,0),MATCH('Rekomendasi HAV'!N295,'9 Grid'!$D$2:$F$2,0)),"")</f>
        <v/>
      </c>
      <c r="P295" s="147" t="str">
        <f>IFERROR(INDEX('9 Grid'!$D$8:$F$8,1,MATCH('Rekomendasi HAV'!N295,'9 Grid'!$D$2:$F$2,0)),"")</f>
        <v>(LT) More 2 - 3 year</v>
      </c>
    </row>
    <row r="296" spans="1:16" ht="28.5">
      <c r="A296" s="67">
        <v>295</v>
      </c>
      <c r="B296" s="68" t="str">
        <f>INDEX(Data_Assessment[],MATCH('Rekomendasi HAV'!$A296,Data_Assessment[[INDEX]:[INDEX]],0),MATCH('Rekomendasi HAV'!B$1,Data_Assessment[#Headers],0))</f>
        <v>Kris Hendarjo Setiawan</v>
      </c>
      <c r="C296" s="68" t="str">
        <f>INDEX(Data_Assessment[],MATCH('Rekomendasi HAV'!$A296,Data_Assessment[[INDEX]:[INDEX]],0),MATCH('Rekomendasi HAV'!C$1,Data_Assessment[#Headers],0))</f>
        <v>Jakarta</v>
      </c>
      <c r="D296" s="68" t="str">
        <f>INDEX(Data_Assessment[],MATCH('Rekomendasi HAV'!$A296,Data_Assessment[[INDEX]:[INDEX]],0),MATCH('Rekomendasi HAV'!D$1,Data_Assessment[#Headers],0))</f>
        <v>LSIP - HO Jakarta</v>
      </c>
      <c r="E296" s="68">
        <f>INDEX(Data_Assessment[],MATCH('Rekomendasi HAV'!$B296,Data_Assessment[[NAME]:[NAME]],0),MATCH('Rekomendasi HAV'!E$1,Data_Assessment[#Headers],0))</f>
        <v>0</v>
      </c>
      <c r="F296" s="68"/>
      <c r="G296" s="68">
        <f>IF(ISNUMBER(SEARCH("DEV",Assessment[[#This Row],[JOB TARGET]])),SUBSTITUTE(Assessment[[#This Row],[JOB TARGET]],"DEV","EST"),Assessment[[#This Row],[JOB TARGET]])</f>
        <v>0</v>
      </c>
      <c r="H296" s="146" t="str" cm="1">
        <f t="array" aca="1" ref="H296" ca="1">IF(Assessment[[#This Row],[JOB TARGET]]="","Job Target Kosong",IF(COUNT(IF('Data Assessment'!$N296:$Z296-OFFSET(Standar!$B$2,MATCH(Assessment[[#This Row],[JOB TARGET
(EST)]],Standar[NAMA JABATAN],0)-1,1,1,13)&lt;0,1,""))&lt;=3,'9 Grid'!$B$4,IF(COUNT(IF('Data Assessment'!$N296:$Z296-OFFSET(Standar!$B$2,MATCH(Assessment[[#This Row],[JOB TARGET]],Standar[NAMA JABATAN],0)-1,1,1,13)&lt;0,1,""))&gt;=7,'9 Grid'!$B$6,'9 Grid'!$B$5)))</f>
        <v>Job Target Kosong</v>
      </c>
      <c r="I296" s="146" t="str">
        <f>IFERROR(IF(Data_Assessment[[#This Row],[IPP (3 YEARS AVERAGE)]]="","(IPP Belum Ada)",IF(Data_Assessment[[#This Row],[IPP (3 YEARS AVERAGE)]]&lt;2,'9 Grid'!$F$2,IF(Data_Assessment[[#This Row],[IPP (3 YEARS AVERAGE)]]&gt;=4,'9 Grid'!$D$2,'9 Grid'!$E$2))),"")</f>
        <v>Fully Competence Performance</v>
      </c>
      <c r="J296" s="146" t="str">
        <f ca="1">IFERROR(INDEX('9 Grid'!$D$4:$F$6,MATCH('Rekomendasi HAV'!H296,'9 Grid'!$B$4:$B$6,0),MATCH('Rekomendasi HAV'!I296,'9 Grid'!$D$2:$F$2,0)),"")</f>
        <v/>
      </c>
      <c r="K296" s="146" t="str">
        <f>IFERROR(INDEX('9 Grid'!$D$8:$F$8,1,MATCH('Rekomendasi HAV'!I296,'9 Grid'!$D$2:$F$2,0)),"")</f>
        <v>(ST) Within 12 - 18 month</v>
      </c>
      <c r="L296" s="146">
        <f>IF(ISNUMBER(SEARCH("EST",Assessment[[#This Row],[JOB TARGET]])),SUBSTITUTE(Assessment[[#This Row],[JOB TARGET]],"EST","DEV"),Assessment[[#This Row],[JOB TARGET]])</f>
        <v>0</v>
      </c>
      <c r="M296" s="146" t="str" cm="1">
        <f t="array" aca="1" ref="M296" ca="1">IF(Assessment[[#This Row],[JOB TARGET]]="","Job Target Kosong",IF(COUNT(IF('Data Assessment'!$N296:$Z296-OFFSET(Standar!$B$2,MATCH(Assessment[[#This Row],[JOB TARGET
(DEV)]],Standar[NAMA JABATAN],0)-1,1,1,13)&lt;0,1,""))&lt;=3,'9 Grid'!$B$4,IF(COUNT(IF('Data Assessment'!$N296:$Z296-OFFSET(Standar!$B$2,MATCH(Assessment[[#This Row],[JOB TARGET
(DEV)]],Standar[NAMA JABATAN],0)-1,1,1,13)&lt;0,1,""))&gt;=7,'9 Grid'!$B$6,'9 Grid'!$B$5)))</f>
        <v>Job Target Kosong</v>
      </c>
      <c r="N296" s="146" t="str">
        <f>IFERROR(IF(Data_Assessment[[#This Row],[IPP (3 YEARS AVERAGE)]]="","(IPP Belum Ada)",IF(Data_Assessment[[#This Row],[IPP (3 YEARS AVERAGE)]]&lt;2,'9 Grid'!$F$2,IF(Data_Assessment[[#This Row],[IPP (3 YEARS AVERAGE)]]&gt;=4,'9 Grid'!$D$2,'9 Grid'!$E$2))),"")</f>
        <v>Fully Competence Performance</v>
      </c>
      <c r="O296" s="146" t="str">
        <f ca="1">IFERROR(INDEX('9 Grid'!$D$4:$F$6,MATCH('Rekomendasi HAV'!M296,'9 Grid'!$B$4:$B$6,0),MATCH('Rekomendasi HAV'!N296,'9 Grid'!$D$2:$F$2,0)),"")</f>
        <v/>
      </c>
      <c r="P296" s="147" t="str">
        <f>IFERROR(INDEX('9 Grid'!$D$8:$F$8,1,MATCH('Rekomendasi HAV'!N296,'9 Grid'!$D$2:$F$2,0)),"")</f>
        <v>(ST) Within 12 - 18 month</v>
      </c>
    </row>
    <row r="297" spans="1:16" ht="28.5">
      <c r="A297" s="67">
        <v>296</v>
      </c>
      <c r="B297" s="68" t="str">
        <f>INDEX(Data_Assessment[],MATCH('Rekomendasi HAV'!$A297,Data_Assessment[[INDEX]:[INDEX]],0),MATCH('Rekomendasi HAV'!B$1,Data_Assessment[#Headers],0))</f>
        <v>Sungging Agni Bhargo</v>
      </c>
      <c r="C297" s="68" t="str">
        <f>INDEX(Data_Assessment[],MATCH('Rekomendasi HAV'!$A297,Data_Assessment[[INDEX]:[INDEX]],0),MATCH('Rekomendasi HAV'!C$1,Data_Assessment[#Headers],0))</f>
        <v>Jakarta</v>
      </c>
      <c r="D297" s="68" t="str">
        <f>INDEX(Data_Assessment[],MATCH('Rekomendasi HAV'!$A297,Data_Assessment[[INDEX]:[INDEX]],0),MATCH('Rekomendasi HAV'!D$1,Data_Assessment[#Headers],0))</f>
        <v>LSIP - HO Jakarta</v>
      </c>
      <c r="E297" s="68">
        <f>INDEX(Data_Assessment[],MATCH('Rekomendasi HAV'!$B297,Data_Assessment[[NAME]:[NAME]],0),MATCH('Rekomendasi HAV'!E$1,Data_Assessment[#Headers],0))</f>
        <v>0</v>
      </c>
      <c r="F297" s="68"/>
      <c r="G297" s="68">
        <f>IF(ISNUMBER(SEARCH("DEV",Assessment[[#This Row],[JOB TARGET]])),SUBSTITUTE(Assessment[[#This Row],[JOB TARGET]],"DEV","EST"),Assessment[[#This Row],[JOB TARGET]])</f>
        <v>0</v>
      </c>
      <c r="H297" s="146" t="str" cm="1">
        <f t="array" aca="1" ref="H297" ca="1">IF(Assessment[[#This Row],[JOB TARGET]]="","Job Target Kosong",IF(COUNT(IF('Data Assessment'!$N297:$Z297-OFFSET(Standar!$B$2,MATCH(Assessment[[#This Row],[JOB TARGET
(EST)]],Standar[NAMA JABATAN],0)-1,1,1,13)&lt;0,1,""))&lt;=3,'9 Grid'!$B$4,IF(COUNT(IF('Data Assessment'!$N297:$Z297-OFFSET(Standar!$B$2,MATCH(Assessment[[#This Row],[JOB TARGET]],Standar[NAMA JABATAN],0)-1,1,1,13)&lt;0,1,""))&gt;=7,'9 Grid'!$B$6,'9 Grid'!$B$5)))</f>
        <v>Job Target Kosong</v>
      </c>
      <c r="I297" s="146" t="str">
        <f>IFERROR(IF(Data_Assessment[[#This Row],[IPP (3 YEARS AVERAGE)]]="","(IPP Belum Ada)",IF(Data_Assessment[[#This Row],[IPP (3 YEARS AVERAGE)]]&lt;2,'9 Grid'!$F$2,IF(Data_Assessment[[#This Row],[IPP (3 YEARS AVERAGE)]]&gt;=4,'9 Grid'!$D$2,'9 Grid'!$E$2))),"")</f>
        <v>Contributor</v>
      </c>
      <c r="J297" s="146" t="str">
        <f ca="1">IFERROR(INDEX('9 Grid'!$D$4:$F$6,MATCH('Rekomendasi HAV'!H297,'9 Grid'!$B$4:$B$6,0),MATCH('Rekomendasi HAV'!I297,'9 Grid'!$D$2:$F$2,0)),"")</f>
        <v/>
      </c>
      <c r="K297" s="146" t="str">
        <f>IFERROR(INDEX('9 Grid'!$D$8:$F$8,1,MATCH('Rekomendasi HAV'!I297,'9 Grid'!$D$2:$F$2,0)),"")</f>
        <v>(LT) More 2 - 3 year</v>
      </c>
      <c r="L297" s="146">
        <f>IF(ISNUMBER(SEARCH("EST",Assessment[[#This Row],[JOB TARGET]])),SUBSTITUTE(Assessment[[#This Row],[JOB TARGET]],"EST","DEV"),Assessment[[#This Row],[JOB TARGET]])</f>
        <v>0</v>
      </c>
      <c r="M297" s="146" t="str" cm="1">
        <f t="array" aca="1" ref="M297" ca="1">IF(Assessment[[#This Row],[JOB TARGET]]="","Job Target Kosong",IF(COUNT(IF('Data Assessment'!$N297:$Z297-OFFSET(Standar!$B$2,MATCH(Assessment[[#This Row],[JOB TARGET
(DEV)]],Standar[NAMA JABATAN],0)-1,1,1,13)&lt;0,1,""))&lt;=3,'9 Grid'!$B$4,IF(COUNT(IF('Data Assessment'!$N297:$Z297-OFFSET(Standar!$B$2,MATCH(Assessment[[#This Row],[JOB TARGET
(DEV)]],Standar[NAMA JABATAN],0)-1,1,1,13)&lt;0,1,""))&gt;=7,'9 Grid'!$B$6,'9 Grid'!$B$5)))</f>
        <v>Job Target Kosong</v>
      </c>
      <c r="N297" s="146" t="str">
        <f>IFERROR(IF(Data_Assessment[[#This Row],[IPP (3 YEARS AVERAGE)]]="","(IPP Belum Ada)",IF(Data_Assessment[[#This Row],[IPP (3 YEARS AVERAGE)]]&lt;2,'9 Grid'!$F$2,IF(Data_Assessment[[#This Row],[IPP (3 YEARS AVERAGE)]]&gt;=4,'9 Grid'!$D$2,'9 Grid'!$E$2))),"")</f>
        <v>Contributor</v>
      </c>
      <c r="O297" s="146" t="str">
        <f ca="1">IFERROR(INDEX('9 Grid'!$D$4:$F$6,MATCH('Rekomendasi HAV'!M297,'9 Grid'!$B$4:$B$6,0),MATCH('Rekomendasi HAV'!N297,'9 Grid'!$D$2:$F$2,0)),"")</f>
        <v/>
      </c>
      <c r="P297" s="147" t="str">
        <f>IFERROR(INDEX('9 Grid'!$D$8:$F$8,1,MATCH('Rekomendasi HAV'!N297,'9 Grid'!$D$2:$F$2,0)),"")</f>
        <v>(LT) More 2 - 3 year</v>
      </c>
    </row>
    <row r="298" spans="1:16" ht="14.25">
      <c r="A298" s="67">
        <v>297</v>
      </c>
      <c r="B298" s="68" t="str">
        <f>INDEX(Data_Assessment[],MATCH('Rekomendasi HAV'!$A298,Data_Assessment[[INDEX]:[INDEX]],0),MATCH('Rekomendasi HAV'!B$1,Data_Assessment[#Headers],0))</f>
        <v>Fadli Munawar</v>
      </c>
      <c r="C298" s="68" t="str">
        <f>INDEX(Data_Assessment[],MATCH('Rekomendasi HAV'!$A298,Data_Assessment[[INDEX]:[INDEX]],0),MATCH('Rekomendasi HAV'!C$1,Data_Assessment[#Headers],0))</f>
        <v>Jakarta</v>
      </c>
      <c r="D298" s="68" t="str">
        <f>INDEX(Data_Assessment[],MATCH('Rekomendasi HAV'!$A298,Data_Assessment[[INDEX]:[INDEX]],0),MATCH('Rekomendasi HAV'!D$1,Data_Assessment[#Headers],0))</f>
        <v>LSIP - HO Jakarta</v>
      </c>
      <c r="E298" s="68">
        <f>INDEX(Data_Assessment[],MATCH('Rekomendasi HAV'!$B298,Data_Assessment[[NAME]:[NAME]],0),MATCH('Rekomendasi HAV'!E$1,Data_Assessment[#Headers],0))</f>
        <v>0</v>
      </c>
      <c r="F298" s="68"/>
      <c r="G298" s="68">
        <f>IF(ISNUMBER(SEARCH("DEV",Assessment[[#This Row],[JOB TARGET]])),SUBSTITUTE(Assessment[[#This Row],[JOB TARGET]],"DEV","EST"),Assessment[[#This Row],[JOB TARGET]])</f>
        <v>0</v>
      </c>
      <c r="H298" s="146" t="str" cm="1">
        <f t="array" aca="1" ref="H298" ca="1">IF(Assessment[[#This Row],[JOB TARGET]]="","Job Target Kosong",IF(COUNT(IF('Data Assessment'!$N298:$Z298-OFFSET(Standar!$B$2,MATCH(Assessment[[#This Row],[JOB TARGET
(EST)]],Standar[NAMA JABATAN],0)-1,1,1,13)&lt;0,1,""))&lt;=3,'9 Grid'!$B$4,IF(COUNT(IF('Data Assessment'!$N298:$Z298-OFFSET(Standar!$B$2,MATCH(Assessment[[#This Row],[JOB TARGET]],Standar[NAMA JABATAN],0)-1,1,1,13)&lt;0,1,""))&gt;=7,'9 Grid'!$B$6,'9 Grid'!$B$5)))</f>
        <v>Job Target Kosong</v>
      </c>
      <c r="I298" s="146" t="str">
        <f>IFERROR(IF(Data_Assessment[[#This Row],[IPP (3 YEARS AVERAGE)]]="","(IPP Belum Ada)",IF(Data_Assessment[[#This Row],[IPP (3 YEARS AVERAGE)]]&lt;2,'9 Grid'!$F$2,IF(Data_Assessment[[#This Row],[IPP (3 YEARS AVERAGE)]]&gt;=4,'9 Grid'!$D$2,'9 Grid'!$E$2))),"")</f>
        <v>Exceptional Performance</v>
      </c>
      <c r="J298" s="146" t="str">
        <f ca="1">IFERROR(INDEX('9 Grid'!$D$4:$F$6,MATCH('Rekomendasi HAV'!H298,'9 Grid'!$B$4:$B$6,0),MATCH('Rekomendasi HAV'!I298,'9 Grid'!$D$2:$F$2,0)),"")</f>
        <v/>
      </c>
      <c r="K298" s="146" t="str">
        <f>IFERROR(INDEX('9 Grid'!$D$8:$F$8,1,MATCH('Rekomendasi HAV'!I298,'9 Grid'!$D$2:$F$2,0)),"")</f>
        <v>(I) Immediately</v>
      </c>
      <c r="L298" s="146">
        <f>IF(ISNUMBER(SEARCH("EST",Assessment[[#This Row],[JOB TARGET]])),SUBSTITUTE(Assessment[[#This Row],[JOB TARGET]],"EST","DEV"),Assessment[[#This Row],[JOB TARGET]])</f>
        <v>0</v>
      </c>
      <c r="M298" s="146" t="str" cm="1">
        <f t="array" aca="1" ref="M298" ca="1">IF(Assessment[[#This Row],[JOB TARGET]]="","Job Target Kosong",IF(COUNT(IF('Data Assessment'!$N298:$Z298-OFFSET(Standar!$B$2,MATCH(Assessment[[#This Row],[JOB TARGET
(DEV)]],Standar[NAMA JABATAN],0)-1,1,1,13)&lt;0,1,""))&lt;=3,'9 Grid'!$B$4,IF(COUNT(IF('Data Assessment'!$N298:$Z298-OFFSET(Standar!$B$2,MATCH(Assessment[[#This Row],[JOB TARGET
(DEV)]],Standar[NAMA JABATAN],0)-1,1,1,13)&lt;0,1,""))&gt;=7,'9 Grid'!$B$6,'9 Grid'!$B$5)))</f>
        <v>Job Target Kosong</v>
      </c>
      <c r="N298" s="146" t="str">
        <f>IFERROR(IF(Data_Assessment[[#This Row],[IPP (3 YEARS AVERAGE)]]="","(IPP Belum Ada)",IF(Data_Assessment[[#This Row],[IPP (3 YEARS AVERAGE)]]&lt;2,'9 Grid'!$F$2,IF(Data_Assessment[[#This Row],[IPP (3 YEARS AVERAGE)]]&gt;=4,'9 Grid'!$D$2,'9 Grid'!$E$2))),"")</f>
        <v>Exceptional Performance</v>
      </c>
      <c r="O298" s="146" t="str">
        <f ca="1">IFERROR(INDEX('9 Grid'!$D$4:$F$6,MATCH('Rekomendasi HAV'!M298,'9 Grid'!$B$4:$B$6,0),MATCH('Rekomendasi HAV'!N298,'9 Grid'!$D$2:$F$2,0)),"")</f>
        <v/>
      </c>
      <c r="P298" s="147" t="str">
        <f>IFERROR(INDEX('9 Grid'!$D$8:$F$8,1,MATCH('Rekomendasi HAV'!N298,'9 Grid'!$D$2:$F$2,0)),"")</f>
        <v>(I) Immediately</v>
      </c>
    </row>
    <row r="299" spans="1:16" ht="28.5">
      <c r="A299" s="67">
        <v>298</v>
      </c>
      <c r="B299" s="68" t="str">
        <f>INDEX(Data_Assessment[],MATCH('Rekomendasi HAV'!$A299,Data_Assessment[[INDEX]:[INDEX]],0),MATCH('Rekomendasi HAV'!B$1,Data_Assessment[#Headers],0))</f>
        <v>Astry Lestari</v>
      </c>
      <c r="C299" s="68" t="str">
        <f>INDEX(Data_Assessment[],MATCH('Rekomendasi HAV'!$A299,Data_Assessment[[INDEX]:[INDEX]],0),MATCH('Rekomendasi HAV'!C$1,Data_Assessment[#Headers],0))</f>
        <v>Jakarta</v>
      </c>
      <c r="D299" s="68" t="str">
        <f>INDEX(Data_Assessment[],MATCH('Rekomendasi HAV'!$A299,Data_Assessment[[INDEX]:[INDEX]],0),MATCH('Rekomendasi HAV'!D$1,Data_Assessment[#Headers],0))</f>
        <v>LSIP - HO Jakarta</v>
      </c>
      <c r="E299" s="68">
        <f>INDEX(Data_Assessment[],MATCH('Rekomendasi HAV'!$B299,Data_Assessment[[NAME]:[NAME]],0),MATCH('Rekomendasi HAV'!E$1,Data_Assessment[#Headers],0))</f>
        <v>0</v>
      </c>
      <c r="F299" s="68"/>
      <c r="G299" s="68">
        <f>IF(ISNUMBER(SEARCH("DEV",Assessment[[#This Row],[JOB TARGET]])),SUBSTITUTE(Assessment[[#This Row],[JOB TARGET]],"DEV","EST"),Assessment[[#This Row],[JOB TARGET]])</f>
        <v>0</v>
      </c>
      <c r="H299" s="146" t="str" cm="1">
        <f t="array" aca="1" ref="H299" ca="1">IF(Assessment[[#This Row],[JOB TARGET]]="","Job Target Kosong",IF(COUNT(IF('Data Assessment'!$N299:$Z299-OFFSET(Standar!$B$2,MATCH(Assessment[[#This Row],[JOB TARGET
(EST)]],Standar[NAMA JABATAN],0)-1,1,1,13)&lt;0,1,""))&lt;=3,'9 Grid'!$B$4,IF(COUNT(IF('Data Assessment'!$N299:$Z299-OFFSET(Standar!$B$2,MATCH(Assessment[[#This Row],[JOB TARGET]],Standar[NAMA JABATAN],0)-1,1,1,13)&lt;0,1,""))&gt;=7,'9 Grid'!$B$6,'9 Grid'!$B$5)))</f>
        <v>Job Target Kosong</v>
      </c>
      <c r="I299" s="146" t="str">
        <f>IFERROR(IF(Data_Assessment[[#This Row],[IPP (3 YEARS AVERAGE)]]="","(IPP Belum Ada)",IF(Data_Assessment[[#This Row],[IPP (3 YEARS AVERAGE)]]&lt;2,'9 Grid'!$F$2,IF(Data_Assessment[[#This Row],[IPP (3 YEARS AVERAGE)]]&gt;=4,'9 Grid'!$D$2,'9 Grid'!$E$2))),"")</f>
        <v>Contributor</v>
      </c>
      <c r="J299" s="146" t="str">
        <f ca="1">IFERROR(INDEX('9 Grid'!$D$4:$F$6,MATCH('Rekomendasi HAV'!H299,'9 Grid'!$B$4:$B$6,0),MATCH('Rekomendasi HAV'!I299,'9 Grid'!$D$2:$F$2,0)),"")</f>
        <v/>
      </c>
      <c r="K299" s="146" t="str">
        <f>IFERROR(INDEX('9 Grid'!$D$8:$F$8,1,MATCH('Rekomendasi HAV'!I299,'9 Grid'!$D$2:$F$2,0)),"")</f>
        <v>(LT) More 2 - 3 year</v>
      </c>
      <c r="L299" s="146">
        <f>IF(ISNUMBER(SEARCH("EST",Assessment[[#This Row],[JOB TARGET]])),SUBSTITUTE(Assessment[[#This Row],[JOB TARGET]],"EST","DEV"),Assessment[[#This Row],[JOB TARGET]])</f>
        <v>0</v>
      </c>
      <c r="M299" s="146" t="str" cm="1">
        <f t="array" aca="1" ref="M299" ca="1">IF(Assessment[[#This Row],[JOB TARGET]]="","Job Target Kosong",IF(COUNT(IF('Data Assessment'!$N299:$Z299-OFFSET(Standar!$B$2,MATCH(Assessment[[#This Row],[JOB TARGET
(DEV)]],Standar[NAMA JABATAN],0)-1,1,1,13)&lt;0,1,""))&lt;=3,'9 Grid'!$B$4,IF(COUNT(IF('Data Assessment'!$N299:$Z299-OFFSET(Standar!$B$2,MATCH(Assessment[[#This Row],[JOB TARGET
(DEV)]],Standar[NAMA JABATAN],0)-1,1,1,13)&lt;0,1,""))&gt;=7,'9 Grid'!$B$6,'9 Grid'!$B$5)))</f>
        <v>Job Target Kosong</v>
      </c>
      <c r="N299" s="146" t="str">
        <f>IFERROR(IF(Data_Assessment[[#This Row],[IPP (3 YEARS AVERAGE)]]="","(IPP Belum Ada)",IF(Data_Assessment[[#This Row],[IPP (3 YEARS AVERAGE)]]&lt;2,'9 Grid'!$F$2,IF(Data_Assessment[[#This Row],[IPP (3 YEARS AVERAGE)]]&gt;=4,'9 Grid'!$D$2,'9 Grid'!$E$2))),"")</f>
        <v>Contributor</v>
      </c>
      <c r="O299" s="146" t="str">
        <f ca="1">IFERROR(INDEX('9 Grid'!$D$4:$F$6,MATCH('Rekomendasi HAV'!M299,'9 Grid'!$B$4:$B$6,0),MATCH('Rekomendasi HAV'!N299,'9 Grid'!$D$2:$F$2,0)),"")</f>
        <v/>
      </c>
      <c r="P299" s="147" t="str">
        <f>IFERROR(INDEX('9 Grid'!$D$8:$F$8,1,MATCH('Rekomendasi HAV'!N299,'9 Grid'!$D$2:$F$2,0)),"")</f>
        <v>(LT) More 2 - 3 year</v>
      </c>
    </row>
    <row r="300" spans="1:16" ht="14.25">
      <c r="A300" s="67">
        <v>299</v>
      </c>
      <c r="B300" s="68" t="str">
        <f>INDEX(Data_Assessment[],MATCH('Rekomendasi HAV'!$A300,Data_Assessment[[INDEX]:[INDEX]],0),MATCH('Rekomendasi HAV'!B$1,Data_Assessment[#Headers],0))</f>
        <v>Lusi Marlinda</v>
      </c>
      <c r="C300" s="68" t="str">
        <f>INDEX(Data_Assessment[],MATCH('Rekomendasi HAV'!$A300,Data_Assessment[[INDEX]:[INDEX]],0),MATCH('Rekomendasi HAV'!C$1,Data_Assessment[#Headers],0))</f>
        <v>Jakarta</v>
      </c>
      <c r="D300" s="68" t="str">
        <f>INDEX(Data_Assessment[],MATCH('Rekomendasi HAV'!$A300,Data_Assessment[[INDEX]:[INDEX]],0),MATCH('Rekomendasi HAV'!D$1,Data_Assessment[#Headers],0))</f>
        <v>LSIP - HO Jakarta</v>
      </c>
      <c r="E300" s="68">
        <f>INDEX(Data_Assessment[],MATCH('Rekomendasi HAV'!$B300,Data_Assessment[[NAME]:[NAME]],0),MATCH('Rekomendasi HAV'!E$1,Data_Assessment[#Headers],0))</f>
        <v>0</v>
      </c>
      <c r="F300" s="68"/>
      <c r="G300" s="68">
        <f>IF(ISNUMBER(SEARCH("DEV",Assessment[[#This Row],[JOB TARGET]])),SUBSTITUTE(Assessment[[#This Row],[JOB TARGET]],"DEV","EST"),Assessment[[#This Row],[JOB TARGET]])</f>
        <v>0</v>
      </c>
      <c r="H300" s="146" t="str" cm="1">
        <f t="array" aca="1" ref="H300" ca="1">IF(Assessment[[#This Row],[JOB TARGET]]="","Job Target Kosong",IF(COUNT(IF('Data Assessment'!$N300:$Z300-OFFSET(Standar!$B$2,MATCH(Assessment[[#This Row],[JOB TARGET
(EST)]],Standar[NAMA JABATAN],0)-1,1,1,13)&lt;0,1,""))&lt;=3,'9 Grid'!$B$4,IF(COUNT(IF('Data Assessment'!$N300:$Z300-OFFSET(Standar!$B$2,MATCH(Assessment[[#This Row],[JOB TARGET]],Standar[NAMA JABATAN],0)-1,1,1,13)&lt;0,1,""))&gt;=7,'9 Grid'!$B$6,'9 Grid'!$B$5)))</f>
        <v>Job Target Kosong</v>
      </c>
      <c r="I300" s="146" t="str">
        <f>IFERROR(IF(Data_Assessment[[#This Row],[IPP (3 YEARS AVERAGE)]]="","(IPP Belum Ada)",IF(Data_Assessment[[#This Row],[IPP (3 YEARS AVERAGE)]]&lt;2,'9 Grid'!$F$2,IF(Data_Assessment[[#This Row],[IPP (3 YEARS AVERAGE)]]&gt;=4,'9 Grid'!$D$2,'9 Grid'!$E$2))),"")</f>
        <v>Exceptional Performance</v>
      </c>
      <c r="J300" s="146" t="str">
        <f ca="1">IFERROR(INDEX('9 Grid'!$D$4:$F$6,MATCH('Rekomendasi HAV'!H300,'9 Grid'!$B$4:$B$6,0),MATCH('Rekomendasi HAV'!I300,'9 Grid'!$D$2:$F$2,0)),"")</f>
        <v/>
      </c>
      <c r="K300" s="146" t="str">
        <f>IFERROR(INDEX('9 Grid'!$D$8:$F$8,1,MATCH('Rekomendasi HAV'!I300,'9 Grid'!$D$2:$F$2,0)),"")</f>
        <v>(I) Immediately</v>
      </c>
      <c r="L300" s="146">
        <f>IF(ISNUMBER(SEARCH("EST",Assessment[[#This Row],[JOB TARGET]])),SUBSTITUTE(Assessment[[#This Row],[JOB TARGET]],"EST","DEV"),Assessment[[#This Row],[JOB TARGET]])</f>
        <v>0</v>
      </c>
      <c r="M300" s="146" t="str" cm="1">
        <f t="array" aca="1" ref="M300" ca="1">IF(Assessment[[#This Row],[JOB TARGET]]="","Job Target Kosong",IF(COUNT(IF('Data Assessment'!$N300:$Z300-OFFSET(Standar!$B$2,MATCH(Assessment[[#This Row],[JOB TARGET
(DEV)]],Standar[NAMA JABATAN],0)-1,1,1,13)&lt;0,1,""))&lt;=3,'9 Grid'!$B$4,IF(COUNT(IF('Data Assessment'!$N300:$Z300-OFFSET(Standar!$B$2,MATCH(Assessment[[#This Row],[JOB TARGET
(DEV)]],Standar[NAMA JABATAN],0)-1,1,1,13)&lt;0,1,""))&gt;=7,'9 Grid'!$B$6,'9 Grid'!$B$5)))</f>
        <v>Job Target Kosong</v>
      </c>
      <c r="N300" s="146" t="str">
        <f>IFERROR(IF(Data_Assessment[[#This Row],[IPP (3 YEARS AVERAGE)]]="","(IPP Belum Ada)",IF(Data_Assessment[[#This Row],[IPP (3 YEARS AVERAGE)]]&lt;2,'9 Grid'!$F$2,IF(Data_Assessment[[#This Row],[IPP (3 YEARS AVERAGE)]]&gt;=4,'9 Grid'!$D$2,'9 Grid'!$E$2))),"")</f>
        <v>Exceptional Performance</v>
      </c>
      <c r="O300" s="146" t="str">
        <f ca="1">IFERROR(INDEX('9 Grid'!$D$4:$F$6,MATCH('Rekomendasi HAV'!M300,'9 Grid'!$B$4:$B$6,0),MATCH('Rekomendasi HAV'!N300,'9 Grid'!$D$2:$F$2,0)),"")</f>
        <v/>
      </c>
      <c r="P300" s="147" t="str">
        <f>IFERROR(INDEX('9 Grid'!$D$8:$F$8,1,MATCH('Rekomendasi HAV'!N300,'9 Grid'!$D$2:$F$2,0)),"")</f>
        <v>(I) Immediately</v>
      </c>
    </row>
    <row r="301" spans="1:16" ht="28.5">
      <c r="A301" s="67">
        <v>300</v>
      </c>
      <c r="B301" s="68" t="str">
        <f>INDEX(Data_Assessment[],MATCH('Rekomendasi HAV'!$A301,Data_Assessment[[INDEX]:[INDEX]],0),MATCH('Rekomendasi HAV'!B$1,Data_Assessment[#Headers],0))</f>
        <v>Setyo Arie Wahyudi</v>
      </c>
      <c r="C301" s="68" t="str">
        <f>INDEX(Data_Assessment[],MATCH('Rekomendasi HAV'!$A301,Data_Assessment[[INDEX]:[INDEX]],0),MATCH('Rekomendasi HAV'!C$1,Data_Assessment[#Headers],0))</f>
        <v>Jakarta</v>
      </c>
      <c r="D301" s="68" t="str">
        <f>INDEX(Data_Assessment[],MATCH('Rekomendasi HAV'!$A301,Data_Assessment[[INDEX]:[INDEX]],0),MATCH('Rekomendasi HAV'!D$1,Data_Assessment[#Headers],0))</f>
        <v>LSIP - HO Jakarta</v>
      </c>
      <c r="E301" s="68">
        <f>INDEX(Data_Assessment[],MATCH('Rekomendasi HAV'!$B301,Data_Assessment[[NAME]:[NAME]],0),MATCH('Rekomendasi HAV'!E$1,Data_Assessment[#Headers],0))</f>
        <v>0</v>
      </c>
      <c r="F301" s="68"/>
      <c r="G301" s="68">
        <f>IF(ISNUMBER(SEARCH("DEV",Assessment[[#This Row],[JOB TARGET]])),SUBSTITUTE(Assessment[[#This Row],[JOB TARGET]],"DEV","EST"),Assessment[[#This Row],[JOB TARGET]])</f>
        <v>0</v>
      </c>
      <c r="H301" s="146" t="str" cm="1">
        <f t="array" aca="1" ref="H301" ca="1">IF(Assessment[[#This Row],[JOB TARGET]]="","Job Target Kosong",IF(COUNT(IF('Data Assessment'!$N301:$Z301-OFFSET(Standar!$B$2,MATCH(Assessment[[#This Row],[JOB TARGET
(EST)]],Standar[NAMA JABATAN],0)-1,1,1,13)&lt;0,1,""))&lt;=3,'9 Grid'!$B$4,IF(COUNT(IF('Data Assessment'!$N301:$Z301-OFFSET(Standar!$B$2,MATCH(Assessment[[#This Row],[JOB TARGET]],Standar[NAMA JABATAN],0)-1,1,1,13)&lt;0,1,""))&gt;=7,'9 Grid'!$B$6,'9 Grid'!$B$5)))</f>
        <v>Job Target Kosong</v>
      </c>
      <c r="I301" s="146" t="str">
        <f>IFERROR(IF(Data_Assessment[[#This Row],[IPP (3 YEARS AVERAGE)]]="","(IPP Belum Ada)",IF(Data_Assessment[[#This Row],[IPP (3 YEARS AVERAGE)]]&lt;2,'9 Grid'!$F$2,IF(Data_Assessment[[#This Row],[IPP (3 YEARS AVERAGE)]]&gt;=4,'9 Grid'!$D$2,'9 Grid'!$E$2))),"")</f>
        <v>Fully Competence Performance</v>
      </c>
      <c r="J301" s="146" t="str">
        <f ca="1">IFERROR(INDEX('9 Grid'!$D$4:$F$6,MATCH('Rekomendasi HAV'!H301,'9 Grid'!$B$4:$B$6,0),MATCH('Rekomendasi HAV'!I301,'9 Grid'!$D$2:$F$2,0)),"")</f>
        <v/>
      </c>
      <c r="K301" s="146" t="str">
        <f>IFERROR(INDEX('9 Grid'!$D$8:$F$8,1,MATCH('Rekomendasi HAV'!I301,'9 Grid'!$D$2:$F$2,0)),"")</f>
        <v>(ST) Within 12 - 18 month</v>
      </c>
      <c r="L301" s="146">
        <f>IF(ISNUMBER(SEARCH("EST",Assessment[[#This Row],[JOB TARGET]])),SUBSTITUTE(Assessment[[#This Row],[JOB TARGET]],"EST","DEV"),Assessment[[#This Row],[JOB TARGET]])</f>
        <v>0</v>
      </c>
      <c r="M301" s="146" t="str" cm="1">
        <f t="array" aca="1" ref="M301" ca="1">IF(Assessment[[#This Row],[JOB TARGET]]="","Job Target Kosong",IF(COUNT(IF('Data Assessment'!$N301:$Z301-OFFSET(Standar!$B$2,MATCH(Assessment[[#This Row],[JOB TARGET
(DEV)]],Standar[NAMA JABATAN],0)-1,1,1,13)&lt;0,1,""))&lt;=3,'9 Grid'!$B$4,IF(COUNT(IF('Data Assessment'!$N301:$Z301-OFFSET(Standar!$B$2,MATCH(Assessment[[#This Row],[JOB TARGET
(DEV)]],Standar[NAMA JABATAN],0)-1,1,1,13)&lt;0,1,""))&gt;=7,'9 Grid'!$B$6,'9 Grid'!$B$5)))</f>
        <v>Job Target Kosong</v>
      </c>
      <c r="N301" s="146" t="str">
        <f>IFERROR(IF(Data_Assessment[[#This Row],[IPP (3 YEARS AVERAGE)]]="","(IPP Belum Ada)",IF(Data_Assessment[[#This Row],[IPP (3 YEARS AVERAGE)]]&lt;2,'9 Grid'!$F$2,IF(Data_Assessment[[#This Row],[IPP (3 YEARS AVERAGE)]]&gt;=4,'9 Grid'!$D$2,'9 Grid'!$E$2))),"")</f>
        <v>Fully Competence Performance</v>
      </c>
      <c r="O301" s="146" t="str">
        <f ca="1">IFERROR(INDEX('9 Grid'!$D$4:$F$6,MATCH('Rekomendasi HAV'!M301,'9 Grid'!$B$4:$B$6,0),MATCH('Rekomendasi HAV'!N301,'9 Grid'!$D$2:$F$2,0)),"")</f>
        <v/>
      </c>
      <c r="P301" s="147" t="str">
        <f>IFERROR(INDEX('9 Grid'!$D$8:$F$8,1,MATCH('Rekomendasi HAV'!N301,'9 Grid'!$D$2:$F$2,0)),"")</f>
        <v>(ST) Within 12 - 18 month</v>
      </c>
    </row>
    <row r="302" spans="1:16" ht="28.5">
      <c r="A302" s="67">
        <v>301</v>
      </c>
      <c r="B302" s="68" t="str">
        <f>INDEX(Data_Assessment[],MATCH('Rekomendasi HAV'!$A302,Data_Assessment[[INDEX]:[INDEX]],0),MATCH('Rekomendasi HAV'!B$1,Data_Assessment[#Headers],0))</f>
        <v>Susman Haryono</v>
      </c>
      <c r="C302" s="68" t="str">
        <f>INDEX(Data_Assessment[],MATCH('Rekomendasi HAV'!$A302,Data_Assessment[[INDEX]:[INDEX]],0),MATCH('Rekomendasi HAV'!C$1,Data_Assessment[#Headers],0))</f>
        <v>Kalimantan Timur</v>
      </c>
      <c r="D302" s="68" t="str">
        <f>INDEX(Data_Assessment[],MATCH('Rekomendasi HAV'!$A302,Data_Assessment[[INDEX]:[INDEX]],0),MATCH('Rekomendasi HAV'!D$1,Data_Assessment[#Headers],0))</f>
        <v>LSIP - RO Samarinda</v>
      </c>
      <c r="E302" s="68">
        <f>INDEX(Data_Assessment[],MATCH('Rekomendasi HAV'!$B302,Data_Assessment[[NAME]:[NAME]],0),MATCH('Rekomendasi HAV'!E$1,Data_Assessment[#Headers],0))</f>
        <v>0</v>
      </c>
      <c r="F302" s="68"/>
      <c r="G302" s="68">
        <f>IF(ISNUMBER(SEARCH("DEV",Assessment[[#This Row],[JOB TARGET]])),SUBSTITUTE(Assessment[[#This Row],[JOB TARGET]],"DEV","EST"),Assessment[[#This Row],[JOB TARGET]])</f>
        <v>0</v>
      </c>
      <c r="H302" s="146" t="str" cm="1">
        <f t="array" aca="1" ref="H302" ca="1">IF(Assessment[[#This Row],[JOB TARGET]]="","Job Target Kosong",IF(COUNT(IF('Data Assessment'!$N302:$Z302-OFFSET(Standar!$B$2,MATCH(Assessment[[#This Row],[JOB TARGET
(EST)]],Standar[NAMA JABATAN],0)-1,1,1,13)&lt;0,1,""))&lt;=3,'9 Grid'!$B$4,IF(COUNT(IF('Data Assessment'!$N302:$Z302-OFFSET(Standar!$B$2,MATCH(Assessment[[#This Row],[JOB TARGET]],Standar[NAMA JABATAN],0)-1,1,1,13)&lt;0,1,""))&gt;=7,'9 Grid'!$B$6,'9 Grid'!$B$5)))</f>
        <v>Job Target Kosong</v>
      </c>
      <c r="I302" s="146" t="str">
        <f>IFERROR(IF(Data_Assessment[[#This Row],[IPP (3 YEARS AVERAGE)]]="","(IPP Belum Ada)",IF(Data_Assessment[[#This Row],[IPP (3 YEARS AVERAGE)]]&lt;2,'9 Grid'!$F$2,IF(Data_Assessment[[#This Row],[IPP (3 YEARS AVERAGE)]]&gt;=4,'9 Grid'!$D$2,'9 Grid'!$E$2))),"")</f>
        <v>Fully Competence Performance</v>
      </c>
      <c r="J302" s="146" t="str">
        <f ca="1">IFERROR(INDEX('9 Grid'!$D$4:$F$6,MATCH('Rekomendasi HAV'!H302,'9 Grid'!$B$4:$B$6,0),MATCH('Rekomendasi HAV'!I302,'9 Grid'!$D$2:$F$2,0)),"")</f>
        <v/>
      </c>
      <c r="K302" s="146" t="str">
        <f>IFERROR(INDEX('9 Grid'!$D$8:$F$8,1,MATCH('Rekomendasi HAV'!I302,'9 Grid'!$D$2:$F$2,0)),"")</f>
        <v>(ST) Within 12 - 18 month</v>
      </c>
      <c r="L302" s="146">
        <f>IF(ISNUMBER(SEARCH("EST",Assessment[[#This Row],[JOB TARGET]])),SUBSTITUTE(Assessment[[#This Row],[JOB TARGET]],"EST","DEV"),Assessment[[#This Row],[JOB TARGET]])</f>
        <v>0</v>
      </c>
      <c r="M302" s="146" t="str" cm="1">
        <f t="array" aca="1" ref="M302" ca="1">IF(Assessment[[#This Row],[JOB TARGET]]="","Job Target Kosong",IF(COUNT(IF('Data Assessment'!$N302:$Z302-OFFSET(Standar!$B$2,MATCH(Assessment[[#This Row],[JOB TARGET
(DEV)]],Standar[NAMA JABATAN],0)-1,1,1,13)&lt;0,1,""))&lt;=3,'9 Grid'!$B$4,IF(COUNT(IF('Data Assessment'!$N302:$Z302-OFFSET(Standar!$B$2,MATCH(Assessment[[#This Row],[JOB TARGET
(DEV)]],Standar[NAMA JABATAN],0)-1,1,1,13)&lt;0,1,""))&gt;=7,'9 Grid'!$B$6,'9 Grid'!$B$5)))</f>
        <v>Job Target Kosong</v>
      </c>
      <c r="N302" s="146" t="str">
        <f>IFERROR(IF(Data_Assessment[[#This Row],[IPP (3 YEARS AVERAGE)]]="","(IPP Belum Ada)",IF(Data_Assessment[[#This Row],[IPP (3 YEARS AVERAGE)]]&lt;2,'9 Grid'!$F$2,IF(Data_Assessment[[#This Row],[IPP (3 YEARS AVERAGE)]]&gt;=4,'9 Grid'!$D$2,'9 Grid'!$E$2))),"")</f>
        <v>Fully Competence Performance</v>
      </c>
      <c r="O302" s="146" t="str">
        <f ca="1">IFERROR(INDEX('9 Grid'!$D$4:$F$6,MATCH('Rekomendasi HAV'!M302,'9 Grid'!$B$4:$B$6,0),MATCH('Rekomendasi HAV'!N302,'9 Grid'!$D$2:$F$2,0)),"")</f>
        <v/>
      </c>
      <c r="P302" s="147" t="str">
        <f>IFERROR(INDEX('9 Grid'!$D$8:$F$8,1,MATCH('Rekomendasi HAV'!N302,'9 Grid'!$D$2:$F$2,0)),"")</f>
        <v>(ST) Within 12 - 18 month</v>
      </c>
    </row>
    <row r="303" spans="1:16" ht="14.25">
      <c r="A303" s="67">
        <v>302</v>
      </c>
      <c r="B303" s="68" t="str">
        <f>INDEX(Data_Assessment[],MATCH('Rekomendasi HAV'!$A303,Data_Assessment[[INDEX]:[INDEX]],0),MATCH('Rekomendasi HAV'!B$1,Data_Assessment[#Headers],0))</f>
        <v>Budiman</v>
      </c>
      <c r="C303" s="68" t="str">
        <f>INDEX(Data_Assessment[],MATCH('Rekomendasi HAV'!$A303,Data_Assessment[[INDEX]:[INDEX]],0),MATCH('Rekomendasi HAV'!C$1,Data_Assessment[#Headers],0))</f>
        <v>Sumatera Selatan</v>
      </c>
      <c r="D303" s="68" t="str">
        <f>INDEX(Data_Assessment[],MATCH('Rekomendasi HAV'!$A303,Data_Assessment[[INDEX]:[INDEX]],0),MATCH('Rekomendasi HAV'!D$1,Data_Assessment[#Headers],0))</f>
        <v>LSIP - RO Palembang</v>
      </c>
      <c r="E303" s="68">
        <f>INDEX(Data_Assessment[],MATCH('Rekomendasi HAV'!$B303,Data_Assessment[[NAME]:[NAME]],0),MATCH('Rekomendasi HAV'!E$1,Data_Assessment[#Headers],0))</f>
        <v>0</v>
      </c>
      <c r="F303" s="68"/>
      <c r="G303" s="68">
        <f>IF(ISNUMBER(SEARCH("DEV",Assessment[[#This Row],[JOB TARGET]])),SUBSTITUTE(Assessment[[#This Row],[JOB TARGET]],"DEV","EST"),Assessment[[#This Row],[JOB TARGET]])</f>
        <v>0</v>
      </c>
      <c r="H303" s="146" t="str" cm="1">
        <f t="array" aca="1" ref="H303" ca="1">IF(Assessment[[#This Row],[JOB TARGET]]="","Job Target Kosong",IF(COUNT(IF('Data Assessment'!$N303:$Z303-OFFSET(Standar!$B$2,MATCH(Assessment[[#This Row],[JOB TARGET
(EST)]],Standar[NAMA JABATAN],0)-1,1,1,13)&lt;0,1,""))&lt;=3,'9 Grid'!$B$4,IF(COUNT(IF('Data Assessment'!$N303:$Z303-OFFSET(Standar!$B$2,MATCH(Assessment[[#This Row],[JOB TARGET]],Standar[NAMA JABATAN],0)-1,1,1,13)&lt;0,1,""))&gt;=7,'9 Grid'!$B$6,'9 Grid'!$B$5)))</f>
        <v>Job Target Kosong</v>
      </c>
      <c r="I303" s="146" t="str">
        <f>IFERROR(IF(Data_Assessment[[#This Row],[IPP (3 YEARS AVERAGE)]]="","(IPP Belum Ada)",IF(Data_Assessment[[#This Row],[IPP (3 YEARS AVERAGE)]]&lt;2,'9 Grid'!$F$2,IF(Data_Assessment[[#This Row],[IPP (3 YEARS AVERAGE)]]&gt;=4,'9 Grid'!$D$2,'9 Grid'!$E$2))),"")</f>
        <v>Exceptional Performance</v>
      </c>
      <c r="J303" s="146" t="str">
        <f ca="1">IFERROR(INDEX('9 Grid'!$D$4:$F$6,MATCH('Rekomendasi HAV'!H303,'9 Grid'!$B$4:$B$6,0),MATCH('Rekomendasi HAV'!I303,'9 Grid'!$D$2:$F$2,0)),"")</f>
        <v/>
      </c>
      <c r="K303" s="146" t="str">
        <f>IFERROR(INDEX('9 Grid'!$D$8:$F$8,1,MATCH('Rekomendasi HAV'!I303,'9 Grid'!$D$2:$F$2,0)),"")</f>
        <v>(I) Immediately</v>
      </c>
      <c r="L303" s="146">
        <f>IF(ISNUMBER(SEARCH("EST",Assessment[[#This Row],[JOB TARGET]])),SUBSTITUTE(Assessment[[#This Row],[JOB TARGET]],"EST","DEV"),Assessment[[#This Row],[JOB TARGET]])</f>
        <v>0</v>
      </c>
      <c r="M303" s="146" t="str" cm="1">
        <f t="array" aca="1" ref="M303" ca="1">IF(Assessment[[#This Row],[JOB TARGET]]="","Job Target Kosong",IF(COUNT(IF('Data Assessment'!$N303:$Z303-OFFSET(Standar!$B$2,MATCH(Assessment[[#This Row],[JOB TARGET
(DEV)]],Standar[NAMA JABATAN],0)-1,1,1,13)&lt;0,1,""))&lt;=3,'9 Grid'!$B$4,IF(COUNT(IF('Data Assessment'!$N303:$Z303-OFFSET(Standar!$B$2,MATCH(Assessment[[#This Row],[JOB TARGET
(DEV)]],Standar[NAMA JABATAN],0)-1,1,1,13)&lt;0,1,""))&gt;=7,'9 Grid'!$B$6,'9 Grid'!$B$5)))</f>
        <v>Job Target Kosong</v>
      </c>
      <c r="N303" s="146" t="str">
        <f>IFERROR(IF(Data_Assessment[[#This Row],[IPP (3 YEARS AVERAGE)]]="","(IPP Belum Ada)",IF(Data_Assessment[[#This Row],[IPP (3 YEARS AVERAGE)]]&lt;2,'9 Grid'!$F$2,IF(Data_Assessment[[#This Row],[IPP (3 YEARS AVERAGE)]]&gt;=4,'9 Grid'!$D$2,'9 Grid'!$E$2))),"")</f>
        <v>Exceptional Performance</v>
      </c>
      <c r="O303" s="146" t="str">
        <f ca="1">IFERROR(INDEX('9 Grid'!$D$4:$F$6,MATCH('Rekomendasi HAV'!M303,'9 Grid'!$B$4:$B$6,0),MATCH('Rekomendasi HAV'!N303,'9 Grid'!$D$2:$F$2,0)),"")</f>
        <v/>
      </c>
      <c r="P303" s="147" t="str">
        <f>IFERROR(INDEX('9 Grid'!$D$8:$F$8,1,MATCH('Rekomendasi HAV'!N303,'9 Grid'!$D$2:$F$2,0)),"")</f>
        <v>(I) Immediately</v>
      </c>
    </row>
    <row r="304" spans="1:16" ht="28.5">
      <c r="A304" s="67">
        <v>303</v>
      </c>
      <c r="B304" s="68" t="str">
        <f>INDEX(Data_Assessment[],MATCH('Rekomendasi HAV'!$A304,Data_Assessment[[INDEX]:[INDEX]],0),MATCH('Rekomendasi HAV'!B$1,Data_Assessment[#Headers],0))</f>
        <v>M. Ihsan An Auwali</v>
      </c>
      <c r="C304" s="68" t="str">
        <f>INDEX(Data_Assessment[],MATCH('Rekomendasi HAV'!$A304,Data_Assessment[[INDEX]:[INDEX]],0),MATCH('Rekomendasi HAV'!C$1,Data_Assessment[#Headers],0))</f>
        <v>Sumatera Selatan</v>
      </c>
      <c r="D304" s="68" t="str">
        <f>INDEX(Data_Assessment[],MATCH('Rekomendasi HAV'!$A304,Data_Assessment[[INDEX]:[INDEX]],0),MATCH('Rekomendasi HAV'!D$1,Data_Assessment[#Headers],0))</f>
        <v>LSIP - RO Palembang</v>
      </c>
      <c r="E304" s="68">
        <f>INDEX(Data_Assessment[],MATCH('Rekomendasi HAV'!$B304,Data_Assessment[[NAME]:[NAME]],0),MATCH('Rekomendasi HAV'!E$1,Data_Assessment[#Headers],0))</f>
        <v>0</v>
      </c>
      <c r="F304" s="68"/>
      <c r="G304" s="68">
        <f>IF(ISNUMBER(SEARCH("DEV",Assessment[[#This Row],[JOB TARGET]])),SUBSTITUTE(Assessment[[#This Row],[JOB TARGET]],"DEV","EST"),Assessment[[#This Row],[JOB TARGET]])</f>
        <v>0</v>
      </c>
      <c r="H304" s="146" t="str" cm="1">
        <f t="array" aca="1" ref="H304" ca="1">IF(Assessment[[#This Row],[JOB TARGET]]="","Job Target Kosong",IF(COUNT(IF('Data Assessment'!$N304:$Z304-OFFSET(Standar!$B$2,MATCH(Assessment[[#This Row],[JOB TARGET
(EST)]],Standar[NAMA JABATAN],0)-1,1,1,13)&lt;0,1,""))&lt;=3,'9 Grid'!$B$4,IF(COUNT(IF('Data Assessment'!$N304:$Z304-OFFSET(Standar!$B$2,MATCH(Assessment[[#This Row],[JOB TARGET]],Standar[NAMA JABATAN],0)-1,1,1,13)&lt;0,1,""))&gt;=7,'9 Grid'!$B$6,'9 Grid'!$B$5)))</f>
        <v>Job Target Kosong</v>
      </c>
      <c r="I304" s="146" t="str">
        <f>IFERROR(IF(Data_Assessment[[#This Row],[IPP (3 YEARS AVERAGE)]]="","(IPP Belum Ada)",IF(Data_Assessment[[#This Row],[IPP (3 YEARS AVERAGE)]]&lt;2,'9 Grid'!$F$2,IF(Data_Assessment[[#This Row],[IPP (3 YEARS AVERAGE)]]&gt;=4,'9 Grid'!$D$2,'9 Grid'!$E$2))),"")</f>
        <v>Fully Competence Performance</v>
      </c>
      <c r="J304" s="146" t="str">
        <f ca="1">IFERROR(INDEX('9 Grid'!$D$4:$F$6,MATCH('Rekomendasi HAV'!H304,'9 Grid'!$B$4:$B$6,0),MATCH('Rekomendasi HAV'!I304,'9 Grid'!$D$2:$F$2,0)),"")</f>
        <v/>
      </c>
      <c r="K304" s="146" t="str">
        <f>IFERROR(INDEX('9 Grid'!$D$8:$F$8,1,MATCH('Rekomendasi HAV'!I304,'9 Grid'!$D$2:$F$2,0)),"")</f>
        <v>(ST) Within 12 - 18 month</v>
      </c>
      <c r="L304" s="146">
        <f>IF(ISNUMBER(SEARCH("EST",Assessment[[#This Row],[JOB TARGET]])),SUBSTITUTE(Assessment[[#This Row],[JOB TARGET]],"EST","DEV"),Assessment[[#This Row],[JOB TARGET]])</f>
        <v>0</v>
      </c>
      <c r="M304" s="146" t="str" cm="1">
        <f t="array" aca="1" ref="M304" ca="1">IF(Assessment[[#This Row],[JOB TARGET]]="","Job Target Kosong",IF(COUNT(IF('Data Assessment'!$N304:$Z304-OFFSET(Standar!$B$2,MATCH(Assessment[[#This Row],[JOB TARGET
(DEV)]],Standar[NAMA JABATAN],0)-1,1,1,13)&lt;0,1,""))&lt;=3,'9 Grid'!$B$4,IF(COUNT(IF('Data Assessment'!$N304:$Z304-OFFSET(Standar!$B$2,MATCH(Assessment[[#This Row],[JOB TARGET
(DEV)]],Standar[NAMA JABATAN],0)-1,1,1,13)&lt;0,1,""))&gt;=7,'9 Grid'!$B$6,'9 Grid'!$B$5)))</f>
        <v>Job Target Kosong</v>
      </c>
      <c r="N304" s="146" t="str">
        <f>IFERROR(IF(Data_Assessment[[#This Row],[IPP (3 YEARS AVERAGE)]]="","(IPP Belum Ada)",IF(Data_Assessment[[#This Row],[IPP (3 YEARS AVERAGE)]]&lt;2,'9 Grid'!$F$2,IF(Data_Assessment[[#This Row],[IPP (3 YEARS AVERAGE)]]&gt;=4,'9 Grid'!$D$2,'9 Grid'!$E$2))),"")</f>
        <v>Fully Competence Performance</v>
      </c>
      <c r="O304" s="146" t="str">
        <f ca="1">IFERROR(INDEX('9 Grid'!$D$4:$F$6,MATCH('Rekomendasi HAV'!M304,'9 Grid'!$B$4:$B$6,0),MATCH('Rekomendasi HAV'!N304,'9 Grid'!$D$2:$F$2,0)),"")</f>
        <v/>
      </c>
      <c r="P304" s="147" t="str">
        <f>IFERROR(INDEX('9 Grid'!$D$8:$F$8,1,MATCH('Rekomendasi HAV'!N304,'9 Grid'!$D$2:$F$2,0)),"")</f>
        <v>(ST) Within 12 - 18 month</v>
      </c>
    </row>
    <row r="305" spans="1:16" ht="14.25">
      <c r="A305" s="67">
        <v>304</v>
      </c>
      <c r="B305" s="68" t="str">
        <f>INDEX(Data_Assessment[],MATCH('Rekomendasi HAV'!$A305,Data_Assessment[[INDEX]:[INDEX]],0),MATCH('Rekomendasi HAV'!B$1,Data_Assessment[#Headers],0))</f>
        <v>Fransis Fabiana Dj.</v>
      </c>
      <c r="C305" s="68" t="str">
        <f>INDEX(Data_Assessment[],MATCH('Rekomendasi HAV'!$A305,Data_Assessment[[INDEX]:[INDEX]],0),MATCH('Rekomendasi HAV'!C$1,Data_Assessment[#Headers],0))</f>
        <v>Jakarta</v>
      </c>
      <c r="D305" s="68" t="str">
        <f>INDEX(Data_Assessment[],MATCH('Rekomendasi HAV'!$A305,Data_Assessment[[INDEX]:[INDEX]],0),MATCH('Rekomendasi HAV'!D$1,Data_Assessment[#Headers],0))</f>
        <v>LSIP - HO Jakarta</v>
      </c>
      <c r="E305" s="68">
        <f>INDEX(Data_Assessment[],MATCH('Rekomendasi HAV'!$B305,Data_Assessment[[NAME]:[NAME]],0),MATCH('Rekomendasi HAV'!E$1,Data_Assessment[#Headers],0))</f>
        <v>0</v>
      </c>
      <c r="F305" s="68"/>
      <c r="G305" s="68">
        <f>IF(ISNUMBER(SEARCH("DEV",Assessment[[#This Row],[JOB TARGET]])),SUBSTITUTE(Assessment[[#This Row],[JOB TARGET]],"DEV","EST"),Assessment[[#This Row],[JOB TARGET]])</f>
        <v>0</v>
      </c>
      <c r="H305" s="146" t="str" cm="1">
        <f t="array" aca="1" ref="H305" ca="1">IF(Assessment[[#This Row],[JOB TARGET]]="","Job Target Kosong",IF(COUNT(IF('Data Assessment'!$N305:$Z305-OFFSET(Standar!$B$2,MATCH(Assessment[[#This Row],[JOB TARGET
(EST)]],Standar[NAMA JABATAN],0)-1,1,1,13)&lt;0,1,""))&lt;=3,'9 Grid'!$B$4,IF(COUNT(IF('Data Assessment'!$N305:$Z305-OFFSET(Standar!$B$2,MATCH(Assessment[[#This Row],[JOB TARGET]],Standar[NAMA JABATAN],0)-1,1,1,13)&lt;0,1,""))&gt;=7,'9 Grid'!$B$6,'9 Grid'!$B$5)))</f>
        <v>Job Target Kosong</v>
      </c>
      <c r="I305" s="146" t="str">
        <f>IFERROR(IF(Data_Assessment[[#This Row],[IPP (3 YEARS AVERAGE)]]="","(IPP Belum Ada)",IF(Data_Assessment[[#This Row],[IPP (3 YEARS AVERAGE)]]&lt;2,'9 Grid'!$F$2,IF(Data_Assessment[[#This Row],[IPP (3 YEARS AVERAGE)]]&gt;=4,'9 Grid'!$D$2,'9 Grid'!$E$2))),"")</f>
        <v>Exceptional Performance</v>
      </c>
      <c r="J305" s="146" t="str">
        <f ca="1">IFERROR(INDEX('9 Grid'!$D$4:$F$6,MATCH('Rekomendasi HAV'!H305,'9 Grid'!$B$4:$B$6,0),MATCH('Rekomendasi HAV'!I305,'9 Grid'!$D$2:$F$2,0)),"")</f>
        <v/>
      </c>
      <c r="K305" s="146" t="str">
        <f>IFERROR(INDEX('9 Grid'!$D$8:$F$8,1,MATCH('Rekomendasi HAV'!I305,'9 Grid'!$D$2:$F$2,0)),"")</f>
        <v>(I) Immediately</v>
      </c>
      <c r="L305" s="146">
        <f>IF(ISNUMBER(SEARCH("EST",Assessment[[#This Row],[JOB TARGET]])),SUBSTITUTE(Assessment[[#This Row],[JOB TARGET]],"EST","DEV"),Assessment[[#This Row],[JOB TARGET]])</f>
        <v>0</v>
      </c>
      <c r="M305" s="146" t="str" cm="1">
        <f t="array" aca="1" ref="M305" ca="1">IF(Assessment[[#This Row],[JOB TARGET]]="","Job Target Kosong",IF(COUNT(IF('Data Assessment'!$N305:$Z305-OFFSET(Standar!$B$2,MATCH(Assessment[[#This Row],[JOB TARGET
(DEV)]],Standar[NAMA JABATAN],0)-1,1,1,13)&lt;0,1,""))&lt;=3,'9 Grid'!$B$4,IF(COUNT(IF('Data Assessment'!$N305:$Z305-OFFSET(Standar!$B$2,MATCH(Assessment[[#This Row],[JOB TARGET
(DEV)]],Standar[NAMA JABATAN],0)-1,1,1,13)&lt;0,1,""))&gt;=7,'9 Grid'!$B$6,'9 Grid'!$B$5)))</f>
        <v>Job Target Kosong</v>
      </c>
      <c r="N305" s="146" t="str">
        <f>IFERROR(IF(Data_Assessment[[#This Row],[IPP (3 YEARS AVERAGE)]]="","(IPP Belum Ada)",IF(Data_Assessment[[#This Row],[IPP (3 YEARS AVERAGE)]]&lt;2,'9 Grid'!$F$2,IF(Data_Assessment[[#This Row],[IPP (3 YEARS AVERAGE)]]&gt;=4,'9 Grid'!$D$2,'9 Grid'!$E$2))),"")</f>
        <v>Exceptional Performance</v>
      </c>
      <c r="O305" s="146" t="str">
        <f ca="1">IFERROR(INDEX('9 Grid'!$D$4:$F$6,MATCH('Rekomendasi HAV'!M305,'9 Grid'!$B$4:$B$6,0),MATCH('Rekomendasi HAV'!N305,'9 Grid'!$D$2:$F$2,0)),"")</f>
        <v/>
      </c>
      <c r="P305" s="147" t="str">
        <f>IFERROR(INDEX('9 Grid'!$D$8:$F$8,1,MATCH('Rekomendasi HAV'!N305,'9 Grid'!$D$2:$F$2,0)),"")</f>
        <v>(I) Immediately</v>
      </c>
    </row>
    <row r="306" spans="1:16" ht="28.5">
      <c r="A306" s="67">
        <v>305</v>
      </c>
      <c r="B306" s="68" t="str">
        <f>INDEX(Data_Assessment[],MATCH('Rekomendasi HAV'!$A306,Data_Assessment[[INDEX]:[INDEX]],0),MATCH('Rekomendasi HAV'!B$1,Data_Assessment[#Headers],0))</f>
        <v>M. Mahadani Lubis</v>
      </c>
      <c r="C306" s="68" t="str">
        <f>INDEX(Data_Assessment[],MATCH('Rekomendasi HAV'!$A306,Data_Assessment[[INDEX]:[INDEX]],0),MATCH('Rekomendasi HAV'!C$1,Data_Assessment[#Headers],0))</f>
        <v>Sumatera Utara</v>
      </c>
      <c r="D306" s="68" t="str">
        <f>INDEX(Data_Assessment[],MATCH('Rekomendasi HAV'!$A306,Data_Assessment[[INDEX]:[INDEX]],0),MATCH('Rekomendasi HAV'!D$1,Data_Assessment[#Headers],0))</f>
        <v>LSIP - BLRS - NS</v>
      </c>
      <c r="E306" s="68">
        <f>INDEX(Data_Assessment[],MATCH('Rekomendasi HAV'!$B306,Data_Assessment[[NAME]:[NAME]],0),MATCH('Rekomendasi HAV'!E$1,Data_Assessment[#Headers],0))</f>
        <v>0</v>
      </c>
      <c r="F306" s="68"/>
      <c r="G306" s="68">
        <f>IF(ISNUMBER(SEARCH("DEV",Assessment[[#This Row],[JOB TARGET]])),SUBSTITUTE(Assessment[[#This Row],[JOB TARGET]],"DEV","EST"),Assessment[[#This Row],[JOB TARGET]])</f>
        <v>0</v>
      </c>
      <c r="H306" s="146" t="str" cm="1">
        <f t="array" aca="1" ref="H306" ca="1">IF(Assessment[[#This Row],[JOB TARGET]]="","Job Target Kosong",IF(COUNT(IF('Data Assessment'!$N306:$Z306-OFFSET(Standar!$B$2,MATCH(Assessment[[#This Row],[JOB TARGET
(EST)]],Standar[NAMA JABATAN],0)-1,1,1,13)&lt;0,1,""))&lt;=3,'9 Grid'!$B$4,IF(COUNT(IF('Data Assessment'!$N306:$Z306-OFFSET(Standar!$B$2,MATCH(Assessment[[#This Row],[JOB TARGET]],Standar[NAMA JABATAN],0)-1,1,1,13)&lt;0,1,""))&gt;=7,'9 Grid'!$B$6,'9 Grid'!$B$5)))</f>
        <v>Job Target Kosong</v>
      </c>
      <c r="I306" s="146" t="str">
        <f>IFERROR(IF(Data_Assessment[[#This Row],[IPP (3 YEARS AVERAGE)]]="","(IPP Belum Ada)",IF(Data_Assessment[[#This Row],[IPP (3 YEARS AVERAGE)]]&lt;2,'9 Grid'!$F$2,IF(Data_Assessment[[#This Row],[IPP (3 YEARS AVERAGE)]]&gt;=4,'9 Grid'!$D$2,'9 Grid'!$E$2))),"")</f>
        <v>Fully Competence Performance</v>
      </c>
      <c r="J306" s="146" t="str">
        <f ca="1">IFERROR(INDEX('9 Grid'!$D$4:$F$6,MATCH('Rekomendasi HAV'!H306,'9 Grid'!$B$4:$B$6,0),MATCH('Rekomendasi HAV'!I306,'9 Grid'!$D$2:$F$2,0)),"")</f>
        <v/>
      </c>
      <c r="K306" s="146" t="str">
        <f>IFERROR(INDEX('9 Grid'!$D$8:$F$8,1,MATCH('Rekomendasi HAV'!I306,'9 Grid'!$D$2:$F$2,0)),"")</f>
        <v>(ST) Within 12 - 18 month</v>
      </c>
      <c r="L306" s="146">
        <f>IF(ISNUMBER(SEARCH("EST",Assessment[[#This Row],[JOB TARGET]])),SUBSTITUTE(Assessment[[#This Row],[JOB TARGET]],"EST","DEV"),Assessment[[#This Row],[JOB TARGET]])</f>
        <v>0</v>
      </c>
      <c r="M306" s="146" t="str" cm="1">
        <f t="array" aca="1" ref="M306" ca="1">IF(Assessment[[#This Row],[JOB TARGET]]="","Job Target Kosong",IF(COUNT(IF('Data Assessment'!$N306:$Z306-OFFSET(Standar!$B$2,MATCH(Assessment[[#This Row],[JOB TARGET
(DEV)]],Standar[NAMA JABATAN],0)-1,1,1,13)&lt;0,1,""))&lt;=3,'9 Grid'!$B$4,IF(COUNT(IF('Data Assessment'!$N306:$Z306-OFFSET(Standar!$B$2,MATCH(Assessment[[#This Row],[JOB TARGET
(DEV)]],Standar[NAMA JABATAN],0)-1,1,1,13)&lt;0,1,""))&gt;=7,'9 Grid'!$B$6,'9 Grid'!$B$5)))</f>
        <v>Job Target Kosong</v>
      </c>
      <c r="N306" s="146" t="str">
        <f>IFERROR(IF(Data_Assessment[[#This Row],[IPP (3 YEARS AVERAGE)]]="","(IPP Belum Ada)",IF(Data_Assessment[[#This Row],[IPP (3 YEARS AVERAGE)]]&lt;2,'9 Grid'!$F$2,IF(Data_Assessment[[#This Row],[IPP (3 YEARS AVERAGE)]]&gt;=4,'9 Grid'!$D$2,'9 Grid'!$E$2))),"")</f>
        <v>Fully Competence Performance</v>
      </c>
      <c r="O306" s="146" t="str">
        <f ca="1">IFERROR(INDEX('9 Grid'!$D$4:$F$6,MATCH('Rekomendasi HAV'!M306,'9 Grid'!$B$4:$B$6,0),MATCH('Rekomendasi HAV'!N306,'9 Grid'!$D$2:$F$2,0)),"")</f>
        <v/>
      </c>
      <c r="P306" s="147" t="str">
        <f>IFERROR(INDEX('9 Grid'!$D$8:$F$8,1,MATCH('Rekomendasi HAV'!N306,'9 Grid'!$D$2:$F$2,0)),"")</f>
        <v>(ST) Within 12 - 18 month</v>
      </c>
    </row>
    <row r="307" spans="1:16" ht="28.5">
      <c r="A307" s="67">
        <v>306</v>
      </c>
      <c r="B307" s="68" t="str">
        <f>INDEX(Data_Assessment[],MATCH('Rekomendasi HAV'!$A307,Data_Assessment[[INDEX]:[INDEX]],0),MATCH('Rekomendasi HAV'!B$1,Data_Assessment[#Headers],0))</f>
        <v>Zarmeini Diana Marga</v>
      </c>
      <c r="C307" s="68" t="str">
        <f>INDEX(Data_Assessment[],MATCH('Rekomendasi HAV'!$A307,Data_Assessment[[INDEX]:[INDEX]],0),MATCH('Rekomendasi HAV'!C$1,Data_Assessment[#Headers],0))</f>
        <v>Jakarta</v>
      </c>
      <c r="D307" s="68" t="str">
        <f>INDEX(Data_Assessment[],MATCH('Rekomendasi HAV'!$A307,Data_Assessment[[INDEX]:[INDEX]],0),MATCH('Rekomendasi HAV'!D$1,Data_Assessment[#Headers],0))</f>
        <v>LSIP - HO Jakarta</v>
      </c>
      <c r="E307" s="68">
        <f>INDEX(Data_Assessment[],MATCH('Rekomendasi HAV'!$B307,Data_Assessment[[NAME]:[NAME]],0),MATCH('Rekomendasi HAV'!E$1,Data_Assessment[#Headers],0))</f>
        <v>0</v>
      </c>
      <c r="F307" s="68"/>
      <c r="G307" s="68">
        <f>IF(ISNUMBER(SEARCH("DEV",Assessment[[#This Row],[JOB TARGET]])),SUBSTITUTE(Assessment[[#This Row],[JOB TARGET]],"DEV","EST"),Assessment[[#This Row],[JOB TARGET]])</f>
        <v>0</v>
      </c>
      <c r="H307" s="146" t="str" cm="1">
        <f t="array" aca="1" ref="H307" ca="1">IF(Assessment[[#This Row],[JOB TARGET]]="","Job Target Kosong",IF(COUNT(IF('Data Assessment'!$N307:$Z307-OFFSET(Standar!$B$2,MATCH(Assessment[[#This Row],[JOB TARGET
(EST)]],Standar[NAMA JABATAN],0)-1,1,1,13)&lt;0,1,""))&lt;=3,'9 Grid'!$B$4,IF(COUNT(IF('Data Assessment'!$N307:$Z307-OFFSET(Standar!$B$2,MATCH(Assessment[[#This Row],[JOB TARGET]],Standar[NAMA JABATAN],0)-1,1,1,13)&lt;0,1,""))&gt;=7,'9 Grid'!$B$6,'9 Grid'!$B$5)))</f>
        <v>Job Target Kosong</v>
      </c>
      <c r="I307" s="146" t="str">
        <f>IFERROR(IF(Data_Assessment[[#This Row],[IPP (3 YEARS AVERAGE)]]="","(IPP Belum Ada)",IF(Data_Assessment[[#This Row],[IPP (3 YEARS AVERAGE)]]&lt;2,'9 Grid'!$F$2,IF(Data_Assessment[[#This Row],[IPP (3 YEARS AVERAGE)]]&gt;=4,'9 Grid'!$D$2,'9 Grid'!$E$2))),"")</f>
        <v>Fully Competence Performance</v>
      </c>
      <c r="J307" s="146" t="str">
        <f ca="1">IFERROR(INDEX('9 Grid'!$D$4:$F$6,MATCH('Rekomendasi HAV'!H307,'9 Grid'!$B$4:$B$6,0),MATCH('Rekomendasi HAV'!I307,'9 Grid'!$D$2:$F$2,0)),"")</f>
        <v/>
      </c>
      <c r="K307" s="146" t="str">
        <f>IFERROR(INDEX('9 Grid'!$D$8:$F$8,1,MATCH('Rekomendasi HAV'!I307,'9 Grid'!$D$2:$F$2,0)),"")</f>
        <v>(ST) Within 12 - 18 month</v>
      </c>
      <c r="L307" s="146">
        <f>IF(ISNUMBER(SEARCH("EST",Assessment[[#This Row],[JOB TARGET]])),SUBSTITUTE(Assessment[[#This Row],[JOB TARGET]],"EST","DEV"),Assessment[[#This Row],[JOB TARGET]])</f>
        <v>0</v>
      </c>
      <c r="M307" s="146" t="str" cm="1">
        <f t="array" aca="1" ref="M307" ca="1">IF(Assessment[[#This Row],[JOB TARGET]]="","Job Target Kosong",IF(COUNT(IF('Data Assessment'!$N307:$Z307-OFFSET(Standar!$B$2,MATCH(Assessment[[#This Row],[JOB TARGET
(DEV)]],Standar[NAMA JABATAN],0)-1,1,1,13)&lt;0,1,""))&lt;=3,'9 Grid'!$B$4,IF(COUNT(IF('Data Assessment'!$N307:$Z307-OFFSET(Standar!$B$2,MATCH(Assessment[[#This Row],[JOB TARGET
(DEV)]],Standar[NAMA JABATAN],0)-1,1,1,13)&lt;0,1,""))&gt;=7,'9 Grid'!$B$6,'9 Grid'!$B$5)))</f>
        <v>Job Target Kosong</v>
      </c>
      <c r="N307" s="146" t="str">
        <f>IFERROR(IF(Data_Assessment[[#This Row],[IPP (3 YEARS AVERAGE)]]="","(IPP Belum Ada)",IF(Data_Assessment[[#This Row],[IPP (3 YEARS AVERAGE)]]&lt;2,'9 Grid'!$F$2,IF(Data_Assessment[[#This Row],[IPP (3 YEARS AVERAGE)]]&gt;=4,'9 Grid'!$D$2,'9 Grid'!$E$2))),"")</f>
        <v>Fully Competence Performance</v>
      </c>
      <c r="O307" s="146" t="str">
        <f ca="1">IFERROR(INDEX('9 Grid'!$D$4:$F$6,MATCH('Rekomendasi HAV'!M307,'9 Grid'!$B$4:$B$6,0),MATCH('Rekomendasi HAV'!N307,'9 Grid'!$D$2:$F$2,0)),"")</f>
        <v/>
      </c>
      <c r="P307" s="147" t="str">
        <f>IFERROR(INDEX('9 Grid'!$D$8:$F$8,1,MATCH('Rekomendasi HAV'!N307,'9 Grid'!$D$2:$F$2,0)),"")</f>
        <v>(ST) Within 12 - 18 month</v>
      </c>
    </row>
    <row r="308" spans="1:16" ht="28.5">
      <c r="A308" s="67">
        <v>307</v>
      </c>
      <c r="B308" s="68" t="str">
        <f>INDEX(Data_Assessment[],MATCH('Rekomendasi HAV'!$A308,Data_Assessment[[INDEX]:[INDEX]],0),MATCH('Rekomendasi HAV'!B$1,Data_Assessment[#Headers],0))</f>
        <v>Muhammad Abror</v>
      </c>
      <c r="C308" s="68" t="str">
        <f>INDEX(Data_Assessment[],MATCH('Rekomendasi HAV'!$A308,Data_Assessment[[INDEX]:[INDEX]],0),MATCH('Rekomendasi HAV'!C$1,Data_Assessment[#Headers],0))</f>
        <v>Sumatera Utara</v>
      </c>
      <c r="D308" s="68" t="str">
        <f>INDEX(Data_Assessment[],MATCH('Rekomendasi HAV'!$A308,Data_Assessment[[INDEX]:[INDEX]],0),MATCH('Rekomendasi HAV'!D$1,Data_Assessment[#Headers],0))</f>
        <v>LSIP - BLRS - NS</v>
      </c>
      <c r="E308" s="68">
        <f>INDEX(Data_Assessment[],MATCH('Rekomendasi HAV'!$B308,Data_Assessment[[NAME]:[NAME]],0),MATCH('Rekomendasi HAV'!E$1,Data_Assessment[#Headers],0))</f>
        <v>0</v>
      </c>
      <c r="F308" s="68"/>
      <c r="G308" s="68">
        <f>IF(ISNUMBER(SEARCH("DEV",Assessment[[#This Row],[JOB TARGET]])),SUBSTITUTE(Assessment[[#This Row],[JOB TARGET]],"DEV","EST"),Assessment[[#This Row],[JOB TARGET]])</f>
        <v>0</v>
      </c>
      <c r="H308" s="146" t="str" cm="1">
        <f t="array" aca="1" ref="H308" ca="1">IF(Assessment[[#This Row],[JOB TARGET]]="","Job Target Kosong",IF(COUNT(IF('Data Assessment'!$N308:$Z308-OFFSET(Standar!$B$2,MATCH(Assessment[[#This Row],[JOB TARGET
(EST)]],Standar[NAMA JABATAN],0)-1,1,1,13)&lt;0,1,""))&lt;=3,'9 Grid'!$B$4,IF(COUNT(IF('Data Assessment'!$N308:$Z308-OFFSET(Standar!$B$2,MATCH(Assessment[[#This Row],[JOB TARGET]],Standar[NAMA JABATAN],0)-1,1,1,13)&lt;0,1,""))&gt;=7,'9 Grid'!$B$6,'9 Grid'!$B$5)))</f>
        <v>Job Target Kosong</v>
      </c>
      <c r="I308" s="146" t="str">
        <f>IFERROR(IF(Data_Assessment[[#This Row],[IPP (3 YEARS AVERAGE)]]="","(IPP Belum Ada)",IF(Data_Assessment[[#This Row],[IPP (3 YEARS AVERAGE)]]&lt;2,'9 Grid'!$F$2,IF(Data_Assessment[[#This Row],[IPP (3 YEARS AVERAGE)]]&gt;=4,'9 Grid'!$D$2,'9 Grid'!$E$2))),"")</f>
        <v>Fully Competence Performance</v>
      </c>
      <c r="J308" s="146" t="str">
        <f ca="1">IFERROR(INDEX('9 Grid'!$D$4:$F$6,MATCH('Rekomendasi HAV'!H308,'9 Grid'!$B$4:$B$6,0),MATCH('Rekomendasi HAV'!I308,'9 Grid'!$D$2:$F$2,0)),"")</f>
        <v/>
      </c>
      <c r="K308" s="146" t="str">
        <f>IFERROR(INDEX('9 Grid'!$D$8:$F$8,1,MATCH('Rekomendasi HAV'!I308,'9 Grid'!$D$2:$F$2,0)),"")</f>
        <v>(ST) Within 12 - 18 month</v>
      </c>
      <c r="L308" s="146">
        <f>IF(ISNUMBER(SEARCH("EST",Assessment[[#This Row],[JOB TARGET]])),SUBSTITUTE(Assessment[[#This Row],[JOB TARGET]],"EST","DEV"),Assessment[[#This Row],[JOB TARGET]])</f>
        <v>0</v>
      </c>
      <c r="M308" s="146" t="str" cm="1">
        <f t="array" aca="1" ref="M308" ca="1">IF(Assessment[[#This Row],[JOB TARGET]]="","Job Target Kosong",IF(COUNT(IF('Data Assessment'!$N308:$Z308-OFFSET(Standar!$B$2,MATCH(Assessment[[#This Row],[JOB TARGET
(DEV)]],Standar[NAMA JABATAN],0)-1,1,1,13)&lt;0,1,""))&lt;=3,'9 Grid'!$B$4,IF(COUNT(IF('Data Assessment'!$N308:$Z308-OFFSET(Standar!$B$2,MATCH(Assessment[[#This Row],[JOB TARGET
(DEV)]],Standar[NAMA JABATAN],0)-1,1,1,13)&lt;0,1,""))&gt;=7,'9 Grid'!$B$6,'9 Grid'!$B$5)))</f>
        <v>Job Target Kosong</v>
      </c>
      <c r="N308" s="146" t="str">
        <f>IFERROR(IF(Data_Assessment[[#This Row],[IPP (3 YEARS AVERAGE)]]="","(IPP Belum Ada)",IF(Data_Assessment[[#This Row],[IPP (3 YEARS AVERAGE)]]&lt;2,'9 Grid'!$F$2,IF(Data_Assessment[[#This Row],[IPP (3 YEARS AVERAGE)]]&gt;=4,'9 Grid'!$D$2,'9 Grid'!$E$2))),"")</f>
        <v>Fully Competence Performance</v>
      </c>
      <c r="O308" s="146" t="str">
        <f ca="1">IFERROR(INDEX('9 Grid'!$D$4:$F$6,MATCH('Rekomendasi HAV'!M308,'9 Grid'!$B$4:$B$6,0),MATCH('Rekomendasi HAV'!N308,'9 Grid'!$D$2:$F$2,0)),"")</f>
        <v/>
      </c>
      <c r="P308" s="147" t="str">
        <f>IFERROR(INDEX('9 Grid'!$D$8:$F$8,1,MATCH('Rekomendasi HAV'!N308,'9 Grid'!$D$2:$F$2,0)),"")</f>
        <v>(ST) Within 12 - 18 month</v>
      </c>
    </row>
    <row r="309" spans="1:16" ht="28.5">
      <c r="A309" s="67">
        <v>308</v>
      </c>
      <c r="B309" s="68" t="str">
        <f>INDEX(Data_Assessment[],MATCH('Rekomendasi HAV'!$A309,Data_Assessment[[INDEX]:[INDEX]],0),MATCH('Rekomendasi HAV'!B$1,Data_Assessment[#Headers],0))</f>
        <v>Agung Tri Setiawan</v>
      </c>
      <c r="C309" s="68" t="str">
        <f>INDEX(Data_Assessment[],MATCH('Rekomendasi HAV'!$A309,Data_Assessment[[INDEX]:[INDEX]],0),MATCH('Rekomendasi HAV'!C$1,Data_Assessment[#Headers],0))</f>
        <v>Jakarta</v>
      </c>
      <c r="D309" s="68" t="str">
        <f>INDEX(Data_Assessment[],MATCH('Rekomendasi HAV'!$A309,Data_Assessment[[INDEX]:[INDEX]],0),MATCH('Rekomendasi HAV'!D$1,Data_Assessment[#Headers],0))</f>
        <v>LSIP - HO Jakarta</v>
      </c>
      <c r="E309" s="68">
        <f>INDEX(Data_Assessment[],MATCH('Rekomendasi HAV'!$B309,Data_Assessment[[NAME]:[NAME]],0),MATCH('Rekomendasi HAV'!E$1,Data_Assessment[#Headers],0))</f>
        <v>0</v>
      </c>
      <c r="F309" s="68"/>
      <c r="G309" s="68">
        <f>IF(ISNUMBER(SEARCH("DEV",Assessment[[#This Row],[JOB TARGET]])),SUBSTITUTE(Assessment[[#This Row],[JOB TARGET]],"DEV","EST"),Assessment[[#This Row],[JOB TARGET]])</f>
        <v>0</v>
      </c>
      <c r="H309" s="146" t="str" cm="1">
        <f t="array" aca="1" ref="H309" ca="1">IF(Assessment[[#This Row],[JOB TARGET]]="","Job Target Kosong",IF(COUNT(IF('Data Assessment'!$N309:$Z309-OFFSET(Standar!$B$2,MATCH(Assessment[[#This Row],[JOB TARGET
(EST)]],Standar[NAMA JABATAN],0)-1,1,1,13)&lt;0,1,""))&lt;=3,'9 Grid'!$B$4,IF(COUNT(IF('Data Assessment'!$N309:$Z309-OFFSET(Standar!$B$2,MATCH(Assessment[[#This Row],[JOB TARGET]],Standar[NAMA JABATAN],0)-1,1,1,13)&lt;0,1,""))&gt;=7,'9 Grid'!$B$6,'9 Grid'!$B$5)))</f>
        <v>Job Target Kosong</v>
      </c>
      <c r="I309" s="146" t="str">
        <f>IFERROR(IF(Data_Assessment[[#This Row],[IPP (3 YEARS AVERAGE)]]="","(IPP Belum Ada)",IF(Data_Assessment[[#This Row],[IPP (3 YEARS AVERAGE)]]&lt;2,'9 Grid'!$F$2,IF(Data_Assessment[[#This Row],[IPP (3 YEARS AVERAGE)]]&gt;=4,'9 Grid'!$D$2,'9 Grid'!$E$2))),"")</f>
        <v>Fully Competence Performance</v>
      </c>
      <c r="J309" s="146" t="str">
        <f ca="1">IFERROR(INDEX('9 Grid'!$D$4:$F$6,MATCH('Rekomendasi HAV'!H309,'9 Grid'!$B$4:$B$6,0),MATCH('Rekomendasi HAV'!I309,'9 Grid'!$D$2:$F$2,0)),"")</f>
        <v/>
      </c>
      <c r="K309" s="146" t="str">
        <f>IFERROR(INDEX('9 Grid'!$D$8:$F$8,1,MATCH('Rekomendasi HAV'!I309,'9 Grid'!$D$2:$F$2,0)),"")</f>
        <v>(ST) Within 12 - 18 month</v>
      </c>
      <c r="L309" s="146">
        <f>IF(ISNUMBER(SEARCH("EST",Assessment[[#This Row],[JOB TARGET]])),SUBSTITUTE(Assessment[[#This Row],[JOB TARGET]],"EST","DEV"),Assessment[[#This Row],[JOB TARGET]])</f>
        <v>0</v>
      </c>
      <c r="M309" s="146" t="str" cm="1">
        <f t="array" aca="1" ref="M309" ca="1">IF(Assessment[[#This Row],[JOB TARGET]]="","Job Target Kosong",IF(COUNT(IF('Data Assessment'!$N309:$Z309-OFFSET(Standar!$B$2,MATCH(Assessment[[#This Row],[JOB TARGET
(DEV)]],Standar[NAMA JABATAN],0)-1,1,1,13)&lt;0,1,""))&lt;=3,'9 Grid'!$B$4,IF(COUNT(IF('Data Assessment'!$N309:$Z309-OFFSET(Standar!$B$2,MATCH(Assessment[[#This Row],[JOB TARGET
(DEV)]],Standar[NAMA JABATAN],0)-1,1,1,13)&lt;0,1,""))&gt;=7,'9 Grid'!$B$6,'9 Grid'!$B$5)))</f>
        <v>Job Target Kosong</v>
      </c>
      <c r="N309" s="146" t="str">
        <f>IFERROR(IF(Data_Assessment[[#This Row],[IPP (3 YEARS AVERAGE)]]="","(IPP Belum Ada)",IF(Data_Assessment[[#This Row],[IPP (3 YEARS AVERAGE)]]&lt;2,'9 Grid'!$F$2,IF(Data_Assessment[[#This Row],[IPP (3 YEARS AVERAGE)]]&gt;=4,'9 Grid'!$D$2,'9 Grid'!$E$2))),"")</f>
        <v>Fully Competence Performance</v>
      </c>
      <c r="O309" s="146" t="str">
        <f ca="1">IFERROR(INDEX('9 Grid'!$D$4:$F$6,MATCH('Rekomendasi HAV'!M309,'9 Grid'!$B$4:$B$6,0),MATCH('Rekomendasi HAV'!N309,'9 Grid'!$D$2:$F$2,0)),"")</f>
        <v/>
      </c>
      <c r="P309" s="147" t="str">
        <f>IFERROR(INDEX('9 Grid'!$D$8:$F$8,1,MATCH('Rekomendasi HAV'!N309,'9 Grid'!$D$2:$F$2,0)),"")</f>
        <v>(ST) Within 12 - 18 month</v>
      </c>
    </row>
    <row r="310" spans="1:16" ht="28.5">
      <c r="A310" s="67">
        <v>309</v>
      </c>
      <c r="B310" s="68" t="str">
        <f>INDEX(Data_Assessment[],MATCH('Rekomendasi HAV'!$A310,Data_Assessment[[INDEX]:[INDEX]],0),MATCH('Rekomendasi HAV'!B$1,Data_Assessment[#Headers],0))</f>
        <v>Emma Suryani Siregar </v>
      </c>
      <c r="C310" s="68" t="str">
        <f>INDEX(Data_Assessment[],MATCH('Rekomendasi HAV'!$A310,Data_Assessment[[INDEX]:[INDEX]],0),MATCH('Rekomendasi HAV'!C$1,Data_Assessment[#Headers],0))</f>
        <v>Sumatera Utara</v>
      </c>
      <c r="D310" s="68" t="str">
        <f>INDEX(Data_Assessment[],MATCH('Rekomendasi HAV'!$A310,Data_Assessment[[INDEX]:[INDEX]],0),MATCH('Rekomendasi HAV'!D$1,Data_Assessment[#Headers],0))</f>
        <v>LSIP - BLRS - NS</v>
      </c>
      <c r="E310" s="68">
        <f>INDEX(Data_Assessment[],MATCH('Rekomendasi HAV'!$B310,Data_Assessment[[NAME]:[NAME]],0),MATCH('Rekomendasi HAV'!E$1,Data_Assessment[#Headers],0))</f>
        <v>0</v>
      </c>
      <c r="F310" s="68"/>
      <c r="G310" s="68">
        <f>IF(ISNUMBER(SEARCH("DEV",Assessment[[#This Row],[JOB TARGET]])),SUBSTITUTE(Assessment[[#This Row],[JOB TARGET]],"DEV","EST"),Assessment[[#This Row],[JOB TARGET]])</f>
        <v>0</v>
      </c>
      <c r="H310" s="146" t="str" cm="1">
        <f t="array" aca="1" ref="H310" ca="1">IF(Assessment[[#This Row],[JOB TARGET]]="","Job Target Kosong",IF(COUNT(IF('Data Assessment'!$N310:$Z310-OFFSET(Standar!$B$2,MATCH(Assessment[[#This Row],[JOB TARGET
(EST)]],Standar[NAMA JABATAN],0)-1,1,1,13)&lt;0,1,""))&lt;=3,'9 Grid'!$B$4,IF(COUNT(IF('Data Assessment'!$N310:$Z310-OFFSET(Standar!$B$2,MATCH(Assessment[[#This Row],[JOB TARGET]],Standar[NAMA JABATAN],0)-1,1,1,13)&lt;0,1,""))&gt;=7,'9 Grid'!$B$6,'9 Grid'!$B$5)))</f>
        <v>Job Target Kosong</v>
      </c>
      <c r="I310" s="146" t="str">
        <f>IFERROR(IF(Data_Assessment[[#This Row],[IPP (3 YEARS AVERAGE)]]="","(IPP Belum Ada)",IF(Data_Assessment[[#This Row],[IPP (3 YEARS AVERAGE)]]&lt;2,'9 Grid'!$F$2,IF(Data_Assessment[[#This Row],[IPP (3 YEARS AVERAGE)]]&gt;=4,'9 Grid'!$D$2,'9 Grid'!$E$2))),"")</f>
        <v>Fully Competence Performance</v>
      </c>
      <c r="J310" s="146" t="str">
        <f ca="1">IFERROR(INDEX('9 Grid'!$D$4:$F$6,MATCH('Rekomendasi HAV'!H310,'9 Grid'!$B$4:$B$6,0),MATCH('Rekomendasi HAV'!I310,'9 Grid'!$D$2:$F$2,0)),"")</f>
        <v/>
      </c>
      <c r="K310" s="146" t="str">
        <f>IFERROR(INDEX('9 Grid'!$D$8:$F$8,1,MATCH('Rekomendasi HAV'!I310,'9 Grid'!$D$2:$F$2,0)),"")</f>
        <v>(ST) Within 12 - 18 month</v>
      </c>
      <c r="L310" s="146">
        <f>IF(ISNUMBER(SEARCH("EST",Assessment[[#This Row],[JOB TARGET]])),SUBSTITUTE(Assessment[[#This Row],[JOB TARGET]],"EST","DEV"),Assessment[[#This Row],[JOB TARGET]])</f>
        <v>0</v>
      </c>
      <c r="M310" s="146" t="str" cm="1">
        <f t="array" aca="1" ref="M310" ca="1">IF(Assessment[[#This Row],[JOB TARGET]]="","Job Target Kosong",IF(COUNT(IF('Data Assessment'!$N310:$Z310-OFFSET(Standar!$B$2,MATCH(Assessment[[#This Row],[JOB TARGET
(DEV)]],Standar[NAMA JABATAN],0)-1,1,1,13)&lt;0,1,""))&lt;=3,'9 Grid'!$B$4,IF(COUNT(IF('Data Assessment'!$N310:$Z310-OFFSET(Standar!$B$2,MATCH(Assessment[[#This Row],[JOB TARGET
(DEV)]],Standar[NAMA JABATAN],0)-1,1,1,13)&lt;0,1,""))&gt;=7,'9 Grid'!$B$6,'9 Grid'!$B$5)))</f>
        <v>Job Target Kosong</v>
      </c>
      <c r="N310" s="146" t="str">
        <f>IFERROR(IF(Data_Assessment[[#This Row],[IPP (3 YEARS AVERAGE)]]="","(IPP Belum Ada)",IF(Data_Assessment[[#This Row],[IPP (3 YEARS AVERAGE)]]&lt;2,'9 Grid'!$F$2,IF(Data_Assessment[[#This Row],[IPP (3 YEARS AVERAGE)]]&gt;=4,'9 Grid'!$D$2,'9 Grid'!$E$2))),"")</f>
        <v>Fully Competence Performance</v>
      </c>
      <c r="O310" s="146" t="str">
        <f ca="1">IFERROR(INDEX('9 Grid'!$D$4:$F$6,MATCH('Rekomendasi HAV'!M310,'9 Grid'!$B$4:$B$6,0),MATCH('Rekomendasi HAV'!N310,'9 Grid'!$D$2:$F$2,0)),"")</f>
        <v/>
      </c>
      <c r="P310" s="147" t="str">
        <f>IFERROR(INDEX('9 Grid'!$D$8:$F$8,1,MATCH('Rekomendasi HAV'!N310,'9 Grid'!$D$2:$F$2,0)),"")</f>
        <v>(ST) Within 12 - 18 month</v>
      </c>
    </row>
    <row r="311" spans="1:16" ht="28.5">
      <c r="A311" s="67">
        <v>310</v>
      </c>
      <c r="B311" s="68" t="str">
        <f>INDEX(Data_Assessment[],MATCH('Rekomendasi HAV'!$A311,Data_Assessment[[INDEX]:[INDEX]],0),MATCH('Rekomendasi HAV'!B$1,Data_Assessment[#Headers],0))</f>
        <v>Amalia Tri Kurnia</v>
      </c>
      <c r="C311" s="68" t="str">
        <f>INDEX(Data_Assessment[],MATCH('Rekomendasi HAV'!$A311,Data_Assessment[[INDEX]:[INDEX]],0),MATCH('Rekomendasi HAV'!C$1,Data_Assessment[#Headers],0))</f>
        <v>Sumatera Utara</v>
      </c>
      <c r="D311" s="68" t="str">
        <f>INDEX(Data_Assessment[],MATCH('Rekomendasi HAV'!$A311,Data_Assessment[[INDEX]:[INDEX]],0),MATCH('Rekomendasi HAV'!D$1,Data_Assessment[#Headers],0))</f>
        <v>LSIP - BLRS - NS</v>
      </c>
      <c r="E311" s="68">
        <f>INDEX(Data_Assessment[],MATCH('Rekomendasi HAV'!$B311,Data_Assessment[[NAME]:[NAME]],0),MATCH('Rekomendasi HAV'!E$1,Data_Assessment[#Headers],0))</f>
        <v>0</v>
      </c>
      <c r="F311" s="68"/>
      <c r="G311" s="68">
        <f>IF(ISNUMBER(SEARCH("DEV",Assessment[[#This Row],[JOB TARGET]])),SUBSTITUTE(Assessment[[#This Row],[JOB TARGET]],"DEV","EST"),Assessment[[#This Row],[JOB TARGET]])</f>
        <v>0</v>
      </c>
      <c r="H311" s="146" t="str" cm="1">
        <f t="array" aca="1" ref="H311" ca="1">IF(Assessment[[#This Row],[JOB TARGET]]="","Job Target Kosong",IF(COUNT(IF('Data Assessment'!$N311:$Z311-OFFSET(Standar!$B$2,MATCH(Assessment[[#This Row],[JOB TARGET
(EST)]],Standar[NAMA JABATAN],0)-1,1,1,13)&lt;0,1,""))&lt;=3,'9 Grid'!$B$4,IF(COUNT(IF('Data Assessment'!$N311:$Z311-OFFSET(Standar!$B$2,MATCH(Assessment[[#This Row],[JOB TARGET]],Standar[NAMA JABATAN],0)-1,1,1,13)&lt;0,1,""))&gt;=7,'9 Grid'!$B$6,'9 Grid'!$B$5)))</f>
        <v>Job Target Kosong</v>
      </c>
      <c r="I311" s="146" t="str">
        <f>IFERROR(IF(Data_Assessment[[#This Row],[IPP (3 YEARS AVERAGE)]]="","(IPP Belum Ada)",IF(Data_Assessment[[#This Row],[IPP (3 YEARS AVERAGE)]]&lt;2,'9 Grid'!$F$2,IF(Data_Assessment[[#This Row],[IPP (3 YEARS AVERAGE)]]&gt;=4,'9 Grid'!$D$2,'9 Grid'!$E$2))),"")</f>
        <v>Fully Competence Performance</v>
      </c>
      <c r="J311" s="146" t="str">
        <f ca="1">IFERROR(INDEX('9 Grid'!$D$4:$F$6,MATCH('Rekomendasi HAV'!H311,'9 Grid'!$B$4:$B$6,0),MATCH('Rekomendasi HAV'!I311,'9 Grid'!$D$2:$F$2,0)),"")</f>
        <v/>
      </c>
      <c r="K311" s="146" t="str">
        <f>IFERROR(INDEX('9 Grid'!$D$8:$F$8,1,MATCH('Rekomendasi HAV'!I311,'9 Grid'!$D$2:$F$2,0)),"")</f>
        <v>(ST) Within 12 - 18 month</v>
      </c>
      <c r="L311" s="146">
        <f>IF(ISNUMBER(SEARCH("EST",Assessment[[#This Row],[JOB TARGET]])),SUBSTITUTE(Assessment[[#This Row],[JOB TARGET]],"EST","DEV"),Assessment[[#This Row],[JOB TARGET]])</f>
        <v>0</v>
      </c>
      <c r="M311" s="146" t="str" cm="1">
        <f t="array" aca="1" ref="M311" ca="1">IF(Assessment[[#This Row],[JOB TARGET]]="","Job Target Kosong",IF(COUNT(IF('Data Assessment'!$N311:$Z311-OFFSET(Standar!$B$2,MATCH(Assessment[[#This Row],[JOB TARGET
(DEV)]],Standar[NAMA JABATAN],0)-1,1,1,13)&lt;0,1,""))&lt;=3,'9 Grid'!$B$4,IF(COUNT(IF('Data Assessment'!$N311:$Z311-OFFSET(Standar!$B$2,MATCH(Assessment[[#This Row],[JOB TARGET
(DEV)]],Standar[NAMA JABATAN],0)-1,1,1,13)&lt;0,1,""))&gt;=7,'9 Grid'!$B$6,'9 Grid'!$B$5)))</f>
        <v>Job Target Kosong</v>
      </c>
      <c r="N311" s="146" t="str">
        <f>IFERROR(IF(Data_Assessment[[#This Row],[IPP (3 YEARS AVERAGE)]]="","(IPP Belum Ada)",IF(Data_Assessment[[#This Row],[IPP (3 YEARS AVERAGE)]]&lt;2,'9 Grid'!$F$2,IF(Data_Assessment[[#This Row],[IPP (3 YEARS AVERAGE)]]&gt;=4,'9 Grid'!$D$2,'9 Grid'!$E$2))),"")</f>
        <v>Fully Competence Performance</v>
      </c>
      <c r="O311" s="146" t="str">
        <f ca="1">IFERROR(INDEX('9 Grid'!$D$4:$F$6,MATCH('Rekomendasi HAV'!M311,'9 Grid'!$B$4:$B$6,0),MATCH('Rekomendasi HAV'!N311,'9 Grid'!$D$2:$F$2,0)),"")</f>
        <v/>
      </c>
      <c r="P311" s="147" t="str">
        <f>IFERROR(INDEX('9 Grid'!$D$8:$F$8,1,MATCH('Rekomendasi HAV'!N311,'9 Grid'!$D$2:$F$2,0)),"")</f>
        <v>(ST) Within 12 - 18 month</v>
      </c>
    </row>
    <row r="312" spans="1:16" ht="28.5">
      <c r="A312" s="67">
        <v>311</v>
      </c>
      <c r="B312" s="68" t="str">
        <f>INDEX(Data_Assessment[],MATCH('Rekomendasi HAV'!$A312,Data_Assessment[[INDEX]:[INDEX]],0),MATCH('Rekomendasi HAV'!B$1,Data_Assessment[#Headers],0))</f>
        <v>Sangkot</v>
      </c>
      <c r="C312" s="68" t="str">
        <f>INDEX(Data_Assessment[],MATCH('Rekomendasi HAV'!$A312,Data_Assessment[[INDEX]:[INDEX]],0),MATCH('Rekomendasi HAV'!C$1,Data_Assessment[#Headers],0))</f>
        <v>Jakarta</v>
      </c>
      <c r="D312" s="68" t="str">
        <f>INDEX(Data_Assessment[],MATCH('Rekomendasi HAV'!$A312,Data_Assessment[[INDEX]:[INDEX]],0),MATCH('Rekomendasi HAV'!D$1,Data_Assessment[#Headers],0))</f>
        <v>LSIP - HO Jakarta</v>
      </c>
      <c r="E312" s="68">
        <f>INDEX(Data_Assessment[],MATCH('Rekomendasi HAV'!$B312,Data_Assessment[[NAME]:[NAME]],0),MATCH('Rekomendasi HAV'!E$1,Data_Assessment[#Headers],0))</f>
        <v>0</v>
      </c>
      <c r="F312" s="68"/>
      <c r="G312" s="68">
        <f>IF(ISNUMBER(SEARCH("DEV",Assessment[[#This Row],[JOB TARGET]])),SUBSTITUTE(Assessment[[#This Row],[JOB TARGET]],"DEV","EST"),Assessment[[#This Row],[JOB TARGET]])</f>
        <v>0</v>
      </c>
      <c r="H312" s="146" t="str" cm="1">
        <f t="array" aca="1" ref="H312" ca="1">IF(Assessment[[#This Row],[JOB TARGET]]="","Job Target Kosong",IF(COUNT(IF('Data Assessment'!$N312:$Z312-OFFSET(Standar!$B$2,MATCH(Assessment[[#This Row],[JOB TARGET
(EST)]],Standar[NAMA JABATAN],0)-1,1,1,13)&lt;0,1,""))&lt;=3,'9 Grid'!$B$4,IF(COUNT(IF('Data Assessment'!$N312:$Z312-OFFSET(Standar!$B$2,MATCH(Assessment[[#This Row],[JOB TARGET]],Standar[NAMA JABATAN],0)-1,1,1,13)&lt;0,1,""))&gt;=7,'9 Grid'!$B$6,'9 Grid'!$B$5)))</f>
        <v>Job Target Kosong</v>
      </c>
      <c r="I312" s="146" t="str">
        <f>IFERROR(IF(Data_Assessment[[#This Row],[IPP (3 YEARS AVERAGE)]]="","(IPP Belum Ada)",IF(Data_Assessment[[#This Row],[IPP (3 YEARS AVERAGE)]]&lt;2,'9 Grid'!$F$2,IF(Data_Assessment[[#This Row],[IPP (3 YEARS AVERAGE)]]&gt;=4,'9 Grid'!$D$2,'9 Grid'!$E$2))),"")</f>
        <v>Contributor</v>
      </c>
      <c r="J312" s="146" t="str">
        <f ca="1">IFERROR(INDEX('9 Grid'!$D$4:$F$6,MATCH('Rekomendasi HAV'!H312,'9 Grid'!$B$4:$B$6,0),MATCH('Rekomendasi HAV'!I312,'9 Grid'!$D$2:$F$2,0)),"")</f>
        <v/>
      </c>
      <c r="K312" s="146" t="str">
        <f>IFERROR(INDEX('9 Grid'!$D$8:$F$8,1,MATCH('Rekomendasi HAV'!I312,'9 Grid'!$D$2:$F$2,0)),"")</f>
        <v>(LT) More 2 - 3 year</v>
      </c>
      <c r="L312" s="146">
        <f>IF(ISNUMBER(SEARCH("EST",Assessment[[#This Row],[JOB TARGET]])),SUBSTITUTE(Assessment[[#This Row],[JOB TARGET]],"EST","DEV"),Assessment[[#This Row],[JOB TARGET]])</f>
        <v>0</v>
      </c>
      <c r="M312" s="146" t="str" cm="1">
        <f t="array" aca="1" ref="M312" ca="1">IF(Assessment[[#This Row],[JOB TARGET]]="","Job Target Kosong",IF(COUNT(IF('Data Assessment'!$N312:$Z312-OFFSET(Standar!$B$2,MATCH(Assessment[[#This Row],[JOB TARGET
(DEV)]],Standar[NAMA JABATAN],0)-1,1,1,13)&lt;0,1,""))&lt;=3,'9 Grid'!$B$4,IF(COUNT(IF('Data Assessment'!$N312:$Z312-OFFSET(Standar!$B$2,MATCH(Assessment[[#This Row],[JOB TARGET
(DEV)]],Standar[NAMA JABATAN],0)-1,1,1,13)&lt;0,1,""))&gt;=7,'9 Grid'!$B$6,'9 Grid'!$B$5)))</f>
        <v>Job Target Kosong</v>
      </c>
      <c r="N312" s="146" t="str">
        <f>IFERROR(IF(Data_Assessment[[#This Row],[IPP (3 YEARS AVERAGE)]]="","(IPP Belum Ada)",IF(Data_Assessment[[#This Row],[IPP (3 YEARS AVERAGE)]]&lt;2,'9 Grid'!$F$2,IF(Data_Assessment[[#This Row],[IPP (3 YEARS AVERAGE)]]&gt;=4,'9 Grid'!$D$2,'9 Grid'!$E$2))),"")</f>
        <v>Contributor</v>
      </c>
      <c r="O312" s="146" t="str">
        <f ca="1">IFERROR(INDEX('9 Grid'!$D$4:$F$6,MATCH('Rekomendasi HAV'!M312,'9 Grid'!$B$4:$B$6,0),MATCH('Rekomendasi HAV'!N312,'9 Grid'!$D$2:$F$2,0)),"")</f>
        <v/>
      </c>
      <c r="P312" s="147" t="str">
        <f>IFERROR(INDEX('9 Grid'!$D$8:$F$8,1,MATCH('Rekomendasi HAV'!N312,'9 Grid'!$D$2:$F$2,0)),"")</f>
        <v>(LT) More 2 - 3 year</v>
      </c>
    </row>
    <row r="313" spans="1:16" ht="28.5">
      <c r="A313" s="67">
        <v>312</v>
      </c>
      <c r="B313" s="68" t="str">
        <f>INDEX(Data_Assessment[],MATCH('Rekomendasi HAV'!$A313,Data_Assessment[[INDEX]:[INDEX]],0),MATCH('Rekomendasi HAV'!B$1,Data_Assessment[#Headers],0))</f>
        <v>Hafni Rahmadani</v>
      </c>
      <c r="C313" s="68" t="str">
        <f>INDEX(Data_Assessment[],MATCH('Rekomendasi HAV'!$A313,Data_Assessment[[INDEX]:[INDEX]],0),MATCH('Rekomendasi HAV'!C$1,Data_Assessment[#Headers],0))</f>
        <v>Sumatera Utara</v>
      </c>
      <c r="D313" s="68" t="str">
        <f>INDEX(Data_Assessment[],MATCH('Rekomendasi HAV'!$A313,Data_Assessment[[INDEX]:[INDEX]],0),MATCH('Rekomendasi HAV'!D$1,Data_Assessment[#Headers],0))</f>
        <v>LSIP - BLRS - NS</v>
      </c>
      <c r="E313" s="68">
        <f>INDEX(Data_Assessment[],MATCH('Rekomendasi HAV'!$B313,Data_Assessment[[NAME]:[NAME]],0),MATCH('Rekomendasi HAV'!E$1,Data_Assessment[#Headers],0))</f>
        <v>0</v>
      </c>
      <c r="F313" s="68"/>
      <c r="G313" s="68">
        <f>IF(ISNUMBER(SEARCH("DEV",Assessment[[#This Row],[JOB TARGET]])),SUBSTITUTE(Assessment[[#This Row],[JOB TARGET]],"DEV","EST"),Assessment[[#This Row],[JOB TARGET]])</f>
        <v>0</v>
      </c>
      <c r="H313" s="146" t="str" cm="1">
        <f t="array" aca="1" ref="H313" ca="1">IF(Assessment[[#This Row],[JOB TARGET]]="","Job Target Kosong",IF(COUNT(IF('Data Assessment'!$N313:$Z313-OFFSET(Standar!$B$2,MATCH(Assessment[[#This Row],[JOB TARGET
(EST)]],Standar[NAMA JABATAN],0)-1,1,1,13)&lt;0,1,""))&lt;=3,'9 Grid'!$B$4,IF(COUNT(IF('Data Assessment'!$N313:$Z313-OFFSET(Standar!$B$2,MATCH(Assessment[[#This Row],[JOB TARGET]],Standar[NAMA JABATAN],0)-1,1,1,13)&lt;0,1,""))&gt;=7,'9 Grid'!$B$6,'9 Grid'!$B$5)))</f>
        <v>Job Target Kosong</v>
      </c>
      <c r="I313" s="146" t="str">
        <f>IFERROR(IF(Data_Assessment[[#This Row],[IPP (3 YEARS AVERAGE)]]="","(IPP Belum Ada)",IF(Data_Assessment[[#This Row],[IPP (3 YEARS AVERAGE)]]&lt;2,'9 Grid'!$F$2,IF(Data_Assessment[[#This Row],[IPP (3 YEARS AVERAGE)]]&gt;=4,'9 Grid'!$D$2,'9 Grid'!$E$2))),"")</f>
        <v>Fully Competence Performance</v>
      </c>
      <c r="J313" s="146" t="str">
        <f ca="1">IFERROR(INDEX('9 Grid'!$D$4:$F$6,MATCH('Rekomendasi HAV'!H313,'9 Grid'!$B$4:$B$6,0),MATCH('Rekomendasi HAV'!I313,'9 Grid'!$D$2:$F$2,0)),"")</f>
        <v/>
      </c>
      <c r="K313" s="146" t="str">
        <f>IFERROR(INDEX('9 Grid'!$D$8:$F$8,1,MATCH('Rekomendasi HAV'!I313,'9 Grid'!$D$2:$F$2,0)),"")</f>
        <v>(ST) Within 12 - 18 month</v>
      </c>
      <c r="L313" s="146">
        <f>IF(ISNUMBER(SEARCH("EST",Assessment[[#This Row],[JOB TARGET]])),SUBSTITUTE(Assessment[[#This Row],[JOB TARGET]],"EST","DEV"),Assessment[[#This Row],[JOB TARGET]])</f>
        <v>0</v>
      </c>
      <c r="M313" s="146" t="str" cm="1">
        <f t="array" aca="1" ref="M313" ca="1">IF(Assessment[[#This Row],[JOB TARGET]]="","Job Target Kosong",IF(COUNT(IF('Data Assessment'!$N313:$Z313-OFFSET(Standar!$B$2,MATCH(Assessment[[#This Row],[JOB TARGET
(DEV)]],Standar[NAMA JABATAN],0)-1,1,1,13)&lt;0,1,""))&lt;=3,'9 Grid'!$B$4,IF(COUNT(IF('Data Assessment'!$N313:$Z313-OFFSET(Standar!$B$2,MATCH(Assessment[[#This Row],[JOB TARGET
(DEV)]],Standar[NAMA JABATAN],0)-1,1,1,13)&lt;0,1,""))&gt;=7,'9 Grid'!$B$6,'9 Grid'!$B$5)))</f>
        <v>Job Target Kosong</v>
      </c>
      <c r="N313" s="146" t="str">
        <f>IFERROR(IF(Data_Assessment[[#This Row],[IPP (3 YEARS AVERAGE)]]="","(IPP Belum Ada)",IF(Data_Assessment[[#This Row],[IPP (3 YEARS AVERAGE)]]&lt;2,'9 Grid'!$F$2,IF(Data_Assessment[[#This Row],[IPP (3 YEARS AVERAGE)]]&gt;=4,'9 Grid'!$D$2,'9 Grid'!$E$2))),"")</f>
        <v>Fully Competence Performance</v>
      </c>
      <c r="O313" s="146" t="str">
        <f ca="1">IFERROR(INDEX('9 Grid'!$D$4:$F$6,MATCH('Rekomendasi HAV'!M313,'9 Grid'!$B$4:$B$6,0),MATCH('Rekomendasi HAV'!N313,'9 Grid'!$D$2:$F$2,0)),"")</f>
        <v/>
      </c>
      <c r="P313" s="147" t="str">
        <f>IFERROR(INDEX('9 Grid'!$D$8:$F$8,1,MATCH('Rekomendasi HAV'!N313,'9 Grid'!$D$2:$F$2,0)),"")</f>
        <v>(ST) Within 12 - 18 month</v>
      </c>
    </row>
    <row r="314" spans="1:16" ht="28.5">
      <c r="A314" s="67">
        <v>313</v>
      </c>
      <c r="B314" s="68" t="str">
        <f>INDEX(Data_Assessment[],MATCH('Rekomendasi HAV'!$A314,Data_Assessment[[INDEX]:[INDEX]],0),MATCH('Rekomendasi HAV'!B$1,Data_Assessment[#Headers],0))</f>
        <v>Suhermanto</v>
      </c>
      <c r="C314" s="68" t="str">
        <f>INDEX(Data_Assessment[],MATCH('Rekomendasi HAV'!$A314,Data_Assessment[[INDEX]:[INDEX]],0),MATCH('Rekomendasi HAV'!C$1,Data_Assessment[#Headers],0))</f>
        <v>Sumatera Utara</v>
      </c>
      <c r="D314" s="68" t="str">
        <f>INDEX(Data_Assessment[],MATCH('Rekomendasi HAV'!$A314,Data_Assessment[[INDEX]:[INDEX]],0),MATCH('Rekomendasi HAV'!D$1,Data_Assessment[#Headers],0))</f>
        <v>LSIP - BLRS - NS</v>
      </c>
      <c r="E314" s="68">
        <f>INDEX(Data_Assessment[],MATCH('Rekomendasi HAV'!$B314,Data_Assessment[[NAME]:[NAME]],0),MATCH('Rekomendasi HAV'!E$1,Data_Assessment[#Headers],0))</f>
        <v>0</v>
      </c>
      <c r="F314" s="68"/>
      <c r="G314" s="68">
        <f>IF(ISNUMBER(SEARCH("DEV",Assessment[[#This Row],[JOB TARGET]])),SUBSTITUTE(Assessment[[#This Row],[JOB TARGET]],"DEV","EST"),Assessment[[#This Row],[JOB TARGET]])</f>
        <v>0</v>
      </c>
      <c r="H314" s="146" t="str" cm="1">
        <f t="array" aca="1" ref="H314" ca="1">IF(Assessment[[#This Row],[JOB TARGET]]="","Job Target Kosong",IF(COUNT(IF('Data Assessment'!$N314:$Z314-OFFSET(Standar!$B$2,MATCH(Assessment[[#This Row],[JOB TARGET
(EST)]],Standar[NAMA JABATAN],0)-1,1,1,13)&lt;0,1,""))&lt;=3,'9 Grid'!$B$4,IF(COUNT(IF('Data Assessment'!$N314:$Z314-OFFSET(Standar!$B$2,MATCH(Assessment[[#This Row],[JOB TARGET]],Standar[NAMA JABATAN],0)-1,1,1,13)&lt;0,1,""))&gt;=7,'9 Grid'!$B$6,'9 Grid'!$B$5)))</f>
        <v>Job Target Kosong</v>
      </c>
      <c r="I314" s="146" t="str">
        <f>IFERROR(IF(Data_Assessment[[#This Row],[IPP (3 YEARS AVERAGE)]]="","(IPP Belum Ada)",IF(Data_Assessment[[#This Row],[IPP (3 YEARS AVERAGE)]]&lt;2,'9 Grid'!$F$2,IF(Data_Assessment[[#This Row],[IPP (3 YEARS AVERAGE)]]&gt;=4,'9 Grid'!$D$2,'9 Grid'!$E$2))),"")</f>
        <v>Fully Competence Performance</v>
      </c>
      <c r="J314" s="146" t="str">
        <f ca="1">IFERROR(INDEX('9 Grid'!$D$4:$F$6,MATCH('Rekomendasi HAV'!H314,'9 Grid'!$B$4:$B$6,0),MATCH('Rekomendasi HAV'!I314,'9 Grid'!$D$2:$F$2,0)),"")</f>
        <v/>
      </c>
      <c r="K314" s="146" t="str">
        <f>IFERROR(INDEX('9 Grid'!$D$8:$F$8,1,MATCH('Rekomendasi HAV'!I314,'9 Grid'!$D$2:$F$2,0)),"")</f>
        <v>(ST) Within 12 - 18 month</v>
      </c>
      <c r="L314" s="146">
        <f>IF(ISNUMBER(SEARCH("EST",Assessment[[#This Row],[JOB TARGET]])),SUBSTITUTE(Assessment[[#This Row],[JOB TARGET]],"EST","DEV"),Assessment[[#This Row],[JOB TARGET]])</f>
        <v>0</v>
      </c>
      <c r="M314" s="146" t="str" cm="1">
        <f t="array" aca="1" ref="M314" ca="1">IF(Assessment[[#This Row],[JOB TARGET]]="","Job Target Kosong",IF(COUNT(IF('Data Assessment'!$N314:$Z314-OFFSET(Standar!$B$2,MATCH(Assessment[[#This Row],[JOB TARGET
(DEV)]],Standar[NAMA JABATAN],0)-1,1,1,13)&lt;0,1,""))&lt;=3,'9 Grid'!$B$4,IF(COUNT(IF('Data Assessment'!$N314:$Z314-OFFSET(Standar!$B$2,MATCH(Assessment[[#This Row],[JOB TARGET
(DEV)]],Standar[NAMA JABATAN],0)-1,1,1,13)&lt;0,1,""))&gt;=7,'9 Grid'!$B$6,'9 Grid'!$B$5)))</f>
        <v>Job Target Kosong</v>
      </c>
      <c r="N314" s="146" t="str">
        <f>IFERROR(IF(Data_Assessment[[#This Row],[IPP (3 YEARS AVERAGE)]]="","(IPP Belum Ada)",IF(Data_Assessment[[#This Row],[IPP (3 YEARS AVERAGE)]]&lt;2,'9 Grid'!$F$2,IF(Data_Assessment[[#This Row],[IPP (3 YEARS AVERAGE)]]&gt;=4,'9 Grid'!$D$2,'9 Grid'!$E$2))),"")</f>
        <v>Fully Competence Performance</v>
      </c>
      <c r="O314" s="146" t="str">
        <f ca="1">IFERROR(INDEX('9 Grid'!$D$4:$F$6,MATCH('Rekomendasi HAV'!M314,'9 Grid'!$B$4:$B$6,0),MATCH('Rekomendasi HAV'!N314,'9 Grid'!$D$2:$F$2,0)),"")</f>
        <v/>
      </c>
      <c r="P314" s="147" t="str">
        <f>IFERROR(INDEX('9 Grid'!$D$8:$F$8,1,MATCH('Rekomendasi HAV'!N314,'9 Grid'!$D$2:$F$2,0)),"")</f>
        <v>(ST) Within 12 - 18 month</v>
      </c>
    </row>
    <row r="315" spans="1:16" ht="28.5">
      <c r="A315" s="67">
        <v>314</v>
      </c>
      <c r="B315" s="68" t="str">
        <f>INDEX(Data_Assessment[],MATCH('Rekomendasi HAV'!$A315,Data_Assessment[[INDEX]:[INDEX]],0),MATCH('Rekomendasi HAV'!B$1,Data_Assessment[#Headers],0))</f>
        <v>Edi Kurnawan</v>
      </c>
      <c r="C315" s="68" t="str">
        <f>INDEX(Data_Assessment[],MATCH('Rekomendasi HAV'!$A315,Data_Assessment[[INDEX]:[INDEX]],0),MATCH('Rekomendasi HAV'!C$1,Data_Assessment[#Headers],0))</f>
        <v>Sumatera Selatan</v>
      </c>
      <c r="D315" s="68" t="str">
        <f>INDEX(Data_Assessment[],MATCH('Rekomendasi HAV'!$A315,Data_Assessment[[INDEX]:[INDEX]],0),MATCH('Rekomendasi HAV'!D$1,Data_Assessment[#Headers],0))</f>
        <v>LSIP - BLRS - SS</v>
      </c>
      <c r="E315" s="68">
        <f>INDEX(Data_Assessment[],MATCH('Rekomendasi HAV'!$B315,Data_Assessment[[NAME]:[NAME]],0),MATCH('Rekomendasi HAV'!E$1,Data_Assessment[#Headers],0))</f>
        <v>0</v>
      </c>
      <c r="F315" s="68"/>
      <c r="G315" s="68">
        <f>IF(ISNUMBER(SEARCH("DEV",Assessment[[#This Row],[JOB TARGET]])),SUBSTITUTE(Assessment[[#This Row],[JOB TARGET]],"DEV","EST"),Assessment[[#This Row],[JOB TARGET]])</f>
        <v>0</v>
      </c>
      <c r="H315" s="146" t="str" cm="1">
        <f t="array" aca="1" ref="H315" ca="1">IF(Assessment[[#This Row],[JOB TARGET]]="","Job Target Kosong",IF(COUNT(IF('Data Assessment'!$N315:$Z315-OFFSET(Standar!$B$2,MATCH(Assessment[[#This Row],[JOB TARGET
(EST)]],Standar[NAMA JABATAN],0)-1,1,1,13)&lt;0,1,""))&lt;=3,'9 Grid'!$B$4,IF(COUNT(IF('Data Assessment'!$N315:$Z315-OFFSET(Standar!$B$2,MATCH(Assessment[[#This Row],[JOB TARGET]],Standar[NAMA JABATAN],0)-1,1,1,13)&lt;0,1,""))&gt;=7,'9 Grid'!$B$6,'9 Grid'!$B$5)))</f>
        <v>Job Target Kosong</v>
      </c>
      <c r="I315" s="146" t="str">
        <f>IFERROR(IF(Data_Assessment[[#This Row],[IPP (3 YEARS AVERAGE)]]="","(IPP Belum Ada)",IF(Data_Assessment[[#This Row],[IPP (3 YEARS AVERAGE)]]&lt;2,'9 Grid'!$F$2,IF(Data_Assessment[[#This Row],[IPP (3 YEARS AVERAGE)]]&gt;=4,'9 Grid'!$D$2,'9 Grid'!$E$2))),"")</f>
        <v>Fully Competence Performance</v>
      </c>
      <c r="J315" s="146" t="str">
        <f ca="1">IFERROR(INDEX('9 Grid'!$D$4:$F$6,MATCH('Rekomendasi HAV'!H315,'9 Grid'!$B$4:$B$6,0),MATCH('Rekomendasi HAV'!I315,'9 Grid'!$D$2:$F$2,0)),"")</f>
        <v/>
      </c>
      <c r="K315" s="146" t="str">
        <f>IFERROR(INDEX('9 Grid'!$D$8:$F$8,1,MATCH('Rekomendasi HAV'!I315,'9 Grid'!$D$2:$F$2,0)),"")</f>
        <v>(ST) Within 12 - 18 month</v>
      </c>
      <c r="L315" s="146">
        <f>IF(ISNUMBER(SEARCH("EST",Assessment[[#This Row],[JOB TARGET]])),SUBSTITUTE(Assessment[[#This Row],[JOB TARGET]],"EST","DEV"),Assessment[[#This Row],[JOB TARGET]])</f>
        <v>0</v>
      </c>
      <c r="M315" s="146" t="str" cm="1">
        <f t="array" aca="1" ref="M315" ca="1">IF(Assessment[[#This Row],[JOB TARGET]]="","Job Target Kosong",IF(COUNT(IF('Data Assessment'!$N315:$Z315-OFFSET(Standar!$B$2,MATCH(Assessment[[#This Row],[JOB TARGET
(DEV)]],Standar[NAMA JABATAN],0)-1,1,1,13)&lt;0,1,""))&lt;=3,'9 Grid'!$B$4,IF(COUNT(IF('Data Assessment'!$N315:$Z315-OFFSET(Standar!$B$2,MATCH(Assessment[[#This Row],[JOB TARGET
(DEV)]],Standar[NAMA JABATAN],0)-1,1,1,13)&lt;0,1,""))&gt;=7,'9 Grid'!$B$6,'9 Grid'!$B$5)))</f>
        <v>Job Target Kosong</v>
      </c>
      <c r="N315" s="146" t="str">
        <f>IFERROR(IF(Data_Assessment[[#This Row],[IPP (3 YEARS AVERAGE)]]="","(IPP Belum Ada)",IF(Data_Assessment[[#This Row],[IPP (3 YEARS AVERAGE)]]&lt;2,'9 Grid'!$F$2,IF(Data_Assessment[[#This Row],[IPP (3 YEARS AVERAGE)]]&gt;=4,'9 Grid'!$D$2,'9 Grid'!$E$2))),"")</f>
        <v>Fully Competence Performance</v>
      </c>
      <c r="O315" s="146" t="str">
        <f ca="1">IFERROR(INDEX('9 Grid'!$D$4:$F$6,MATCH('Rekomendasi HAV'!M315,'9 Grid'!$B$4:$B$6,0),MATCH('Rekomendasi HAV'!N315,'9 Grid'!$D$2:$F$2,0)),"")</f>
        <v/>
      </c>
      <c r="P315" s="147" t="str">
        <f>IFERROR(INDEX('9 Grid'!$D$8:$F$8,1,MATCH('Rekomendasi HAV'!N315,'9 Grid'!$D$2:$F$2,0)),"")</f>
        <v>(ST) Within 12 - 18 month</v>
      </c>
    </row>
    <row r="316" spans="1:16" ht="28.5">
      <c r="A316" s="67">
        <v>315</v>
      </c>
      <c r="B316" s="68" t="str">
        <f>INDEX(Data_Assessment[],MATCH('Rekomendasi HAV'!$A316,Data_Assessment[[INDEX]:[INDEX]],0),MATCH('Rekomendasi HAV'!B$1,Data_Assessment[#Headers],0))</f>
        <v>Lise Lisdiyana, Dra.</v>
      </c>
      <c r="C316" s="68" t="str">
        <f>INDEX(Data_Assessment[],MATCH('Rekomendasi HAV'!$A316,Data_Assessment[[INDEX]:[INDEX]],0),MATCH('Rekomendasi HAV'!C$1,Data_Assessment[#Headers],0))</f>
        <v>Jakarta</v>
      </c>
      <c r="D316" s="68" t="str">
        <f>INDEX(Data_Assessment[],MATCH('Rekomendasi HAV'!$A316,Data_Assessment[[INDEX]:[INDEX]],0),MATCH('Rekomendasi HAV'!D$1,Data_Assessment[#Headers],0))</f>
        <v>LSIP - HO Jakarta</v>
      </c>
      <c r="E316" s="68">
        <f>INDEX(Data_Assessment[],MATCH('Rekomendasi HAV'!$B316,Data_Assessment[[NAME]:[NAME]],0),MATCH('Rekomendasi HAV'!E$1,Data_Assessment[#Headers],0))</f>
        <v>0</v>
      </c>
      <c r="F316" s="68"/>
      <c r="G316" s="68">
        <f>IF(ISNUMBER(SEARCH("DEV",Assessment[[#This Row],[JOB TARGET]])),SUBSTITUTE(Assessment[[#This Row],[JOB TARGET]],"DEV","EST"),Assessment[[#This Row],[JOB TARGET]])</f>
        <v>0</v>
      </c>
      <c r="H316" s="146" t="str" cm="1">
        <f t="array" aca="1" ref="H316" ca="1">IF(Assessment[[#This Row],[JOB TARGET]]="","Job Target Kosong",IF(COUNT(IF('Data Assessment'!$N316:$Z316-OFFSET(Standar!$B$2,MATCH(Assessment[[#This Row],[JOB TARGET
(EST)]],Standar[NAMA JABATAN],0)-1,1,1,13)&lt;0,1,""))&lt;=3,'9 Grid'!$B$4,IF(COUNT(IF('Data Assessment'!$N316:$Z316-OFFSET(Standar!$B$2,MATCH(Assessment[[#This Row],[JOB TARGET]],Standar[NAMA JABATAN],0)-1,1,1,13)&lt;0,1,""))&gt;=7,'9 Grid'!$B$6,'9 Grid'!$B$5)))</f>
        <v>Job Target Kosong</v>
      </c>
      <c r="I316" s="146" t="str">
        <f>IFERROR(IF(Data_Assessment[[#This Row],[IPP (3 YEARS AVERAGE)]]="","(IPP Belum Ada)",IF(Data_Assessment[[#This Row],[IPP (3 YEARS AVERAGE)]]&lt;2,'9 Grid'!$F$2,IF(Data_Assessment[[#This Row],[IPP (3 YEARS AVERAGE)]]&gt;=4,'9 Grid'!$D$2,'9 Grid'!$E$2))),"")</f>
        <v>Fully Competence Performance</v>
      </c>
      <c r="J316" s="146" t="str">
        <f ca="1">IFERROR(INDEX('9 Grid'!$D$4:$F$6,MATCH('Rekomendasi HAV'!H316,'9 Grid'!$B$4:$B$6,0),MATCH('Rekomendasi HAV'!I316,'9 Grid'!$D$2:$F$2,0)),"")</f>
        <v/>
      </c>
      <c r="K316" s="146" t="str">
        <f>IFERROR(INDEX('9 Grid'!$D$8:$F$8,1,MATCH('Rekomendasi HAV'!I316,'9 Grid'!$D$2:$F$2,0)),"")</f>
        <v>(ST) Within 12 - 18 month</v>
      </c>
      <c r="L316" s="146">
        <f>IF(ISNUMBER(SEARCH("EST",Assessment[[#This Row],[JOB TARGET]])),SUBSTITUTE(Assessment[[#This Row],[JOB TARGET]],"EST","DEV"),Assessment[[#This Row],[JOB TARGET]])</f>
        <v>0</v>
      </c>
      <c r="M316" s="146" t="str" cm="1">
        <f t="array" aca="1" ref="M316" ca="1">IF(Assessment[[#This Row],[JOB TARGET]]="","Job Target Kosong",IF(COUNT(IF('Data Assessment'!$N316:$Z316-OFFSET(Standar!$B$2,MATCH(Assessment[[#This Row],[JOB TARGET
(DEV)]],Standar[NAMA JABATAN],0)-1,1,1,13)&lt;0,1,""))&lt;=3,'9 Grid'!$B$4,IF(COUNT(IF('Data Assessment'!$N316:$Z316-OFFSET(Standar!$B$2,MATCH(Assessment[[#This Row],[JOB TARGET
(DEV)]],Standar[NAMA JABATAN],0)-1,1,1,13)&lt;0,1,""))&gt;=7,'9 Grid'!$B$6,'9 Grid'!$B$5)))</f>
        <v>Job Target Kosong</v>
      </c>
      <c r="N316" s="146" t="str">
        <f>IFERROR(IF(Data_Assessment[[#This Row],[IPP (3 YEARS AVERAGE)]]="","(IPP Belum Ada)",IF(Data_Assessment[[#This Row],[IPP (3 YEARS AVERAGE)]]&lt;2,'9 Grid'!$F$2,IF(Data_Assessment[[#This Row],[IPP (3 YEARS AVERAGE)]]&gt;=4,'9 Grid'!$D$2,'9 Grid'!$E$2))),"")</f>
        <v>Fully Competence Performance</v>
      </c>
      <c r="O316" s="146" t="str">
        <f ca="1">IFERROR(INDEX('9 Grid'!$D$4:$F$6,MATCH('Rekomendasi HAV'!M316,'9 Grid'!$B$4:$B$6,0),MATCH('Rekomendasi HAV'!N316,'9 Grid'!$D$2:$F$2,0)),"")</f>
        <v/>
      </c>
      <c r="P316" s="147" t="str">
        <f>IFERROR(INDEX('9 Grid'!$D$8:$F$8,1,MATCH('Rekomendasi HAV'!N316,'9 Grid'!$D$2:$F$2,0)),"")</f>
        <v>(ST) Within 12 - 18 month</v>
      </c>
    </row>
    <row r="317" spans="1:16" ht="28.5">
      <c r="A317" s="67">
        <v>316</v>
      </c>
      <c r="B317" s="68" t="str">
        <f>INDEX(Data_Assessment[],MATCH('Rekomendasi HAV'!$A317,Data_Assessment[[INDEX]:[INDEX]],0),MATCH('Rekomendasi HAV'!B$1,Data_Assessment[#Headers],0))</f>
        <v>Harry Ericson Iswandar, Ir.</v>
      </c>
      <c r="C317" s="68" t="str">
        <f>INDEX(Data_Assessment[],MATCH('Rekomendasi HAV'!$A317,Data_Assessment[[INDEX]:[INDEX]],0),MATCH('Rekomendasi HAV'!C$1,Data_Assessment[#Headers],0))</f>
        <v>Sumatera Utara</v>
      </c>
      <c r="D317" s="68" t="str">
        <f>INDEX(Data_Assessment[],MATCH('Rekomendasi HAV'!$A317,Data_Assessment[[INDEX]:[INDEX]],0),MATCH('Rekomendasi HAV'!D$1,Data_Assessment[#Headers],0))</f>
        <v>LSIP - BLRS - NS</v>
      </c>
      <c r="E317" s="68">
        <f>INDEX(Data_Assessment[],MATCH('Rekomendasi HAV'!$B317,Data_Assessment[[NAME]:[NAME]],0),MATCH('Rekomendasi HAV'!E$1,Data_Assessment[#Headers],0))</f>
        <v>0</v>
      </c>
      <c r="F317" s="68"/>
      <c r="G317" s="68">
        <f>IF(ISNUMBER(SEARCH("DEV",Assessment[[#This Row],[JOB TARGET]])),SUBSTITUTE(Assessment[[#This Row],[JOB TARGET]],"DEV","EST"),Assessment[[#This Row],[JOB TARGET]])</f>
        <v>0</v>
      </c>
      <c r="H317" s="146" t="str" cm="1">
        <f t="array" aca="1" ref="H317" ca="1">IF(Assessment[[#This Row],[JOB TARGET]]="","Job Target Kosong",IF(COUNT(IF('Data Assessment'!$N317:$Z317-OFFSET(Standar!$B$2,MATCH(Assessment[[#This Row],[JOB TARGET
(EST)]],Standar[NAMA JABATAN],0)-1,1,1,13)&lt;0,1,""))&lt;=3,'9 Grid'!$B$4,IF(COUNT(IF('Data Assessment'!$N317:$Z317-OFFSET(Standar!$B$2,MATCH(Assessment[[#This Row],[JOB TARGET]],Standar[NAMA JABATAN],0)-1,1,1,13)&lt;0,1,""))&gt;=7,'9 Grid'!$B$6,'9 Grid'!$B$5)))</f>
        <v>Job Target Kosong</v>
      </c>
      <c r="I317" s="146" t="str">
        <f>IFERROR(IF(Data_Assessment[[#This Row],[IPP (3 YEARS AVERAGE)]]="","(IPP Belum Ada)",IF(Data_Assessment[[#This Row],[IPP (3 YEARS AVERAGE)]]&lt;2,'9 Grid'!$F$2,IF(Data_Assessment[[#This Row],[IPP (3 YEARS AVERAGE)]]&gt;=4,'9 Grid'!$D$2,'9 Grid'!$E$2))),"")</f>
        <v>Fully Competence Performance</v>
      </c>
      <c r="J317" s="146" t="str">
        <f ca="1">IFERROR(INDEX('9 Grid'!$D$4:$F$6,MATCH('Rekomendasi HAV'!H317,'9 Grid'!$B$4:$B$6,0),MATCH('Rekomendasi HAV'!I317,'9 Grid'!$D$2:$F$2,0)),"")</f>
        <v/>
      </c>
      <c r="K317" s="146" t="str">
        <f>IFERROR(INDEX('9 Grid'!$D$8:$F$8,1,MATCH('Rekomendasi HAV'!I317,'9 Grid'!$D$2:$F$2,0)),"")</f>
        <v>(ST) Within 12 - 18 month</v>
      </c>
      <c r="L317" s="146">
        <f>IF(ISNUMBER(SEARCH("EST",Assessment[[#This Row],[JOB TARGET]])),SUBSTITUTE(Assessment[[#This Row],[JOB TARGET]],"EST","DEV"),Assessment[[#This Row],[JOB TARGET]])</f>
        <v>0</v>
      </c>
      <c r="M317" s="146" t="str" cm="1">
        <f t="array" aca="1" ref="M317" ca="1">IF(Assessment[[#This Row],[JOB TARGET]]="","Job Target Kosong",IF(COUNT(IF('Data Assessment'!$N317:$Z317-OFFSET(Standar!$B$2,MATCH(Assessment[[#This Row],[JOB TARGET
(DEV)]],Standar[NAMA JABATAN],0)-1,1,1,13)&lt;0,1,""))&lt;=3,'9 Grid'!$B$4,IF(COUNT(IF('Data Assessment'!$N317:$Z317-OFFSET(Standar!$B$2,MATCH(Assessment[[#This Row],[JOB TARGET
(DEV)]],Standar[NAMA JABATAN],0)-1,1,1,13)&lt;0,1,""))&gt;=7,'9 Grid'!$B$6,'9 Grid'!$B$5)))</f>
        <v>Job Target Kosong</v>
      </c>
      <c r="N317" s="146" t="str">
        <f>IFERROR(IF(Data_Assessment[[#This Row],[IPP (3 YEARS AVERAGE)]]="","(IPP Belum Ada)",IF(Data_Assessment[[#This Row],[IPP (3 YEARS AVERAGE)]]&lt;2,'9 Grid'!$F$2,IF(Data_Assessment[[#This Row],[IPP (3 YEARS AVERAGE)]]&gt;=4,'9 Grid'!$D$2,'9 Grid'!$E$2))),"")</f>
        <v>Fully Competence Performance</v>
      </c>
      <c r="O317" s="146" t="str">
        <f ca="1">IFERROR(INDEX('9 Grid'!$D$4:$F$6,MATCH('Rekomendasi HAV'!M317,'9 Grid'!$B$4:$B$6,0),MATCH('Rekomendasi HAV'!N317,'9 Grid'!$D$2:$F$2,0)),"")</f>
        <v/>
      </c>
      <c r="P317" s="147" t="str">
        <f>IFERROR(INDEX('9 Grid'!$D$8:$F$8,1,MATCH('Rekomendasi HAV'!N317,'9 Grid'!$D$2:$F$2,0)),"")</f>
        <v>(ST) Within 12 - 18 month</v>
      </c>
    </row>
    <row r="318" spans="1:16" ht="28.5">
      <c r="A318" s="67">
        <v>317</v>
      </c>
      <c r="B318" s="68" t="str">
        <f>INDEX(Data_Assessment[],MATCH('Rekomendasi HAV'!$A318,Data_Assessment[[INDEX]:[INDEX]],0),MATCH('Rekomendasi HAV'!B$1,Data_Assessment[#Headers],0))</f>
        <v>Yugo Leonardo</v>
      </c>
      <c r="C318" s="68" t="str">
        <f>INDEX(Data_Assessment[],MATCH('Rekomendasi HAV'!$A318,Data_Assessment[[INDEX]:[INDEX]],0),MATCH('Rekomendasi HAV'!C$1,Data_Assessment[#Headers],0))</f>
        <v>Jakarta</v>
      </c>
      <c r="D318" s="68" t="str">
        <f>INDEX(Data_Assessment[],MATCH('Rekomendasi HAV'!$A318,Data_Assessment[[INDEX]:[INDEX]],0),MATCH('Rekomendasi HAV'!D$1,Data_Assessment[#Headers],0))</f>
        <v>LSIP - HO Jakarta</v>
      </c>
      <c r="E318" s="68">
        <f>INDEX(Data_Assessment[],MATCH('Rekomendasi HAV'!$B318,Data_Assessment[[NAME]:[NAME]],0),MATCH('Rekomendasi HAV'!E$1,Data_Assessment[#Headers],0))</f>
        <v>0</v>
      </c>
      <c r="F318" s="68"/>
      <c r="G318" s="68">
        <f>IF(ISNUMBER(SEARCH("DEV",Assessment[[#This Row],[JOB TARGET]])),SUBSTITUTE(Assessment[[#This Row],[JOB TARGET]],"DEV","EST"),Assessment[[#This Row],[JOB TARGET]])</f>
        <v>0</v>
      </c>
      <c r="H318" s="146" t="str" cm="1">
        <f t="array" aca="1" ref="H318" ca="1">IF(Assessment[[#This Row],[JOB TARGET]]="","Job Target Kosong",IF(COUNT(IF('Data Assessment'!$N318:$Z318-OFFSET(Standar!$B$2,MATCH(Assessment[[#This Row],[JOB TARGET
(EST)]],Standar[NAMA JABATAN],0)-1,1,1,13)&lt;0,1,""))&lt;=3,'9 Grid'!$B$4,IF(COUNT(IF('Data Assessment'!$N318:$Z318-OFFSET(Standar!$B$2,MATCH(Assessment[[#This Row],[JOB TARGET]],Standar[NAMA JABATAN],0)-1,1,1,13)&lt;0,1,""))&gt;=7,'9 Grid'!$B$6,'9 Grid'!$B$5)))</f>
        <v>Job Target Kosong</v>
      </c>
      <c r="I318" s="146" t="str">
        <f>IFERROR(IF(Data_Assessment[[#This Row],[IPP (3 YEARS AVERAGE)]]="","(IPP Belum Ada)",IF(Data_Assessment[[#This Row],[IPP (3 YEARS AVERAGE)]]&lt;2,'9 Grid'!$F$2,IF(Data_Assessment[[#This Row],[IPP (3 YEARS AVERAGE)]]&gt;=4,'9 Grid'!$D$2,'9 Grid'!$E$2))),"")</f>
        <v>Fully Competence Performance</v>
      </c>
      <c r="J318" s="146" t="str">
        <f ca="1">IFERROR(INDEX('9 Grid'!$D$4:$F$6,MATCH('Rekomendasi HAV'!H318,'9 Grid'!$B$4:$B$6,0),MATCH('Rekomendasi HAV'!I318,'9 Grid'!$D$2:$F$2,0)),"")</f>
        <v/>
      </c>
      <c r="K318" s="146" t="str">
        <f>IFERROR(INDEX('9 Grid'!$D$8:$F$8,1,MATCH('Rekomendasi HAV'!I318,'9 Grid'!$D$2:$F$2,0)),"")</f>
        <v>(ST) Within 12 - 18 month</v>
      </c>
      <c r="L318" s="146">
        <f>IF(ISNUMBER(SEARCH("EST",Assessment[[#This Row],[JOB TARGET]])),SUBSTITUTE(Assessment[[#This Row],[JOB TARGET]],"EST","DEV"),Assessment[[#This Row],[JOB TARGET]])</f>
        <v>0</v>
      </c>
      <c r="M318" s="146" t="str" cm="1">
        <f t="array" aca="1" ref="M318" ca="1">IF(Assessment[[#This Row],[JOB TARGET]]="","Job Target Kosong",IF(COUNT(IF('Data Assessment'!$N318:$Z318-OFFSET(Standar!$B$2,MATCH(Assessment[[#This Row],[JOB TARGET
(DEV)]],Standar[NAMA JABATAN],0)-1,1,1,13)&lt;0,1,""))&lt;=3,'9 Grid'!$B$4,IF(COUNT(IF('Data Assessment'!$N318:$Z318-OFFSET(Standar!$B$2,MATCH(Assessment[[#This Row],[JOB TARGET
(DEV)]],Standar[NAMA JABATAN],0)-1,1,1,13)&lt;0,1,""))&gt;=7,'9 Grid'!$B$6,'9 Grid'!$B$5)))</f>
        <v>Job Target Kosong</v>
      </c>
      <c r="N318" s="146" t="str">
        <f>IFERROR(IF(Data_Assessment[[#This Row],[IPP (3 YEARS AVERAGE)]]="","(IPP Belum Ada)",IF(Data_Assessment[[#This Row],[IPP (3 YEARS AVERAGE)]]&lt;2,'9 Grid'!$F$2,IF(Data_Assessment[[#This Row],[IPP (3 YEARS AVERAGE)]]&gt;=4,'9 Grid'!$D$2,'9 Grid'!$E$2))),"")</f>
        <v>Fully Competence Performance</v>
      </c>
      <c r="O318" s="146" t="str">
        <f ca="1">IFERROR(INDEX('9 Grid'!$D$4:$F$6,MATCH('Rekomendasi HAV'!M318,'9 Grid'!$B$4:$B$6,0),MATCH('Rekomendasi HAV'!N318,'9 Grid'!$D$2:$F$2,0)),"")</f>
        <v/>
      </c>
      <c r="P318" s="147" t="str">
        <f>IFERROR(INDEX('9 Grid'!$D$8:$F$8,1,MATCH('Rekomendasi HAV'!N318,'9 Grid'!$D$2:$F$2,0)),"")</f>
        <v>(ST) Within 12 - 18 month</v>
      </c>
    </row>
    <row r="319" spans="1:16" ht="28.5">
      <c r="A319" s="67">
        <v>318</v>
      </c>
      <c r="B319" s="68" t="str">
        <f>INDEX(Data_Assessment[],MATCH('Rekomendasi HAV'!$A319,Data_Assessment[[INDEX]:[INDEX]],0),MATCH('Rekomendasi HAV'!B$1,Data_Assessment[#Headers],0))</f>
        <v>Ayu Milani</v>
      </c>
      <c r="C319" s="68" t="str">
        <f>INDEX(Data_Assessment[],MATCH('Rekomendasi HAV'!$A319,Data_Assessment[[INDEX]:[INDEX]],0),MATCH('Rekomendasi HAV'!C$1,Data_Assessment[#Headers],0))</f>
        <v>Sumatera Utara</v>
      </c>
      <c r="D319" s="68" t="str">
        <f>INDEX(Data_Assessment[],MATCH('Rekomendasi HAV'!$A319,Data_Assessment[[INDEX]:[INDEX]],0),MATCH('Rekomendasi HAV'!D$1,Data_Assessment[#Headers],0))</f>
        <v>LSIP - BLRS - NS</v>
      </c>
      <c r="E319" s="68">
        <f>INDEX(Data_Assessment[],MATCH('Rekomendasi HAV'!$B319,Data_Assessment[[NAME]:[NAME]],0),MATCH('Rekomendasi HAV'!E$1,Data_Assessment[#Headers],0))</f>
        <v>0</v>
      </c>
      <c r="F319" s="68"/>
      <c r="G319" s="68">
        <f>IF(ISNUMBER(SEARCH("DEV",Assessment[[#This Row],[JOB TARGET]])),SUBSTITUTE(Assessment[[#This Row],[JOB TARGET]],"DEV","EST"),Assessment[[#This Row],[JOB TARGET]])</f>
        <v>0</v>
      </c>
      <c r="H319" s="146" t="str" cm="1">
        <f t="array" aca="1" ref="H319" ca="1">IF(Assessment[[#This Row],[JOB TARGET]]="","Job Target Kosong",IF(COUNT(IF('Data Assessment'!$N319:$Z319-OFFSET(Standar!$B$2,MATCH(Assessment[[#This Row],[JOB TARGET
(EST)]],Standar[NAMA JABATAN],0)-1,1,1,13)&lt;0,1,""))&lt;=3,'9 Grid'!$B$4,IF(COUNT(IF('Data Assessment'!$N319:$Z319-OFFSET(Standar!$B$2,MATCH(Assessment[[#This Row],[JOB TARGET]],Standar[NAMA JABATAN],0)-1,1,1,13)&lt;0,1,""))&gt;=7,'9 Grid'!$B$6,'9 Grid'!$B$5)))</f>
        <v>Job Target Kosong</v>
      </c>
      <c r="I319" s="146" t="str">
        <f>IFERROR(IF(Data_Assessment[[#This Row],[IPP (3 YEARS AVERAGE)]]="","(IPP Belum Ada)",IF(Data_Assessment[[#This Row],[IPP (3 YEARS AVERAGE)]]&lt;2,'9 Grid'!$F$2,IF(Data_Assessment[[#This Row],[IPP (3 YEARS AVERAGE)]]&gt;=4,'9 Grid'!$D$2,'9 Grid'!$E$2))),"")</f>
        <v>Fully Competence Performance</v>
      </c>
      <c r="J319" s="146" t="str">
        <f ca="1">IFERROR(INDEX('9 Grid'!$D$4:$F$6,MATCH('Rekomendasi HAV'!H319,'9 Grid'!$B$4:$B$6,0),MATCH('Rekomendasi HAV'!I319,'9 Grid'!$D$2:$F$2,0)),"")</f>
        <v/>
      </c>
      <c r="K319" s="146" t="str">
        <f>IFERROR(INDEX('9 Grid'!$D$8:$F$8,1,MATCH('Rekomendasi HAV'!I319,'9 Grid'!$D$2:$F$2,0)),"")</f>
        <v>(ST) Within 12 - 18 month</v>
      </c>
      <c r="L319" s="146">
        <f>IF(ISNUMBER(SEARCH("EST",Assessment[[#This Row],[JOB TARGET]])),SUBSTITUTE(Assessment[[#This Row],[JOB TARGET]],"EST","DEV"),Assessment[[#This Row],[JOB TARGET]])</f>
        <v>0</v>
      </c>
      <c r="M319" s="146" t="str" cm="1">
        <f t="array" aca="1" ref="M319" ca="1">IF(Assessment[[#This Row],[JOB TARGET]]="","Job Target Kosong",IF(COUNT(IF('Data Assessment'!$N319:$Z319-OFFSET(Standar!$B$2,MATCH(Assessment[[#This Row],[JOB TARGET
(DEV)]],Standar[NAMA JABATAN],0)-1,1,1,13)&lt;0,1,""))&lt;=3,'9 Grid'!$B$4,IF(COUNT(IF('Data Assessment'!$N319:$Z319-OFFSET(Standar!$B$2,MATCH(Assessment[[#This Row],[JOB TARGET
(DEV)]],Standar[NAMA JABATAN],0)-1,1,1,13)&lt;0,1,""))&gt;=7,'9 Grid'!$B$6,'9 Grid'!$B$5)))</f>
        <v>Job Target Kosong</v>
      </c>
      <c r="N319" s="146" t="str">
        <f>IFERROR(IF(Data_Assessment[[#This Row],[IPP (3 YEARS AVERAGE)]]="","(IPP Belum Ada)",IF(Data_Assessment[[#This Row],[IPP (3 YEARS AVERAGE)]]&lt;2,'9 Grid'!$F$2,IF(Data_Assessment[[#This Row],[IPP (3 YEARS AVERAGE)]]&gt;=4,'9 Grid'!$D$2,'9 Grid'!$E$2))),"")</f>
        <v>Fully Competence Performance</v>
      </c>
      <c r="O319" s="146" t="str">
        <f ca="1">IFERROR(INDEX('9 Grid'!$D$4:$F$6,MATCH('Rekomendasi HAV'!M319,'9 Grid'!$B$4:$B$6,0),MATCH('Rekomendasi HAV'!N319,'9 Grid'!$D$2:$F$2,0)),"")</f>
        <v/>
      </c>
      <c r="P319" s="147" t="str">
        <f>IFERROR(INDEX('9 Grid'!$D$8:$F$8,1,MATCH('Rekomendasi HAV'!N319,'9 Grid'!$D$2:$F$2,0)),"")</f>
        <v>(ST) Within 12 - 18 month</v>
      </c>
    </row>
    <row r="320" spans="1:16" ht="28.5">
      <c r="A320" s="67">
        <v>319</v>
      </c>
      <c r="B320" s="68" t="str">
        <f>INDEX(Data_Assessment[],MATCH('Rekomendasi HAV'!$A320,Data_Assessment[[INDEX]:[INDEX]],0),MATCH('Rekomendasi HAV'!B$1,Data_Assessment[#Headers],0))</f>
        <v>Isna Arianti</v>
      </c>
      <c r="C320" s="68" t="str">
        <f>INDEX(Data_Assessment[],MATCH('Rekomendasi HAV'!$A320,Data_Assessment[[INDEX]:[INDEX]],0),MATCH('Rekomendasi HAV'!C$1,Data_Assessment[#Headers],0))</f>
        <v>Jakarta</v>
      </c>
      <c r="D320" s="68" t="str">
        <f>INDEX(Data_Assessment[],MATCH('Rekomendasi HAV'!$A320,Data_Assessment[[INDEX]:[INDEX]],0),MATCH('Rekomendasi HAV'!D$1,Data_Assessment[#Headers],0))</f>
        <v>LSIP - HO Jakarta</v>
      </c>
      <c r="E320" s="68">
        <f>INDEX(Data_Assessment[],MATCH('Rekomendasi HAV'!$B320,Data_Assessment[[NAME]:[NAME]],0),MATCH('Rekomendasi HAV'!E$1,Data_Assessment[#Headers],0))</f>
        <v>0</v>
      </c>
      <c r="F320" s="68"/>
      <c r="G320" s="68">
        <f>IF(ISNUMBER(SEARCH("DEV",Assessment[[#This Row],[JOB TARGET]])),SUBSTITUTE(Assessment[[#This Row],[JOB TARGET]],"DEV","EST"),Assessment[[#This Row],[JOB TARGET]])</f>
        <v>0</v>
      </c>
      <c r="H320" s="146" t="str" cm="1">
        <f t="array" aca="1" ref="H320" ca="1">IF(Assessment[[#This Row],[JOB TARGET]]="","Job Target Kosong",IF(COUNT(IF('Data Assessment'!$N320:$Z320-OFFSET(Standar!$B$2,MATCH(Assessment[[#This Row],[JOB TARGET
(EST)]],Standar[NAMA JABATAN],0)-1,1,1,13)&lt;0,1,""))&lt;=3,'9 Grid'!$B$4,IF(COUNT(IF('Data Assessment'!$N320:$Z320-OFFSET(Standar!$B$2,MATCH(Assessment[[#This Row],[JOB TARGET]],Standar[NAMA JABATAN],0)-1,1,1,13)&lt;0,1,""))&gt;=7,'9 Grid'!$B$6,'9 Grid'!$B$5)))</f>
        <v>Job Target Kosong</v>
      </c>
      <c r="I320" s="146" t="str">
        <f>IFERROR(IF(Data_Assessment[[#This Row],[IPP (3 YEARS AVERAGE)]]="","(IPP Belum Ada)",IF(Data_Assessment[[#This Row],[IPP (3 YEARS AVERAGE)]]&lt;2,'9 Grid'!$F$2,IF(Data_Assessment[[#This Row],[IPP (3 YEARS AVERAGE)]]&gt;=4,'9 Grid'!$D$2,'9 Grid'!$E$2))),"")</f>
        <v>Fully Competence Performance</v>
      </c>
      <c r="J320" s="146" t="str">
        <f ca="1">IFERROR(INDEX('9 Grid'!$D$4:$F$6,MATCH('Rekomendasi HAV'!H320,'9 Grid'!$B$4:$B$6,0),MATCH('Rekomendasi HAV'!I320,'9 Grid'!$D$2:$F$2,0)),"")</f>
        <v/>
      </c>
      <c r="K320" s="146" t="str">
        <f>IFERROR(INDEX('9 Grid'!$D$8:$F$8,1,MATCH('Rekomendasi HAV'!I320,'9 Grid'!$D$2:$F$2,0)),"")</f>
        <v>(ST) Within 12 - 18 month</v>
      </c>
      <c r="L320" s="146">
        <f>IF(ISNUMBER(SEARCH("EST",Assessment[[#This Row],[JOB TARGET]])),SUBSTITUTE(Assessment[[#This Row],[JOB TARGET]],"EST","DEV"),Assessment[[#This Row],[JOB TARGET]])</f>
        <v>0</v>
      </c>
      <c r="M320" s="146" t="str" cm="1">
        <f t="array" aca="1" ref="M320" ca="1">IF(Assessment[[#This Row],[JOB TARGET]]="","Job Target Kosong",IF(COUNT(IF('Data Assessment'!$N320:$Z320-OFFSET(Standar!$B$2,MATCH(Assessment[[#This Row],[JOB TARGET
(DEV)]],Standar[NAMA JABATAN],0)-1,1,1,13)&lt;0,1,""))&lt;=3,'9 Grid'!$B$4,IF(COUNT(IF('Data Assessment'!$N320:$Z320-OFFSET(Standar!$B$2,MATCH(Assessment[[#This Row],[JOB TARGET
(DEV)]],Standar[NAMA JABATAN],0)-1,1,1,13)&lt;0,1,""))&gt;=7,'9 Grid'!$B$6,'9 Grid'!$B$5)))</f>
        <v>Job Target Kosong</v>
      </c>
      <c r="N320" s="146" t="str">
        <f>IFERROR(IF(Data_Assessment[[#This Row],[IPP (3 YEARS AVERAGE)]]="","(IPP Belum Ada)",IF(Data_Assessment[[#This Row],[IPP (3 YEARS AVERAGE)]]&lt;2,'9 Grid'!$F$2,IF(Data_Assessment[[#This Row],[IPP (3 YEARS AVERAGE)]]&gt;=4,'9 Grid'!$D$2,'9 Grid'!$E$2))),"")</f>
        <v>Fully Competence Performance</v>
      </c>
      <c r="O320" s="146" t="str">
        <f ca="1">IFERROR(INDEX('9 Grid'!$D$4:$F$6,MATCH('Rekomendasi HAV'!M320,'9 Grid'!$B$4:$B$6,0),MATCH('Rekomendasi HAV'!N320,'9 Grid'!$D$2:$F$2,0)),"")</f>
        <v/>
      </c>
      <c r="P320" s="147" t="str">
        <f>IFERROR(INDEX('9 Grid'!$D$8:$F$8,1,MATCH('Rekomendasi HAV'!N320,'9 Grid'!$D$2:$F$2,0)),"")</f>
        <v>(ST) Within 12 - 18 month</v>
      </c>
    </row>
    <row r="321" spans="1:16" ht="14.25">
      <c r="A321" s="67">
        <v>320</v>
      </c>
      <c r="B321" s="68" t="str">
        <f>INDEX(Data_Assessment[],MATCH('Rekomendasi HAV'!$A321,Data_Assessment[[INDEX]:[INDEX]],0),MATCH('Rekomendasi HAV'!B$1,Data_Assessment[#Headers],0))</f>
        <v>Olviyani Nasution</v>
      </c>
      <c r="C321" s="68" t="str">
        <f>INDEX(Data_Assessment[],MATCH('Rekomendasi HAV'!$A321,Data_Assessment[[INDEX]:[INDEX]],0),MATCH('Rekomendasi HAV'!C$1,Data_Assessment[#Headers],0))</f>
        <v>Sumatera Utara</v>
      </c>
      <c r="D321" s="68" t="str">
        <f>INDEX(Data_Assessment[],MATCH('Rekomendasi HAV'!$A321,Data_Assessment[[INDEX]:[INDEX]],0),MATCH('Rekomendasi HAV'!D$1,Data_Assessment[#Headers],0))</f>
        <v>LSIP - BLRS - NS</v>
      </c>
      <c r="E321" s="68">
        <f>INDEX(Data_Assessment[],MATCH('Rekomendasi HAV'!$B321,Data_Assessment[[NAME]:[NAME]],0),MATCH('Rekomendasi HAV'!E$1,Data_Assessment[#Headers],0))</f>
        <v>0</v>
      </c>
      <c r="F321" s="68"/>
      <c r="G321" s="68">
        <f>IF(ISNUMBER(SEARCH("DEV",Assessment[[#This Row],[JOB TARGET]])),SUBSTITUTE(Assessment[[#This Row],[JOB TARGET]],"DEV","EST"),Assessment[[#This Row],[JOB TARGET]])</f>
        <v>0</v>
      </c>
      <c r="H321" s="146" t="str" cm="1">
        <f t="array" aca="1" ref="H321" ca="1">IF(Assessment[[#This Row],[JOB TARGET]]="","Job Target Kosong",IF(COUNT(IF('Data Assessment'!$N321:$Z321-OFFSET(Standar!$B$2,MATCH(Assessment[[#This Row],[JOB TARGET
(EST)]],Standar[NAMA JABATAN],0)-1,1,1,13)&lt;0,1,""))&lt;=3,'9 Grid'!$B$4,IF(COUNT(IF('Data Assessment'!$N321:$Z321-OFFSET(Standar!$B$2,MATCH(Assessment[[#This Row],[JOB TARGET]],Standar[NAMA JABATAN],0)-1,1,1,13)&lt;0,1,""))&gt;=7,'9 Grid'!$B$6,'9 Grid'!$B$5)))</f>
        <v>Job Target Kosong</v>
      </c>
      <c r="I321" s="146" t="str">
        <f>IFERROR(IF(Data_Assessment[[#This Row],[IPP (3 YEARS AVERAGE)]]="","(IPP Belum Ada)",IF(Data_Assessment[[#This Row],[IPP (3 YEARS AVERAGE)]]&lt;2,'9 Grid'!$F$2,IF(Data_Assessment[[#This Row],[IPP (3 YEARS AVERAGE)]]&gt;=4,'9 Grid'!$D$2,'9 Grid'!$E$2))),"")</f>
        <v>Exceptional Performance</v>
      </c>
      <c r="J321" s="146" t="str">
        <f ca="1">IFERROR(INDEX('9 Grid'!$D$4:$F$6,MATCH('Rekomendasi HAV'!H321,'9 Grid'!$B$4:$B$6,0),MATCH('Rekomendasi HAV'!I321,'9 Grid'!$D$2:$F$2,0)),"")</f>
        <v/>
      </c>
      <c r="K321" s="146" t="str">
        <f>IFERROR(INDEX('9 Grid'!$D$8:$F$8,1,MATCH('Rekomendasi HAV'!I321,'9 Grid'!$D$2:$F$2,0)),"")</f>
        <v>(I) Immediately</v>
      </c>
      <c r="L321" s="146">
        <f>IF(ISNUMBER(SEARCH("EST",Assessment[[#This Row],[JOB TARGET]])),SUBSTITUTE(Assessment[[#This Row],[JOB TARGET]],"EST","DEV"),Assessment[[#This Row],[JOB TARGET]])</f>
        <v>0</v>
      </c>
      <c r="M321" s="146" t="str" cm="1">
        <f t="array" aca="1" ref="M321" ca="1">IF(Assessment[[#This Row],[JOB TARGET]]="","Job Target Kosong",IF(COUNT(IF('Data Assessment'!$N321:$Z321-OFFSET(Standar!$B$2,MATCH(Assessment[[#This Row],[JOB TARGET
(DEV)]],Standar[NAMA JABATAN],0)-1,1,1,13)&lt;0,1,""))&lt;=3,'9 Grid'!$B$4,IF(COUNT(IF('Data Assessment'!$N321:$Z321-OFFSET(Standar!$B$2,MATCH(Assessment[[#This Row],[JOB TARGET
(DEV)]],Standar[NAMA JABATAN],0)-1,1,1,13)&lt;0,1,""))&gt;=7,'9 Grid'!$B$6,'9 Grid'!$B$5)))</f>
        <v>Job Target Kosong</v>
      </c>
      <c r="N321" s="146" t="str">
        <f>IFERROR(IF(Data_Assessment[[#This Row],[IPP (3 YEARS AVERAGE)]]="","(IPP Belum Ada)",IF(Data_Assessment[[#This Row],[IPP (3 YEARS AVERAGE)]]&lt;2,'9 Grid'!$F$2,IF(Data_Assessment[[#This Row],[IPP (3 YEARS AVERAGE)]]&gt;=4,'9 Grid'!$D$2,'9 Grid'!$E$2))),"")</f>
        <v>Exceptional Performance</v>
      </c>
      <c r="O321" s="146" t="str">
        <f ca="1">IFERROR(INDEX('9 Grid'!$D$4:$F$6,MATCH('Rekomendasi HAV'!M321,'9 Grid'!$B$4:$B$6,0),MATCH('Rekomendasi HAV'!N321,'9 Grid'!$D$2:$F$2,0)),"")</f>
        <v/>
      </c>
      <c r="P321" s="147" t="str">
        <f>IFERROR(INDEX('9 Grid'!$D$8:$F$8,1,MATCH('Rekomendasi HAV'!N321,'9 Grid'!$D$2:$F$2,0)),"")</f>
        <v>(I) Immediately</v>
      </c>
    </row>
    <row r="322" spans="1:16" ht="28.5">
      <c r="A322" s="67">
        <v>321</v>
      </c>
      <c r="B322" s="68" t="str">
        <f>INDEX(Data_Assessment[],MATCH('Rekomendasi HAV'!$A322,Data_Assessment[[INDEX]:[INDEX]],0),MATCH('Rekomendasi HAV'!B$1,Data_Assessment[#Headers],0))</f>
        <v>Abdul Mutholib</v>
      </c>
      <c r="C322" s="68" t="str">
        <f>INDEX(Data_Assessment[],MATCH('Rekomendasi HAV'!$A322,Data_Assessment[[INDEX]:[INDEX]],0),MATCH('Rekomendasi HAV'!C$1,Data_Assessment[#Headers],0))</f>
        <v>Sumatera Utara</v>
      </c>
      <c r="D322" s="68" t="str">
        <f>INDEX(Data_Assessment[],MATCH('Rekomendasi HAV'!$A322,Data_Assessment[[INDEX]:[INDEX]],0),MATCH('Rekomendasi HAV'!D$1,Data_Assessment[#Headers],0))</f>
        <v>LSIP - BLRS - NS</v>
      </c>
      <c r="E322" s="68">
        <f>INDEX(Data_Assessment[],MATCH('Rekomendasi HAV'!$B322,Data_Assessment[[NAME]:[NAME]],0),MATCH('Rekomendasi HAV'!E$1,Data_Assessment[#Headers],0))</f>
        <v>0</v>
      </c>
      <c r="F322" s="68"/>
      <c r="G322" s="68">
        <f>IF(ISNUMBER(SEARCH("DEV",Assessment[[#This Row],[JOB TARGET]])),SUBSTITUTE(Assessment[[#This Row],[JOB TARGET]],"DEV","EST"),Assessment[[#This Row],[JOB TARGET]])</f>
        <v>0</v>
      </c>
      <c r="H322" s="146" t="str" cm="1">
        <f t="array" aca="1" ref="H322" ca="1">IF(Assessment[[#This Row],[JOB TARGET]]="","Job Target Kosong",IF(COUNT(IF('Data Assessment'!$N322:$Z322-OFFSET(Standar!$B$2,MATCH(Assessment[[#This Row],[JOB TARGET
(EST)]],Standar[NAMA JABATAN],0)-1,1,1,13)&lt;0,1,""))&lt;=3,'9 Grid'!$B$4,IF(COUNT(IF('Data Assessment'!$N322:$Z322-OFFSET(Standar!$B$2,MATCH(Assessment[[#This Row],[JOB TARGET]],Standar[NAMA JABATAN],0)-1,1,1,13)&lt;0,1,""))&gt;=7,'9 Grid'!$B$6,'9 Grid'!$B$5)))</f>
        <v>Job Target Kosong</v>
      </c>
      <c r="I322" s="146" t="str">
        <f>IFERROR(IF(Data_Assessment[[#This Row],[IPP (3 YEARS AVERAGE)]]="","(IPP Belum Ada)",IF(Data_Assessment[[#This Row],[IPP (3 YEARS AVERAGE)]]&lt;2,'9 Grid'!$F$2,IF(Data_Assessment[[#This Row],[IPP (3 YEARS AVERAGE)]]&gt;=4,'9 Grid'!$D$2,'9 Grid'!$E$2))),"")</f>
        <v>Fully Competence Performance</v>
      </c>
      <c r="J322" s="146" t="str">
        <f ca="1">IFERROR(INDEX('9 Grid'!$D$4:$F$6,MATCH('Rekomendasi HAV'!H322,'9 Grid'!$B$4:$B$6,0),MATCH('Rekomendasi HAV'!I322,'9 Grid'!$D$2:$F$2,0)),"")</f>
        <v/>
      </c>
      <c r="K322" s="146" t="str">
        <f>IFERROR(INDEX('9 Grid'!$D$8:$F$8,1,MATCH('Rekomendasi HAV'!I322,'9 Grid'!$D$2:$F$2,0)),"")</f>
        <v>(ST) Within 12 - 18 month</v>
      </c>
      <c r="L322" s="146">
        <f>IF(ISNUMBER(SEARCH("EST",Assessment[[#This Row],[JOB TARGET]])),SUBSTITUTE(Assessment[[#This Row],[JOB TARGET]],"EST","DEV"),Assessment[[#This Row],[JOB TARGET]])</f>
        <v>0</v>
      </c>
      <c r="M322" s="146" t="str" cm="1">
        <f t="array" aca="1" ref="M322" ca="1">IF(Assessment[[#This Row],[JOB TARGET]]="","Job Target Kosong",IF(COUNT(IF('Data Assessment'!$N322:$Z322-OFFSET(Standar!$B$2,MATCH(Assessment[[#This Row],[JOB TARGET
(DEV)]],Standar[NAMA JABATAN],0)-1,1,1,13)&lt;0,1,""))&lt;=3,'9 Grid'!$B$4,IF(COUNT(IF('Data Assessment'!$N322:$Z322-OFFSET(Standar!$B$2,MATCH(Assessment[[#This Row],[JOB TARGET
(DEV)]],Standar[NAMA JABATAN],0)-1,1,1,13)&lt;0,1,""))&gt;=7,'9 Grid'!$B$6,'9 Grid'!$B$5)))</f>
        <v>Job Target Kosong</v>
      </c>
      <c r="N322" s="146" t="str">
        <f>IFERROR(IF(Data_Assessment[[#This Row],[IPP (3 YEARS AVERAGE)]]="","(IPP Belum Ada)",IF(Data_Assessment[[#This Row],[IPP (3 YEARS AVERAGE)]]&lt;2,'9 Grid'!$F$2,IF(Data_Assessment[[#This Row],[IPP (3 YEARS AVERAGE)]]&gt;=4,'9 Grid'!$D$2,'9 Grid'!$E$2))),"")</f>
        <v>Fully Competence Performance</v>
      </c>
      <c r="O322" s="146" t="str">
        <f ca="1">IFERROR(INDEX('9 Grid'!$D$4:$F$6,MATCH('Rekomendasi HAV'!M322,'9 Grid'!$B$4:$B$6,0),MATCH('Rekomendasi HAV'!N322,'9 Grid'!$D$2:$F$2,0)),"")</f>
        <v/>
      </c>
      <c r="P322" s="147" t="str">
        <f>IFERROR(INDEX('9 Grid'!$D$8:$F$8,1,MATCH('Rekomendasi HAV'!N322,'9 Grid'!$D$2:$F$2,0)),"")</f>
        <v>(ST) Within 12 - 18 month</v>
      </c>
    </row>
    <row r="323" spans="1:16" ht="28.5">
      <c r="A323" s="67">
        <v>322</v>
      </c>
      <c r="B323" s="68" t="str">
        <f>INDEX(Data_Assessment[],MATCH('Rekomendasi HAV'!$A323,Data_Assessment[[INDEX]:[INDEX]],0),MATCH('Rekomendasi HAV'!B$1,Data_Assessment[#Headers],0))</f>
        <v>Intan Purnamasari</v>
      </c>
      <c r="C323" s="68" t="str">
        <f>INDEX(Data_Assessment[],MATCH('Rekomendasi HAV'!$A323,Data_Assessment[[INDEX]:[INDEX]],0),MATCH('Rekomendasi HAV'!C$1,Data_Assessment[#Headers],0))</f>
        <v>Sumatera Utara</v>
      </c>
      <c r="D323" s="68" t="str">
        <f>INDEX(Data_Assessment[],MATCH('Rekomendasi HAV'!$A323,Data_Assessment[[INDEX]:[INDEX]],0),MATCH('Rekomendasi HAV'!D$1,Data_Assessment[#Headers],0))</f>
        <v>LSIP - BLRS - NS</v>
      </c>
      <c r="E323" s="68">
        <f>INDEX(Data_Assessment[],MATCH('Rekomendasi HAV'!$B323,Data_Assessment[[NAME]:[NAME]],0),MATCH('Rekomendasi HAV'!E$1,Data_Assessment[#Headers],0))</f>
        <v>0</v>
      </c>
      <c r="F323" s="68"/>
      <c r="G323" s="68">
        <f>IF(ISNUMBER(SEARCH("DEV",Assessment[[#This Row],[JOB TARGET]])),SUBSTITUTE(Assessment[[#This Row],[JOB TARGET]],"DEV","EST"),Assessment[[#This Row],[JOB TARGET]])</f>
        <v>0</v>
      </c>
      <c r="H323" s="146" t="str" cm="1">
        <f t="array" aca="1" ref="H323" ca="1">IF(Assessment[[#This Row],[JOB TARGET]]="","Job Target Kosong",IF(COUNT(IF('Data Assessment'!$N323:$Z323-OFFSET(Standar!$B$2,MATCH(Assessment[[#This Row],[JOB TARGET
(EST)]],Standar[NAMA JABATAN],0)-1,1,1,13)&lt;0,1,""))&lt;=3,'9 Grid'!$B$4,IF(COUNT(IF('Data Assessment'!$N323:$Z323-OFFSET(Standar!$B$2,MATCH(Assessment[[#This Row],[JOB TARGET]],Standar[NAMA JABATAN],0)-1,1,1,13)&lt;0,1,""))&gt;=7,'9 Grid'!$B$6,'9 Grid'!$B$5)))</f>
        <v>Job Target Kosong</v>
      </c>
      <c r="I323" s="146" t="str">
        <f>IFERROR(IF(Data_Assessment[[#This Row],[IPP (3 YEARS AVERAGE)]]="","(IPP Belum Ada)",IF(Data_Assessment[[#This Row],[IPP (3 YEARS AVERAGE)]]&lt;2,'9 Grid'!$F$2,IF(Data_Assessment[[#This Row],[IPP (3 YEARS AVERAGE)]]&gt;=4,'9 Grid'!$D$2,'9 Grid'!$E$2))),"")</f>
        <v>Fully Competence Performance</v>
      </c>
      <c r="J323" s="146" t="str">
        <f ca="1">IFERROR(INDEX('9 Grid'!$D$4:$F$6,MATCH('Rekomendasi HAV'!H323,'9 Grid'!$B$4:$B$6,0),MATCH('Rekomendasi HAV'!I323,'9 Grid'!$D$2:$F$2,0)),"")</f>
        <v/>
      </c>
      <c r="K323" s="146" t="str">
        <f>IFERROR(INDEX('9 Grid'!$D$8:$F$8,1,MATCH('Rekomendasi HAV'!I323,'9 Grid'!$D$2:$F$2,0)),"")</f>
        <v>(ST) Within 12 - 18 month</v>
      </c>
      <c r="L323" s="146">
        <f>IF(ISNUMBER(SEARCH("EST",Assessment[[#This Row],[JOB TARGET]])),SUBSTITUTE(Assessment[[#This Row],[JOB TARGET]],"EST","DEV"),Assessment[[#This Row],[JOB TARGET]])</f>
        <v>0</v>
      </c>
      <c r="M323" s="146" t="str" cm="1">
        <f t="array" aca="1" ref="M323" ca="1">IF(Assessment[[#This Row],[JOB TARGET]]="","Job Target Kosong",IF(COUNT(IF('Data Assessment'!$N323:$Z323-OFFSET(Standar!$B$2,MATCH(Assessment[[#This Row],[JOB TARGET
(DEV)]],Standar[NAMA JABATAN],0)-1,1,1,13)&lt;0,1,""))&lt;=3,'9 Grid'!$B$4,IF(COUNT(IF('Data Assessment'!$N323:$Z323-OFFSET(Standar!$B$2,MATCH(Assessment[[#This Row],[JOB TARGET
(DEV)]],Standar[NAMA JABATAN],0)-1,1,1,13)&lt;0,1,""))&gt;=7,'9 Grid'!$B$6,'9 Grid'!$B$5)))</f>
        <v>Job Target Kosong</v>
      </c>
      <c r="N323" s="146" t="str">
        <f>IFERROR(IF(Data_Assessment[[#This Row],[IPP (3 YEARS AVERAGE)]]="","(IPP Belum Ada)",IF(Data_Assessment[[#This Row],[IPP (3 YEARS AVERAGE)]]&lt;2,'9 Grid'!$F$2,IF(Data_Assessment[[#This Row],[IPP (3 YEARS AVERAGE)]]&gt;=4,'9 Grid'!$D$2,'9 Grid'!$E$2))),"")</f>
        <v>Fully Competence Performance</v>
      </c>
      <c r="O323" s="146" t="str">
        <f ca="1">IFERROR(INDEX('9 Grid'!$D$4:$F$6,MATCH('Rekomendasi HAV'!M323,'9 Grid'!$B$4:$B$6,0),MATCH('Rekomendasi HAV'!N323,'9 Grid'!$D$2:$F$2,0)),"")</f>
        <v/>
      </c>
      <c r="P323" s="147" t="str">
        <f>IFERROR(INDEX('9 Grid'!$D$8:$F$8,1,MATCH('Rekomendasi HAV'!N323,'9 Grid'!$D$2:$F$2,0)),"")</f>
        <v>(ST) Within 12 - 18 month</v>
      </c>
    </row>
    <row r="324" spans="1:16" ht="14.25">
      <c r="A324" s="67">
        <v>323</v>
      </c>
      <c r="B324" s="68" t="str">
        <f>INDEX(Data_Assessment[],MATCH('Rekomendasi HAV'!$A324,Data_Assessment[[INDEX]:[INDEX]],0),MATCH('Rekomendasi HAV'!B$1,Data_Assessment[#Headers],0))</f>
        <v>Himawan Fansuri</v>
      </c>
      <c r="C324" s="68" t="str">
        <f>INDEX(Data_Assessment[],MATCH('Rekomendasi HAV'!$A324,Data_Assessment[[INDEX]:[INDEX]],0),MATCH('Rekomendasi HAV'!C$1,Data_Assessment[#Headers],0))</f>
        <v>Jakarta</v>
      </c>
      <c r="D324" s="68" t="str">
        <f>INDEX(Data_Assessment[],MATCH('Rekomendasi HAV'!$A324,Data_Assessment[[INDEX]:[INDEX]],0),MATCH('Rekomendasi HAV'!D$1,Data_Assessment[#Headers],0))</f>
        <v>LSIP - HO Jakarta</v>
      </c>
      <c r="E324" s="68">
        <f>INDEX(Data_Assessment[],MATCH('Rekomendasi HAV'!$B324,Data_Assessment[[NAME]:[NAME]],0),MATCH('Rekomendasi HAV'!E$1,Data_Assessment[#Headers],0))</f>
        <v>0</v>
      </c>
      <c r="F324" s="68"/>
      <c r="G324" s="68">
        <f>IF(ISNUMBER(SEARCH("DEV",Assessment[[#This Row],[JOB TARGET]])),SUBSTITUTE(Assessment[[#This Row],[JOB TARGET]],"DEV","EST"),Assessment[[#This Row],[JOB TARGET]])</f>
        <v>0</v>
      </c>
      <c r="H324" s="146" t="str" cm="1">
        <f t="array" aca="1" ref="H324" ca="1">IF(Assessment[[#This Row],[JOB TARGET]]="","Job Target Kosong",IF(COUNT(IF('Data Assessment'!$N324:$Z324-OFFSET(Standar!$B$2,MATCH(Assessment[[#This Row],[JOB TARGET
(EST)]],Standar[NAMA JABATAN],0)-1,1,1,13)&lt;0,1,""))&lt;=3,'9 Grid'!$B$4,IF(COUNT(IF('Data Assessment'!$N324:$Z324-OFFSET(Standar!$B$2,MATCH(Assessment[[#This Row],[JOB TARGET]],Standar[NAMA JABATAN],0)-1,1,1,13)&lt;0,1,""))&gt;=7,'9 Grid'!$B$6,'9 Grid'!$B$5)))</f>
        <v>Job Target Kosong</v>
      </c>
      <c r="I324" s="146" t="str">
        <f>IFERROR(IF(Data_Assessment[[#This Row],[IPP (3 YEARS AVERAGE)]]="","(IPP Belum Ada)",IF(Data_Assessment[[#This Row],[IPP (3 YEARS AVERAGE)]]&lt;2,'9 Grid'!$F$2,IF(Data_Assessment[[#This Row],[IPP (3 YEARS AVERAGE)]]&gt;=4,'9 Grid'!$D$2,'9 Grid'!$E$2))),"")</f>
        <v>Exceptional Performance</v>
      </c>
      <c r="J324" s="146" t="str">
        <f ca="1">IFERROR(INDEX('9 Grid'!$D$4:$F$6,MATCH('Rekomendasi HAV'!H324,'9 Grid'!$B$4:$B$6,0),MATCH('Rekomendasi HAV'!I324,'9 Grid'!$D$2:$F$2,0)),"")</f>
        <v/>
      </c>
      <c r="K324" s="146" t="str">
        <f>IFERROR(INDEX('9 Grid'!$D$8:$F$8,1,MATCH('Rekomendasi HAV'!I324,'9 Grid'!$D$2:$F$2,0)),"")</f>
        <v>(I) Immediately</v>
      </c>
      <c r="L324" s="146">
        <f>IF(ISNUMBER(SEARCH("EST",Assessment[[#This Row],[JOB TARGET]])),SUBSTITUTE(Assessment[[#This Row],[JOB TARGET]],"EST","DEV"),Assessment[[#This Row],[JOB TARGET]])</f>
        <v>0</v>
      </c>
      <c r="M324" s="146" t="str" cm="1">
        <f t="array" aca="1" ref="M324" ca="1">IF(Assessment[[#This Row],[JOB TARGET]]="","Job Target Kosong",IF(COUNT(IF('Data Assessment'!$N324:$Z324-OFFSET(Standar!$B$2,MATCH(Assessment[[#This Row],[JOB TARGET
(DEV)]],Standar[NAMA JABATAN],0)-1,1,1,13)&lt;0,1,""))&lt;=3,'9 Grid'!$B$4,IF(COUNT(IF('Data Assessment'!$N324:$Z324-OFFSET(Standar!$B$2,MATCH(Assessment[[#This Row],[JOB TARGET
(DEV)]],Standar[NAMA JABATAN],0)-1,1,1,13)&lt;0,1,""))&gt;=7,'9 Grid'!$B$6,'9 Grid'!$B$5)))</f>
        <v>Job Target Kosong</v>
      </c>
      <c r="N324" s="146" t="str">
        <f>IFERROR(IF(Data_Assessment[[#This Row],[IPP (3 YEARS AVERAGE)]]="","(IPP Belum Ada)",IF(Data_Assessment[[#This Row],[IPP (3 YEARS AVERAGE)]]&lt;2,'9 Grid'!$F$2,IF(Data_Assessment[[#This Row],[IPP (3 YEARS AVERAGE)]]&gt;=4,'9 Grid'!$D$2,'9 Grid'!$E$2))),"")</f>
        <v>Exceptional Performance</v>
      </c>
      <c r="O324" s="146" t="str">
        <f ca="1">IFERROR(INDEX('9 Grid'!$D$4:$F$6,MATCH('Rekomendasi HAV'!M324,'9 Grid'!$B$4:$B$6,0),MATCH('Rekomendasi HAV'!N324,'9 Grid'!$D$2:$F$2,0)),"")</f>
        <v/>
      </c>
      <c r="P324" s="147" t="str">
        <f>IFERROR(INDEX('9 Grid'!$D$8:$F$8,1,MATCH('Rekomendasi HAV'!N324,'9 Grid'!$D$2:$F$2,0)),"")</f>
        <v>(I) Immediately</v>
      </c>
    </row>
    <row r="325" spans="1:16" ht="14.25">
      <c r="A325" s="67">
        <v>324</v>
      </c>
      <c r="B325" s="68" t="str">
        <f>INDEX(Data_Assessment[],MATCH('Rekomendasi HAV'!$A325,Data_Assessment[[INDEX]:[INDEX]],0),MATCH('Rekomendasi HAV'!B$1,Data_Assessment[#Headers],0))</f>
        <v>Joko Handoko Hadi Prasetyo</v>
      </c>
      <c r="C325" s="68" t="str">
        <f>INDEX(Data_Assessment[],MATCH('Rekomendasi HAV'!$A325,Data_Assessment[[INDEX]:[INDEX]],0),MATCH('Rekomendasi HAV'!C$1,Data_Assessment[#Headers],0))</f>
        <v>Sumatera Utara</v>
      </c>
      <c r="D325" s="68" t="str">
        <f>INDEX(Data_Assessment[],MATCH('Rekomendasi HAV'!$A325,Data_Assessment[[INDEX]:[INDEX]],0),MATCH('Rekomendasi HAV'!D$1,Data_Assessment[#Headers],0))</f>
        <v>LSIP - BLRS - NS</v>
      </c>
      <c r="E325" s="68">
        <f>INDEX(Data_Assessment[],MATCH('Rekomendasi HAV'!$B325,Data_Assessment[[NAME]:[NAME]],0),MATCH('Rekomendasi HAV'!E$1,Data_Assessment[#Headers],0))</f>
        <v>0</v>
      </c>
      <c r="F325" s="68"/>
      <c r="G325" s="68">
        <f>IF(ISNUMBER(SEARCH("DEV",Assessment[[#This Row],[JOB TARGET]])),SUBSTITUTE(Assessment[[#This Row],[JOB TARGET]],"DEV","EST"),Assessment[[#This Row],[JOB TARGET]])</f>
        <v>0</v>
      </c>
      <c r="H325" s="146" t="str" cm="1">
        <f t="array" aca="1" ref="H325" ca="1">IF(Assessment[[#This Row],[JOB TARGET]]="","Job Target Kosong",IF(COUNT(IF('Data Assessment'!$N325:$Z325-OFFSET(Standar!$B$2,MATCH(Assessment[[#This Row],[JOB TARGET
(EST)]],Standar[NAMA JABATAN],0)-1,1,1,13)&lt;0,1,""))&lt;=3,'9 Grid'!$B$4,IF(COUNT(IF('Data Assessment'!$N325:$Z325-OFFSET(Standar!$B$2,MATCH(Assessment[[#This Row],[JOB TARGET]],Standar[NAMA JABATAN],0)-1,1,1,13)&lt;0,1,""))&gt;=7,'9 Grid'!$B$6,'9 Grid'!$B$5)))</f>
        <v>Job Target Kosong</v>
      </c>
      <c r="I325" s="146" t="str">
        <f>IFERROR(IF(Data_Assessment[[#This Row],[IPP (3 YEARS AVERAGE)]]="","(IPP Belum Ada)",IF(Data_Assessment[[#This Row],[IPP (3 YEARS AVERAGE)]]&lt;2,'9 Grid'!$F$2,IF(Data_Assessment[[#This Row],[IPP (3 YEARS AVERAGE)]]&gt;=4,'9 Grid'!$D$2,'9 Grid'!$E$2))),"")</f>
        <v>Exceptional Performance</v>
      </c>
      <c r="J325" s="146" t="str">
        <f ca="1">IFERROR(INDEX('9 Grid'!$D$4:$F$6,MATCH('Rekomendasi HAV'!H325,'9 Grid'!$B$4:$B$6,0),MATCH('Rekomendasi HAV'!I325,'9 Grid'!$D$2:$F$2,0)),"")</f>
        <v/>
      </c>
      <c r="K325" s="146" t="str">
        <f>IFERROR(INDEX('9 Grid'!$D$8:$F$8,1,MATCH('Rekomendasi HAV'!I325,'9 Grid'!$D$2:$F$2,0)),"")</f>
        <v>(I) Immediately</v>
      </c>
      <c r="L325" s="146">
        <f>IF(ISNUMBER(SEARCH("EST",Assessment[[#This Row],[JOB TARGET]])),SUBSTITUTE(Assessment[[#This Row],[JOB TARGET]],"EST","DEV"),Assessment[[#This Row],[JOB TARGET]])</f>
        <v>0</v>
      </c>
      <c r="M325" s="146" t="str" cm="1">
        <f t="array" aca="1" ref="M325" ca="1">IF(Assessment[[#This Row],[JOB TARGET]]="","Job Target Kosong",IF(COUNT(IF('Data Assessment'!$N325:$Z325-OFFSET(Standar!$B$2,MATCH(Assessment[[#This Row],[JOB TARGET
(DEV)]],Standar[NAMA JABATAN],0)-1,1,1,13)&lt;0,1,""))&lt;=3,'9 Grid'!$B$4,IF(COUNT(IF('Data Assessment'!$N325:$Z325-OFFSET(Standar!$B$2,MATCH(Assessment[[#This Row],[JOB TARGET
(DEV)]],Standar[NAMA JABATAN],0)-1,1,1,13)&lt;0,1,""))&gt;=7,'9 Grid'!$B$6,'9 Grid'!$B$5)))</f>
        <v>Job Target Kosong</v>
      </c>
      <c r="N325" s="146" t="str">
        <f>IFERROR(IF(Data_Assessment[[#This Row],[IPP (3 YEARS AVERAGE)]]="","(IPP Belum Ada)",IF(Data_Assessment[[#This Row],[IPP (3 YEARS AVERAGE)]]&lt;2,'9 Grid'!$F$2,IF(Data_Assessment[[#This Row],[IPP (3 YEARS AVERAGE)]]&gt;=4,'9 Grid'!$D$2,'9 Grid'!$E$2))),"")</f>
        <v>Exceptional Performance</v>
      </c>
      <c r="O325" s="146" t="str">
        <f ca="1">IFERROR(INDEX('9 Grid'!$D$4:$F$6,MATCH('Rekomendasi HAV'!M325,'9 Grid'!$B$4:$B$6,0),MATCH('Rekomendasi HAV'!N325,'9 Grid'!$D$2:$F$2,0)),"")</f>
        <v/>
      </c>
      <c r="P325" s="147" t="str">
        <f>IFERROR(INDEX('9 Grid'!$D$8:$F$8,1,MATCH('Rekomendasi HAV'!N325,'9 Grid'!$D$2:$F$2,0)),"")</f>
        <v>(I) Immediately</v>
      </c>
    </row>
    <row r="326" spans="1:16" ht="28.5">
      <c r="A326" s="67">
        <v>325</v>
      </c>
      <c r="B326" s="68" t="str">
        <f>INDEX(Data_Assessment[],MATCH('Rekomendasi HAV'!$A326,Data_Assessment[[INDEX]:[INDEX]],0),MATCH('Rekomendasi HAV'!B$1,Data_Assessment[#Headers],0))</f>
        <v>Haratua Ritonga</v>
      </c>
      <c r="C326" s="68" t="str">
        <f>INDEX(Data_Assessment[],MATCH('Rekomendasi HAV'!$A326,Data_Assessment[[INDEX]:[INDEX]],0),MATCH('Rekomendasi HAV'!C$1,Data_Assessment[#Headers],0))</f>
        <v>Sumatera Utara</v>
      </c>
      <c r="D326" s="68" t="str">
        <f>INDEX(Data_Assessment[],MATCH('Rekomendasi HAV'!$A326,Data_Assessment[[INDEX]:[INDEX]],0),MATCH('Rekomendasi HAV'!D$1,Data_Assessment[#Headers],0))</f>
        <v>LSIP - BLRS - NS</v>
      </c>
      <c r="E326" s="68">
        <f>INDEX(Data_Assessment[],MATCH('Rekomendasi HAV'!$B326,Data_Assessment[[NAME]:[NAME]],0),MATCH('Rekomendasi HAV'!E$1,Data_Assessment[#Headers],0))</f>
        <v>0</v>
      </c>
      <c r="F326" s="68"/>
      <c r="G326" s="68">
        <f>IF(ISNUMBER(SEARCH("DEV",Assessment[[#This Row],[JOB TARGET]])),SUBSTITUTE(Assessment[[#This Row],[JOB TARGET]],"DEV","EST"),Assessment[[#This Row],[JOB TARGET]])</f>
        <v>0</v>
      </c>
      <c r="H326" s="146" t="str" cm="1">
        <f t="array" aca="1" ref="H326" ca="1">IF(Assessment[[#This Row],[JOB TARGET]]="","Job Target Kosong",IF(COUNT(IF('Data Assessment'!$N326:$Z326-OFFSET(Standar!$B$2,MATCH(Assessment[[#This Row],[JOB TARGET
(EST)]],Standar[NAMA JABATAN],0)-1,1,1,13)&lt;0,1,""))&lt;=3,'9 Grid'!$B$4,IF(COUNT(IF('Data Assessment'!$N326:$Z326-OFFSET(Standar!$B$2,MATCH(Assessment[[#This Row],[JOB TARGET]],Standar[NAMA JABATAN],0)-1,1,1,13)&lt;0,1,""))&gt;=7,'9 Grid'!$B$6,'9 Grid'!$B$5)))</f>
        <v>Job Target Kosong</v>
      </c>
      <c r="I326" s="146" t="str">
        <f>IFERROR(IF(Data_Assessment[[#This Row],[IPP (3 YEARS AVERAGE)]]="","(IPP Belum Ada)",IF(Data_Assessment[[#This Row],[IPP (3 YEARS AVERAGE)]]&lt;2,'9 Grid'!$F$2,IF(Data_Assessment[[#This Row],[IPP (3 YEARS AVERAGE)]]&gt;=4,'9 Grid'!$D$2,'9 Grid'!$E$2))),"")</f>
        <v>Fully Competence Performance</v>
      </c>
      <c r="J326" s="146" t="str">
        <f ca="1">IFERROR(INDEX('9 Grid'!$D$4:$F$6,MATCH('Rekomendasi HAV'!H326,'9 Grid'!$B$4:$B$6,0),MATCH('Rekomendasi HAV'!I326,'9 Grid'!$D$2:$F$2,0)),"")</f>
        <v/>
      </c>
      <c r="K326" s="146" t="str">
        <f>IFERROR(INDEX('9 Grid'!$D$8:$F$8,1,MATCH('Rekomendasi HAV'!I326,'9 Grid'!$D$2:$F$2,0)),"")</f>
        <v>(ST) Within 12 - 18 month</v>
      </c>
      <c r="L326" s="146">
        <f>IF(ISNUMBER(SEARCH("EST",Assessment[[#This Row],[JOB TARGET]])),SUBSTITUTE(Assessment[[#This Row],[JOB TARGET]],"EST","DEV"),Assessment[[#This Row],[JOB TARGET]])</f>
        <v>0</v>
      </c>
      <c r="M326" s="146" t="str" cm="1">
        <f t="array" aca="1" ref="M326" ca="1">IF(Assessment[[#This Row],[JOB TARGET]]="","Job Target Kosong",IF(COUNT(IF('Data Assessment'!$N326:$Z326-OFFSET(Standar!$B$2,MATCH(Assessment[[#This Row],[JOB TARGET
(DEV)]],Standar[NAMA JABATAN],0)-1,1,1,13)&lt;0,1,""))&lt;=3,'9 Grid'!$B$4,IF(COUNT(IF('Data Assessment'!$N326:$Z326-OFFSET(Standar!$B$2,MATCH(Assessment[[#This Row],[JOB TARGET
(DEV)]],Standar[NAMA JABATAN],0)-1,1,1,13)&lt;0,1,""))&gt;=7,'9 Grid'!$B$6,'9 Grid'!$B$5)))</f>
        <v>Job Target Kosong</v>
      </c>
      <c r="N326" s="146" t="str">
        <f>IFERROR(IF(Data_Assessment[[#This Row],[IPP (3 YEARS AVERAGE)]]="","(IPP Belum Ada)",IF(Data_Assessment[[#This Row],[IPP (3 YEARS AVERAGE)]]&lt;2,'9 Grid'!$F$2,IF(Data_Assessment[[#This Row],[IPP (3 YEARS AVERAGE)]]&gt;=4,'9 Grid'!$D$2,'9 Grid'!$E$2))),"")</f>
        <v>Fully Competence Performance</v>
      </c>
      <c r="O326" s="146" t="str">
        <f ca="1">IFERROR(INDEX('9 Grid'!$D$4:$F$6,MATCH('Rekomendasi HAV'!M326,'9 Grid'!$B$4:$B$6,0),MATCH('Rekomendasi HAV'!N326,'9 Grid'!$D$2:$F$2,0)),"")</f>
        <v/>
      </c>
      <c r="P326" s="147" t="str">
        <f>IFERROR(INDEX('9 Grid'!$D$8:$F$8,1,MATCH('Rekomendasi HAV'!N326,'9 Grid'!$D$2:$F$2,0)),"")</f>
        <v>(ST) Within 12 - 18 month</v>
      </c>
    </row>
    <row r="327" spans="1:16" ht="28.5">
      <c r="A327" s="67">
        <v>326</v>
      </c>
      <c r="B327" s="68" t="str">
        <f>INDEX(Data_Assessment[],MATCH('Rekomendasi HAV'!$A327,Data_Assessment[[INDEX]:[INDEX]],0),MATCH('Rekomendasi HAV'!B$1,Data_Assessment[#Headers],0))</f>
        <v>Muna Murnianjari, S.Si</v>
      </c>
      <c r="C327" s="68" t="str">
        <f>INDEX(Data_Assessment[],MATCH('Rekomendasi HAV'!$A327,Data_Assessment[[INDEX]:[INDEX]],0),MATCH('Rekomendasi HAV'!C$1,Data_Assessment[#Headers],0))</f>
        <v>Sumatera Utara</v>
      </c>
      <c r="D327" s="68" t="str">
        <f>INDEX(Data_Assessment[],MATCH('Rekomendasi HAV'!$A327,Data_Assessment[[INDEX]:[INDEX]],0),MATCH('Rekomendasi HAV'!D$1,Data_Assessment[#Headers],0))</f>
        <v>LSIP - BLRS - NS</v>
      </c>
      <c r="E327" s="68">
        <f>INDEX(Data_Assessment[],MATCH('Rekomendasi HAV'!$B327,Data_Assessment[[NAME]:[NAME]],0),MATCH('Rekomendasi HAV'!E$1,Data_Assessment[#Headers],0))</f>
        <v>0</v>
      </c>
      <c r="F327" s="68"/>
      <c r="G327" s="68">
        <f>IF(ISNUMBER(SEARCH("DEV",Assessment[[#This Row],[JOB TARGET]])),SUBSTITUTE(Assessment[[#This Row],[JOB TARGET]],"DEV","EST"),Assessment[[#This Row],[JOB TARGET]])</f>
        <v>0</v>
      </c>
      <c r="H327" s="146" t="str" cm="1">
        <f t="array" aca="1" ref="H327" ca="1">IF(Assessment[[#This Row],[JOB TARGET]]="","Job Target Kosong",IF(COUNT(IF('Data Assessment'!$N327:$Z327-OFFSET(Standar!$B$2,MATCH(Assessment[[#This Row],[JOB TARGET
(EST)]],Standar[NAMA JABATAN],0)-1,1,1,13)&lt;0,1,""))&lt;=3,'9 Grid'!$B$4,IF(COUNT(IF('Data Assessment'!$N327:$Z327-OFFSET(Standar!$B$2,MATCH(Assessment[[#This Row],[JOB TARGET]],Standar[NAMA JABATAN],0)-1,1,1,13)&lt;0,1,""))&gt;=7,'9 Grid'!$B$6,'9 Grid'!$B$5)))</f>
        <v>Job Target Kosong</v>
      </c>
      <c r="I327" s="146" t="str">
        <f>IFERROR(IF(Data_Assessment[[#This Row],[IPP (3 YEARS AVERAGE)]]="","(IPP Belum Ada)",IF(Data_Assessment[[#This Row],[IPP (3 YEARS AVERAGE)]]&lt;2,'9 Grid'!$F$2,IF(Data_Assessment[[#This Row],[IPP (3 YEARS AVERAGE)]]&gt;=4,'9 Grid'!$D$2,'9 Grid'!$E$2))),"")</f>
        <v>Fully Competence Performance</v>
      </c>
      <c r="J327" s="146" t="str">
        <f ca="1">IFERROR(INDEX('9 Grid'!$D$4:$F$6,MATCH('Rekomendasi HAV'!H327,'9 Grid'!$B$4:$B$6,0),MATCH('Rekomendasi HAV'!I327,'9 Grid'!$D$2:$F$2,0)),"")</f>
        <v/>
      </c>
      <c r="K327" s="146" t="str">
        <f>IFERROR(INDEX('9 Grid'!$D$8:$F$8,1,MATCH('Rekomendasi HAV'!I327,'9 Grid'!$D$2:$F$2,0)),"")</f>
        <v>(ST) Within 12 - 18 month</v>
      </c>
      <c r="L327" s="146">
        <f>IF(ISNUMBER(SEARCH("EST",Assessment[[#This Row],[JOB TARGET]])),SUBSTITUTE(Assessment[[#This Row],[JOB TARGET]],"EST","DEV"),Assessment[[#This Row],[JOB TARGET]])</f>
        <v>0</v>
      </c>
      <c r="M327" s="146" t="str" cm="1">
        <f t="array" aca="1" ref="M327" ca="1">IF(Assessment[[#This Row],[JOB TARGET]]="","Job Target Kosong",IF(COUNT(IF('Data Assessment'!$N327:$Z327-OFFSET(Standar!$B$2,MATCH(Assessment[[#This Row],[JOB TARGET
(DEV)]],Standar[NAMA JABATAN],0)-1,1,1,13)&lt;0,1,""))&lt;=3,'9 Grid'!$B$4,IF(COUNT(IF('Data Assessment'!$N327:$Z327-OFFSET(Standar!$B$2,MATCH(Assessment[[#This Row],[JOB TARGET
(DEV)]],Standar[NAMA JABATAN],0)-1,1,1,13)&lt;0,1,""))&gt;=7,'9 Grid'!$B$6,'9 Grid'!$B$5)))</f>
        <v>Job Target Kosong</v>
      </c>
      <c r="N327" s="146" t="str">
        <f>IFERROR(IF(Data_Assessment[[#This Row],[IPP (3 YEARS AVERAGE)]]="","(IPP Belum Ada)",IF(Data_Assessment[[#This Row],[IPP (3 YEARS AVERAGE)]]&lt;2,'9 Grid'!$F$2,IF(Data_Assessment[[#This Row],[IPP (3 YEARS AVERAGE)]]&gt;=4,'9 Grid'!$D$2,'9 Grid'!$E$2))),"")</f>
        <v>Fully Competence Performance</v>
      </c>
      <c r="O327" s="146" t="str">
        <f ca="1">IFERROR(INDEX('9 Grid'!$D$4:$F$6,MATCH('Rekomendasi HAV'!M327,'9 Grid'!$B$4:$B$6,0),MATCH('Rekomendasi HAV'!N327,'9 Grid'!$D$2:$F$2,0)),"")</f>
        <v/>
      </c>
      <c r="P327" s="147" t="str">
        <f>IFERROR(INDEX('9 Grid'!$D$8:$F$8,1,MATCH('Rekomendasi HAV'!N327,'9 Grid'!$D$2:$F$2,0)),"")</f>
        <v>(ST) Within 12 - 18 month</v>
      </c>
    </row>
    <row r="328" spans="1:16" ht="14.25">
      <c r="A328" s="67">
        <v>327</v>
      </c>
      <c r="B328" s="68" t="str">
        <f>INDEX(Data_Assessment[],MATCH('Rekomendasi HAV'!$A328,Data_Assessment[[INDEX]:[INDEX]],0),MATCH('Rekomendasi HAV'!B$1,Data_Assessment[#Headers],0))</f>
        <v>Lia Handayani</v>
      </c>
      <c r="C328" s="68" t="str">
        <f>INDEX(Data_Assessment[],MATCH('Rekomendasi HAV'!$A328,Data_Assessment[[INDEX]:[INDEX]],0),MATCH('Rekomendasi HAV'!C$1,Data_Assessment[#Headers],0))</f>
        <v>Sumatera Utara</v>
      </c>
      <c r="D328" s="68" t="str">
        <f>INDEX(Data_Assessment[],MATCH('Rekomendasi HAV'!$A328,Data_Assessment[[INDEX]:[INDEX]],0),MATCH('Rekomendasi HAV'!D$1,Data_Assessment[#Headers],0))</f>
        <v>LSIP - BLRS - NS</v>
      </c>
      <c r="E328" s="68">
        <f>INDEX(Data_Assessment[],MATCH('Rekomendasi HAV'!$B328,Data_Assessment[[NAME]:[NAME]],0),MATCH('Rekomendasi HAV'!E$1,Data_Assessment[#Headers],0))</f>
        <v>0</v>
      </c>
      <c r="F328" s="68"/>
      <c r="G328" s="68">
        <f>IF(ISNUMBER(SEARCH("DEV",Assessment[[#This Row],[JOB TARGET]])),SUBSTITUTE(Assessment[[#This Row],[JOB TARGET]],"DEV","EST"),Assessment[[#This Row],[JOB TARGET]])</f>
        <v>0</v>
      </c>
      <c r="H328" s="146" t="str" cm="1">
        <f t="array" aca="1" ref="H328" ca="1">IF(Assessment[[#This Row],[JOB TARGET]]="","Job Target Kosong",IF(COUNT(IF('Data Assessment'!$N328:$Z328-OFFSET(Standar!$B$2,MATCH(Assessment[[#This Row],[JOB TARGET
(EST)]],Standar[NAMA JABATAN],0)-1,1,1,13)&lt;0,1,""))&lt;=3,'9 Grid'!$B$4,IF(COUNT(IF('Data Assessment'!$N328:$Z328-OFFSET(Standar!$B$2,MATCH(Assessment[[#This Row],[JOB TARGET]],Standar[NAMA JABATAN],0)-1,1,1,13)&lt;0,1,""))&gt;=7,'9 Grid'!$B$6,'9 Grid'!$B$5)))</f>
        <v>Job Target Kosong</v>
      </c>
      <c r="I328" s="146" t="str">
        <f>IFERROR(IF(Data_Assessment[[#This Row],[IPP (3 YEARS AVERAGE)]]="","(IPP Belum Ada)",IF(Data_Assessment[[#This Row],[IPP (3 YEARS AVERAGE)]]&lt;2,'9 Grid'!$F$2,IF(Data_Assessment[[#This Row],[IPP (3 YEARS AVERAGE)]]&gt;=4,'9 Grid'!$D$2,'9 Grid'!$E$2))),"")</f>
        <v>Exceptional Performance</v>
      </c>
      <c r="J328" s="146" t="str">
        <f ca="1">IFERROR(INDEX('9 Grid'!$D$4:$F$6,MATCH('Rekomendasi HAV'!H328,'9 Grid'!$B$4:$B$6,0),MATCH('Rekomendasi HAV'!I328,'9 Grid'!$D$2:$F$2,0)),"")</f>
        <v/>
      </c>
      <c r="K328" s="146" t="str">
        <f>IFERROR(INDEX('9 Grid'!$D$8:$F$8,1,MATCH('Rekomendasi HAV'!I328,'9 Grid'!$D$2:$F$2,0)),"")</f>
        <v>(I) Immediately</v>
      </c>
      <c r="L328" s="146">
        <f>IF(ISNUMBER(SEARCH("EST",Assessment[[#This Row],[JOB TARGET]])),SUBSTITUTE(Assessment[[#This Row],[JOB TARGET]],"EST","DEV"),Assessment[[#This Row],[JOB TARGET]])</f>
        <v>0</v>
      </c>
      <c r="M328" s="146" t="str" cm="1">
        <f t="array" aca="1" ref="M328" ca="1">IF(Assessment[[#This Row],[JOB TARGET]]="","Job Target Kosong",IF(COUNT(IF('Data Assessment'!$N328:$Z328-OFFSET(Standar!$B$2,MATCH(Assessment[[#This Row],[JOB TARGET
(DEV)]],Standar[NAMA JABATAN],0)-1,1,1,13)&lt;0,1,""))&lt;=3,'9 Grid'!$B$4,IF(COUNT(IF('Data Assessment'!$N328:$Z328-OFFSET(Standar!$B$2,MATCH(Assessment[[#This Row],[JOB TARGET
(DEV)]],Standar[NAMA JABATAN],0)-1,1,1,13)&lt;0,1,""))&gt;=7,'9 Grid'!$B$6,'9 Grid'!$B$5)))</f>
        <v>Job Target Kosong</v>
      </c>
      <c r="N328" s="146" t="str">
        <f>IFERROR(IF(Data_Assessment[[#This Row],[IPP (3 YEARS AVERAGE)]]="","(IPP Belum Ada)",IF(Data_Assessment[[#This Row],[IPP (3 YEARS AVERAGE)]]&lt;2,'9 Grid'!$F$2,IF(Data_Assessment[[#This Row],[IPP (3 YEARS AVERAGE)]]&gt;=4,'9 Grid'!$D$2,'9 Grid'!$E$2))),"")</f>
        <v>Exceptional Performance</v>
      </c>
      <c r="O328" s="146" t="str">
        <f ca="1">IFERROR(INDEX('9 Grid'!$D$4:$F$6,MATCH('Rekomendasi HAV'!M328,'9 Grid'!$B$4:$B$6,0),MATCH('Rekomendasi HAV'!N328,'9 Grid'!$D$2:$F$2,0)),"")</f>
        <v/>
      </c>
      <c r="P328" s="147" t="str">
        <f>IFERROR(INDEX('9 Grid'!$D$8:$F$8,1,MATCH('Rekomendasi HAV'!N328,'9 Grid'!$D$2:$F$2,0)),"")</f>
        <v>(I) Immediately</v>
      </c>
    </row>
    <row r="329" spans="1:16" ht="28.5">
      <c r="A329" s="67">
        <v>328</v>
      </c>
      <c r="B329" s="68" t="str">
        <f>INDEX(Data_Assessment[],MATCH('Rekomendasi HAV'!$A329,Data_Assessment[[INDEX]:[INDEX]],0),MATCH('Rekomendasi HAV'!B$1,Data_Assessment[#Headers],0))</f>
        <v>Triningsih</v>
      </c>
      <c r="C329" s="68" t="str">
        <f>INDEX(Data_Assessment[],MATCH('Rekomendasi HAV'!$A329,Data_Assessment[[INDEX]:[INDEX]],0),MATCH('Rekomendasi HAV'!C$1,Data_Assessment[#Headers],0))</f>
        <v>Sumatera Utara</v>
      </c>
      <c r="D329" s="68" t="str">
        <f>INDEX(Data_Assessment[],MATCH('Rekomendasi HAV'!$A329,Data_Assessment[[INDEX]:[INDEX]],0),MATCH('Rekomendasi HAV'!D$1,Data_Assessment[#Headers],0))</f>
        <v>LSIP - BLRS - NS</v>
      </c>
      <c r="E329" s="68">
        <f>INDEX(Data_Assessment[],MATCH('Rekomendasi HAV'!$B329,Data_Assessment[[NAME]:[NAME]],0),MATCH('Rekomendasi HAV'!E$1,Data_Assessment[#Headers],0))</f>
        <v>0</v>
      </c>
      <c r="F329" s="68"/>
      <c r="G329" s="68">
        <f>IF(ISNUMBER(SEARCH("DEV",Assessment[[#This Row],[JOB TARGET]])),SUBSTITUTE(Assessment[[#This Row],[JOB TARGET]],"DEV","EST"),Assessment[[#This Row],[JOB TARGET]])</f>
        <v>0</v>
      </c>
      <c r="H329" s="146" t="str" cm="1">
        <f t="array" aca="1" ref="H329" ca="1">IF(Assessment[[#This Row],[JOB TARGET]]="","Job Target Kosong",IF(COUNT(IF('Data Assessment'!$N329:$Z329-OFFSET(Standar!$B$2,MATCH(Assessment[[#This Row],[JOB TARGET
(EST)]],Standar[NAMA JABATAN],0)-1,1,1,13)&lt;0,1,""))&lt;=3,'9 Grid'!$B$4,IF(COUNT(IF('Data Assessment'!$N329:$Z329-OFFSET(Standar!$B$2,MATCH(Assessment[[#This Row],[JOB TARGET]],Standar[NAMA JABATAN],0)-1,1,1,13)&lt;0,1,""))&gt;=7,'9 Grid'!$B$6,'9 Grid'!$B$5)))</f>
        <v>Job Target Kosong</v>
      </c>
      <c r="I329" s="146" t="str">
        <f>IFERROR(IF(Data_Assessment[[#This Row],[IPP (3 YEARS AVERAGE)]]="","(IPP Belum Ada)",IF(Data_Assessment[[#This Row],[IPP (3 YEARS AVERAGE)]]&lt;2,'9 Grid'!$F$2,IF(Data_Assessment[[#This Row],[IPP (3 YEARS AVERAGE)]]&gt;=4,'9 Grid'!$D$2,'9 Grid'!$E$2))),"")</f>
        <v>Fully Competence Performance</v>
      </c>
      <c r="J329" s="146" t="str">
        <f ca="1">IFERROR(INDEX('9 Grid'!$D$4:$F$6,MATCH('Rekomendasi HAV'!H329,'9 Grid'!$B$4:$B$6,0),MATCH('Rekomendasi HAV'!I329,'9 Grid'!$D$2:$F$2,0)),"")</f>
        <v/>
      </c>
      <c r="K329" s="146" t="str">
        <f>IFERROR(INDEX('9 Grid'!$D$8:$F$8,1,MATCH('Rekomendasi HAV'!I329,'9 Grid'!$D$2:$F$2,0)),"")</f>
        <v>(ST) Within 12 - 18 month</v>
      </c>
      <c r="L329" s="146">
        <f>IF(ISNUMBER(SEARCH("EST",Assessment[[#This Row],[JOB TARGET]])),SUBSTITUTE(Assessment[[#This Row],[JOB TARGET]],"EST","DEV"),Assessment[[#This Row],[JOB TARGET]])</f>
        <v>0</v>
      </c>
      <c r="M329" s="146" t="str" cm="1">
        <f t="array" aca="1" ref="M329" ca="1">IF(Assessment[[#This Row],[JOB TARGET]]="","Job Target Kosong",IF(COUNT(IF('Data Assessment'!$N329:$Z329-OFFSET(Standar!$B$2,MATCH(Assessment[[#This Row],[JOB TARGET
(DEV)]],Standar[NAMA JABATAN],0)-1,1,1,13)&lt;0,1,""))&lt;=3,'9 Grid'!$B$4,IF(COUNT(IF('Data Assessment'!$N329:$Z329-OFFSET(Standar!$B$2,MATCH(Assessment[[#This Row],[JOB TARGET
(DEV)]],Standar[NAMA JABATAN],0)-1,1,1,13)&lt;0,1,""))&gt;=7,'9 Grid'!$B$6,'9 Grid'!$B$5)))</f>
        <v>Job Target Kosong</v>
      </c>
      <c r="N329" s="146" t="str">
        <f>IFERROR(IF(Data_Assessment[[#This Row],[IPP (3 YEARS AVERAGE)]]="","(IPP Belum Ada)",IF(Data_Assessment[[#This Row],[IPP (3 YEARS AVERAGE)]]&lt;2,'9 Grid'!$F$2,IF(Data_Assessment[[#This Row],[IPP (3 YEARS AVERAGE)]]&gt;=4,'9 Grid'!$D$2,'9 Grid'!$E$2))),"")</f>
        <v>Fully Competence Performance</v>
      </c>
      <c r="O329" s="146" t="str">
        <f ca="1">IFERROR(INDEX('9 Grid'!$D$4:$F$6,MATCH('Rekomendasi HAV'!M329,'9 Grid'!$B$4:$B$6,0),MATCH('Rekomendasi HAV'!N329,'9 Grid'!$D$2:$F$2,0)),"")</f>
        <v/>
      </c>
      <c r="P329" s="147" t="str">
        <f>IFERROR(INDEX('9 Grid'!$D$8:$F$8,1,MATCH('Rekomendasi HAV'!N329,'9 Grid'!$D$2:$F$2,0)),"")</f>
        <v>(ST) Within 12 - 18 month</v>
      </c>
    </row>
    <row r="330" spans="1:16" ht="28.5">
      <c r="A330" s="67">
        <v>329</v>
      </c>
      <c r="B330" s="68" t="str">
        <f>INDEX(Data_Assessment[],MATCH('Rekomendasi HAV'!$A330,Data_Assessment[[INDEX]:[INDEX]],0),MATCH('Rekomendasi HAV'!B$1,Data_Assessment[#Headers],0))</f>
        <v>Friska Lesmana</v>
      </c>
      <c r="C330" s="68" t="str">
        <f>INDEX(Data_Assessment[],MATCH('Rekomendasi HAV'!$A330,Data_Assessment[[INDEX]:[INDEX]],0),MATCH('Rekomendasi HAV'!C$1,Data_Assessment[#Headers],0))</f>
        <v>Jakarta</v>
      </c>
      <c r="D330" s="68" t="str">
        <f>INDEX(Data_Assessment[],MATCH('Rekomendasi HAV'!$A330,Data_Assessment[[INDEX]:[INDEX]],0),MATCH('Rekomendasi HAV'!D$1,Data_Assessment[#Headers],0))</f>
        <v>LSIP - HO Jakarta</v>
      </c>
      <c r="E330" s="68">
        <f>INDEX(Data_Assessment[],MATCH('Rekomendasi HAV'!$B330,Data_Assessment[[NAME]:[NAME]],0),MATCH('Rekomendasi HAV'!E$1,Data_Assessment[#Headers],0))</f>
        <v>0</v>
      </c>
      <c r="F330" s="68"/>
      <c r="G330" s="68">
        <f>IF(ISNUMBER(SEARCH("DEV",Assessment[[#This Row],[JOB TARGET]])),SUBSTITUTE(Assessment[[#This Row],[JOB TARGET]],"DEV","EST"),Assessment[[#This Row],[JOB TARGET]])</f>
        <v>0</v>
      </c>
      <c r="H330" s="146" t="str" cm="1">
        <f t="array" aca="1" ref="H330" ca="1">IF(Assessment[[#This Row],[JOB TARGET]]="","Job Target Kosong",IF(COUNT(IF('Data Assessment'!$N330:$Z330-OFFSET(Standar!$B$2,MATCH(Assessment[[#This Row],[JOB TARGET
(EST)]],Standar[NAMA JABATAN],0)-1,1,1,13)&lt;0,1,""))&lt;=3,'9 Grid'!$B$4,IF(COUNT(IF('Data Assessment'!$N330:$Z330-OFFSET(Standar!$B$2,MATCH(Assessment[[#This Row],[JOB TARGET]],Standar[NAMA JABATAN],0)-1,1,1,13)&lt;0,1,""))&gt;=7,'9 Grid'!$B$6,'9 Grid'!$B$5)))</f>
        <v>Job Target Kosong</v>
      </c>
      <c r="I330" s="146" t="str">
        <f>IFERROR(IF(Data_Assessment[[#This Row],[IPP (3 YEARS AVERAGE)]]="","(IPP Belum Ada)",IF(Data_Assessment[[#This Row],[IPP (3 YEARS AVERAGE)]]&lt;2,'9 Grid'!$F$2,IF(Data_Assessment[[#This Row],[IPP (3 YEARS AVERAGE)]]&gt;=4,'9 Grid'!$D$2,'9 Grid'!$E$2))),"")</f>
        <v>Fully Competence Performance</v>
      </c>
      <c r="J330" s="146" t="str">
        <f ca="1">IFERROR(INDEX('9 Grid'!$D$4:$F$6,MATCH('Rekomendasi HAV'!H330,'9 Grid'!$B$4:$B$6,0),MATCH('Rekomendasi HAV'!I330,'9 Grid'!$D$2:$F$2,0)),"")</f>
        <v/>
      </c>
      <c r="K330" s="146" t="str">
        <f>IFERROR(INDEX('9 Grid'!$D$8:$F$8,1,MATCH('Rekomendasi HAV'!I330,'9 Grid'!$D$2:$F$2,0)),"")</f>
        <v>(ST) Within 12 - 18 month</v>
      </c>
      <c r="L330" s="146">
        <f>IF(ISNUMBER(SEARCH("EST",Assessment[[#This Row],[JOB TARGET]])),SUBSTITUTE(Assessment[[#This Row],[JOB TARGET]],"EST","DEV"),Assessment[[#This Row],[JOB TARGET]])</f>
        <v>0</v>
      </c>
      <c r="M330" s="146" t="str" cm="1">
        <f t="array" aca="1" ref="M330" ca="1">IF(Assessment[[#This Row],[JOB TARGET]]="","Job Target Kosong",IF(COUNT(IF('Data Assessment'!$N330:$Z330-OFFSET(Standar!$B$2,MATCH(Assessment[[#This Row],[JOB TARGET
(DEV)]],Standar[NAMA JABATAN],0)-1,1,1,13)&lt;0,1,""))&lt;=3,'9 Grid'!$B$4,IF(COUNT(IF('Data Assessment'!$N330:$Z330-OFFSET(Standar!$B$2,MATCH(Assessment[[#This Row],[JOB TARGET
(DEV)]],Standar[NAMA JABATAN],0)-1,1,1,13)&lt;0,1,""))&gt;=7,'9 Grid'!$B$6,'9 Grid'!$B$5)))</f>
        <v>Job Target Kosong</v>
      </c>
      <c r="N330" s="146" t="str">
        <f>IFERROR(IF(Data_Assessment[[#This Row],[IPP (3 YEARS AVERAGE)]]="","(IPP Belum Ada)",IF(Data_Assessment[[#This Row],[IPP (3 YEARS AVERAGE)]]&lt;2,'9 Grid'!$F$2,IF(Data_Assessment[[#This Row],[IPP (3 YEARS AVERAGE)]]&gt;=4,'9 Grid'!$D$2,'9 Grid'!$E$2))),"")</f>
        <v>Fully Competence Performance</v>
      </c>
      <c r="O330" s="146" t="str">
        <f ca="1">IFERROR(INDEX('9 Grid'!$D$4:$F$6,MATCH('Rekomendasi HAV'!M330,'9 Grid'!$B$4:$B$6,0),MATCH('Rekomendasi HAV'!N330,'9 Grid'!$D$2:$F$2,0)),"")</f>
        <v/>
      </c>
      <c r="P330" s="147" t="str">
        <f>IFERROR(INDEX('9 Grid'!$D$8:$F$8,1,MATCH('Rekomendasi HAV'!N330,'9 Grid'!$D$2:$F$2,0)),"")</f>
        <v>(ST) Within 12 - 18 month</v>
      </c>
    </row>
    <row r="331" spans="1:16" ht="28.5">
      <c r="A331" s="67">
        <v>330</v>
      </c>
      <c r="B331" s="68" t="str">
        <f>INDEX(Data_Assessment[],MATCH('Rekomendasi HAV'!$A331,Data_Assessment[[INDEX]:[INDEX]],0),MATCH('Rekomendasi HAV'!B$1,Data_Assessment[#Headers],0))</f>
        <v>Hary Nugraha Sugiarto</v>
      </c>
      <c r="C331" s="68" t="str">
        <f>INDEX(Data_Assessment[],MATCH('Rekomendasi HAV'!$A331,Data_Assessment[[INDEX]:[INDEX]],0),MATCH('Rekomendasi HAV'!C$1,Data_Assessment[#Headers],0))</f>
        <v>Sumatera Utara</v>
      </c>
      <c r="D331" s="68" t="str">
        <f>INDEX(Data_Assessment[],MATCH('Rekomendasi HAV'!$A331,Data_Assessment[[INDEX]:[INDEX]],0),MATCH('Rekomendasi HAV'!D$1,Data_Assessment[#Headers],0))</f>
        <v>LSIP - BLRS - NS</v>
      </c>
      <c r="E331" s="68">
        <f>INDEX(Data_Assessment[],MATCH('Rekomendasi HAV'!$B331,Data_Assessment[[NAME]:[NAME]],0),MATCH('Rekomendasi HAV'!E$1,Data_Assessment[#Headers],0))</f>
        <v>0</v>
      </c>
      <c r="F331" s="68"/>
      <c r="G331" s="68">
        <f>IF(ISNUMBER(SEARCH("DEV",Assessment[[#This Row],[JOB TARGET]])),SUBSTITUTE(Assessment[[#This Row],[JOB TARGET]],"DEV","EST"),Assessment[[#This Row],[JOB TARGET]])</f>
        <v>0</v>
      </c>
      <c r="H331" s="146" t="str" cm="1">
        <f t="array" aca="1" ref="H331" ca="1">IF(Assessment[[#This Row],[JOB TARGET]]="","Job Target Kosong",IF(COUNT(IF('Data Assessment'!$N331:$Z331-OFFSET(Standar!$B$2,MATCH(Assessment[[#This Row],[JOB TARGET
(EST)]],Standar[NAMA JABATAN],0)-1,1,1,13)&lt;0,1,""))&lt;=3,'9 Grid'!$B$4,IF(COUNT(IF('Data Assessment'!$N331:$Z331-OFFSET(Standar!$B$2,MATCH(Assessment[[#This Row],[JOB TARGET]],Standar[NAMA JABATAN],0)-1,1,1,13)&lt;0,1,""))&gt;=7,'9 Grid'!$B$6,'9 Grid'!$B$5)))</f>
        <v>Job Target Kosong</v>
      </c>
      <c r="I331" s="146" t="str">
        <f>IFERROR(IF(Data_Assessment[[#This Row],[IPP (3 YEARS AVERAGE)]]="","(IPP Belum Ada)",IF(Data_Assessment[[#This Row],[IPP (3 YEARS AVERAGE)]]&lt;2,'9 Grid'!$F$2,IF(Data_Assessment[[#This Row],[IPP (3 YEARS AVERAGE)]]&gt;=4,'9 Grid'!$D$2,'9 Grid'!$E$2))),"")</f>
        <v>Fully Competence Performance</v>
      </c>
      <c r="J331" s="146" t="str">
        <f ca="1">IFERROR(INDEX('9 Grid'!$D$4:$F$6,MATCH('Rekomendasi HAV'!H331,'9 Grid'!$B$4:$B$6,0),MATCH('Rekomendasi HAV'!I331,'9 Grid'!$D$2:$F$2,0)),"")</f>
        <v/>
      </c>
      <c r="K331" s="146" t="str">
        <f>IFERROR(INDEX('9 Grid'!$D$8:$F$8,1,MATCH('Rekomendasi HAV'!I331,'9 Grid'!$D$2:$F$2,0)),"")</f>
        <v>(ST) Within 12 - 18 month</v>
      </c>
      <c r="L331" s="146">
        <f>IF(ISNUMBER(SEARCH("EST",Assessment[[#This Row],[JOB TARGET]])),SUBSTITUTE(Assessment[[#This Row],[JOB TARGET]],"EST","DEV"),Assessment[[#This Row],[JOB TARGET]])</f>
        <v>0</v>
      </c>
      <c r="M331" s="146" t="str" cm="1">
        <f t="array" aca="1" ref="M331" ca="1">IF(Assessment[[#This Row],[JOB TARGET]]="","Job Target Kosong",IF(COUNT(IF('Data Assessment'!$N331:$Z331-OFFSET(Standar!$B$2,MATCH(Assessment[[#This Row],[JOB TARGET
(DEV)]],Standar[NAMA JABATAN],0)-1,1,1,13)&lt;0,1,""))&lt;=3,'9 Grid'!$B$4,IF(COUNT(IF('Data Assessment'!$N331:$Z331-OFFSET(Standar!$B$2,MATCH(Assessment[[#This Row],[JOB TARGET
(DEV)]],Standar[NAMA JABATAN],0)-1,1,1,13)&lt;0,1,""))&gt;=7,'9 Grid'!$B$6,'9 Grid'!$B$5)))</f>
        <v>Job Target Kosong</v>
      </c>
      <c r="N331" s="146" t="str">
        <f>IFERROR(IF(Data_Assessment[[#This Row],[IPP (3 YEARS AVERAGE)]]="","(IPP Belum Ada)",IF(Data_Assessment[[#This Row],[IPP (3 YEARS AVERAGE)]]&lt;2,'9 Grid'!$F$2,IF(Data_Assessment[[#This Row],[IPP (3 YEARS AVERAGE)]]&gt;=4,'9 Grid'!$D$2,'9 Grid'!$E$2))),"")</f>
        <v>Fully Competence Performance</v>
      </c>
      <c r="O331" s="146" t="str">
        <f ca="1">IFERROR(INDEX('9 Grid'!$D$4:$F$6,MATCH('Rekomendasi HAV'!M331,'9 Grid'!$B$4:$B$6,0),MATCH('Rekomendasi HAV'!N331,'9 Grid'!$D$2:$F$2,0)),"")</f>
        <v/>
      </c>
      <c r="P331" s="147" t="str">
        <f>IFERROR(INDEX('9 Grid'!$D$8:$F$8,1,MATCH('Rekomendasi HAV'!N331,'9 Grid'!$D$2:$F$2,0)),"")</f>
        <v>(ST) Within 12 - 18 month</v>
      </c>
    </row>
    <row r="332" spans="1:16" ht="28.5">
      <c r="A332" s="67">
        <v>331</v>
      </c>
      <c r="B332" s="68" t="str">
        <f>INDEX(Data_Assessment[],MATCH('Rekomendasi HAV'!$A332,Data_Assessment[[INDEX]:[INDEX]],0),MATCH('Rekomendasi HAV'!B$1,Data_Assessment[#Headers],0))</f>
        <v>Hendra Surya</v>
      </c>
      <c r="C332" s="68" t="str">
        <f>INDEX(Data_Assessment[],MATCH('Rekomendasi HAV'!$A332,Data_Assessment[[INDEX]:[INDEX]],0),MATCH('Rekomendasi HAV'!C$1,Data_Assessment[#Headers],0))</f>
        <v>Sumatera Utara</v>
      </c>
      <c r="D332" s="68" t="str">
        <f>INDEX(Data_Assessment[],MATCH('Rekomendasi HAV'!$A332,Data_Assessment[[INDEX]:[INDEX]],0),MATCH('Rekomendasi HAV'!D$1,Data_Assessment[#Headers],0))</f>
        <v>LSIP - BLRS - NS</v>
      </c>
      <c r="E332" s="68">
        <f>INDEX(Data_Assessment[],MATCH('Rekomendasi HAV'!$B332,Data_Assessment[[NAME]:[NAME]],0),MATCH('Rekomendasi HAV'!E$1,Data_Assessment[#Headers],0))</f>
        <v>0</v>
      </c>
      <c r="F332" s="68"/>
      <c r="G332" s="68">
        <f>IF(ISNUMBER(SEARCH("DEV",Assessment[[#This Row],[JOB TARGET]])),SUBSTITUTE(Assessment[[#This Row],[JOB TARGET]],"DEV","EST"),Assessment[[#This Row],[JOB TARGET]])</f>
        <v>0</v>
      </c>
      <c r="H332" s="146" t="str" cm="1">
        <f t="array" aca="1" ref="H332" ca="1">IF(Assessment[[#This Row],[JOB TARGET]]="","Job Target Kosong",IF(COUNT(IF('Data Assessment'!$N332:$Z332-OFFSET(Standar!$B$2,MATCH(Assessment[[#This Row],[JOB TARGET
(EST)]],Standar[NAMA JABATAN],0)-1,1,1,13)&lt;0,1,""))&lt;=3,'9 Grid'!$B$4,IF(COUNT(IF('Data Assessment'!$N332:$Z332-OFFSET(Standar!$B$2,MATCH(Assessment[[#This Row],[JOB TARGET]],Standar[NAMA JABATAN],0)-1,1,1,13)&lt;0,1,""))&gt;=7,'9 Grid'!$B$6,'9 Grid'!$B$5)))</f>
        <v>Job Target Kosong</v>
      </c>
      <c r="I332" s="146" t="str">
        <f>IFERROR(IF(Data_Assessment[[#This Row],[IPP (3 YEARS AVERAGE)]]="","(IPP Belum Ada)",IF(Data_Assessment[[#This Row],[IPP (3 YEARS AVERAGE)]]&lt;2,'9 Grid'!$F$2,IF(Data_Assessment[[#This Row],[IPP (3 YEARS AVERAGE)]]&gt;=4,'9 Grid'!$D$2,'9 Grid'!$E$2))),"")</f>
        <v>Fully Competence Performance</v>
      </c>
      <c r="J332" s="146" t="str">
        <f ca="1">IFERROR(INDEX('9 Grid'!$D$4:$F$6,MATCH('Rekomendasi HAV'!H332,'9 Grid'!$B$4:$B$6,0),MATCH('Rekomendasi HAV'!I332,'9 Grid'!$D$2:$F$2,0)),"")</f>
        <v/>
      </c>
      <c r="K332" s="146" t="str">
        <f>IFERROR(INDEX('9 Grid'!$D$8:$F$8,1,MATCH('Rekomendasi HAV'!I332,'9 Grid'!$D$2:$F$2,0)),"")</f>
        <v>(ST) Within 12 - 18 month</v>
      </c>
      <c r="L332" s="146">
        <f>IF(ISNUMBER(SEARCH("EST",Assessment[[#This Row],[JOB TARGET]])),SUBSTITUTE(Assessment[[#This Row],[JOB TARGET]],"EST","DEV"),Assessment[[#This Row],[JOB TARGET]])</f>
        <v>0</v>
      </c>
      <c r="M332" s="146" t="str" cm="1">
        <f t="array" aca="1" ref="M332" ca="1">IF(Assessment[[#This Row],[JOB TARGET]]="","Job Target Kosong",IF(COUNT(IF('Data Assessment'!$N332:$Z332-OFFSET(Standar!$B$2,MATCH(Assessment[[#This Row],[JOB TARGET
(DEV)]],Standar[NAMA JABATAN],0)-1,1,1,13)&lt;0,1,""))&lt;=3,'9 Grid'!$B$4,IF(COUNT(IF('Data Assessment'!$N332:$Z332-OFFSET(Standar!$B$2,MATCH(Assessment[[#This Row],[JOB TARGET
(DEV)]],Standar[NAMA JABATAN],0)-1,1,1,13)&lt;0,1,""))&gt;=7,'9 Grid'!$B$6,'9 Grid'!$B$5)))</f>
        <v>Job Target Kosong</v>
      </c>
      <c r="N332" s="146" t="str">
        <f>IFERROR(IF(Data_Assessment[[#This Row],[IPP (3 YEARS AVERAGE)]]="","(IPP Belum Ada)",IF(Data_Assessment[[#This Row],[IPP (3 YEARS AVERAGE)]]&lt;2,'9 Grid'!$F$2,IF(Data_Assessment[[#This Row],[IPP (3 YEARS AVERAGE)]]&gt;=4,'9 Grid'!$D$2,'9 Grid'!$E$2))),"")</f>
        <v>Fully Competence Performance</v>
      </c>
      <c r="O332" s="146" t="str">
        <f ca="1">IFERROR(INDEX('9 Grid'!$D$4:$F$6,MATCH('Rekomendasi HAV'!M332,'9 Grid'!$B$4:$B$6,0),MATCH('Rekomendasi HAV'!N332,'9 Grid'!$D$2:$F$2,0)),"")</f>
        <v/>
      </c>
      <c r="P332" s="147" t="str">
        <f>IFERROR(INDEX('9 Grid'!$D$8:$F$8,1,MATCH('Rekomendasi HAV'!N332,'9 Grid'!$D$2:$F$2,0)),"")</f>
        <v>(ST) Within 12 - 18 month</v>
      </c>
    </row>
    <row r="333" spans="1:16" ht="28.5">
      <c r="A333" s="67">
        <v>332</v>
      </c>
      <c r="B333" s="68" t="str">
        <f>INDEX(Data_Assessment[],MATCH('Rekomendasi HAV'!$A333,Data_Assessment[[INDEX]:[INDEX]],0),MATCH('Rekomendasi HAV'!B$1,Data_Assessment[#Headers],0))</f>
        <v>Angga Premana</v>
      </c>
      <c r="C333" s="68" t="str">
        <f>INDEX(Data_Assessment[],MATCH('Rekomendasi HAV'!$A333,Data_Assessment[[INDEX]:[INDEX]],0),MATCH('Rekomendasi HAV'!C$1,Data_Assessment[#Headers],0))</f>
        <v>Sumatera Utara</v>
      </c>
      <c r="D333" s="68" t="str">
        <f>INDEX(Data_Assessment[],MATCH('Rekomendasi HAV'!$A333,Data_Assessment[[INDEX]:[INDEX]],0),MATCH('Rekomendasi HAV'!D$1,Data_Assessment[#Headers],0))</f>
        <v>LSIP - BLRS - NS</v>
      </c>
      <c r="E333" s="68">
        <f>INDEX(Data_Assessment[],MATCH('Rekomendasi HAV'!$B333,Data_Assessment[[NAME]:[NAME]],0),MATCH('Rekomendasi HAV'!E$1,Data_Assessment[#Headers],0))</f>
        <v>0</v>
      </c>
      <c r="F333" s="68"/>
      <c r="G333" s="68">
        <f>IF(ISNUMBER(SEARCH("DEV",Assessment[[#This Row],[JOB TARGET]])),SUBSTITUTE(Assessment[[#This Row],[JOB TARGET]],"DEV","EST"),Assessment[[#This Row],[JOB TARGET]])</f>
        <v>0</v>
      </c>
      <c r="H333" s="146" t="str" cm="1">
        <f t="array" aca="1" ref="H333" ca="1">IF(Assessment[[#This Row],[JOB TARGET]]="","Job Target Kosong",IF(COUNT(IF('Data Assessment'!$N333:$Z333-OFFSET(Standar!$B$2,MATCH(Assessment[[#This Row],[JOB TARGET
(EST)]],Standar[NAMA JABATAN],0)-1,1,1,13)&lt;0,1,""))&lt;=3,'9 Grid'!$B$4,IF(COUNT(IF('Data Assessment'!$N333:$Z333-OFFSET(Standar!$B$2,MATCH(Assessment[[#This Row],[JOB TARGET]],Standar[NAMA JABATAN],0)-1,1,1,13)&lt;0,1,""))&gt;=7,'9 Grid'!$B$6,'9 Grid'!$B$5)))</f>
        <v>Job Target Kosong</v>
      </c>
      <c r="I333" s="146" t="str">
        <f>IFERROR(IF(Data_Assessment[[#This Row],[IPP (3 YEARS AVERAGE)]]="","(IPP Belum Ada)",IF(Data_Assessment[[#This Row],[IPP (3 YEARS AVERAGE)]]&lt;2,'9 Grid'!$F$2,IF(Data_Assessment[[#This Row],[IPP (3 YEARS AVERAGE)]]&gt;=4,'9 Grid'!$D$2,'9 Grid'!$E$2))),"")</f>
        <v>Fully Competence Performance</v>
      </c>
      <c r="J333" s="146" t="str">
        <f ca="1">IFERROR(INDEX('9 Grid'!$D$4:$F$6,MATCH('Rekomendasi HAV'!H333,'9 Grid'!$B$4:$B$6,0),MATCH('Rekomendasi HAV'!I333,'9 Grid'!$D$2:$F$2,0)),"")</f>
        <v/>
      </c>
      <c r="K333" s="146" t="str">
        <f>IFERROR(INDEX('9 Grid'!$D$8:$F$8,1,MATCH('Rekomendasi HAV'!I333,'9 Grid'!$D$2:$F$2,0)),"")</f>
        <v>(ST) Within 12 - 18 month</v>
      </c>
      <c r="L333" s="146">
        <f>IF(ISNUMBER(SEARCH("EST",Assessment[[#This Row],[JOB TARGET]])),SUBSTITUTE(Assessment[[#This Row],[JOB TARGET]],"EST","DEV"),Assessment[[#This Row],[JOB TARGET]])</f>
        <v>0</v>
      </c>
      <c r="M333" s="146" t="str" cm="1">
        <f t="array" aca="1" ref="M333" ca="1">IF(Assessment[[#This Row],[JOB TARGET]]="","Job Target Kosong",IF(COUNT(IF('Data Assessment'!$N333:$Z333-OFFSET(Standar!$B$2,MATCH(Assessment[[#This Row],[JOB TARGET
(DEV)]],Standar[NAMA JABATAN],0)-1,1,1,13)&lt;0,1,""))&lt;=3,'9 Grid'!$B$4,IF(COUNT(IF('Data Assessment'!$N333:$Z333-OFFSET(Standar!$B$2,MATCH(Assessment[[#This Row],[JOB TARGET
(DEV)]],Standar[NAMA JABATAN],0)-1,1,1,13)&lt;0,1,""))&gt;=7,'9 Grid'!$B$6,'9 Grid'!$B$5)))</f>
        <v>Job Target Kosong</v>
      </c>
      <c r="N333" s="146" t="str">
        <f>IFERROR(IF(Data_Assessment[[#This Row],[IPP (3 YEARS AVERAGE)]]="","(IPP Belum Ada)",IF(Data_Assessment[[#This Row],[IPP (3 YEARS AVERAGE)]]&lt;2,'9 Grid'!$F$2,IF(Data_Assessment[[#This Row],[IPP (3 YEARS AVERAGE)]]&gt;=4,'9 Grid'!$D$2,'9 Grid'!$E$2))),"")</f>
        <v>Fully Competence Performance</v>
      </c>
      <c r="O333" s="146" t="str">
        <f ca="1">IFERROR(INDEX('9 Grid'!$D$4:$F$6,MATCH('Rekomendasi HAV'!M333,'9 Grid'!$B$4:$B$6,0),MATCH('Rekomendasi HAV'!N333,'9 Grid'!$D$2:$F$2,0)),"")</f>
        <v/>
      </c>
      <c r="P333" s="147" t="str">
        <f>IFERROR(INDEX('9 Grid'!$D$8:$F$8,1,MATCH('Rekomendasi HAV'!N333,'9 Grid'!$D$2:$F$2,0)),"")</f>
        <v>(ST) Within 12 - 18 month</v>
      </c>
    </row>
    <row r="334" spans="1:16" ht="28.5">
      <c r="A334" s="67">
        <v>333</v>
      </c>
      <c r="B334" s="68" t="str">
        <f>INDEX(Data_Assessment[],MATCH('Rekomendasi HAV'!$A334,Data_Assessment[[INDEX]:[INDEX]],0),MATCH('Rekomendasi HAV'!B$1,Data_Assessment[#Headers],0))</f>
        <v>Nikanor Purba</v>
      </c>
      <c r="C334" s="68" t="str">
        <f>INDEX(Data_Assessment[],MATCH('Rekomendasi HAV'!$A334,Data_Assessment[[INDEX]:[INDEX]],0),MATCH('Rekomendasi HAV'!C$1,Data_Assessment[#Headers],0))</f>
        <v>Sumatera Utara</v>
      </c>
      <c r="D334" s="68" t="str">
        <f>INDEX(Data_Assessment[],MATCH('Rekomendasi HAV'!$A334,Data_Assessment[[INDEX]:[INDEX]],0),MATCH('Rekomendasi HAV'!D$1,Data_Assessment[#Headers],0))</f>
        <v>LSIP - Turangie Palm Oil Mill</v>
      </c>
      <c r="E334" s="68">
        <f>INDEX(Data_Assessment[],MATCH('Rekomendasi HAV'!$B334,Data_Assessment[[NAME]:[NAME]],0),MATCH('Rekomendasi HAV'!E$1,Data_Assessment[#Headers],0))</f>
        <v>0</v>
      </c>
      <c r="F334" s="68"/>
      <c r="G334" s="68">
        <f>IF(ISNUMBER(SEARCH("DEV",Assessment[[#This Row],[JOB TARGET]])),SUBSTITUTE(Assessment[[#This Row],[JOB TARGET]],"DEV","EST"),Assessment[[#This Row],[JOB TARGET]])</f>
        <v>0</v>
      </c>
      <c r="H334" s="146" t="str" cm="1">
        <f t="array" aca="1" ref="H334" ca="1">IF(Assessment[[#This Row],[JOB TARGET]]="","Job Target Kosong",IF(COUNT(IF('Data Assessment'!$N334:$Z334-OFFSET(Standar!$B$2,MATCH(Assessment[[#This Row],[JOB TARGET
(EST)]],Standar[NAMA JABATAN],0)-1,1,1,13)&lt;0,1,""))&lt;=3,'9 Grid'!$B$4,IF(COUNT(IF('Data Assessment'!$N334:$Z334-OFFSET(Standar!$B$2,MATCH(Assessment[[#This Row],[JOB TARGET]],Standar[NAMA JABATAN],0)-1,1,1,13)&lt;0,1,""))&gt;=7,'9 Grid'!$B$6,'9 Grid'!$B$5)))</f>
        <v>Job Target Kosong</v>
      </c>
      <c r="I334" s="146" t="str">
        <f>IFERROR(IF(Data_Assessment[[#This Row],[IPP (3 YEARS AVERAGE)]]="","(IPP Belum Ada)",IF(Data_Assessment[[#This Row],[IPP (3 YEARS AVERAGE)]]&lt;2,'9 Grid'!$F$2,IF(Data_Assessment[[#This Row],[IPP (3 YEARS AVERAGE)]]&gt;=4,'9 Grid'!$D$2,'9 Grid'!$E$2))),"")</f>
        <v>Fully Competence Performance</v>
      </c>
      <c r="J334" s="146" t="str">
        <f ca="1">IFERROR(INDEX('9 Grid'!$D$4:$F$6,MATCH('Rekomendasi HAV'!H334,'9 Grid'!$B$4:$B$6,0),MATCH('Rekomendasi HAV'!I334,'9 Grid'!$D$2:$F$2,0)),"")</f>
        <v/>
      </c>
      <c r="K334" s="146" t="str">
        <f>IFERROR(INDEX('9 Grid'!$D$8:$F$8,1,MATCH('Rekomendasi HAV'!I334,'9 Grid'!$D$2:$F$2,0)),"")</f>
        <v>(ST) Within 12 - 18 month</v>
      </c>
      <c r="L334" s="146">
        <f>IF(ISNUMBER(SEARCH("EST",Assessment[[#This Row],[JOB TARGET]])),SUBSTITUTE(Assessment[[#This Row],[JOB TARGET]],"EST","DEV"),Assessment[[#This Row],[JOB TARGET]])</f>
        <v>0</v>
      </c>
      <c r="M334" s="146" t="str" cm="1">
        <f t="array" aca="1" ref="M334" ca="1">IF(Assessment[[#This Row],[JOB TARGET]]="","Job Target Kosong",IF(COUNT(IF('Data Assessment'!$N334:$Z334-OFFSET(Standar!$B$2,MATCH(Assessment[[#This Row],[JOB TARGET
(DEV)]],Standar[NAMA JABATAN],0)-1,1,1,13)&lt;0,1,""))&lt;=3,'9 Grid'!$B$4,IF(COUNT(IF('Data Assessment'!$N334:$Z334-OFFSET(Standar!$B$2,MATCH(Assessment[[#This Row],[JOB TARGET
(DEV)]],Standar[NAMA JABATAN],0)-1,1,1,13)&lt;0,1,""))&gt;=7,'9 Grid'!$B$6,'9 Grid'!$B$5)))</f>
        <v>Job Target Kosong</v>
      </c>
      <c r="N334" s="146" t="str">
        <f>IFERROR(IF(Data_Assessment[[#This Row],[IPP (3 YEARS AVERAGE)]]="","(IPP Belum Ada)",IF(Data_Assessment[[#This Row],[IPP (3 YEARS AVERAGE)]]&lt;2,'9 Grid'!$F$2,IF(Data_Assessment[[#This Row],[IPP (3 YEARS AVERAGE)]]&gt;=4,'9 Grid'!$D$2,'9 Grid'!$E$2))),"")</f>
        <v>Fully Competence Performance</v>
      </c>
      <c r="O334" s="146" t="str">
        <f ca="1">IFERROR(INDEX('9 Grid'!$D$4:$F$6,MATCH('Rekomendasi HAV'!M334,'9 Grid'!$B$4:$B$6,0),MATCH('Rekomendasi HAV'!N334,'9 Grid'!$D$2:$F$2,0)),"")</f>
        <v/>
      </c>
      <c r="P334" s="147" t="str">
        <f>IFERROR(INDEX('9 Grid'!$D$8:$F$8,1,MATCH('Rekomendasi HAV'!N334,'9 Grid'!$D$2:$F$2,0)),"")</f>
        <v>(ST) Within 12 - 18 month</v>
      </c>
    </row>
    <row r="335" spans="1:16" ht="28.5">
      <c r="A335" s="67">
        <v>334</v>
      </c>
      <c r="B335" s="68" t="str">
        <f>INDEX(Data_Assessment[],MATCH('Rekomendasi HAV'!$A335,Data_Assessment[[INDEX]:[INDEX]],0),MATCH('Rekomendasi HAV'!B$1,Data_Assessment[#Headers],0))</f>
        <v>Ivan Andri Harianja</v>
      </c>
      <c r="C335" s="68" t="str">
        <f>INDEX(Data_Assessment[],MATCH('Rekomendasi HAV'!$A335,Data_Assessment[[INDEX]:[INDEX]],0),MATCH('Rekomendasi HAV'!C$1,Data_Assessment[#Headers],0))</f>
        <v>Sumatera Utara</v>
      </c>
      <c r="D335" s="68" t="str">
        <f>INDEX(Data_Assessment[],MATCH('Rekomendasi HAV'!$A335,Data_Assessment[[INDEX]:[INDEX]],0),MATCH('Rekomendasi HAV'!D$1,Data_Assessment[#Headers],0))</f>
        <v>LSIP - Begerpang Palm Oil Mill</v>
      </c>
      <c r="E335" s="68">
        <f>INDEX(Data_Assessment[],MATCH('Rekomendasi HAV'!$B335,Data_Assessment[[NAME]:[NAME]],0),MATCH('Rekomendasi HAV'!E$1,Data_Assessment[#Headers],0))</f>
        <v>0</v>
      </c>
      <c r="F335" s="68"/>
      <c r="G335" s="68">
        <f>IF(ISNUMBER(SEARCH("DEV",Assessment[[#This Row],[JOB TARGET]])),SUBSTITUTE(Assessment[[#This Row],[JOB TARGET]],"DEV","EST"),Assessment[[#This Row],[JOB TARGET]])</f>
        <v>0</v>
      </c>
      <c r="H335" s="146" t="str" cm="1">
        <f t="array" aca="1" ref="H335" ca="1">IF(Assessment[[#This Row],[JOB TARGET]]="","Job Target Kosong",IF(COUNT(IF('Data Assessment'!$N335:$Z335-OFFSET(Standar!$B$2,MATCH(Assessment[[#This Row],[JOB TARGET
(EST)]],Standar[NAMA JABATAN],0)-1,1,1,13)&lt;0,1,""))&lt;=3,'9 Grid'!$B$4,IF(COUNT(IF('Data Assessment'!$N335:$Z335-OFFSET(Standar!$B$2,MATCH(Assessment[[#This Row],[JOB TARGET]],Standar[NAMA JABATAN],0)-1,1,1,13)&lt;0,1,""))&gt;=7,'9 Grid'!$B$6,'9 Grid'!$B$5)))</f>
        <v>Job Target Kosong</v>
      </c>
      <c r="I335" s="146" t="str">
        <f>IFERROR(IF(Data_Assessment[[#This Row],[IPP (3 YEARS AVERAGE)]]="","(IPP Belum Ada)",IF(Data_Assessment[[#This Row],[IPP (3 YEARS AVERAGE)]]&lt;2,'9 Grid'!$F$2,IF(Data_Assessment[[#This Row],[IPP (3 YEARS AVERAGE)]]&gt;=4,'9 Grid'!$D$2,'9 Grid'!$E$2))),"")</f>
        <v>Fully Competence Performance</v>
      </c>
      <c r="J335" s="146" t="str">
        <f ca="1">IFERROR(INDEX('9 Grid'!$D$4:$F$6,MATCH('Rekomendasi HAV'!H335,'9 Grid'!$B$4:$B$6,0),MATCH('Rekomendasi HAV'!I335,'9 Grid'!$D$2:$F$2,0)),"")</f>
        <v/>
      </c>
      <c r="K335" s="146" t="str">
        <f>IFERROR(INDEX('9 Grid'!$D$8:$F$8,1,MATCH('Rekomendasi HAV'!I335,'9 Grid'!$D$2:$F$2,0)),"")</f>
        <v>(ST) Within 12 - 18 month</v>
      </c>
      <c r="L335" s="146">
        <f>IF(ISNUMBER(SEARCH("EST",Assessment[[#This Row],[JOB TARGET]])),SUBSTITUTE(Assessment[[#This Row],[JOB TARGET]],"EST","DEV"),Assessment[[#This Row],[JOB TARGET]])</f>
        <v>0</v>
      </c>
      <c r="M335" s="146" t="str" cm="1">
        <f t="array" aca="1" ref="M335" ca="1">IF(Assessment[[#This Row],[JOB TARGET]]="","Job Target Kosong",IF(COUNT(IF('Data Assessment'!$N335:$Z335-OFFSET(Standar!$B$2,MATCH(Assessment[[#This Row],[JOB TARGET
(DEV)]],Standar[NAMA JABATAN],0)-1,1,1,13)&lt;0,1,""))&lt;=3,'9 Grid'!$B$4,IF(COUNT(IF('Data Assessment'!$N335:$Z335-OFFSET(Standar!$B$2,MATCH(Assessment[[#This Row],[JOB TARGET
(DEV)]],Standar[NAMA JABATAN],0)-1,1,1,13)&lt;0,1,""))&gt;=7,'9 Grid'!$B$6,'9 Grid'!$B$5)))</f>
        <v>Job Target Kosong</v>
      </c>
      <c r="N335" s="146" t="str">
        <f>IFERROR(IF(Data_Assessment[[#This Row],[IPP (3 YEARS AVERAGE)]]="","(IPP Belum Ada)",IF(Data_Assessment[[#This Row],[IPP (3 YEARS AVERAGE)]]&lt;2,'9 Grid'!$F$2,IF(Data_Assessment[[#This Row],[IPP (3 YEARS AVERAGE)]]&gt;=4,'9 Grid'!$D$2,'9 Grid'!$E$2))),"")</f>
        <v>Fully Competence Performance</v>
      </c>
      <c r="O335" s="146" t="str">
        <f ca="1">IFERROR(INDEX('9 Grid'!$D$4:$F$6,MATCH('Rekomendasi HAV'!M335,'9 Grid'!$B$4:$B$6,0),MATCH('Rekomendasi HAV'!N335,'9 Grid'!$D$2:$F$2,0)),"")</f>
        <v/>
      </c>
      <c r="P335" s="147" t="str">
        <f>IFERROR(INDEX('9 Grid'!$D$8:$F$8,1,MATCH('Rekomendasi HAV'!N335,'9 Grid'!$D$2:$F$2,0)),"")</f>
        <v>(ST) Within 12 - 18 month</v>
      </c>
    </row>
    <row r="336" spans="1:16" ht="28.5">
      <c r="A336" s="67">
        <v>335</v>
      </c>
      <c r="B336" s="68" t="str">
        <f>INDEX(Data_Assessment[],MATCH('Rekomendasi HAV'!$A336,Data_Assessment[[INDEX]:[INDEX]],0),MATCH('Rekomendasi HAV'!B$1,Data_Assessment[#Headers],0))</f>
        <v>Dodi Riyanda</v>
      </c>
      <c r="C336" s="68" t="str">
        <f>INDEX(Data_Assessment[],MATCH('Rekomendasi HAV'!$A336,Data_Assessment[[INDEX]:[INDEX]],0),MATCH('Rekomendasi HAV'!C$1,Data_Assessment[#Headers],0))</f>
        <v>Sumatera Utara</v>
      </c>
      <c r="D336" s="68" t="str">
        <f>INDEX(Data_Assessment[],MATCH('Rekomendasi HAV'!$A336,Data_Assessment[[INDEX]:[INDEX]],0),MATCH('Rekomendasi HAV'!D$1,Data_Assessment[#Headers],0))</f>
        <v>LSIP - Begerpang Palm Oil Mill</v>
      </c>
      <c r="E336" s="68">
        <f>INDEX(Data_Assessment[],MATCH('Rekomendasi HAV'!$B336,Data_Assessment[[NAME]:[NAME]],0),MATCH('Rekomendasi HAV'!E$1,Data_Assessment[#Headers],0))</f>
        <v>0</v>
      </c>
      <c r="F336" s="68"/>
      <c r="G336" s="68">
        <f>IF(ISNUMBER(SEARCH("DEV",Assessment[[#This Row],[JOB TARGET]])),SUBSTITUTE(Assessment[[#This Row],[JOB TARGET]],"DEV","EST"),Assessment[[#This Row],[JOB TARGET]])</f>
        <v>0</v>
      </c>
      <c r="H336" s="146" t="str" cm="1">
        <f t="array" aca="1" ref="H336" ca="1">IF(Assessment[[#This Row],[JOB TARGET]]="","Job Target Kosong",IF(COUNT(IF('Data Assessment'!$N336:$Z336-OFFSET(Standar!$B$2,MATCH(Assessment[[#This Row],[JOB TARGET
(EST)]],Standar[NAMA JABATAN],0)-1,1,1,13)&lt;0,1,""))&lt;=3,'9 Grid'!$B$4,IF(COUNT(IF('Data Assessment'!$N336:$Z336-OFFSET(Standar!$B$2,MATCH(Assessment[[#This Row],[JOB TARGET]],Standar[NAMA JABATAN],0)-1,1,1,13)&lt;0,1,""))&gt;=7,'9 Grid'!$B$6,'9 Grid'!$B$5)))</f>
        <v>Job Target Kosong</v>
      </c>
      <c r="I336" s="146" t="str">
        <f>IFERROR(IF(Data_Assessment[[#This Row],[IPP (3 YEARS AVERAGE)]]="","(IPP Belum Ada)",IF(Data_Assessment[[#This Row],[IPP (3 YEARS AVERAGE)]]&lt;2,'9 Grid'!$F$2,IF(Data_Assessment[[#This Row],[IPP (3 YEARS AVERAGE)]]&gt;=4,'9 Grid'!$D$2,'9 Grid'!$E$2))),"")</f>
        <v>Fully Competence Performance</v>
      </c>
      <c r="J336" s="146" t="str">
        <f ca="1">IFERROR(INDEX('9 Grid'!$D$4:$F$6,MATCH('Rekomendasi HAV'!H336,'9 Grid'!$B$4:$B$6,0),MATCH('Rekomendasi HAV'!I336,'9 Grid'!$D$2:$F$2,0)),"")</f>
        <v/>
      </c>
      <c r="K336" s="146" t="str">
        <f>IFERROR(INDEX('9 Grid'!$D$8:$F$8,1,MATCH('Rekomendasi HAV'!I336,'9 Grid'!$D$2:$F$2,0)),"")</f>
        <v>(ST) Within 12 - 18 month</v>
      </c>
      <c r="L336" s="146">
        <f>IF(ISNUMBER(SEARCH("EST",Assessment[[#This Row],[JOB TARGET]])),SUBSTITUTE(Assessment[[#This Row],[JOB TARGET]],"EST","DEV"),Assessment[[#This Row],[JOB TARGET]])</f>
        <v>0</v>
      </c>
      <c r="M336" s="146" t="str" cm="1">
        <f t="array" aca="1" ref="M336" ca="1">IF(Assessment[[#This Row],[JOB TARGET]]="","Job Target Kosong",IF(COUNT(IF('Data Assessment'!$N336:$Z336-OFFSET(Standar!$B$2,MATCH(Assessment[[#This Row],[JOB TARGET
(DEV)]],Standar[NAMA JABATAN],0)-1,1,1,13)&lt;0,1,""))&lt;=3,'9 Grid'!$B$4,IF(COUNT(IF('Data Assessment'!$N336:$Z336-OFFSET(Standar!$B$2,MATCH(Assessment[[#This Row],[JOB TARGET
(DEV)]],Standar[NAMA JABATAN],0)-1,1,1,13)&lt;0,1,""))&gt;=7,'9 Grid'!$B$6,'9 Grid'!$B$5)))</f>
        <v>Job Target Kosong</v>
      </c>
      <c r="N336" s="146" t="str">
        <f>IFERROR(IF(Data_Assessment[[#This Row],[IPP (3 YEARS AVERAGE)]]="","(IPP Belum Ada)",IF(Data_Assessment[[#This Row],[IPP (3 YEARS AVERAGE)]]&lt;2,'9 Grid'!$F$2,IF(Data_Assessment[[#This Row],[IPP (3 YEARS AVERAGE)]]&gt;=4,'9 Grid'!$D$2,'9 Grid'!$E$2))),"")</f>
        <v>Fully Competence Performance</v>
      </c>
      <c r="O336" s="146" t="str">
        <f ca="1">IFERROR(INDEX('9 Grid'!$D$4:$F$6,MATCH('Rekomendasi HAV'!M336,'9 Grid'!$B$4:$B$6,0),MATCH('Rekomendasi HAV'!N336,'9 Grid'!$D$2:$F$2,0)),"")</f>
        <v/>
      </c>
      <c r="P336" s="147" t="str">
        <f>IFERROR(INDEX('9 Grid'!$D$8:$F$8,1,MATCH('Rekomendasi HAV'!N336,'9 Grid'!$D$2:$F$2,0)),"")</f>
        <v>(ST) Within 12 - 18 month</v>
      </c>
    </row>
    <row r="337" spans="1:16" ht="28.5">
      <c r="A337" s="67">
        <v>336</v>
      </c>
      <c r="B337" s="68" t="str">
        <f>INDEX(Data_Assessment[],MATCH('Rekomendasi HAV'!$A337,Data_Assessment[[INDEX]:[INDEX]],0),MATCH('Rekomendasi HAV'!B$1,Data_Assessment[#Headers],0))</f>
        <v>Bramandita Silaen</v>
      </c>
      <c r="C337" s="68" t="str">
        <f>INDEX(Data_Assessment[],MATCH('Rekomendasi HAV'!$A337,Data_Assessment[[INDEX]:[INDEX]],0),MATCH('Rekomendasi HAV'!C$1,Data_Assessment[#Headers],0))</f>
        <v>Sumatera Utara</v>
      </c>
      <c r="D337" s="68" t="str">
        <f>INDEX(Data_Assessment[],MATCH('Rekomendasi HAV'!$A337,Data_Assessment[[INDEX]:[INDEX]],0),MATCH('Rekomendasi HAV'!D$1,Data_Assessment[#Headers],0))</f>
        <v>LSIP - Dolok Palm Oil Mill</v>
      </c>
      <c r="E337" s="68">
        <f>INDEX(Data_Assessment[],MATCH('Rekomendasi HAV'!$B337,Data_Assessment[[NAME]:[NAME]],0),MATCH('Rekomendasi HAV'!E$1,Data_Assessment[#Headers],0))</f>
        <v>0</v>
      </c>
      <c r="F337" s="68"/>
      <c r="G337" s="68">
        <f>IF(ISNUMBER(SEARCH("DEV",Assessment[[#This Row],[JOB TARGET]])),SUBSTITUTE(Assessment[[#This Row],[JOB TARGET]],"DEV","EST"),Assessment[[#This Row],[JOB TARGET]])</f>
        <v>0</v>
      </c>
      <c r="H337" s="146" t="str" cm="1">
        <f t="array" aca="1" ref="H337" ca="1">IF(Assessment[[#This Row],[JOB TARGET]]="","Job Target Kosong",IF(COUNT(IF('Data Assessment'!$N337:$Z337-OFFSET(Standar!$B$2,MATCH(Assessment[[#This Row],[JOB TARGET
(EST)]],Standar[NAMA JABATAN],0)-1,1,1,13)&lt;0,1,""))&lt;=3,'9 Grid'!$B$4,IF(COUNT(IF('Data Assessment'!$N337:$Z337-OFFSET(Standar!$B$2,MATCH(Assessment[[#This Row],[JOB TARGET]],Standar[NAMA JABATAN],0)-1,1,1,13)&lt;0,1,""))&gt;=7,'9 Grid'!$B$6,'9 Grid'!$B$5)))</f>
        <v>Job Target Kosong</v>
      </c>
      <c r="I337" s="146" t="str">
        <f>IFERROR(IF(Data_Assessment[[#This Row],[IPP (3 YEARS AVERAGE)]]="","(IPP Belum Ada)",IF(Data_Assessment[[#This Row],[IPP (3 YEARS AVERAGE)]]&lt;2,'9 Grid'!$F$2,IF(Data_Assessment[[#This Row],[IPP (3 YEARS AVERAGE)]]&gt;=4,'9 Grid'!$D$2,'9 Grid'!$E$2))),"")</f>
        <v>Fully Competence Performance</v>
      </c>
      <c r="J337" s="146" t="str">
        <f ca="1">IFERROR(INDEX('9 Grid'!$D$4:$F$6,MATCH('Rekomendasi HAV'!H337,'9 Grid'!$B$4:$B$6,0),MATCH('Rekomendasi HAV'!I337,'9 Grid'!$D$2:$F$2,0)),"")</f>
        <v/>
      </c>
      <c r="K337" s="146" t="str">
        <f>IFERROR(INDEX('9 Grid'!$D$8:$F$8,1,MATCH('Rekomendasi HAV'!I337,'9 Grid'!$D$2:$F$2,0)),"")</f>
        <v>(ST) Within 12 - 18 month</v>
      </c>
      <c r="L337" s="146">
        <f>IF(ISNUMBER(SEARCH("EST",Assessment[[#This Row],[JOB TARGET]])),SUBSTITUTE(Assessment[[#This Row],[JOB TARGET]],"EST","DEV"),Assessment[[#This Row],[JOB TARGET]])</f>
        <v>0</v>
      </c>
      <c r="M337" s="146" t="str" cm="1">
        <f t="array" aca="1" ref="M337" ca="1">IF(Assessment[[#This Row],[JOB TARGET]]="","Job Target Kosong",IF(COUNT(IF('Data Assessment'!$N337:$Z337-OFFSET(Standar!$B$2,MATCH(Assessment[[#This Row],[JOB TARGET
(DEV)]],Standar[NAMA JABATAN],0)-1,1,1,13)&lt;0,1,""))&lt;=3,'9 Grid'!$B$4,IF(COUNT(IF('Data Assessment'!$N337:$Z337-OFFSET(Standar!$B$2,MATCH(Assessment[[#This Row],[JOB TARGET
(DEV)]],Standar[NAMA JABATAN],0)-1,1,1,13)&lt;0,1,""))&gt;=7,'9 Grid'!$B$6,'9 Grid'!$B$5)))</f>
        <v>Job Target Kosong</v>
      </c>
      <c r="N337" s="146" t="str">
        <f>IFERROR(IF(Data_Assessment[[#This Row],[IPP (3 YEARS AVERAGE)]]="","(IPP Belum Ada)",IF(Data_Assessment[[#This Row],[IPP (3 YEARS AVERAGE)]]&lt;2,'9 Grid'!$F$2,IF(Data_Assessment[[#This Row],[IPP (3 YEARS AVERAGE)]]&gt;=4,'9 Grid'!$D$2,'9 Grid'!$E$2))),"")</f>
        <v>Fully Competence Performance</v>
      </c>
      <c r="O337" s="146" t="str">
        <f ca="1">IFERROR(INDEX('9 Grid'!$D$4:$F$6,MATCH('Rekomendasi HAV'!M337,'9 Grid'!$B$4:$B$6,0),MATCH('Rekomendasi HAV'!N337,'9 Grid'!$D$2:$F$2,0)),"")</f>
        <v/>
      </c>
      <c r="P337" s="147" t="str">
        <f>IFERROR(INDEX('9 Grid'!$D$8:$F$8,1,MATCH('Rekomendasi HAV'!N337,'9 Grid'!$D$2:$F$2,0)),"")</f>
        <v>(ST) Within 12 - 18 month</v>
      </c>
    </row>
    <row r="338" spans="1:16" ht="28.5">
      <c r="A338" s="67">
        <v>337</v>
      </c>
      <c r="B338" s="68" t="str">
        <f>INDEX(Data_Assessment[],MATCH('Rekomendasi HAV'!$A338,Data_Assessment[[INDEX]:[INDEX]],0),MATCH('Rekomendasi HAV'!B$1,Data_Assessment[#Headers],0))</f>
        <v>Chandra Septian</v>
      </c>
      <c r="C338" s="68" t="str">
        <f>INDEX(Data_Assessment[],MATCH('Rekomendasi HAV'!$A338,Data_Assessment[[INDEX]:[INDEX]],0),MATCH('Rekomendasi HAV'!C$1,Data_Assessment[#Headers],0))</f>
        <v>Sumatera Selatan</v>
      </c>
      <c r="D338" s="68" t="str">
        <f>INDEX(Data_Assessment[],MATCH('Rekomendasi HAV'!$A338,Data_Assessment[[INDEX]:[INDEX]],0),MATCH('Rekomendasi HAV'!D$1,Data_Assessment[#Headers],0))</f>
        <v>LSIP - Belani Elok Palm Oil Mill</v>
      </c>
      <c r="E338" s="68">
        <f>INDEX(Data_Assessment[],MATCH('Rekomendasi HAV'!$B338,Data_Assessment[[NAME]:[NAME]],0),MATCH('Rekomendasi HAV'!E$1,Data_Assessment[#Headers],0))</f>
        <v>0</v>
      </c>
      <c r="F338" s="68"/>
      <c r="G338" s="68">
        <f>IF(ISNUMBER(SEARCH("DEV",Assessment[[#This Row],[JOB TARGET]])),SUBSTITUTE(Assessment[[#This Row],[JOB TARGET]],"DEV","EST"),Assessment[[#This Row],[JOB TARGET]])</f>
        <v>0</v>
      </c>
      <c r="H338" s="146" t="str" cm="1">
        <f t="array" aca="1" ref="H338" ca="1">IF(Assessment[[#This Row],[JOB TARGET]]="","Job Target Kosong",IF(COUNT(IF('Data Assessment'!$N338:$Z338-OFFSET(Standar!$B$2,MATCH(Assessment[[#This Row],[JOB TARGET
(EST)]],Standar[NAMA JABATAN],0)-1,1,1,13)&lt;0,1,""))&lt;=3,'9 Grid'!$B$4,IF(COUNT(IF('Data Assessment'!$N338:$Z338-OFFSET(Standar!$B$2,MATCH(Assessment[[#This Row],[JOB TARGET]],Standar[NAMA JABATAN],0)-1,1,1,13)&lt;0,1,""))&gt;=7,'9 Grid'!$B$6,'9 Grid'!$B$5)))</f>
        <v>Job Target Kosong</v>
      </c>
      <c r="I338" s="146" t="str">
        <f>IFERROR(IF(Data_Assessment[[#This Row],[IPP (3 YEARS AVERAGE)]]="","(IPP Belum Ada)",IF(Data_Assessment[[#This Row],[IPP (3 YEARS AVERAGE)]]&lt;2,'9 Grid'!$F$2,IF(Data_Assessment[[#This Row],[IPP (3 YEARS AVERAGE)]]&gt;=4,'9 Grid'!$D$2,'9 Grid'!$E$2))),"")</f>
        <v>Fully Competence Performance</v>
      </c>
      <c r="J338" s="146" t="str">
        <f ca="1">IFERROR(INDEX('9 Grid'!$D$4:$F$6,MATCH('Rekomendasi HAV'!H338,'9 Grid'!$B$4:$B$6,0),MATCH('Rekomendasi HAV'!I338,'9 Grid'!$D$2:$F$2,0)),"")</f>
        <v/>
      </c>
      <c r="K338" s="146" t="str">
        <f>IFERROR(INDEX('9 Grid'!$D$8:$F$8,1,MATCH('Rekomendasi HAV'!I338,'9 Grid'!$D$2:$F$2,0)),"")</f>
        <v>(ST) Within 12 - 18 month</v>
      </c>
      <c r="L338" s="146">
        <f>IF(ISNUMBER(SEARCH("EST",Assessment[[#This Row],[JOB TARGET]])),SUBSTITUTE(Assessment[[#This Row],[JOB TARGET]],"EST","DEV"),Assessment[[#This Row],[JOB TARGET]])</f>
        <v>0</v>
      </c>
      <c r="M338" s="146" t="str" cm="1">
        <f t="array" aca="1" ref="M338" ca="1">IF(Assessment[[#This Row],[JOB TARGET]]="","Job Target Kosong",IF(COUNT(IF('Data Assessment'!$N338:$Z338-OFFSET(Standar!$B$2,MATCH(Assessment[[#This Row],[JOB TARGET
(DEV)]],Standar[NAMA JABATAN],0)-1,1,1,13)&lt;0,1,""))&lt;=3,'9 Grid'!$B$4,IF(COUNT(IF('Data Assessment'!$N338:$Z338-OFFSET(Standar!$B$2,MATCH(Assessment[[#This Row],[JOB TARGET
(DEV)]],Standar[NAMA JABATAN],0)-1,1,1,13)&lt;0,1,""))&gt;=7,'9 Grid'!$B$6,'9 Grid'!$B$5)))</f>
        <v>Job Target Kosong</v>
      </c>
      <c r="N338" s="146" t="str">
        <f>IFERROR(IF(Data_Assessment[[#This Row],[IPP (3 YEARS AVERAGE)]]="","(IPP Belum Ada)",IF(Data_Assessment[[#This Row],[IPP (3 YEARS AVERAGE)]]&lt;2,'9 Grid'!$F$2,IF(Data_Assessment[[#This Row],[IPP (3 YEARS AVERAGE)]]&gt;=4,'9 Grid'!$D$2,'9 Grid'!$E$2))),"")</f>
        <v>Fully Competence Performance</v>
      </c>
      <c r="O338" s="146" t="str">
        <f ca="1">IFERROR(INDEX('9 Grid'!$D$4:$F$6,MATCH('Rekomendasi HAV'!M338,'9 Grid'!$B$4:$B$6,0),MATCH('Rekomendasi HAV'!N338,'9 Grid'!$D$2:$F$2,0)),"")</f>
        <v/>
      </c>
      <c r="P338" s="147" t="str">
        <f>IFERROR(INDEX('9 Grid'!$D$8:$F$8,1,MATCH('Rekomendasi HAV'!N338,'9 Grid'!$D$2:$F$2,0)),"")</f>
        <v>(ST) Within 12 - 18 month</v>
      </c>
    </row>
    <row r="339" spans="1:16" ht="28.5">
      <c r="A339" s="67">
        <v>338</v>
      </c>
      <c r="B339" s="68" t="str">
        <f>INDEX(Data_Assessment[],MATCH('Rekomendasi HAV'!$A339,Data_Assessment[[INDEX]:[INDEX]],0),MATCH('Rekomendasi HAV'!B$1,Data_Assessment[#Headers],0))</f>
        <v>Herman</v>
      </c>
      <c r="C339" s="68" t="str">
        <f>INDEX(Data_Assessment[],MATCH('Rekomendasi HAV'!$A339,Data_Assessment[[INDEX]:[INDEX]],0),MATCH('Rekomendasi HAV'!C$1,Data_Assessment[#Headers],0))</f>
        <v>Sumatera Selatan</v>
      </c>
      <c r="D339" s="68" t="str">
        <f>INDEX(Data_Assessment[],MATCH('Rekomendasi HAV'!$A339,Data_Assessment[[INDEX]:[INDEX]],0),MATCH('Rekomendasi HAV'!D$1,Data_Assessment[#Headers],0))</f>
        <v>LSIP - Sei Lakitan Palm Oil Mill</v>
      </c>
      <c r="E339" s="68">
        <f>INDEX(Data_Assessment[],MATCH('Rekomendasi HAV'!$B339,Data_Assessment[[NAME]:[NAME]],0),MATCH('Rekomendasi HAV'!E$1,Data_Assessment[#Headers],0))</f>
        <v>0</v>
      </c>
      <c r="F339" s="68"/>
      <c r="G339" s="68">
        <f>IF(ISNUMBER(SEARCH("DEV",Assessment[[#This Row],[JOB TARGET]])),SUBSTITUTE(Assessment[[#This Row],[JOB TARGET]],"DEV","EST"),Assessment[[#This Row],[JOB TARGET]])</f>
        <v>0</v>
      </c>
      <c r="H339" s="146" t="str" cm="1">
        <f t="array" aca="1" ref="H339" ca="1">IF(Assessment[[#This Row],[JOB TARGET]]="","Job Target Kosong",IF(COUNT(IF('Data Assessment'!$N339:$Z339-OFFSET(Standar!$B$2,MATCH(Assessment[[#This Row],[JOB TARGET
(EST)]],Standar[NAMA JABATAN],0)-1,1,1,13)&lt;0,1,""))&lt;=3,'9 Grid'!$B$4,IF(COUNT(IF('Data Assessment'!$N339:$Z339-OFFSET(Standar!$B$2,MATCH(Assessment[[#This Row],[JOB TARGET]],Standar[NAMA JABATAN],0)-1,1,1,13)&lt;0,1,""))&gt;=7,'9 Grid'!$B$6,'9 Grid'!$B$5)))</f>
        <v>Job Target Kosong</v>
      </c>
      <c r="I339" s="146" t="str">
        <f>IFERROR(IF(Data_Assessment[[#This Row],[IPP (3 YEARS AVERAGE)]]="","(IPP Belum Ada)",IF(Data_Assessment[[#This Row],[IPP (3 YEARS AVERAGE)]]&lt;2,'9 Grid'!$F$2,IF(Data_Assessment[[#This Row],[IPP (3 YEARS AVERAGE)]]&gt;=4,'9 Grid'!$D$2,'9 Grid'!$E$2))),"")</f>
        <v>Fully Competence Performance</v>
      </c>
      <c r="J339" s="146" t="str">
        <f ca="1">IFERROR(INDEX('9 Grid'!$D$4:$F$6,MATCH('Rekomendasi HAV'!H339,'9 Grid'!$B$4:$B$6,0),MATCH('Rekomendasi HAV'!I339,'9 Grid'!$D$2:$F$2,0)),"")</f>
        <v/>
      </c>
      <c r="K339" s="146" t="str">
        <f>IFERROR(INDEX('9 Grid'!$D$8:$F$8,1,MATCH('Rekomendasi HAV'!I339,'9 Grid'!$D$2:$F$2,0)),"")</f>
        <v>(ST) Within 12 - 18 month</v>
      </c>
      <c r="L339" s="146">
        <f>IF(ISNUMBER(SEARCH("EST",Assessment[[#This Row],[JOB TARGET]])),SUBSTITUTE(Assessment[[#This Row],[JOB TARGET]],"EST","DEV"),Assessment[[#This Row],[JOB TARGET]])</f>
        <v>0</v>
      </c>
      <c r="M339" s="146" t="str" cm="1">
        <f t="array" aca="1" ref="M339" ca="1">IF(Assessment[[#This Row],[JOB TARGET]]="","Job Target Kosong",IF(COUNT(IF('Data Assessment'!$N339:$Z339-OFFSET(Standar!$B$2,MATCH(Assessment[[#This Row],[JOB TARGET
(DEV)]],Standar[NAMA JABATAN],0)-1,1,1,13)&lt;0,1,""))&lt;=3,'9 Grid'!$B$4,IF(COUNT(IF('Data Assessment'!$N339:$Z339-OFFSET(Standar!$B$2,MATCH(Assessment[[#This Row],[JOB TARGET
(DEV)]],Standar[NAMA JABATAN],0)-1,1,1,13)&lt;0,1,""))&gt;=7,'9 Grid'!$B$6,'9 Grid'!$B$5)))</f>
        <v>Job Target Kosong</v>
      </c>
      <c r="N339" s="146" t="str">
        <f>IFERROR(IF(Data_Assessment[[#This Row],[IPP (3 YEARS AVERAGE)]]="","(IPP Belum Ada)",IF(Data_Assessment[[#This Row],[IPP (3 YEARS AVERAGE)]]&lt;2,'9 Grid'!$F$2,IF(Data_Assessment[[#This Row],[IPP (3 YEARS AVERAGE)]]&gt;=4,'9 Grid'!$D$2,'9 Grid'!$E$2))),"")</f>
        <v>Fully Competence Performance</v>
      </c>
      <c r="O339" s="146" t="str">
        <f ca="1">IFERROR(INDEX('9 Grid'!$D$4:$F$6,MATCH('Rekomendasi HAV'!M339,'9 Grid'!$B$4:$B$6,0),MATCH('Rekomendasi HAV'!N339,'9 Grid'!$D$2:$F$2,0)),"")</f>
        <v/>
      </c>
      <c r="P339" s="147" t="str">
        <f>IFERROR(INDEX('9 Grid'!$D$8:$F$8,1,MATCH('Rekomendasi HAV'!N339,'9 Grid'!$D$2:$F$2,0)),"")</f>
        <v>(ST) Within 12 - 18 month</v>
      </c>
    </row>
    <row r="340" spans="1:16" ht="14.25">
      <c r="A340" s="67">
        <v>339</v>
      </c>
      <c r="B340" s="68" t="str">
        <f>INDEX(Data_Assessment[],MATCH('Rekomendasi HAV'!$A340,Data_Assessment[[INDEX]:[INDEX]],0),MATCH('Rekomendasi HAV'!B$1,Data_Assessment[#Headers],0))</f>
        <v>Edy Suprayitno</v>
      </c>
      <c r="C340" s="68" t="str">
        <f>INDEX(Data_Assessment[],MATCH('Rekomendasi HAV'!$A340,Data_Assessment[[INDEX]:[INDEX]],0),MATCH('Rekomendasi HAV'!C$1,Data_Assessment[#Headers],0))</f>
        <v>Sumatera Utara</v>
      </c>
      <c r="D340" s="68" t="str">
        <f>INDEX(Data_Assessment[],MATCH('Rekomendasi HAV'!$A340,Data_Assessment[[INDEX]:[INDEX]],0),MATCH('Rekomendasi HAV'!D$1,Data_Assessment[#Headers],0))</f>
        <v>LSIP - Sei Merah Estate</v>
      </c>
      <c r="E340" s="68">
        <f>INDEX(Data_Assessment[],MATCH('Rekomendasi HAV'!$B340,Data_Assessment[[NAME]:[NAME]],0),MATCH('Rekomendasi HAV'!E$1,Data_Assessment[#Headers],0))</f>
        <v>0</v>
      </c>
      <c r="F340" s="68"/>
      <c r="G340" s="68">
        <f>IF(ISNUMBER(SEARCH("DEV",Assessment[[#This Row],[JOB TARGET]])),SUBSTITUTE(Assessment[[#This Row],[JOB TARGET]],"DEV","EST"),Assessment[[#This Row],[JOB TARGET]])</f>
        <v>0</v>
      </c>
      <c r="H340" s="146" t="str" cm="1">
        <f t="array" aca="1" ref="H340" ca="1">IF(Assessment[[#This Row],[JOB TARGET]]="","Job Target Kosong",IF(COUNT(IF('Data Assessment'!$N340:$Z340-OFFSET(Standar!$B$2,MATCH(Assessment[[#This Row],[JOB TARGET
(EST)]],Standar[NAMA JABATAN],0)-1,1,1,13)&lt;0,1,""))&lt;=3,'9 Grid'!$B$4,IF(COUNT(IF('Data Assessment'!$N340:$Z340-OFFSET(Standar!$B$2,MATCH(Assessment[[#This Row],[JOB TARGET]],Standar[NAMA JABATAN],0)-1,1,1,13)&lt;0,1,""))&gt;=7,'9 Grid'!$B$6,'9 Grid'!$B$5)))</f>
        <v>Job Target Kosong</v>
      </c>
      <c r="I340" s="146" t="str">
        <f>IFERROR(IF(Data_Assessment[[#This Row],[IPP (3 YEARS AVERAGE)]]="","(IPP Belum Ada)",IF(Data_Assessment[[#This Row],[IPP (3 YEARS AVERAGE)]]&lt;2,'9 Grid'!$F$2,IF(Data_Assessment[[#This Row],[IPP (3 YEARS AVERAGE)]]&gt;=4,'9 Grid'!$D$2,'9 Grid'!$E$2))),"")</f>
        <v>Exceptional Performance</v>
      </c>
      <c r="J340" s="146" t="str">
        <f ca="1">IFERROR(INDEX('9 Grid'!$D$4:$F$6,MATCH('Rekomendasi HAV'!H340,'9 Grid'!$B$4:$B$6,0),MATCH('Rekomendasi HAV'!I340,'9 Grid'!$D$2:$F$2,0)),"")</f>
        <v/>
      </c>
      <c r="K340" s="146" t="str">
        <f>IFERROR(INDEX('9 Grid'!$D$8:$F$8,1,MATCH('Rekomendasi HAV'!I340,'9 Grid'!$D$2:$F$2,0)),"")</f>
        <v>(I) Immediately</v>
      </c>
      <c r="L340" s="146">
        <f>IF(ISNUMBER(SEARCH("EST",Assessment[[#This Row],[JOB TARGET]])),SUBSTITUTE(Assessment[[#This Row],[JOB TARGET]],"EST","DEV"),Assessment[[#This Row],[JOB TARGET]])</f>
        <v>0</v>
      </c>
      <c r="M340" s="146" t="str" cm="1">
        <f t="array" aca="1" ref="M340" ca="1">IF(Assessment[[#This Row],[JOB TARGET]]="","Job Target Kosong",IF(COUNT(IF('Data Assessment'!$N340:$Z340-OFFSET(Standar!$B$2,MATCH(Assessment[[#This Row],[JOB TARGET
(DEV)]],Standar[NAMA JABATAN],0)-1,1,1,13)&lt;0,1,""))&lt;=3,'9 Grid'!$B$4,IF(COUNT(IF('Data Assessment'!$N340:$Z340-OFFSET(Standar!$B$2,MATCH(Assessment[[#This Row],[JOB TARGET
(DEV)]],Standar[NAMA JABATAN],0)-1,1,1,13)&lt;0,1,""))&gt;=7,'9 Grid'!$B$6,'9 Grid'!$B$5)))</f>
        <v>Job Target Kosong</v>
      </c>
      <c r="N340" s="146" t="str">
        <f>IFERROR(IF(Data_Assessment[[#This Row],[IPP (3 YEARS AVERAGE)]]="","(IPP Belum Ada)",IF(Data_Assessment[[#This Row],[IPP (3 YEARS AVERAGE)]]&lt;2,'9 Grid'!$F$2,IF(Data_Assessment[[#This Row],[IPP (3 YEARS AVERAGE)]]&gt;=4,'9 Grid'!$D$2,'9 Grid'!$E$2))),"")</f>
        <v>Exceptional Performance</v>
      </c>
      <c r="O340" s="146" t="str">
        <f ca="1">IFERROR(INDEX('9 Grid'!$D$4:$F$6,MATCH('Rekomendasi HAV'!M340,'9 Grid'!$B$4:$B$6,0),MATCH('Rekomendasi HAV'!N340,'9 Grid'!$D$2:$F$2,0)),"")</f>
        <v/>
      </c>
      <c r="P340" s="147" t="str">
        <f>IFERROR(INDEX('9 Grid'!$D$8:$F$8,1,MATCH('Rekomendasi HAV'!N340,'9 Grid'!$D$2:$F$2,0)),"")</f>
        <v>(I) Immediately</v>
      </c>
    </row>
    <row r="341" spans="1:16" ht="28.5">
      <c r="A341" s="67">
        <v>340</v>
      </c>
      <c r="B341" s="68" t="str">
        <f>INDEX(Data_Assessment[],MATCH('Rekomendasi HAV'!$A341,Data_Assessment[[INDEX]:[INDEX]],0),MATCH('Rekomendasi HAV'!B$1,Data_Assessment[#Headers],0))</f>
        <v>Dimas Hastito Siregar</v>
      </c>
      <c r="C341" s="68" t="str">
        <f>INDEX(Data_Assessment[],MATCH('Rekomendasi HAV'!$A341,Data_Assessment[[INDEX]:[INDEX]],0),MATCH('Rekomendasi HAV'!C$1,Data_Assessment[#Headers],0))</f>
        <v>Sumatera Utara</v>
      </c>
      <c r="D341" s="68" t="str">
        <f>INDEX(Data_Assessment[],MATCH('Rekomendasi HAV'!$A341,Data_Assessment[[INDEX]:[INDEX]],0),MATCH('Rekomendasi HAV'!D$1,Data_Assessment[#Headers],0))</f>
        <v>LSIP - Turangie Estate</v>
      </c>
      <c r="E341" s="68">
        <f>INDEX(Data_Assessment[],MATCH('Rekomendasi HAV'!$B341,Data_Assessment[[NAME]:[NAME]],0),MATCH('Rekomendasi HAV'!E$1,Data_Assessment[#Headers],0))</f>
        <v>0</v>
      </c>
      <c r="F341" s="68"/>
      <c r="G341" s="68">
        <f>IF(ISNUMBER(SEARCH("DEV",Assessment[[#This Row],[JOB TARGET]])),SUBSTITUTE(Assessment[[#This Row],[JOB TARGET]],"DEV","EST"),Assessment[[#This Row],[JOB TARGET]])</f>
        <v>0</v>
      </c>
      <c r="H341" s="146" t="str" cm="1">
        <f t="array" aca="1" ref="H341" ca="1">IF(Assessment[[#This Row],[JOB TARGET]]="","Job Target Kosong",IF(COUNT(IF('Data Assessment'!$N341:$Z341-OFFSET(Standar!$B$2,MATCH(Assessment[[#This Row],[JOB TARGET
(EST)]],Standar[NAMA JABATAN],0)-1,1,1,13)&lt;0,1,""))&lt;=3,'9 Grid'!$B$4,IF(COUNT(IF('Data Assessment'!$N341:$Z341-OFFSET(Standar!$B$2,MATCH(Assessment[[#This Row],[JOB TARGET]],Standar[NAMA JABATAN],0)-1,1,1,13)&lt;0,1,""))&gt;=7,'9 Grid'!$B$6,'9 Grid'!$B$5)))</f>
        <v>Job Target Kosong</v>
      </c>
      <c r="I341" s="146" t="str">
        <f>IFERROR(IF(Data_Assessment[[#This Row],[IPP (3 YEARS AVERAGE)]]="","(IPP Belum Ada)",IF(Data_Assessment[[#This Row],[IPP (3 YEARS AVERAGE)]]&lt;2,'9 Grid'!$F$2,IF(Data_Assessment[[#This Row],[IPP (3 YEARS AVERAGE)]]&gt;=4,'9 Grid'!$D$2,'9 Grid'!$E$2))),"")</f>
        <v>Fully Competence Performance</v>
      </c>
      <c r="J341" s="146" t="str">
        <f ca="1">IFERROR(INDEX('9 Grid'!$D$4:$F$6,MATCH('Rekomendasi HAV'!H341,'9 Grid'!$B$4:$B$6,0),MATCH('Rekomendasi HAV'!I341,'9 Grid'!$D$2:$F$2,0)),"")</f>
        <v/>
      </c>
      <c r="K341" s="146" t="str">
        <f>IFERROR(INDEX('9 Grid'!$D$8:$F$8,1,MATCH('Rekomendasi HAV'!I341,'9 Grid'!$D$2:$F$2,0)),"")</f>
        <v>(ST) Within 12 - 18 month</v>
      </c>
      <c r="L341" s="146">
        <f>IF(ISNUMBER(SEARCH("EST",Assessment[[#This Row],[JOB TARGET]])),SUBSTITUTE(Assessment[[#This Row],[JOB TARGET]],"EST","DEV"),Assessment[[#This Row],[JOB TARGET]])</f>
        <v>0</v>
      </c>
      <c r="M341" s="146" t="str" cm="1">
        <f t="array" aca="1" ref="M341" ca="1">IF(Assessment[[#This Row],[JOB TARGET]]="","Job Target Kosong",IF(COUNT(IF('Data Assessment'!$N341:$Z341-OFFSET(Standar!$B$2,MATCH(Assessment[[#This Row],[JOB TARGET
(DEV)]],Standar[NAMA JABATAN],0)-1,1,1,13)&lt;0,1,""))&lt;=3,'9 Grid'!$B$4,IF(COUNT(IF('Data Assessment'!$N341:$Z341-OFFSET(Standar!$B$2,MATCH(Assessment[[#This Row],[JOB TARGET
(DEV)]],Standar[NAMA JABATAN],0)-1,1,1,13)&lt;0,1,""))&gt;=7,'9 Grid'!$B$6,'9 Grid'!$B$5)))</f>
        <v>Job Target Kosong</v>
      </c>
      <c r="N341" s="146" t="str">
        <f>IFERROR(IF(Data_Assessment[[#This Row],[IPP (3 YEARS AVERAGE)]]="","(IPP Belum Ada)",IF(Data_Assessment[[#This Row],[IPP (3 YEARS AVERAGE)]]&lt;2,'9 Grid'!$F$2,IF(Data_Assessment[[#This Row],[IPP (3 YEARS AVERAGE)]]&gt;=4,'9 Grid'!$D$2,'9 Grid'!$E$2))),"")</f>
        <v>Fully Competence Performance</v>
      </c>
      <c r="O341" s="146" t="str">
        <f ca="1">IFERROR(INDEX('9 Grid'!$D$4:$F$6,MATCH('Rekomendasi HAV'!M341,'9 Grid'!$B$4:$B$6,0),MATCH('Rekomendasi HAV'!N341,'9 Grid'!$D$2:$F$2,0)),"")</f>
        <v/>
      </c>
      <c r="P341" s="147" t="str">
        <f>IFERROR(INDEX('9 Grid'!$D$8:$F$8,1,MATCH('Rekomendasi HAV'!N341,'9 Grid'!$D$2:$F$2,0)),"")</f>
        <v>(ST) Within 12 - 18 month</v>
      </c>
    </row>
    <row r="342" spans="1:16" ht="28.5">
      <c r="A342" s="67">
        <v>341</v>
      </c>
      <c r="B342" s="68" t="str">
        <f>INDEX(Data_Assessment[],MATCH('Rekomendasi HAV'!$A342,Data_Assessment[[INDEX]:[INDEX]],0),MATCH('Rekomendasi HAV'!B$1,Data_Assessment[#Headers],0))</f>
        <v>Agustinus K. Wiratama</v>
      </c>
      <c r="C342" s="68" t="str">
        <f>INDEX(Data_Assessment[],MATCH('Rekomendasi HAV'!$A342,Data_Assessment[[INDEX]:[INDEX]],0),MATCH('Rekomendasi HAV'!C$1,Data_Assessment[#Headers],0))</f>
        <v>Jakarta</v>
      </c>
      <c r="D342" s="68" t="str">
        <f>INDEX(Data_Assessment[],MATCH('Rekomendasi HAV'!$A342,Data_Assessment[[INDEX]:[INDEX]],0),MATCH('Rekomendasi HAV'!D$1,Data_Assessment[#Headers],0))</f>
        <v>LSIP - HO Jakarta</v>
      </c>
      <c r="E342" s="68">
        <f>INDEX(Data_Assessment[],MATCH('Rekomendasi HAV'!$B342,Data_Assessment[[NAME]:[NAME]],0),MATCH('Rekomendasi HAV'!E$1,Data_Assessment[#Headers],0))</f>
        <v>0</v>
      </c>
      <c r="F342" s="68"/>
      <c r="G342" s="68">
        <f>IF(ISNUMBER(SEARCH("DEV",Assessment[[#This Row],[JOB TARGET]])),SUBSTITUTE(Assessment[[#This Row],[JOB TARGET]],"DEV","EST"),Assessment[[#This Row],[JOB TARGET]])</f>
        <v>0</v>
      </c>
      <c r="H342" s="146" t="str" cm="1">
        <f t="array" aca="1" ref="H342" ca="1">IF(Assessment[[#This Row],[JOB TARGET]]="","Job Target Kosong",IF(COUNT(IF('Data Assessment'!$N342:$Z342-OFFSET(Standar!$B$2,MATCH(Assessment[[#This Row],[JOB TARGET
(EST)]],Standar[NAMA JABATAN],0)-1,1,1,13)&lt;0,1,""))&lt;=3,'9 Grid'!$B$4,IF(COUNT(IF('Data Assessment'!$N342:$Z342-OFFSET(Standar!$B$2,MATCH(Assessment[[#This Row],[JOB TARGET]],Standar[NAMA JABATAN],0)-1,1,1,13)&lt;0,1,""))&gt;=7,'9 Grid'!$B$6,'9 Grid'!$B$5)))</f>
        <v>Job Target Kosong</v>
      </c>
      <c r="I342" s="146" t="str">
        <f>IFERROR(IF(Data_Assessment[[#This Row],[IPP (3 YEARS AVERAGE)]]="","(IPP Belum Ada)",IF(Data_Assessment[[#This Row],[IPP (3 YEARS AVERAGE)]]&lt;2,'9 Grid'!$F$2,IF(Data_Assessment[[#This Row],[IPP (3 YEARS AVERAGE)]]&gt;=4,'9 Grid'!$D$2,'9 Grid'!$E$2))),"")</f>
        <v>Fully Competence Performance</v>
      </c>
      <c r="J342" s="146" t="str">
        <f ca="1">IFERROR(INDEX('9 Grid'!$D$4:$F$6,MATCH('Rekomendasi HAV'!H342,'9 Grid'!$B$4:$B$6,0),MATCH('Rekomendasi HAV'!I342,'9 Grid'!$D$2:$F$2,0)),"")</f>
        <v/>
      </c>
      <c r="K342" s="146" t="str">
        <f>IFERROR(INDEX('9 Grid'!$D$8:$F$8,1,MATCH('Rekomendasi HAV'!I342,'9 Grid'!$D$2:$F$2,0)),"")</f>
        <v>(ST) Within 12 - 18 month</v>
      </c>
      <c r="L342" s="146">
        <f>IF(ISNUMBER(SEARCH("EST",Assessment[[#This Row],[JOB TARGET]])),SUBSTITUTE(Assessment[[#This Row],[JOB TARGET]],"EST","DEV"),Assessment[[#This Row],[JOB TARGET]])</f>
        <v>0</v>
      </c>
      <c r="M342" s="146" t="str" cm="1">
        <f t="array" aca="1" ref="M342" ca="1">IF(Assessment[[#This Row],[JOB TARGET]]="","Job Target Kosong",IF(COUNT(IF('Data Assessment'!$N342:$Z342-OFFSET(Standar!$B$2,MATCH(Assessment[[#This Row],[JOB TARGET
(DEV)]],Standar[NAMA JABATAN],0)-1,1,1,13)&lt;0,1,""))&lt;=3,'9 Grid'!$B$4,IF(COUNT(IF('Data Assessment'!$N342:$Z342-OFFSET(Standar!$B$2,MATCH(Assessment[[#This Row],[JOB TARGET
(DEV)]],Standar[NAMA JABATAN],0)-1,1,1,13)&lt;0,1,""))&gt;=7,'9 Grid'!$B$6,'9 Grid'!$B$5)))</f>
        <v>Job Target Kosong</v>
      </c>
      <c r="N342" s="146" t="str">
        <f>IFERROR(IF(Data_Assessment[[#This Row],[IPP (3 YEARS AVERAGE)]]="","(IPP Belum Ada)",IF(Data_Assessment[[#This Row],[IPP (3 YEARS AVERAGE)]]&lt;2,'9 Grid'!$F$2,IF(Data_Assessment[[#This Row],[IPP (3 YEARS AVERAGE)]]&gt;=4,'9 Grid'!$D$2,'9 Grid'!$E$2))),"")</f>
        <v>Fully Competence Performance</v>
      </c>
      <c r="O342" s="146" t="str">
        <f ca="1">IFERROR(INDEX('9 Grid'!$D$4:$F$6,MATCH('Rekomendasi HAV'!M342,'9 Grid'!$B$4:$B$6,0),MATCH('Rekomendasi HAV'!N342,'9 Grid'!$D$2:$F$2,0)),"")</f>
        <v/>
      </c>
      <c r="P342" s="147" t="str">
        <f>IFERROR(INDEX('9 Grid'!$D$8:$F$8,1,MATCH('Rekomendasi HAV'!N342,'9 Grid'!$D$2:$F$2,0)),"")</f>
        <v>(ST) Within 12 - 18 month</v>
      </c>
    </row>
    <row r="343" spans="1:16" ht="28.5">
      <c r="A343" s="67">
        <v>342</v>
      </c>
      <c r="B343" s="68" t="str">
        <f>INDEX(Data_Assessment[],MATCH('Rekomendasi HAV'!$A343,Data_Assessment[[INDEX]:[INDEX]],0),MATCH('Rekomendasi HAV'!B$1,Data_Assessment[#Headers],0))</f>
        <v>Irfansyah, St Purnama</v>
      </c>
      <c r="C343" s="68" t="str">
        <f>INDEX(Data_Assessment[],MATCH('Rekomendasi HAV'!$A343,Data_Assessment[[INDEX]:[INDEX]],0),MATCH('Rekomendasi HAV'!C$1,Data_Assessment[#Headers],0))</f>
        <v>Sumatera Utara</v>
      </c>
      <c r="D343" s="68" t="str">
        <f>INDEX(Data_Assessment[],MATCH('Rekomendasi HAV'!$A343,Data_Assessment[[INDEX]:[INDEX]],0),MATCH('Rekomendasi HAV'!D$1,Data_Assessment[#Headers],0))</f>
        <v>LSIP - Pulo Rambong Estate</v>
      </c>
      <c r="E343" s="68">
        <f>INDEX(Data_Assessment[],MATCH('Rekomendasi HAV'!$B343,Data_Assessment[[NAME]:[NAME]],0),MATCH('Rekomendasi HAV'!E$1,Data_Assessment[#Headers],0))</f>
        <v>0</v>
      </c>
      <c r="F343" s="68"/>
      <c r="G343" s="68">
        <f>IF(ISNUMBER(SEARCH("DEV",Assessment[[#This Row],[JOB TARGET]])),SUBSTITUTE(Assessment[[#This Row],[JOB TARGET]],"DEV","EST"),Assessment[[#This Row],[JOB TARGET]])</f>
        <v>0</v>
      </c>
      <c r="H343" s="146" t="str" cm="1">
        <f t="array" aca="1" ref="H343" ca="1">IF(Assessment[[#This Row],[JOB TARGET]]="","Job Target Kosong",IF(COUNT(IF('Data Assessment'!$N343:$Z343-OFFSET(Standar!$B$2,MATCH(Assessment[[#This Row],[JOB TARGET
(EST)]],Standar[NAMA JABATAN],0)-1,1,1,13)&lt;0,1,""))&lt;=3,'9 Grid'!$B$4,IF(COUNT(IF('Data Assessment'!$N343:$Z343-OFFSET(Standar!$B$2,MATCH(Assessment[[#This Row],[JOB TARGET]],Standar[NAMA JABATAN],0)-1,1,1,13)&lt;0,1,""))&gt;=7,'9 Grid'!$B$6,'9 Grid'!$B$5)))</f>
        <v>Job Target Kosong</v>
      </c>
      <c r="I343" s="146" t="str">
        <f>IFERROR(IF(Data_Assessment[[#This Row],[IPP (3 YEARS AVERAGE)]]="","(IPP Belum Ada)",IF(Data_Assessment[[#This Row],[IPP (3 YEARS AVERAGE)]]&lt;2,'9 Grid'!$F$2,IF(Data_Assessment[[#This Row],[IPP (3 YEARS AVERAGE)]]&gt;=4,'9 Grid'!$D$2,'9 Grid'!$E$2))),"")</f>
        <v>Fully Competence Performance</v>
      </c>
      <c r="J343" s="146" t="str">
        <f ca="1">IFERROR(INDEX('9 Grid'!$D$4:$F$6,MATCH('Rekomendasi HAV'!H343,'9 Grid'!$B$4:$B$6,0),MATCH('Rekomendasi HAV'!I343,'9 Grid'!$D$2:$F$2,0)),"")</f>
        <v/>
      </c>
      <c r="K343" s="146" t="str">
        <f>IFERROR(INDEX('9 Grid'!$D$8:$F$8,1,MATCH('Rekomendasi HAV'!I343,'9 Grid'!$D$2:$F$2,0)),"")</f>
        <v>(ST) Within 12 - 18 month</v>
      </c>
      <c r="L343" s="146">
        <f>IF(ISNUMBER(SEARCH("EST",Assessment[[#This Row],[JOB TARGET]])),SUBSTITUTE(Assessment[[#This Row],[JOB TARGET]],"EST","DEV"),Assessment[[#This Row],[JOB TARGET]])</f>
        <v>0</v>
      </c>
      <c r="M343" s="146" t="str" cm="1">
        <f t="array" aca="1" ref="M343" ca="1">IF(Assessment[[#This Row],[JOB TARGET]]="","Job Target Kosong",IF(COUNT(IF('Data Assessment'!$N343:$Z343-OFFSET(Standar!$B$2,MATCH(Assessment[[#This Row],[JOB TARGET
(DEV)]],Standar[NAMA JABATAN],0)-1,1,1,13)&lt;0,1,""))&lt;=3,'9 Grid'!$B$4,IF(COUNT(IF('Data Assessment'!$N343:$Z343-OFFSET(Standar!$B$2,MATCH(Assessment[[#This Row],[JOB TARGET
(DEV)]],Standar[NAMA JABATAN],0)-1,1,1,13)&lt;0,1,""))&gt;=7,'9 Grid'!$B$6,'9 Grid'!$B$5)))</f>
        <v>Job Target Kosong</v>
      </c>
      <c r="N343" s="146" t="str">
        <f>IFERROR(IF(Data_Assessment[[#This Row],[IPP (3 YEARS AVERAGE)]]="","(IPP Belum Ada)",IF(Data_Assessment[[#This Row],[IPP (3 YEARS AVERAGE)]]&lt;2,'9 Grid'!$F$2,IF(Data_Assessment[[#This Row],[IPP (3 YEARS AVERAGE)]]&gt;=4,'9 Grid'!$D$2,'9 Grid'!$E$2))),"")</f>
        <v>Fully Competence Performance</v>
      </c>
      <c r="O343" s="146" t="str">
        <f ca="1">IFERROR(INDEX('9 Grid'!$D$4:$F$6,MATCH('Rekomendasi HAV'!M343,'9 Grid'!$B$4:$B$6,0),MATCH('Rekomendasi HAV'!N343,'9 Grid'!$D$2:$F$2,0)),"")</f>
        <v/>
      </c>
      <c r="P343" s="147" t="str">
        <f>IFERROR(INDEX('9 Grid'!$D$8:$F$8,1,MATCH('Rekomendasi HAV'!N343,'9 Grid'!$D$2:$F$2,0)),"")</f>
        <v>(ST) Within 12 - 18 month</v>
      </c>
    </row>
    <row r="344" spans="1:16" ht="28.5">
      <c r="A344" s="67">
        <v>343</v>
      </c>
      <c r="B344" s="68" t="str">
        <f>INDEX(Data_Assessment[],MATCH('Rekomendasi HAV'!$A344,Data_Assessment[[INDEX]:[INDEX]],0),MATCH('Rekomendasi HAV'!B$1,Data_Assessment[#Headers],0))</f>
        <v>Muhammad Alwan Ryandi Siregar</v>
      </c>
      <c r="C344" s="68" t="str">
        <f>INDEX(Data_Assessment[],MATCH('Rekomendasi HAV'!$A344,Data_Assessment[[INDEX]:[INDEX]],0),MATCH('Rekomendasi HAV'!C$1,Data_Assessment[#Headers],0))</f>
        <v>Sumatera Utara</v>
      </c>
      <c r="D344" s="68" t="str">
        <f>INDEX(Data_Assessment[],MATCH('Rekomendasi HAV'!$A344,Data_Assessment[[INDEX]:[INDEX]],0),MATCH('Rekomendasi HAV'!D$1,Data_Assessment[#Headers],0))</f>
        <v>LSIP - Pulo Rambong Estate</v>
      </c>
      <c r="E344" s="68">
        <f>INDEX(Data_Assessment[],MATCH('Rekomendasi HAV'!$B344,Data_Assessment[[NAME]:[NAME]],0),MATCH('Rekomendasi HAV'!E$1,Data_Assessment[#Headers],0))</f>
        <v>0</v>
      </c>
      <c r="F344" s="68"/>
      <c r="G344" s="68">
        <f>IF(ISNUMBER(SEARCH("DEV",Assessment[[#This Row],[JOB TARGET]])),SUBSTITUTE(Assessment[[#This Row],[JOB TARGET]],"DEV","EST"),Assessment[[#This Row],[JOB TARGET]])</f>
        <v>0</v>
      </c>
      <c r="H344" s="146" t="str" cm="1">
        <f t="array" aca="1" ref="H344" ca="1">IF(Assessment[[#This Row],[JOB TARGET]]="","Job Target Kosong",IF(COUNT(IF('Data Assessment'!$N344:$Z344-OFFSET(Standar!$B$2,MATCH(Assessment[[#This Row],[JOB TARGET
(EST)]],Standar[NAMA JABATAN],0)-1,1,1,13)&lt;0,1,""))&lt;=3,'9 Grid'!$B$4,IF(COUNT(IF('Data Assessment'!$N344:$Z344-OFFSET(Standar!$B$2,MATCH(Assessment[[#This Row],[JOB TARGET]],Standar[NAMA JABATAN],0)-1,1,1,13)&lt;0,1,""))&gt;=7,'9 Grid'!$B$6,'9 Grid'!$B$5)))</f>
        <v>Job Target Kosong</v>
      </c>
      <c r="I344" s="146" t="str">
        <f>IFERROR(IF(Data_Assessment[[#This Row],[IPP (3 YEARS AVERAGE)]]="","(IPP Belum Ada)",IF(Data_Assessment[[#This Row],[IPP (3 YEARS AVERAGE)]]&lt;2,'9 Grid'!$F$2,IF(Data_Assessment[[#This Row],[IPP (3 YEARS AVERAGE)]]&gt;=4,'9 Grid'!$D$2,'9 Grid'!$E$2))),"")</f>
        <v>Fully Competence Performance</v>
      </c>
      <c r="J344" s="146" t="str">
        <f ca="1">IFERROR(INDEX('9 Grid'!$D$4:$F$6,MATCH('Rekomendasi HAV'!H344,'9 Grid'!$B$4:$B$6,0),MATCH('Rekomendasi HAV'!I344,'9 Grid'!$D$2:$F$2,0)),"")</f>
        <v/>
      </c>
      <c r="K344" s="146" t="str">
        <f>IFERROR(INDEX('9 Grid'!$D$8:$F$8,1,MATCH('Rekomendasi HAV'!I344,'9 Grid'!$D$2:$F$2,0)),"")</f>
        <v>(ST) Within 12 - 18 month</v>
      </c>
      <c r="L344" s="146">
        <f>IF(ISNUMBER(SEARCH("EST",Assessment[[#This Row],[JOB TARGET]])),SUBSTITUTE(Assessment[[#This Row],[JOB TARGET]],"EST","DEV"),Assessment[[#This Row],[JOB TARGET]])</f>
        <v>0</v>
      </c>
      <c r="M344" s="146" t="str" cm="1">
        <f t="array" aca="1" ref="M344" ca="1">IF(Assessment[[#This Row],[JOB TARGET]]="","Job Target Kosong",IF(COUNT(IF('Data Assessment'!$N344:$Z344-OFFSET(Standar!$B$2,MATCH(Assessment[[#This Row],[JOB TARGET
(DEV)]],Standar[NAMA JABATAN],0)-1,1,1,13)&lt;0,1,""))&lt;=3,'9 Grid'!$B$4,IF(COUNT(IF('Data Assessment'!$N344:$Z344-OFFSET(Standar!$B$2,MATCH(Assessment[[#This Row],[JOB TARGET
(DEV)]],Standar[NAMA JABATAN],0)-1,1,1,13)&lt;0,1,""))&gt;=7,'9 Grid'!$B$6,'9 Grid'!$B$5)))</f>
        <v>Job Target Kosong</v>
      </c>
      <c r="N344" s="146" t="str">
        <f>IFERROR(IF(Data_Assessment[[#This Row],[IPP (3 YEARS AVERAGE)]]="","(IPP Belum Ada)",IF(Data_Assessment[[#This Row],[IPP (3 YEARS AVERAGE)]]&lt;2,'9 Grid'!$F$2,IF(Data_Assessment[[#This Row],[IPP (3 YEARS AVERAGE)]]&gt;=4,'9 Grid'!$D$2,'9 Grid'!$E$2))),"")</f>
        <v>Fully Competence Performance</v>
      </c>
      <c r="O344" s="146" t="str">
        <f ca="1">IFERROR(INDEX('9 Grid'!$D$4:$F$6,MATCH('Rekomendasi HAV'!M344,'9 Grid'!$B$4:$B$6,0),MATCH('Rekomendasi HAV'!N344,'9 Grid'!$D$2:$F$2,0)),"")</f>
        <v/>
      </c>
      <c r="P344" s="147" t="str">
        <f>IFERROR(INDEX('9 Grid'!$D$8:$F$8,1,MATCH('Rekomendasi HAV'!N344,'9 Grid'!$D$2:$F$2,0)),"")</f>
        <v>(ST) Within 12 - 18 month</v>
      </c>
    </row>
    <row r="345" spans="1:16" ht="28.5">
      <c r="A345" s="67">
        <v>344</v>
      </c>
      <c r="B345" s="68" t="str">
        <f>INDEX(Data_Assessment[],MATCH('Rekomendasi HAV'!$A345,Data_Assessment[[INDEX]:[INDEX]],0),MATCH('Rekomendasi HAV'!B$1,Data_Assessment[#Headers],0))</f>
        <v>Rina Suzana</v>
      </c>
      <c r="C345" s="68" t="str">
        <f>INDEX(Data_Assessment[],MATCH('Rekomendasi HAV'!$A345,Data_Assessment[[INDEX]:[INDEX]],0),MATCH('Rekomendasi HAV'!C$1,Data_Assessment[#Headers],0))</f>
        <v>Sumatera Selatan</v>
      </c>
      <c r="D345" s="68" t="str">
        <f>INDEX(Data_Assessment[],MATCH('Rekomendasi HAV'!$A345,Data_Assessment[[INDEX]:[INDEX]],0),MATCH('Rekomendasi HAV'!D$1,Data_Assessment[#Headers],0))</f>
        <v>LSIP - Gunung Bais Palm Oil Mill</v>
      </c>
      <c r="E345" s="68">
        <f>INDEX(Data_Assessment[],MATCH('Rekomendasi HAV'!$B345,Data_Assessment[[NAME]:[NAME]],0),MATCH('Rekomendasi HAV'!E$1,Data_Assessment[#Headers],0))</f>
        <v>0</v>
      </c>
      <c r="F345" s="68"/>
      <c r="G345" s="68">
        <f>IF(ISNUMBER(SEARCH("DEV",Assessment[[#This Row],[JOB TARGET]])),SUBSTITUTE(Assessment[[#This Row],[JOB TARGET]],"DEV","EST"),Assessment[[#This Row],[JOB TARGET]])</f>
        <v>0</v>
      </c>
      <c r="H345" s="146" t="str" cm="1">
        <f t="array" aca="1" ref="H345" ca="1">IF(Assessment[[#This Row],[JOB TARGET]]="","Job Target Kosong",IF(COUNT(IF('Data Assessment'!$N345:$Z345-OFFSET(Standar!$B$2,MATCH(Assessment[[#This Row],[JOB TARGET
(EST)]],Standar[NAMA JABATAN],0)-1,1,1,13)&lt;0,1,""))&lt;=3,'9 Grid'!$B$4,IF(COUNT(IF('Data Assessment'!$N345:$Z345-OFFSET(Standar!$B$2,MATCH(Assessment[[#This Row],[JOB TARGET]],Standar[NAMA JABATAN],0)-1,1,1,13)&lt;0,1,""))&gt;=7,'9 Grid'!$B$6,'9 Grid'!$B$5)))</f>
        <v>Job Target Kosong</v>
      </c>
      <c r="I345" s="146" t="str">
        <f>IFERROR(IF(Data_Assessment[[#This Row],[IPP (3 YEARS AVERAGE)]]="","(IPP Belum Ada)",IF(Data_Assessment[[#This Row],[IPP (3 YEARS AVERAGE)]]&lt;2,'9 Grid'!$F$2,IF(Data_Assessment[[#This Row],[IPP (3 YEARS AVERAGE)]]&gt;=4,'9 Grid'!$D$2,'9 Grid'!$E$2))),"")</f>
        <v>Fully Competence Performance</v>
      </c>
      <c r="J345" s="146" t="str">
        <f ca="1">IFERROR(INDEX('9 Grid'!$D$4:$F$6,MATCH('Rekomendasi HAV'!H345,'9 Grid'!$B$4:$B$6,0),MATCH('Rekomendasi HAV'!I345,'9 Grid'!$D$2:$F$2,0)),"")</f>
        <v/>
      </c>
      <c r="K345" s="146" t="str">
        <f>IFERROR(INDEX('9 Grid'!$D$8:$F$8,1,MATCH('Rekomendasi HAV'!I345,'9 Grid'!$D$2:$F$2,0)),"")</f>
        <v>(ST) Within 12 - 18 month</v>
      </c>
      <c r="L345" s="146">
        <f>IF(ISNUMBER(SEARCH("EST",Assessment[[#This Row],[JOB TARGET]])),SUBSTITUTE(Assessment[[#This Row],[JOB TARGET]],"EST","DEV"),Assessment[[#This Row],[JOB TARGET]])</f>
        <v>0</v>
      </c>
      <c r="M345" s="146" t="str" cm="1">
        <f t="array" aca="1" ref="M345" ca="1">IF(Assessment[[#This Row],[JOB TARGET]]="","Job Target Kosong",IF(COUNT(IF('Data Assessment'!$N345:$Z345-OFFSET(Standar!$B$2,MATCH(Assessment[[#This Row],[JOB TARGET
(DEV)]],Standar[NAMA JABATAN],0)-1,1,1,13)&lt;0,1,""))&lt;=3,'9 Grid'!$B$4,IF(COUNT(IF('Data Assessment'!$N345:$Z345-OFFSET(Standar!$B$2,MATCH(Assessment[[#This Row],[JOB TARGET
(DEV)]],Standar[NAMA JABATAN],0)-1,1,1,13)&lt;0,1,""))&gt;=7,'9 Grid'!$B$6,'9 Grid'!$B$5)))</f>
        <v>Job Target Kosong</v>
      </c>
      <c r="N345" s="146" t="str">
        <f>IFERROR(IF(Data_Assessment[[#This Row],[IPP (3 YEARS AVERAGE)]]="","(IPP Belum Ada)",IF(Data_Assessment[[#This Row],[IPP (3 YEARS AVERAGE)]]&lt;2,'9 Grid'!$F$2,IF(Data_Assessment[[#This Row],[IPP (3 YEARS AVERAGE)]]&gt;=4,'9 Grid'!$D$2,'9 Grid'!$E$2))),"")</f>
        <v>Fully Competence Performance</v>
      </c>
      <c r="O345" s="146" t="str">
        <f ca="1">IFERROR(INDEX('9 Grid'!$D$4:$F$6,MATCH('Rekomendasi HAV'!M345,'9 Grid'!$B$4:$B$6,0),MATCH('Rekomendasi HAV'!N345,'9 Grid'!$D$2:$F$2,0)),"")</f>
        <v/>
      </c>
      <c r="P345" s="147" t="str">
        <f>IFERROR(INDEX('9 Grid'!$D$8:$F$8,1,MATCH('Rekomendasi HAV'!N345,'9 Grid'!$D$2:$F$2,0)),"")</f>
        <v>(ST) Within 12 - 18 month</v>
      </c>
    </row>
    <row r="346" spans="1:16" ht="28.5">
      <c r="A346" s="67">
        <v>345</v>
      </c>
      <c r="B346" s="68" t="str">
        <f>INDEX(Data_Assessment[],MATCH('Rekomendasi HAV'!$A346,Data_Assessment[[INDEX]:[INDEX]],0),MATCH('Rekomendasi HAV'!B$1,Data_Assessment[#Headers],0))</f>
        <v>Rajohan Saragih</v>
      </c>
      <c r="C346" s="68" t="str">
        <f>INDEX(Data_Assessment[],MATCH('Rekomendasi HAV'!$A346,Data_Assessment[[INDEX]:[INDEX]],0),MATCH('Rekomendasi HAV'!C$1,Data_Assessment[#Headers],0))</f>
        <v>Jakarta</v>
      </c>
      <c r="D346" s="68" t="str">
        <f>INDEX(Data_Assessment[],MATCH('Rekomendasi HAV'!$A346,Data_Assessment[[INDEX]:[INDEX]],0),MATCH('Rekomendasi HAV'!D$1,Data_Assessment[#Headers],0))</f>
        <v>LSIP - HO Jakarta</v>
      </c>
      <c r="E346" s="68">
        <f>INDEX(Data_Assessment[],MATCH('Rekomendasi HAV'!$B346,Data_Assessment[[NAME]:[NAME]],0),MATCH('Rekomendasi HAV'!E$1,Data_Assessment[#Headers],0))</f>
        <v>0</v>
      </c>
      <c r="F346" s="68"/>
      <c r="G346" s="68">
        <f>IF(ISNUMBER(SEARCH("DEV",Assessment[[#This Row],[JOB TARGET]])),SUBSTITUTE(Assessment[[#This Row],[JOB TARGET]],"DEV","EST"),Assessment[[#This Row],[JOB TARGET]])</f>
        <v>0</v>
      </c>
      <c r="H346" s="146" t="str" cm="1">
        <f t="array" aca="1" ref="H346" ca="1">IF(Assessment[[#This Row],[JOB TARGET]]="","Job Target Kosong",IF(COUNT(IF('Data Assessment'!$N346:$Z346-OFFSET(Standar!$B$2,MATCH(Assessment[[#This Row],[JOB TARGET
(EST)]],Standar[NAMA JABATAN],0)-1,1,1,13)&lt;0,1,""))&lt;=3,'9 Grid'!$B$4,IF(COUNT(IF('Data Assessment'!$N346:$Z346-OFFSET(Standar!$B$2,MATCH(Assessment[[#This Row],[JOB TARGET]],Standar[NAMA JABATAN],0)-1,1,1,13)&lt;0,1,""))&gt;=7,'9 Grid'!$B$6,'9 Grid'!$B$5)))</f>
        <v>Job Target Kosong</v>
      </c>
      <c r="I346" s="146" t="str">
        <f>IFERROR(IF(Data_Assessment[[#This Row],[IPP (3 YEARS AVERAGE)]]="","(IPP Belum Ada)",IF(Data_Assessment[[#This Row],[IPP (3 YEARS AVERAGE)]]&lt;2,'9 Grid'!$F$2,IF(Data_Assessment[[#This Row],[IPP (3 YEARS AVERAGE)]]&gt;=4,'9 Grid'!$D$2,'9 Grid'!$E$2))),"")</f>
        <v>Fully Competence Performance</v>
      </c>
      <c r="J346" s="146" t="str">
        <f ca="1">IFERROR(INDEX('9 Grid'!$D$4:$F$6,MATCH('Rekomendasi HAV'!H346,'9 Grid'!$B$4:$B$6,0),MATCH('Rekomendasi HAV'!I346,'9 Grid'!$D$2:$F$2,0)),"")</f>
        <v/>
      </c>
      <c r="K346" s="146" t="str">
        <f>IFERROR(INDEX('9 Grid'!$D$8:$F$8,1,MATCH('Rekomendasi HAV'!I346,'9 Grid'!$D$2:$F$2,0)),"")</f>
        <v>(ST) Within 12 - 18 month</v>
      </c>
      <c r="L346" s="146">
        <f>IF(ISNUMBER(SEARCH("EST",Assessment[[#This Row],[JOB TARGET]])),SUBSTITUTE(Assessment[[#This Row],[JOB TARGET]],"EST","DEV"),Assessment[[#This Row],[JOB TARGET]])</f>
        <v>0</v>
      </c>
      <c r="M346" s="146" t="str" cm="1">
        <f t="array" aca="1" ref="M346" ca="1">IF(Assessment[[#This Row],[JOB TARGET]]="","Job Target Kosong",IF(COUNT(IF('Data Assessment'!$N346:$Z346-OFFSET(Standar!$B$2,MATCH(Assessment[[#This Row],[JOB TARGET
(DEV)]],Standar[NAMA JABATAN],0)-1,1,1,13)&lt;0,1,""))&lt;=3,'9 Grid'!$B$4,IF(COUNT(IF('Data Assessment'!$N346:$Z346-OFFSET(Standar!$B$2,MATCH(Assessment[[#This Row],[JOB TARGET
(DEV)]],Standar[NAMA JABATAN],0)-1,1,1,13)&lt;0,1,""))&gt;=7,'9 Grid'!$B$6,'9 Grid'!$B$5)))</f>
        <v>Job Target Kosong</v>
      </c>
      <c r="N346" s="146" t="str">
        <f>IFERROR(IF(Data_Assessment[[#This Row],[IPP (3 YEARS AVERAGE)]]="","(IPP Belum Ada)",IF(Data_Assessment[[#This Row],[IPP (3 YEARS AVERAGE)]]&lt;2,'9 Grid'!$F$2,IF(Data_Assessment[[#This Row],[IPP (3 YEARS AVERAGE)]]&gt;=4,'9 Grid'!$D$2,'9 Grid'!$E$2))),"")</f>
        <v>Fully Competence Performance</v>
      </c>
      <c r="O346" s="146" t="str">
        <f ca="1">IFERROR(INDEX('9 Grid'!$D$4:$F$6,MATCH('Rekomendasi HAV'!M346,'9 Grid'!$B$4:$B$6,0),MATCH('Rekomendasi HAV'!N346,'9 Grid'!$D$2:$F$2,0)),"")</f>
        <v/>
      </c>
      <c r="P346" s="147" t="str">
        <f>IFERROR(INDEX('9 Grid'!$D$8:$F$8,1,MATCH('Rekomendasi HAV'!N346,'9 Grid'!$D$2:$F$2,0)),"")</f>
        <v>(ST) Within 12 - 18 month</v>
      </c>
    </row>
    <row r="347" spans="1:16" ht="28.5">
      <c r="A347" s="67">
        <v>346</v>
      </c>
      <c r="B347" s="68" t="str">
        <f>INDEX(Data_Assessment[],MATCH('Rekomendasi HAV'!$A347,Data_Assessment[[INDEX]:[INDEX]],0),MATCH('Rekomendasi HAV'!B$1,Data_Assessment[#Headers],0))</f>
        <v>Jenni Wardi Purba</v>
      </c>
      <c r="C347" s="68" t="str">
        <f>INDEX(Data_Assessment[],MATCH('Rekomendasi HAV'!$A347,Data_Assessment[[INDEX]:[INDEX]],0),MATCH('Rekomendasi HAV'!C$1,Data_Assessment[#Headers],0))</f>
        <v>Sumatera Utara</v>
      </c>
      <c r="D347" s="68" t="str">
        <f>INDEX(Data_Assessment[],MATCH('Rekomendasi HAV'!$A347,Data_Assessment[[INDEX]:[INDEX]],0),MATCH('Rekomendasi HAV'!D$1,Data_Assessment[#Headers],0))</f>
        <v>LSIP - Bungara Estate</v>
      </c>
      <c r="E347" s="68">
        <f>INDEX(Data_Assessment[],MATCH('Rekomendasi HAV'!$B347,Data_Assessment[[NAME]:[NAME]],0),MATCH('Rekomendasi HAV'!E$1,Data_Assessment[#Headers],0))</f>
        <v>0</v>
      </c>
      <c r="F347" s="68"/>
      <c r="G347" s="68">
        <f>IF(ISNUMBER(SEARCH("DEV",Assessment[[#This Row],[JOB TARGET]])),SUBSTITUTE(Assessment[[#This Row],[JOB TARGET]],"DEV","EST"),Assessment[[#This Row],[JOB TARGET]])</f>
        <v>0</v>
      </c>
      <c r="H347" s="146" t="str" cm="1">
        <f t="array" aca="1" ref="H347" ca="1">IF(Assessment[[#This Row],[JOB TARGET]]="","Job Target Kosong",IF(COUNT(IF('Data Assessment'!$N347:$Z347-OFFSET(Standar!$B$2,MATCH(Assessment[[#This Row],[JOB TARGET
(EST)]],Standar[NAMA JABATAN],0)-1,1,1,13)&lt;0,1,""))&lt;=3,'9 Grid'!$B$4,IF(COUNT(IF('Data Assessment'!$N347:$Z347-OFFSET(Standar!$B$2,MATCH(Assessment[[#This Row],[JOB TARGET]],Standar[NAMA JABATAN],0)-1,1,1,13)&lt;0,1,""))&gt;=7,'9 Grid'!$B$6,'9 Grid'!$B$5)))</f>
        <v>Job Target Kosong</v>
      </c>
      <c r="I347" s="146" t="str">
        <f>IFERROR(IF(Data_Assessment[[#This Row],[IPP (3 YEARS AVERAGE)]]="","(IPP Belum Ada)",IF(Data_Assessment[[#This Row],[IPP (3 YEARS AVERAGE)]]&lt;2,'9 Grid'!$F$2,IF(Data_Assessment[[#This Row],[IPP (3 YEARS AVERAGE)]]&gt;=4,'9 Grid'!$D$2,'9 Grid'!$E$2))),"")</f>
        <v>Fully Competence Performance</v>
      </c>
      <c r="J347" s="146" t="str">
        <f ca="1">IFERROR(INDEX('9 Grid'!$D$4:$F$6,MATCH('Rekomendasi HAV'!H347,'9 Grid'!$B$4:$B$6,0),MATCH('Rekomendasi HAV'!I347,'9 Grid'!$D$2:$F$2,0)),"")</f>
        <v/>
      </c>
      <c r="K347" s="146" t="str">
        <f>IFERROR(INDEX('9 Grid'!$D$8:$F$8,1,MATCH('Rekomendasi HAV'!I347,'9 Grid'!$D$2:$F$2,0)),"")</f>
        <v>(ST) Within 12 - 18 month</v>
      </c>
      <c r="L347" s="146">
        <f>IF(ISNUMBER(SEARCH("EST",Assessment[[#This Row],[JOB TARGET]])),SUBSTITUTE(Assessment[[#This Row],[JOB TARGET]],"EST","DEV"),Assessment[[#This Row],[JOB TARGET]])</f>
        <v>0</v>
      </c>
      <c r="M347" s="146" t="str" cm="1">
        <f t="array" aca="1" ref="M347" ca="1">IF(Assessment[[#This Row],[JOB TARGET]]="","Job Target Kosong",IF(COUNT(IF('Data Assessment'!$N347:$Z347-OFFSET(Standar!$B$2,MATCH(Assessment[[#This Row],[JOB TARGET
(DEV)]],Standar[NAMA JABATAN],0)-1,1,1,13)&lt;0,1,""))&lt;=3,'9 Grid'!$B$4,IF(COUNT(IF('Data Assessment'!$N347:$Z347-OFFSET(Standar!$B$2,MATCH(Assessment[[#This Row],[JOB TARGET
(DEV)]],Standar[NAMA JABATAN],0)-1,1,1,13)&lt;0,1,""))&gt;=7,'9 Grid'!$B$6,'9 Grid'!$B$5)))</f>
        <v>Job Target Kosong</v>
      </c>
      <c r="N347" s="146" t="str">
        <f>IFERROR(IF(Data_Assessment[[#This Row],[IPP (3 YEARS AVERAGE)]]="","(IPP Belum Ada)",IF(Data_Assessment[[#This Row],[IPP (3 YEARS AVERAGE)]]&lt;2,'9 Grid'!$F$2,IF(Data_Assessment[[#This Row],[IPP (3 YEARS AVERAGE)]]&gt;=4,'9 Grid'!$D$2,'9 Grid'!$E$2))),"")</f>
        <v>Fully Competence Performance</v>
      </c>
      <c r="O347" s="146" t="str">
        <f ca="1">IFERROR(INDEX('9 Grid'!$D$4:$F$6,MATCH('Rekomendasi HAV'!M347,'9 Grid'!$B$4:$B$6,0),MATCH('Rekomendasi HAV'!N347,'9 Grid'!$D$2:$F$2,0)),"")</f>
        <v/>
      </c>
      <c r="P347" s="147" t="str">
        <f>IFERROR(INDEX('9 Grid'!$D$8:$F$8,1,MATCH('Rekomendasi HAV'!N347,'9 Grid'!$D$2:$F$2,0)),"")</f>
        <v>(ST) Within 12 - 18 month</v>
      </c>
    </row>
    <row r="348" spans="1:16" ht="28.5">
      <c r="A348" s="67">
        <v>347</v>
      </c>
      <c r="B348" s="68" t="str">
        <f>INDEX(Data_Assessment[],MATCH('Rekomendasi HAV'!$A348,Data_Assessment[[INDEX]:[INDEX]],0),MATCH('Rekomendasi HAV'!B$1,Data_Assessment[#Headers],0))</f>
        <v>Rusli, SH</v>
      </c>
      <c r="C348" s="68" t="str">
        <f>INDEX(Data_Assessment[],MATCH('Rekomendasi HAV'!$A348,Data_Assessment[[INDEX]:[INDEX]],0),MATCH('Rekomendasi HAV'!C$1,Data_Assessment[#Headers],0))</f>
        <v>Sulawesi Selatan</v>
      </c>
      <c r="D348" s="68" t="str">
        <f>INDEX(Data_Assessment[],MATCH('Rekomendasi HAV'!$A348,Data_Assessment[[INDEX]:[INDEX]],0),MATCH('Rekomendasi HAV'!D$1,Data_Assessment[#Headers],0))</f>
        <v>LSIP - PalangIsang Estate</v>
      </c>
      <c r="E348" s="68">
        <f>INDEX(Data_Assessment[],MATCH('Rekomendasi HAV'!$B348,Data_Assessment[[NAME]:[NAME]],0),MATCH('Rekomendasi HAV'!E$1,Data_Assessment[#Headers],0))</f>
        <v>0</v>
      </c>
      <c r="F348" s="68"/>
      <c r="G348" s="68">
        <f>IF(ISNUMBER(SEARCH("DEV",Assessment[[#This Row],[JOB TARGET]])),SUBSTITUTE(Assessment[[#This Row],[JOB TARGET]],"DEV","EST"),Assessment[[#This Row],[JOB TARGET]])</f>
        <v>0</v>
      </c>
      <c r="H348" s="146" t="str" cm="1">
        <f t="array" aca="1" ref="H348" ca="1">IF(Assessment[[#This Row],[JOB TARGET]]="","Job Target Kosong",IF(COUNT(IF('Data Assessment'!$N348:$Z348-OFFSET(Standar!$B$2,MATCH(Assessment[[#This Row],[JOB TARGET
(EST)]],Standar[NAMA JABATAN],0)-1,1,1,13)&lt;0,1,""))&lt;=3,'9 Grid'!$B$4,IF(COUNT(IF('Data Assessment'!$N348:$Z348-OFFSET(Standar!$B$2,MATCH(Assessment[[#This Row],[JOB TARGET]],Standar[NAMA JABATAN],0)-1,1,1,13)&lt;0,1,""))&gt;=7,'9 Grid'!$B$6,'9 Grid'!$B$5)))</f>
        <v>Job Target Kosong</v>
      </c>
      <c r="I348" s="146" t="str">
        <f>IFERROR(IF(Data_Assessment[[#This Row],[IPP (3 YEARS AVERAGE)]]="","(IPP Belum Ada)",IF(Data_Assessment[[#This Row],[IPP (3 YEARS AVERAGE)]]&lt;2,'9 Grid'!$F$2,IF(Data_Assessment[[#This Row],[IPP (3 YEARS AVERAGE)]]&gt;=4,'9 Grid'!$D$2,'9 Grid'!$E$2))),"")</f>
        <v>Fully Competence Performance</v>
      </c>
      <c r="J348" s="146" t="str">
        <f ca="1">IFERROR(INDEX('9 Grid'!$D$4:$F$6,MATCH('Rekomendasi HAV'!H348,'9 Grid'!$B$4:$B$6,0),MATCH('Rekomendasi HAV'!I348,'9 Grid'!$D$2:$F$2,0)),"")</f>
        <v/>
      </c>
      <c r="K348" s="146" t="str">
        <f>IFERROR(INDEX('9 Grid'!$D$8:$F$8,1,MATCH('Rekomendasi HAV'!I348,'9 Grid'!$D$2:$F$2,0)),"")</f>
        <v>(ST) Within 12 - 18 month</v>
      </c>
      <c r="L348" s="146">
        <f>IF(ISNUMBER(SEARCH("EST",Assessment[[#This Row],[JOB TARGET]])),SUBSTITUTE(Assessment[[#This Row],[JOB TARGET]],"EST","DEV"),Assessment[[#This Row],[JOB TARGET]])</f>
        <v>0</v>
      </c>
      <c r="M348" s="146" t="str" cm="1">
        <f t="array" aca="1" ref="M348" ca="1">IF(Assessment[[#This Row],[JOB TARGET]]="","Job Target Kosong",IF(COUNT(IF('Data Assessment'!$N348:$Z348-OFFSET(Standar!$B$2,MATCH(Assessment[[#This Row],[JOB TARGET
(DEV)]],Standar[NAMA JABATAN],0)-1,1,1,13)&lt;0,1,""))&lt;=3,'9 Grid'!$B$4,IF(COUNT(IF('Data Assessment'!$N348:$Z348-OFFSET(Standar!$B$2,MATCH(Assessment[[#This Row],[JOB TARGET
(DEV)]],Standar[NAMA JABATAN],0)-1,1,1,13)&lt;0,1,""))&gt;=7,'9 Grid'!$B$6,'9 Grid'!$B$5)))</f>
        <v>Job Target Kosong</v>
      </c>
      <c r="N348" s="146" t="str">
        <f>IFERROR(IF(Data_Assessment[[#This Row],[IPP (3 YEARS AVERAGE)]]="","(IPP Belum Ada)",IF(Data_Assessment[[#This Row],[IPP (3 YEARS AVERAGE)]]&lt;2,'9 Grid'!$F$2,IF(Data_Assessment[[#This Row],[IPP (3 YEARS AVERAGE)]]&gt;=4,'9 Grid'!$D$2,'9 Grid'!$E$2))),"")</f>
        <v>Fully Competence Performance</v>
      </c>
      <c r="O348" s="146" t="str">
        <f ca="1">IFERROR(INDEX('9 Grid'!$D$4:$F$6,MATCH('Rekomendasi HAV'!M348,'9 Grid'!$B$4:$B$6,0),MATCH('Rekomendasi HAV'!N348,'9 Grid'!$D$2:$F$2,0)),"")</f>
        <v/>
      </c>
      <c r="P348" s="147" t="str">
        <f>IFERROR(INDEX('9 Grid'!$D$8:$F$8,1,MATCH('Rekomendasi HAV'!N348,'9 Grid'!$D$2:$F$2,0)),"")</f>
        <v>(ST) Within 12 - 18 month</v>
      </c>
    </row>
    <row r="349" spans="1:16" ht="14.25">
      <c r="A349" s="67">
        <v>348</v>
      </c>
      <c r="B349" s="68" t="str">
        <f>INDEX(Data_Assessment[],MATCH('Rekomendasi HAV'!$A349,Data_Assessment[[INDEX]:[INDEX]],0),MATCH('Rekomendasi HAV'!B$1,Data_Assessment[#Headers],0))</f>
        <v>Roy E. Wicaksono</v>
      </c>
      <c r="C349" s="68" t="str">
        <f>INDEX(Data_Assessment[],MATCH('Rekomendasi HAV'!$A349,Data_Assessment[[INDEX]:[INDEX]],0),MATCH('Rekomendasi HAV'!C$1,Data_Assessment[#Headers],0))</f>
        <v>Jakarta</v>
      </c>
      <c r="D349" s="68" t="str">
        <f>INDEX(Data_Assessment[],MATCH('Rekomendasi HAV'!$A349,Data_Assessment[[INDEX]:[INDEX]],0),MATCH('Rekomendasi HAV'!D$1,Data_Assessment[#Headers],0))</f>
        <v>LSIP - HO Jakarta</v>
      </c>
      <c r="E349" s="68">
        <f>INDEX(Data_Assessment[],MATCH('Rekomendasi HAV'!$B349,Data_Assessment[[NAME]:[NAME]],0),MATCH('Rekomendasi HAV'!E$1,Data_Assessment[#Headers],0))</f>
        <v>0</v>
      </c>
      <c r="F349" s="68"/>
      <c r="G349" s="68">
        <f>IF(ISNUMBER(SEARCH("DEV",Assessment[[#This Row],[JOB TARGET]])),SUBSTITUTE(Assessment[[#This Row],[JOB TARGET]],"DEV","EST"),Assessment[[#This Row],[JOB TARGET]])</f>
        <v>0</v>
      </c>
      <c r="H349" s="146" t="str" cm="1">
        <f t="array" aca="1" ref="H349" ca="1">IF(Assessment[[#This Row],[JOB TARGET]]="","Job Target Kosong",IF(COUNT(IF('Data Assessment'!$N349:$Z349-OFFSET(Standar!$B$2,MATCH(Assessment[[#This Row],[JOB TARGET
(EST)]],Standar[NAMA JABATAN],0)-1,1,1,13)&lt;0,1,""))&lt;=3,'9 Grid'!$B$4,IF(COUNT(IF('Data Assessment'!$N349:$Z349-OFFSET(Standar!$B$2,MATCH(Assessment[[#This Row],[JOB TARGET]],Standar[NAMA JABATAN],0)-1,1,1,13)&lt;0,1,""))&gt;=7,'9 Grid'!$B$6,'9 Grid'!$B$5)))</f>
        <v>Job Target Kosong</v>
      </c>
      <c r="I349" s="146" t="str">
        <f>IFERROR(IF(Data_Assessment[[#This Row],[IPP (3 YEARS AVERAGE)]]="","(IPP Belum Ada)",IF(Data_Assessment[[#This Row],[IPP (3 YEARS AVERAGE)]]&lt;2,'9 Grid'!$F$2,IF(Data_Assessment[[#This Row],[IPP (3 YEARS AVERAGE)]]&gt;=4,'9 Grid'!$D$2,'9 Grid'!$E$2))),"")</f>
        <v>Exceptional Performance</v>
      </c>
      <c r="J349" s="146" t="str">
        <f ca="1">IFERROR(INDEX('9 Grid'!$D$4:$F$6,MATCH('Rekomendasi HAV'!H349,'9 Grid'!$B$4:$B$6,0),MATCH('Rekomendasi HAV'!I349,'9 Grid'!$D$2:$F$2,0)),"")</f>
        <v/>
      </c>
      <c r="K349" s="146" t="str">
        <f>IFERROR(INDEX('9 Grid'!$D$8:$F$8,1,MATCH('Rekomendasi HAV'!I349,'9 Grid'!$D$2:$F$2,0)),"")</f>
        <v>(I) Immediately</v>
      </c>
      <c r="L349" s="146">
        <f>IF(ISNUMBER(SEARCH("EST",Assessment[[#This Row],[JOB TARGET]])),SUBSTITUTE(Assessment[[#This Row],[JOB TARGET]],"EST","DEV"),Assessment[[#This Row],[JOB TARGET]])</f>
        <v>0</v>
      </c>
      <c r="M349" s="146" t="str" cm="1">
        <f t="array" aca="1" ref="M349" ca="1">IF(Assessment[[#This Row],[JOB TARGET]]="","Job Target Kosong",IF(COUNT(IF('Data Assessment'!$N349:$Z349-OFFSET(Standar!$B$2,MATCH(Assessment[[#This Row],[JOB TARGET
(DEV)]],Standar[NAMA JABATAN],0)-1,1,1,13)&lt;0,1,""))&lt;=3,'9 Grid'!$B$4,IF(COUNT(IF('Data Assessment'!$N349:$Z349-OFFSET(Standar!$B$2,MATCH(Assessment[[#This Row],[JOB TARGET
(DEV)]],Standar[NAMA JABATAN],0)-1,1,1,13)&lt;0,1,""))&gt;=7,'9 Grid'!$B$6,'9 Grid'!$B$5)))</f>
        <v>Job Target Kosong</v>
      </c>
      <c r="N349" s="146" t="str">
        <f>IFERROR(IF(Data_Assessment[[#This Row],[IPP (3 YEARS AVERAGE)]]="","(IPP Belum Ada)",IF(Data_Assessment[[#This Row],[IPP (3 YEARS AVERAGE)]]&lt;2,'9 Grid'!$F$2,IF(Data_Assessment[[#This Row],[IPP (3 YEARS AVERAGE)]]&gt;=4,'9 Grid'!$D$2,'9 Grid'!$E$2))),"")</f>
        <v>Exceptional Performance</v>
      </c>
      <c r="O349" s="146" t="str">
        <f ca="1">IFERROR(INDEX('9 Grid'!$D$4:$F$6,MATCH('Rekomendasi HAV'!M349,'9 Grid'!$B$4:$B$6,0),MATCH('Rekomendasi HAV'!N349,'9 Grid'!$D$2:$F$2,0)),"")</f>
        <v/>
      </c>
      <c r="P349" s="147" t="str">
        <f>IFERROR(INDEX('9 Grid'!$D$8:$F$8,1,MATCH('Rekomendasi HAV'!N349,'9 Grid'!$D$2:$F$2,0)),"")</f>
        <v>(I) Immediately</v>
      </c>
    </row>
    <row r="350" spans="1:16" ht="28.5">
      <c r="A350" s="67">
        <v>349</v>
      </c>
      <c r="B350" s="68" t="str">
        <f>INDEX(Data_Assessment[],MATCH('Rekomendasi HAV'!$A350,Data_Assessment[[INDEX]:[INDEX]],0),MATCH('Rekomendasi HAV'!B$1,Data_Assessment[#Headers],0))</f>
        <v>Mirza Dhika Ginta Surbakti</v>
      </c>
      <c r="C350" s="68" t="str">
        <f>INDEX(Data_Assessment[],MATCH('Rekomendasi HAV'!$A350,Data_Assessment[[INDEX]:[INDEX]],0),MATCH('Rekomendasi HAV'!C$1,Data_Assessment[#Headers],0))</f>
        <v>Sumatera Utara</v>
      </c>
      <c r="D350" s="68" t="str">
        <f>INDEX(Data_Assessment[],MATCH('Rekomendasi HAV'!$A350,Data_Assessment[[INDEX]:[INDEX]],0),MATCH('Rekomendasi HAV'!D$1,Data_Assessment[#Headers],0))</f>
        <v>LSIP - Begerpang Estate</v>
      </c>
      <c r="E350" s="68">
        <f>INDEX(Data_Assessment[],MATCH('Rekomendasi HAV'!$B350,Data_Assessment[[NAME]:[NAME]],0),MATCH('Rekomendasi HAV'!E$1,Data_Assessment[#Headers],0))</f>
        <v>0</v>
      </c>
      <c r="F350" s="68"/>
      <c r="G350" s="68">
        <f>IF(ISNUMBER(SEARCH("DEV",Assessment[[#This Row],[JOB TARGET]])),SUBSTITUTE(Assessment[[#This Row],[JOB TARGET]],"DEV","EST"),Assessment[[#This Row],[JOB TARGET]])</f>
        <v>0</v>
      </c>
      <c r="H350" s="146" t="str" cm="1">
        <f t="array" aca="1" ref="H350" ca="1">IF(Assessment[[#This Row],[JOB TARGET]]="","Job Target Kosong",IF(COUNT(IF('Data Assessment'!$N350:$Z350-OFFSET(Standar!$B$2,MATCH(Assessment[[#This Row],[JOB TARGET
(EST)]],Standar[NAMA JABATAN],0)-1,1,1,13)&lt;0,1,""))&lt;=3,'9 Grid'!$B$4,IF(COUNT(IF('Data Assessment'!$N350:$Z350-OFFSET(Standar!$B$2,MATCH(Assessment[[#This Row],[JOB TARGET]],Standar[NAMA JABATAN],0)-1,1,1,13)&lt;0,1,""))&gt;=7,'9 Grid'!$B$6,'9 Grid'!$B$5)))</f>
        <v>Job Target Kosong</v>
      </c>
      <c r="I350" s="146" t="str">
        <f>IFERROR(IF(Data_Assessment[[#This Row],[IPP (3 YEARS AVERAGE)]]="","(IPP Belum Ada)",IF(Data_Assessment[[#This Row],[IPP (3 YEARS AVERAGE)]]&lt;2,'9 Grid'!$F$2,IF(Data_Assessment[[#This Row],[IPP (3 YEARS AVERAGE)]]&gt;=4,'9 Grid'!$D$2,'9 Grid'!$E$2))),"")</f>
        <v>Fully Competence Performance</v>
      </c>
      <c r="J350" s="146" t="str">
        <f ca="1">IFERROR(INDEX('9 Grid'!$D$4:$F$6,MATCH('Rekomendasi HAV'!H350,'9 Grid'!$B$4:$B$6,0),MATCH('Rekomendasi HAV'!I350,'9 Grid'!$D$2:$F$2,0)),"")</f>
        <v/>
      </c>
      <c r="K350" s="146" t="str">
        <f>IFERROR(INDEX('9 Grid'!$D$8:$F$8,1,MATCH('Rekomendasi HAV'!I350,'9 Grid'!$D$2:$F$2,0)),"")</f>
        <v>(ST) Within 12 - 18 month</v>
      </c>
      <c r="L350" s="146">
        <f>IF(ISNUMBER(SEARCH("EST",Assessment[[#This Row],[JOB TARGET]])),SUBSTITUTE(Assessment[[#This Row],[JOB TARGET]],"EST","DEV"),Assessment[[#This Row],[JOB TARGET]])</f>
        <v>0</v>
      </c>
      <c r="M350" s="146" t="str" cm="1">
        <f t="array" aca="1" ref="M350" ca="1">IF(Assessment[[#This Row],[JOB TARGET]]="","Job Target Kosong",IF(COUNT(IF('Data Assessment'!$N350:$Z350-OFFSET(Standar!$B$2,MATCH(Assessment[[#This Row],[JOB TARGET
(DEV)]],Standar[NAMA JABATAN],0)-1,1,1,13)&lt;0,1,""))&lt;=3,'9 Grid'!$B$4,IF(COUNT(IF('Data Assessment'!$N350:$Z350-OFFSET(Standar!$B$2,MATCH(Assessment[[#This Row],[JOB TARGET
(DEV)]],Standar[NAMA JABATAN],0)-1,1,1,13)&lt;0,1,""))&gt;=7,'9 Grid'!$B$6,'9 Grid'!$B$5)))</f>
        <v>Job Target Kosong</v>
      </c>
      <c r="N350" s="146" t="str">
        <f>IFERROR(IF(Data_Assessment[[#This Row],[IPP (3 YEARS AVERAGE)]]="","(IPP Belum Ada)",IF(Data_Assessment[[#This Row],[IPP (3 YEARS AVERAGE)]]&lt;2,'9 Grid'!$F$2,IF(Data_Assessment[[#This Row],[IPP (3 YEARS AVERAGE)]]&gt;=4,'9 Grid'!$D$2,'9 Grid'!$E$2))),"")</f>
        <v>Fully Competence Performance</v>
      </c>
      <c r="O350" s="146" t="str">
        <f ca="1">IFERROR(INDEX('9 Grid'!$D$4:$F$6,MATCH('Rekomendasi HAV'!M350,'9 Grid'!$B$4:$B$6,0),MATCH('Rekomendasi HAV'!N350,'9 Grid'!$D$2:$F$2,0)),"")</f>
        <v/>
      </c>
      <c r="P350" s="147" t="str">
        <f>IFERROR(INDEX('9 Grid'!$D$8:$F$8,1,MATCH('Rekomendasi HAV'!N350,'9 Grid'!$D$2:$F$2,0)),"")</f>
        <v>(ST) Within 12 - 18 month</v>
      </c>
    </row>
    <row r="351" spans="1:16" ht="28.5">
      <c r="A351" s="67">
        <v>350</v>
      </c>
      <c r="B351" s="68" t="str">
        <f>INDEX(Data_Assessment[],MATCH('Rekomendasi HAV'!$A351,Data_Assessment[[INDEX]:[INDEX]],0),MATCH('Rekomendasi HAV'!B$1,Data_Assessment[#Headers],0))</f>
        <v>Taty Dwie Setya Nasution</v>
      </c>
      <c r="C351" s="68" t="str">
        <f>INDEX(Data_Assessment[],MATCH('Rekomendasi HAV'!$A351,Data_Assessment[[INDEX]:[INDEX]],0),MATCH('Rekomendasi HAV'!C$1,Data_Assessment[#Headers],0))</f>
        <v>Sumatera Utara</v>
      </c>
      <c r="D351" s="68" t="str">
        <f>INDEX(Data_Assessment[],MATCH('Rekomendasi HAV'!$A351,Data_Assessment[[INDEX]:[INDEX]],0),MATCH('Rekomendasi HAV'!D$1,Data_Assessment[#Headers],0))</f>
        <v>LSIP - Rambong Sialang Estate</v>
      </c>
      <c r="E351" s="68">
        <f>INDEX(Data_Assessment[],MATCH('Rekomendasi HAV'!$B351,Data_Assessment[[NAME]:[NAME]],0),MATCH('Rekomendasi HAV'!E$1,Data_Assessment[#Headers],0))</f>
        <v>0</v>
      </c>
      <c r="F351" s="68"/>
      <c r="G351" s="68">
        <f>IF(ISNUMBER(SEARCH("DEV",Assessment[[#This Row],[JOB TARGET]])),SUBSTITUTE(Assessment[[#This Row],[JOB TARGET]],"DEV","EST"),Assessment[[#This Row],[JOB TARGET]])</f>
        <v>0</v>
      </c>
      <c r="H351" s="146" t="str" cm="1">
        <f t="array" aca="1" ref="H351" ca="1">IF(Assessment[[#This Row],[JOB TARGET]]="","Job Target Kosong",IF(COUNT(IF('Data Assessment'!$N351:$Z351-OFFSET(Standar!$B$2,MATCH(Assessment[[#This Row],[JOB TARGET
(EST)]],Standar[NAMA JABATAN],0)-1,1,1,13)&lt;0,1,""))&lt;=3,'9 Grid'!$B$4,IF(COUNT(IF('Data Assessment'!$N351:$Z351-OFFSET(Standar!$B$2,MATCH(Assessment[[#This Row],[JOB TARGET]],Standar[NAMA JABATAN],0)-1,1,1,13)&lt;0,1,""))&gt;=7,'9 Grid'!$B$6,'9 Grid'!$B$5)))</f>
        <v>Job Target Kosong</v>
      </c>
      <c r="I351" s="146" t="str">
        <f>IFERROR(IF(Data_Assessment[[#This Row],[IPP (3 YEARS AVERAGE)]]="","(IPP Belum Ada)",IF(Data_Assessment[[#This Row],[IPP (3 YEARS AVERAGE)]]&lt;2,'9 Grid'!$F$2,IF(Data_Assessment[[#This Row],[IPP (3 YEARS AVERAGE)]]&gt;=4,'9 Grid'!$D$2,'9 Grid'!$E$2))),"")</f>
        <v>Fully Competence Performance</v>
      </c>
      <c r="J351" s="146" t="str">
        <f ca="1">IFERROR(INDEX('9 Grid'!$D$4:$F$6,MATCH('Rekomendasi HAV'!H351,'9 Grid'!$B$4:$B$6,0),MATCH('Rekomendasi HAV'!I351,'9 Grid'!$D$2:$F$2,0)),"")</f>
        <v/>
      </c>
      <c r="K351" s="146" t="str">
        <f>IFERROR(INDEX('9 Grid'!$D$8:$F$8,1,MATCH('Rekomendasi HAV'!I351,'9 Grid'!$D$2:$F$2,0)),"")</f>
        <v>(ST) Within 12 - 18 month</v>
      </c>
      <c r="L351" s="146">
        <f>IF(ISNUMBER(SEARCH("EST",Assessment[[#This Row],[JOB TARGET]])),SUBSTITUTE(Assessment[[#This Row],[JOB TARGET]],"EST","DEV"),Assessment[[#This Row],[JOB TARGET]])</f>
        <v>0</v>
      </c>
      <c r="M351" s="146" t="str" cm="1">
        <f t="array" aca="1" ref="M351" ca="1">IF(Assessment[[#This Row],[JOB TARGET]]="","Job Target Kosong",IF(COUNT(IF('Data Assessment'!$N351:$Z351-OFFSET(Standar!$B$2,MATCH(Assessment[[#This Row],[JOB TARGET
(DEV)]],Standar[NAMA JABATAN],0)-1,1,1,13)&lt;0,1,""))&lt;=3,'9 Grid'!$B$4,IF(COUNT(IF('Data Assessment'!$N351:$Z351-OFFSET(Standar!$B$2,MATCH(Assessment[[#This Row],[JOB TARGET
(DEV)]],Standar[NAMA JABATAN],0)-1,1,1,13)&lt;0,1,""))&gt;=7,'9 Grid'!$B$6,'9 Grid'!$B$5)))</f>
        <v>Job Target Kosong</v>
      </c>
      <c r="N351" s="146" t="str">
        <f>IFERROR(IF(Data_Assessment[[#This Row],[IPP (3 YEARS AVERAGE)]]="","(IPP Belum Ada)",IF(Data_Assessment[[#This Row],[IPP (3 YEARS AVERAGE)]]&lt;2,'9 Grid'!$F$2,IF(Data_Assessment[[#This Row],[IPP (3 YEARS AVERAGE)]]&gt;=4,'9 Grid'!$D$2,'9 Grid'!$E$2))),"")</f>
        <v>Fully Competence Performance</v>
      </c>
      <c r="O351" s="146" t="str">
        <f ca="1">IFERROR(INDEX('9 Grid'!$D$4:$F$6,MATCH('Rekomendasi HAV'!M351,'9 Grid'!$B$4:$B$6,0),MATCH('Rekomendasi HAV'!N351,'9 Grid'!$D$2:$F$2,0)),"")</f>
        <v/>
      </c>
      <c r="P351" s="147" t="str">
        <f>IFERROR(INDEX('9 Grid'!$D$8:$F$8,1,MATCH('Rekomendasi HAV'!N351,'9 Grid'!$D$2:$F$2,0)),"")</f>
        <v>(ST) Within 12 - 18 month</v>
      </c>
    </row>
    <row r="352" spans="1:16" ht="14.25">
      <c r="A352" s="67">
        <v>351</v>
      </c>
      <c r="B352" s="68" t="str">
        <f>INDEX(Data_Assessment[],MATCH('Rekomendasi HAV'!$A352,Data_Assessment[[INDEX]:[INDEX]],0),MATCH('Rekomendasi HAV'!B$1,Data_Assessment[#Headers],0))</f>
        <v>Tony Thamrin</v>
      </c>
      <c r="C352" s="68" t="str">
        <f>INDEX(Data_Assessment[],MATCH('Rekomendasi HAV'!$A352,Data_Assessment[[INDEX]:[INDEX]],0),MATCH('Rekomendasi HAV'!C$1,Data_Assessment[#Headers],0))</f>
        <v>Jakarta</v>
      </c>
      <c r="D352" s="68" t="str">
        <f>INDEX(Data_Assessment[],MATCH('Rekomendasi HAV'!$A352,Data_Assessment[[INDEX]:[INDEX]],0),MATCH('Rekomendasi HAV'!D$1,Data_Assessment[#Headers],0))</f>
        <v>LSIP - HO Jakarta</v>
      </c>
      <c r="E352" s="68">
        <f>INDEX(Data_Assessment[],MATCH('Rekomendasi HAV'!$B352,Data_Assessment[[NAME]:[NAME]],0),MATCH('Rekomendasi HAV'!E$1,Data_Assessment[#Headers],0))</f>
        <v>0</v>
      </c>
      <c r="F352" s="68"/>
      <c r="G352" s="68">
        <f>IF(ISNUMBER(SEARCH("DEV",Assessment[[#This Row],[JOB TARGET]])),SUBSTITUTE(Assessment[[#This Row],[JOB TARGET]],"DEV","EST"),Assessment[[#This Row],[JOB TARGET]])</f>
        <v>0</v>
      </c>
      <c r="H352" s="146" t="str" cm="1">
        <f t="array" aca="1" ref="H352" ca="1">IF(Assessment[[#This Row],[JOB TARGET]]="","Job Target Kosong",IF(COUNT(IF('Data Assessment'!$N352:$Z352-OFFSET(Standar!$B$2,MATCH(Assessment[[#This Row],[JOB TARGET
(EST)]],Standar[NAMA JABATAN],0)-1,1,1,13)&lt;0,1,""))&lt;=3,'9 Grid'!$B$4,IF(COUNT(IF('Data Assessment'!$N352:$Z352-OFFSET(Standar!$B$2,MATCH(Assessment[[#This Row],[JOB TARGET]],Standar[NAMA JABATAN],0)-1,1,1,13)&lt;0,1,""))&gt;=7,'9 Grid'!$B$6,'9 Grid'!$B$5)))</f>
        <v>Job Target Kosong</v>
      </c>
      <c r="I352" s="146" t="str">
        <f>IFERROR(IF(Data_Assessment[[#This Row],[IPP (3 YEARS AVERAGE)]]="","(IPP Belum Ada)",IF(Data_Assessment[[#This Row],[IPP (3 YEARS AVERAGE)]]&lt;2,'9 Grid'!$F$2,IF(Data_Assessment[[#This Row],[IPP (3 YEARS AVERAGE)]]&gt;=4,'9 Grid'!$D$2,'9 Grid'!$E$2))),"")</f>
        <v>Exceptional Performance</v>
      </c>
      <c r="J352" s="146" t="str">
        <f ca="1">IFERROR(INDEX('9 Grid'!$D$4:$F$6,MATCH('Rekomendasi HAV'!H352,'9 Grid'!$B$4:$B$6,0),MATCH('Rekomendasi HAV'!I352,'9 Grid'!$D$2:$F$2,0)),"")</f>
        <v/>
      </c>
      <c r="K352" s="146" t="str">
        <f>IFERROR(INDEX('9 Grid'!$D$8:$F$8,1,MATCH('Rekomendasi HAV'!I352,'9 Grid'!$D$2:$F$2,0)),"")</f>
        <v>(I) Immediately</v>
      </c>
      <c r="L352" s="146">
        <f>IF(ISNUMBER(SEARCH("EST",Assessment[[#This Row],[JOB TARGET]])),SUBSTITUTE(Assessment[[#This Row],[JOB TARGET]],"EST","DEV"),Assessment[[#This Row],[JOB TARGET]])</f>
        <v>0</v>
      </c>
      <c r="M352" s="146" t="str" cm="1">
        <f t="array" aca="1" ref="M352" ca="1">IF(Assessment[[#This Row],[JOB TARGET]]="","Job Target Kosong",IF(COUNT(IF('Data Assessment'!$N352:$Z352-OFFSET(Standar!$B$2,MATCH(Assessment[[#This Row],[JOB TARGET
(DEV)]],Standar[NAMA JABATAN],0)-1,1,1,13)&lt;0,1,""))&lt;=3,'9 Grid'!$B$4,IF(COUNT(IF('Data Assessment'!$N352:$Z352-OFFSET(Standar!$B$2,MATCH(Assessment[[#This Row],[JOB TARGET
(DEV)]],Standar[NAMA JABATAN],0)-1,1,1,13)&lt;0,1,""))&gt;=7,'9 Grid'!$B$6,'9 Grid'!$B$5)))</f>
        <v>Job Target Kosong</v>
      </c>
      <c r="N352" s="146" t="str">
        <f>IFERROR(IF(Data_Assessment[[#This Row],[IPP (3 YEARS AVERAGE)]]="","(IPP Belum Ada)",IF(Data_Assessment[[#This Row],[IPP (3 YEARS AVERAGE)]]&lt;2,'9 Grid'!$F$2,IF(Data_Assessment[[#This Row],[IPP (3 YEARS AVERAGE)]]&gt;=4,'9 Grid'!$D$2,'9 Grid'!$E$2))),"")</f>
        <v>Exceptional Performance</v>
      </c>
      <c r="O352" s="146" t="str">
        <f ca="1">IFERROR(INDEX('9 Grid'!$D$4:$F$6,MATCH('Rekomendasi HAV'!M352,'9 Grid'!$B$4:$B$6,0),MATCH('Rekomendasi HAV'!N352,'9 Grid'!$D$2:$F$2,0)),"")</f>
        <v/>
      </c>
      <c r="P352" s="147" t="str">
        <f>IFERROR(INDEX('9 Grid'!$D$8:$F$8,1,MATCH('Rekomendasi HAV'!N352,'9 Grid'!$D$2:$F$2,0)),"")</f>
        <v>(I) Immediately</v>
      </c>
    </row>
    <row r="353" spans="1:16" ht="28.5">
      <c r="A353" s="67">
        <v>352</v>
      </c>
      <c r="B353" s="68" t="str">
        <f>INDEX(Data_Assessment[],MATCH('Rekomendasi HAV'!$A353,Data_Assessment[[INDEX]:[INDEX]],0),MATCH('Rekomendasi HAV'!B$1,Data_Assessment[#Headers],0))</f>
        <v>Melkias Bernandes Manik</v>
      </c>
      <c r="C353" s="68" t="str">
        <f>INDEX(Data_Assessment[],MATCH('Rekomendasi HAV'!$A353,Data_Assessment[[INDEX]:[INDEX]],0),MATCH('Rekomendasi HAV'!C$1,Data_Assessment[#Headers],0))</f>
        <v>Jawa Barat</v>
      </c>
      <c r="D353" s="68" t="str">
        <f>INDEX(Data_Assessment[],MATCH('Rekomendasi HAV'!$A353,Data_Assessment[[INDEX]:[INDEX]],0),MATCH('Rekomendasi HAV'!D$1,Data_Assessment[#Headers],0))</f>
        <v>LSIP - Kertasarie Estate</v>
      </c>
      <c r="E353" s="68">
        <f>INDEX(Data_Assessment[],MATCH('Rekomendasi HAV'!$B353,Data_Assessment[[NAME]:[NAME]],0),MATCH('Rekomendasi HAV'!E$1,Data_Assessment[#Headers],0))</f>
        <v>0</v>
      </c>
      <c r="F353" s="68"/>
      <c r="G353" s="68">
        <f>IF(ISNUMBER(SEARCH("DEV",Assessment[[#This Row],[JOB TARGET]])),SUBSTITUTE(Assessment[[#This Row],[JOB TARGET]],"DEV","EST"),Assessment[[#This Row],[JOB TARGET]])</f>
        <v>0</v>
      </c>
      <c r="H353" s="146" t="str" cm="1">
        <f t="array" aca="1" ref="H353" ca="1">IF(Assessment[[#This Row],[JOB TARGET]]="","Job Target Kosong",IF(COUNT(IF('Data Assessment'!$N353:$Z353-OFFSET(Standar!$B$2,MATCH(Assessment[[#This Row],[JOB TARGET
(EST)]],Standar[NAMA JABATAN],0)-1,1,1,13)&lt;0,1,""))&lt;=3,'9 Grid'!$B$4,IF(COUNT(IF('Data Assessment'!$N353:$Z353-OFFSET(Standar!$B$2,MATCH(Assessment[[#This Row],[JOB TARGET]],Standar[NAMA JABATAN],0)-1,1,1,13)&lt;0,1,""))&gt;=7,'9 Grid'!$B$6,'9 Grid'!$B$5)))</f>
        <v>Job Target Kosong</v>
      </c>
      <c r="I353" s="146" t="str">
        <f>IFERROR(IF(Data_Assessment[[#This Row],[IPP (3 YEARS AVERAGE)]]="","(IPP Belum Ada)",IF(Data_Assessment[[#This Row],[IPP (3 YEARS AVERAGE)]]&lt;2,'9 Grid'!$F$2,IF(Data_Assessment[[#This Row],[IPP (3 YEARS AVERAGE)]]&gt;=4,'9 Grid'!$D$2,'9 Grid'!$E$2))),"")</f>
        <v>Fully Competence Performance</v>
      </c>
      <c r="J353" s="146" t="str">
        <f ca="1">IFERROR(INDEX('9 Grid'!$D$4:$F$6,MATCH('Rekomendasi HAV'!H353,'9 Grid'!$B$4:$B$6,0),MATCH('Rekomendasi HAV'!I353,'9 Grid'!$D$2:$F$2,0)),"")</f>
        <v/>
      </c>
      <c r="K353" s="146" t="str">
        <f>IFERROR(INDEX('9 Grid'!$D$8:$F$8,1,MATCH('Rekomendasi HAV'!I353,'9 Grid'!$D$2:$F$2,0)),"")</f>
        <v>(ST) Within 12 - 18 month</v>
      </c>
      <c r="L353" s="146">
        <f>IF(ISNUMBER(SEARCH("EST",Assessment[[#This Row],[JOB TARGET]])),SUBSTITUTE(Assessment[[#This Row],[JOB TARGET]],"EST","DEV"),Assessment[[#This Row],[JOB TARGET]])</f>
        <v>0</v>
      </c>
      <c r="M353" s="146" t="str" cm="1">
        <f t="array" aca="1" ref="M353" ca="1">IF(Assessment[[#This Row],[JOB TARGET]]="","Job Target Kosong",IF(COUNT(IF('Data Assessment'!$N353:$Z353-OFFSET(Standar!$B$2,MATCH(Assessment[[#This Row],[JOB TARGET
(DEV)]],Standar[NAMA JABATAN],0)-1,1,1,13)&lt;0,1,""))&lt;=3,'9 Grid'!$B$4,IF(COUNT(IF('Data Assessment'!$N353:$Z353-OFFSET(Standar!$B$2,MATCH(Assessment[[#This Row],[JOB TARGET
(DEV)]],Standar[NAMA JABATAN],0)-1,1,1,13)&lt;0,1,""))&gt;=7,'9 Grid'!$B$6,'9 Grid'!$B$5)))</f>
        <v>Job Target Kosong</v>
      </c>
      <c r="N353" s="146" t="str">
        <f>IFERROR(IF(Data_Assessment[[#This Row],[IPP (3 YEARS AVERAGE)]]="","(IPP Belum Ada)",IF(Data_Assessment[[#This Row],[IPP (3 YEARS AVERAGE)]]&lt;2,'9 Grid'!$F$2,IF(Data_Assessment[[#This Row],[IPP (3 YEARS AVERAGE)]]&gt;=4,'9 Grid'!$D$2,'9 Grid'!$E$2))),"")</f>
        <v>Fully Competence Performance</v>
      </c>
      <c r="O353" s="146" t="str">
        <f ca="1">IFERROR(INDEX('9 Grid'!$D$4:$F$6,MATCH('Rekomendasi HAV'!M353,'9 Grid'!$B$4:$B$6,0),MATCH('Rekomendasi HAV'!N353,'9 Grid'!$D$2:$F$2,0)),"")</f>
        <v/>
      </c>
      <c r="P353" s="147" t="str">
        <f>IFERROR(INDEX('9 Grid'!$D$8:$F$8,1,MATCH('Rekomendasi HAV'!N353,'9 Grid'!$D$2:$F$2,0)),"")</f>
        <v>(ST) Within 12 - 18 month</v>
      </c>
    </row>
    <row r="354" spans="1:16" ht="14.25">
      <c r="A354" s="67">
        <v>353</v>
      </c>
      <c r="B354" s="68" t="str">
        <f>INDEX(Data_Assessment[],MATCH('Rekomendasi HAV'!$A354,Data_Assessment[[INDEX]:[INDEX]],0),MATCH('Rekomendasi HAV'!B$1,Data_Assessment[#Headers],0))</f>
        <v>Daniel Ortega Purba</v>
      </c>
      <c r="C354" s="68" t="str">
        <f>INDEX(Data_Assessment[],MATCH('Rekomendasi HAV'!$A354,Data_Assessment[[INDEX]:[INDEX]],0),MATCH('Rekomendasi HAV'!C$1,Data_Assessment[#Headers],0))</f>
        <v>Jakarta</v>
      </c>
      <c r="D354" s="68" t="str">
        <f>INDEX(Data_Assessment[],MATCH('Rekomendasi HAV'!$A354,Data_Assessment[[INDEX]:[INDEX]],0),MATCH('Rekomendasi HAV'!D$1,Data_Assessment[#Headers],0))</f>
        <v>LSIP - HO Jakarta</v>
      </c>
      <c r="E354" s="68">
        <f>INDEX(Data_Assessment[],MATCH('Rekomendasi HAV'!$B354,Data_Assessment[[NAME]:[NAME]],0),MATCH('Rekomendasi HAV'!E$1,Data_Assessment[#Headers],0))</f>
        <v>0</v>
      </c>
      <c r="F354" s="68"/>
      <c r="G354" s="68">
        <f>IF(ISNUMBER(SEARCH("DEV",Assessment[[#This Row],[JOB TARGET]])),SUBSTITUTE(Assessment[[#This Row],[JOB TARGET]],"DEV","EST"),Assessment[[#This Row],[JOB TARGET]])</f>
        <v>0</v>
      </c>
      <c r="H354" s="146" t="str" cm="1">
        <f t="array" aca="1" ref="H354" ca="1">IF(Assessment[[#This Row],[JOB TARGET]]="","Job Target Kosong",IF(COUNT(IF('Data Assessment'!$N354:$Z354-OFFSET(Standar!$B$2,MATCH(Assessment[[#This Row],[JOB TARGET
(EST)]],Standar[NAMA JABATAN],0)-1,1,1,13)&lt;0,1,""))&lt;=3,'9 Grid'!$B$4,IF(COUNT(IF('Data Assessment'!$N354:$Z354-OFFSET(Standar!$B$2,MATCH(Assessment[[#This Row],[JOB TARGET]],Standar[NAMA JABATAN],0)-1,1,1,13)&lt;0,1,""))&gt;=7,'9 Grid'!$B$6,'9 Grid'!$B$5)))</f>
        <v>Job Target Kosong</v>
      </c>
      <c r="I354" s="146" t="str">
        <f>IFERROR(IF(Data_Assessment[[#This Row],[IPP (3 YEARS AVERAGE)]]="","(IPP Belum Ada)",IF(Data_Assessment[[#This Row],[IPP (3 YEARS AVERAGE)]]&lt;2,'9 Grid'!$F$2,IF(Data_Assessment[[#This Row],[IPP (3 YEARS AVERAGE)]]&gt;=4,'9 Grid'!$D$2,'9 Grid'!$E$2))),"")</f>
        <v>Exceptional Performance</v>
      </c>
      <c r="J354" s="146" t="str">
        <f ca="1">IFERROR(INDEX('9 Grid'!$D$4:$F$6,MATCH('Rekomendasi HAV'!H354,'9 Grid'!$B$4:$B$6,0),MATCH('Rekomendasi HAV'!I354,'9 Grid'!$D$2:$F$2,0)),"")</f>
        <v/>
      </c>
      <c r="K354" s="146" t="str">
        <f>IFERROR(INDEX('9 Grid'!$D$8:$F$8,1,MATCH('Rekomendasi HAV'!I354,'9 Grid'!$D$2:$F$2,0)),"")</f>
        <v>(I) Immediately</v>
      </c>
      <c r="L354" s="146">
        <f>IF(ISNUMBER(SEARCH("EST",Assessment[[#This Row],[JOB TARGET]])),SUBSTITUTE(Assessment[[#This Row],[JOB TARGET]],"EST","DEV"),Assessment[[#This Row],[JOB TARGET]])</f>
        <v>0</v>
      </c>
      <c r="M354" s="146" t="str" cm="1">
        <f t="array" aca="1" ref="M354" ca="1">IF(Assessment[[#This Row],[JOB TARGET]]="","Job Target Kosong",IF(COUNT(IF('Data Assessment'!$N354:$Z354-OFFSET(Standar!$B$2,MATCH(Assessment[[#This Row],[JOB TARGET
(DEV)]],Standar[NAMA JABATAN],0)-1,1,1,13)&lt;0,1,""))&lt;=3,'9 Grid'!$B$4,IF(COUNT(IF('Data Assessment'!$N354:$Z354-OFFSET(Standar!$B$2,MATCH(Assessment[[#This Row],[JOB TARGET
(DEV)]],Standar[NAMA JABATAN],0)-1,1,1,13)&lt;0,1,""))&gt;=7,'9 Grid'!$B$6,'9 Grid'!$B$5)))</f>
        <v>Job Target Kosong</v>
      </c>
      <c r="N354" s="146" t="str">
        <f>IFERROR(IF(Data_Assessment[[#This Row],[IPP (3 YEARS AVERAGE)]]="","(IPP Belum Ada)",IF(Data_Assessment[[#This Row],[IPP (3 YEARS AVERAGE)]]&lt;2,'9 Grid'!$F$2,IF(Data_Assessment[[#This Row],[IPP (3 YEARS AVERAGE)]]&gt;=4,'9 Grid'!$D$2,'9 Grid'!$E$2))),"")</f>
        <v>Exceptional Performance</v>
      </c>
      <c r="O354" s="146" t="str">
        <f ca="1">IFERROR(INDEX('9 Grid'!$D$4:$F$6,MATCH('Rekomendasi HAV'!M354,'9 Grid'!$B$4:$B$6,0),MATCH('Rekomendasi HAV'!N354,'9 Grid'!$D$2:$F$2,0)),"")</f>
        <v/>
      </c>
      <c r="P354" s="147" t="str">
        <f>IFERROR(INDEX('9 Grid'!$D$8:$F$8,1,MATCH('Rekomendasi HAV'!N354,'9 Grid'!$D$2:$F$2,0)),"")</f>
        <v>(I) Immediately</v>
      </c>
    </row>
    <row r="355" spans="1:16" ht="28.5">
      <c r="A355" s="67">
        <v>354</v>
      </c>
      <c r="B355" s="68" t="str">
        <f>INDEX(Data_Assessment[],MATCH('Rekomendasi HAV'!$A355,Data_Assessment[[INDEX]:[INDEX]],0),MATCH('Rekomendasi HAV'!B$1,Data_Assessment[#Headers],0))</f>
        <v>Feri Susanto</v>
      </c>
      <c r="C355" s="68" t="str">
        <f>INDEX(Data_Assessment[],MATCH('Rekomendasi HAV'!$A355,Data_Assessment[[INDEX]:[INDEX]],0),MATCH('Rekomendasi HAV'!C$1,Data_Assessment[#Headers],0))</f>
        <v>Sumatera Utara</v>
      </c>
      <c r="D355" s="68" t="str">
        <f>INDEX(Data_Assessment[],MATCH('Rekomendasi HAV'!$A355,Data_Assessment[[INDEX]:[INDEX]],0),MATCH('Rekomendasi HAV'!D$1,Data_Assessment[#Headers],0))</f>
        <v>LSIP - QCTL</v>
      </c>
      <c r="E355" s="68">
        <f>INDEX(Data_Assessment[],MATCH('Rekomendasi HAV'!$B355,Data_Assessment[[NAME]:[NAME]],0),MATCH('Rekomendasi HAV'!E$1,Data_Assessment[#Headers],0))</f>
        <v>0</v>
      </c>
      <c r="F355" s="68"/>
      <c r="G355" s="68">
        <f>IF(ISNUMBER(SEARCH("DEV",Assessment[[#This Row],[JOB TARGET]])),SUBSTITUTE(Assessment[[#This Row],[JOB TARGET]],"DEV","EST"),Assessment[[#This Row],[JOB TARGET]])</f>
        <v>0</v>
      </c>
      <c r="H355" s="146" t="str" cm="1">
        <f t="array" aca="1" ref="H355" ca="1">IF(Assessment[[#This Row],[JOB TARGET]]="","Job Target Kosong",IF(COUNT(IF('Data Assessment'!$N355:$Z355-OFFSET(Standar!$B$2,MATCH(Assessment[[#This Row],[JOB TARGET
(EST)]],Standar[NAMA JABATAN],0)-1,1,1,13)&lt;0,1,""))&lt;=3,'9 Grid'!$B$4,IF(COUNT(IF('Data Assessment'!$N355:$Z355-OFFSET(Standar!$B$2,MATCH(Assessment[[#This Row],[JOB TARGET]],Standar[NAMA JABATAN],0)-1,1,1,13)&lt;0,1,""))&gt;=7,'9 Grid'!$B$6,'9 Grid'!$B$5)))</f>
        <v>Job Target Kosong</v>
      </c>
      <c r="I355" s="146" t="str">
        <f>IFERROR(IF(Data_Assessment[[#This Row],[IPP (3 YEARS AVERAGE)]]="","(IPP Belum Ada)",IF(Data_Assessment[[#This Row],[IPP (3 YEARS AVERAGE)]]&lt;2,'9 Grid'!$F$2,IF(Data_Assessment[[#This Row],[IPP (3 YEARS AVERAGE)]]&gt;=4,'9 Grid'!$D$2,'9 Grid'!$E$2))),"")</f>
        <v>Fully Competence Performance</v>
      </c>
      <c r="J355" s="146" t="str">
        <f ca="1">IFERROR(INDEX('9 Grid'!$D$4:$F$6,MATCH('Rekomendasi HAV'!H355,'9 Grid'!$B$4:$B$6,0),MATCH('Rekomendasi HAV'!I355,'9 Grid'!$D$2:$F$2,0)),"")</f>
        <v/>
      </c>
      <c r="K355" s="146" t="str">
        <f>IFERROR(INDEX('9 Grid'!$D$8:$F$8,1,MATCH('Rekomendasi HAV'!I355,'9 Grid'!$D$2:$F$2,0)),"")</f>
        <v>(ST) Within 12 - 18 month</v>
      </c>
      <c r="L355" s="146">
        <f>IF(ISNUMBER(SEARCH("EST",Assessment[[#This Row],[JOB TARGET]])),SUBSTITUTE(Assessment[[#This Row],[JOB TARGET]],"EST","DEV"),Assessment[[#This Row],[JOB TARGET]])</f>
        <v>0</v>
      </c>
      <c r="M355" s="146" t="str" cm="1">
        <f t="array" aca="1" ref="M355" ca="1">IF(Assessment[[#This Row],[JOB TARGET]]="","Job Target Kosong",IF(COUNT(IF('Data Assessment'!$N355:$Z355-OFFSET(Standar!$B$2,MATCH(Assessment[[#This Row],[JOB TARGET
(DEV)]],Standar[NAMA JABATAN],0)-1,1,1,13)&lt;0,1,""))&lt;=3,'9 Grid'!$B$4,IF(COUNT(IF('Data Assessment'!$N355:$Z355-OFFSET(Standar!$B$2,MATCH(Assessment[[#This Row],[JOB TARGET
(DEV)]],Standar[NAMA JABATAN],0)-1,1,1,13)&lt;0,1,""))&gt;=7,'9 Grid'!$B$6,'9 Grid'!$B$5)))</f>
        <v>Job Target Kosong</v>
      </c>
      <c r="N355" s="146" t="str">
        <f>IFERROR(IF(Data_Assessment[[#This Row],[IPP (3 YEARS AVERAGE)]]="","(IPP Belum Ada)",IF(Data_Assessment[[#This Row],[IPP (3 YEARS AVERAGE)]]&lt;2,'9 Grid'!$F$2,IF(Data_Assessment[[#This Row],[IPP (3 YEARS AVERAGE)]]&gt;=4,'9 Grid'!$D$2,'9 Grid'!$E$2))),"")</f>
        <v>Fully Competence Performance</v>
      </c>
      <c r="O355" s="146" t="str">
        <f ca="1">IFERROR(INDEX('9 Grid'!$D$4:$F$6,MATCH('Rekomendasi HAV'!M355,'9 Grid'!$B$4:$B$6,0),MATCH('Rekomendasi HAV'!N355,'9 Grid'!$D$2:$F$2,0)),"")</f>
        <v/>
      </c>
      <c r="P355" s="147" t="str">
        <f>IFERROR(INDEX('9 Grid'!$D$8:$F$8,1,MATCH('Rekomendasi HAV'!N355,'9 Grid'!$D$2:$F$2,0)),"")</f>
        <v>(ST) Within 12 - 18 month</v>
      </c>
    </row>
    <row r="356" spans="1:16" ht="28.5">
      <c r="A356" s="67">
        <v>355</v>
      </c>
      <c r="B356" s="68" t="str">
        <f>INDEX(Data_Assessment[],MATCH('Rekomendasi HAV'!$A356,Data_Assessment[[INDEX]:[INDEX]],0),MATCH('Rekomendasi HAV'!B$1,Data_Assessment[#Headers],0))</f>
        <v>Wahyu Nofiyanto</v>
      </c>
      <c r="C356" s="68" t="str">
        <f>INDEX(Data_Assessment[],MATCH('Rekomendasi HAV'!$A356,Data_Assessment[[INDEX]:[INDEX]],0),MATCH('Rekomendasi HAV'!C$1,Data_Assessment[#Headers],0))</f>
        <v>Jakarta</v>
      </c>
      <c r="D356" s="68" t="str">
        <f>INDEX(Data_Assessment[],MATCH('Rekomendasi HAV'!$A356,Data_Assessment[[INDEX]:[INDEX]],0),MATCH('Rekomendasi HAV'!D$1,Data_Assessment[#Headers],0))</f>
        <v>LSIP - HO Jakarta</v>
      </c>
      <c r="E356" s="68">
        <f>INDEX(Data_Assessment[],MATCH('Rekomendasi HAV'!$B356,Data_Assessment[[NAME]:[NAME]],0),MATCH('Rekomendasi HAV'!E$1,Data_Assessment[#Headers],0))</f>
        <v>0</v>
      </c>
      <c r="F356" s="68"/>
      <c r="G356" s="68">
        <f>IF(ISNUMBER(SEARCH("DEV",Assessment[[#This Row],[JOB TARGET]])),SUBSTITUTE(Assessment[[#This Row],[JOB TARGET]],"DEV","EST"),Assessment[[#This Row],[JOB TARGET]])</f>
        <v>0</v>
      </c>
      <c r="H356" s="146" t="str" cm="1">
        <f t="array" aca="1" ref="H356" ca="1">IF(Assessment[[#This Row],[JOB TARGET]]="","Job Target Kosong",IF(COUNT(IF('Data Assessment'!$N356:$Z356-OFFSET(Standar!$B$2,MATCH(Assessment[[#This Row],[JOB TARGET
(EST)]],Standar[NAMA JABATAN],0)-1,1,1,13)&lt;0,1,""))&lt;=3,'9 Grid'!$B$4,IF(COUNT(IF('Data Assessment'!$N356:$Z356-OFFSET(Standar!$B$2,MATCH(Assessment[[#This Row],[JOB TARGET]],Standar[NAMA JABATAN],0)-1,1,1,13)&lt;0,1,""))&gt;=7,'9 Grid'!$B$6,'9 Grid'!$B$5)))</f>
        <v>Job Target Kosong</v>
      </c>
      <c r="I356" s="146" t="str">
        <f>IFERROR(IF(Data_Assessment[[#This Row],[IPP (3 YEARS AVERAGE)]]="","(IPP Belum Ada)",IF(Data_Assessment[[#This Row],[IPP (3 YEARS AVERAGE)]]&lt;2,'9 Grid'!$F$2,IF(Data_Assessment[[#This Row],[IPP (3 YEARS AVERAGE)]]&gt;=4,'9 Grid'!$D$2,'9 Grid'!$E$2))),"")</f>
        <v>Fully Competence Performance</v>
      </c>
      <c r="J356" s="146" t="str">
        <f ca="1">IFERROR(INDEX('9 Grid'!$D$4:$F$6,MATCH('Rekomendasi HAV'!H356,'9 Grid'!$B$4:$B$6,0),MATCH('Rekomendasi HAV'!I356,'9 Grid'!$D$2:$F$2,0)),"")</f>
        <v/>
      </c>
      <c r="K356" s="146" t="str">
        <f>IFERROR(INDEX('9 Grid'!$D$8:$F$8,1,MATCH('Rekomendasi HAV'!I356,'9 Grid'!$D$2:$F$2,0)),"")</f>
        <v>(ST) Within 12 - 18 month</v>
      </c>
      <c r="L356" s="146">
        <f>IF(ISNUMBER(SEARCH("EST",Assessment[[#This Row],[JOB TARGET]])),SUBSTITUTE(Assessment[[#This Row],[JOB TARGET]],"EST","DEV"),Assessment[[#This Row],[JOB TARGET]])</f>
        <v>0</v>
      </c>
      <c r="M356" s="146" t="str" cm="1">
        <f t="array" aca="1" ref="M356" ca="1">IF(Assessment[[#This Row],[JOB TARGET]]="","Job Target Kosong",IF(COUNT(IF('Data Assessment'!$N356:$Z356-OFFSET(Standar!$B$2,MATCH(Assessment[[#This Row],[JOB TARGET
(DEV)]],Standar[NAMA JABATAN],0)-1,1,1,13)&lt;0,1,""))&lt;=3,'9 Grid'!$B$4,IF(COUNT(IF('Data Assessment'!$N356:$Z356-OFFSET(Standar!$B$2,MATCH(Assessment[[#This Row],[JOB TARGET
(DEV)]],Standar[NAMA JABATAN],0)-1,1,1,13)&lt;0,1,""))&gt;=7,'9 Grid'!$B$6,'9 Grid'!$B$5)))</f>
        <v>Job Target Kosong</v>
      </c>
      <c r="N356" s="146" t="str">
        <f>IFERROR(IF(Data_Assessment[[#This Row],[IPP (3 YEARS AVERAGE)]]="","(IPP Belum Ada)",IF(Data_Assessment[[#This Row],[IPP (3 YEARS AVERAGE)]]&lt;2,'9 Grid'!$F$2,IF(Data_Assessment[[#This Row],[IPP (3 YEARS AVERAGE)]]&gt;=4,'9 Grid'!$D$2,'9 Grid'!$E$2))),"")</f>
        <v>Fully Competence Performance</v>
      </c>
      <c r="O356" s="146" t="str">
        <f ca="1">IFERROR(INDEX('9 Grid'!$D$4:$F$6,MATCH('Rekomendasi HAV'!M356,'9 Grid'!$B$4:$B$6,0),MATCH('Rekomendasi HAV'!N356,'9 Grid'!$D$2:$F$2,0)),"")</f>
        <v/>
      </c>
      <c r="P356" s="147" t="str">
        <f>IFERROR(INDEX('9 Grid'!$D$8:$F$8,1,MATCH('Rekomendasi HAV'!N356,'9 Grid'!$D$2:$F$2,0)),"")</f>
        <v>(ST) Within 12 - 18 month</v>
      </c>
    </row>
    <row r="357" spans="1:16" ht="28.5">
      <c r="A357" s="67">
        <v>356</v>
      </c>
      <c r="B357" s="68" t="str">
        <f>INDEX(Data_Assessment[],MATCH('Rekomendasi HAV'!$A357,Data_Assessment[[INDEX]:[INDEX]],0),MATCH('Rekomendasi HAV'!B$1,Data_Assessment[#Headers],0))</f>
        <v>Harry Prasetyo</v>
      </c>
      <c r="C357" s="68" t="str">
        <f>INDEX(Data_Assessment[],MATCH('Rekomendasi HAV'!$A357,Data_Assessment[[INDEX]:[INDEX]],0),MATCH('Rekomendasi HAV'!C$1,Data_Assessment[#Headers],0))</f>
        <v>Sumatera Utara</v>
      </c>
      <c r="D357" s="68" t="str">
        <f>INDEX(Data_Assessment[],MATCH('Rekomendasi HAV'!$A357,Data_Assessment[[INDEX]:[INDEX]],0),MATCH('Rekomendasi HAV'!D$1,Data_Assessment[#Headers],0))</f>
        <v>LSIP - Sibulan Estate</v>
      </c>
      <c r="E357" s="68">
        <f>INDEX(Data_Assessment[],MATCH('Rekomendasi HAV'!$B357,Data_Assessment[[NAME]:[NAME]],0),MATCH('Rekomendasi HAV'!E$1,Data_Assessment[#Headers],0))</f>
        <v>0</v>
      </c>
      <c r="F357" s="68"/>
      <c r="G357" s="68">
        <f>IF(ISNUMBER(SEARCH("DEV",Assessment[[#This Row],[JOB TARGET]])),SUBSTITUTE(Assessment[[#This Row],[JOB TARGET]],"DEV","EST"),Assessment[[#This Row],[JOB TARGET]])</f>
        <v>0</v>
      </c>
      <c r="H357" s="146" t="str" cm="1">
        <f t="array" aca="1" ref="H357" ca="1">IF(Assessment[[#This Row],[JOB TARGET]]="","Job Target Kosong",IF(COUNT(IF('Data Assessment'!$N357:$Z357-OFFSET(Standar!$B$2,MATCH(Assessment[[#This Row],[JOB TARGET
(EST)]],Standar[NAMA JABATAN],0)-1,1,1,13)&lt;0,1,""))&lt;=3,'9 Grid'!$B$4,IF(COUNT(IF('Data Assessment'!$N357:$Z357-OFFSET(Standar!$B$2,MATCH(Assessment[[#This Row],[JOB TARGET]],Standar[NAMA JABATAN],0)-1,1,1,13)&lt;0,1,""))&gt;=7,'9 Grid'!$B$6,'9 Grid'!$B$5)))</f>
        <v>Job Target Kosong</v>
      </c>
      <c r="I357" s="146" t="str">
        <f>IFERROR(IF(Data_Assessment[[#This Row],[IPP (3 YEARS AVERAGE)]]="","(IPP Belum Ada)",IF(Data_Assessment[[#This Row],[IPP (3 YEARS AVERAGE)]]&lt;2,'9 Grid'!$F$2,IF(Data_Assessment[[#This Row],[IPP (3 YEARS AVERAGE)]]&gt;=4,'9 Grid'!$D$2,'9 Grid'!$E$2))),"")</f>
        <v>Fully Competence Performance</v>
      </c>
      <c r="J357" s="146" t="str">
        <f ca="1">IFERROR(INDEX('9 Grid'!$D$4:$F$6,MATCH('Rekomendasi HAV'!H357,'9 Grid'!$B$4:$B$6,0),MATCH('Rekomendasi HAV'!I357,'9 Grid'!$D$2:$F$2,0)),"")</f>
        <v/>
      </c>
      <c r="K357" s="146" t="str">
        <f>IFERROR(INDEX('9 Grid'!$D$8:$F$8,1,MATCH('Rekomendasi HAV'!I357,'9 Grid'!$D$2:$F$2,0)),"")</f>
        <v>(ST) Within 12 - 18 month</v>
      </c>
      <c r="L357" s="146">
        <f>IF(ISNUMBER(SEARCH("EST",Assessment[[#This Row],[JOB TARGET]])),SUBSTITUTE(Assessment[[#This Row],[JOB TARGET]],"EST","DEV"),Assessment[[#This Row],[JOB TARGET]])</f>
        <v>0</v>
      </c>
      <c r="M357" s="146" t="str" cm="1">
        <f t="array" aca="1" ref="M357" ca="1">IF(Assessment[[#This Row],[JOB TARGET]]="","Job Target Kosong",IF(COUNT(IF('Data Assessment'!$N357:$Z357-OFFSET(Standar!$B$2,MATCH(Assessment[[#This Row],[JOB TARGET
(DEV)]],Standar[NAMA JABATAN],0)-1,1,1,13)&lt;0,1,""))&lt;=3,'9 Grid'!$B$4,IF(COUNT(IF('Data Assessment'!$N357:$Z357-OFFSET(Standar!$B$2,MATCH(Assessment[[#This Row],[JOB TARGET
(DEV)]],Standar[NAMA JABATAN],0)-1,1,1,13)&lt;0,1,""))&gt;=7,'9 Grid'!$B$6,'9 Grid'!$B$5)))</f>
        <v>Job Target Kosong</v>
      </c>
      <c r="N357" s="146" t="str">
        <f>IFERROR(IF(Data_Assessment[[#This Row],[IPP (3 YEARS AVERAGE)]]="","(IPP Belum Ada)",IF(Data_Assessment[[#This Row],[IPP (3 YEARS AVERAGE)]]&lt;2,'9 Grid'!$F$2,IF(Data_Assessment[[#This Row],[IPP (3 YEARS AVERAGE)]]&gt;=4,'9 Grid'!$D$2,'9 Grid'!$E$2))),"")</f>
        <v>Fully Competence Performance</v>
      </c>
      <c r="O357" s="146" t="str">
        <f ca="1">IFERROR(INDEX('9 Grid'!$D$4:$F$6,MATCH('Rekomendasi HAV'!M357,'9 Grid'!$B$4:$B$6,0),MATCH('Rekomendasi HAV'!N357,'9 Grid'!$D$2:$F$2,0)),"")</f>
        <v/>
      </c>
      <c r="P357" s="147" t="str">
        <f>IFERROR(INDEX('9 Grid'!$D$8:$F$8,1,MATCH('Rekomendasi HAV'!N357,'9 Grid'!$D$2:$F$2,0)),"")</f>
        <v>(ST) Within 12 - 18 month</v>
      </c>
    </row>
    <row r="358" spans="1:16" ht="28.5">
      <c r="A358" s="67">
        <v>357</v>
      </c>
      <c r="B358" s="68" t="str">
        <f>INDEX(Data_Assessment[],MATCH('Rekomendasi HAV'!$A358,Data_Assessment[[INDEX]:[INDEX]],0),MATCH('Rekomendasi HAV'!B$1,Data_Assessment[#Headers],0))</f>
        <v>Muhammad Arif</v>
      </c>
      <c r="C358" s="68" t="str">
        <f>INDEX(Data_Assessment[],MATCH('Rekomendasi HAV'!$A358,Data_Assessment[[INDEX]:[INDEX]],0),MATCH('Rekomendasi HAV'!C$1,Data_Assessment[#Headers],0))</f>
        <v>Sumatera Utara</v>
      </c>
      <c r="D358" s="68" t="str">
        <f>INDEX(Data_Assessment[],MATCH('Rekomendasi HAV'!$A358,Data_Assessment[[INDEX]:[INDEX]],0),MATCH('Rekomendasi HAV'!D$1,Data_Assessment[#Headers],0))</f>
        <v>LSIP - Bah Bulian Estate</v>
      </c>
      <c r="E358" s="68">
        <f>INDEX(Data_Assessment[],MATCH('Rekomendasi HAV'!$B358,Data_Assessment[[NAME]:[NAME]],0),MATCH('Rekomendasi HAV'!E$1,Data_Assessment[#Headers],0))</f>
        <v>0</v>
      </c>
      <c r="F358" s="68"/>
      <c r="G358" s="68">
        <f>IF(ISNUMBER(SEARCH("DEV",Assessment[[#This Row],[JOB TARGET]])),SUBSTITUTE(Assessment[[#This Row],[JOB TARGET]],"DEV","EST"),Assessment[[#This Row],[JOB TARGET]])</f>
        <v>0</v>
      </c>
      <c r="H358" s="146" t="str" cm="1">
        <f t="array" aca="1" ref="H358" ca="1">IF(Assessment[[#This Row],[JOB TARGET]]="","Job Target Kosong",IF(COUNT(IF('Data Assessment'!$N358:$Z358-OFFSET(Standar!$B$2,MATCH(Assessment[[#This Row],[JOB TARGET
(EST)]],Standar[NAMA JABATAN],0)-1,1,1,13)&lt;0,1,""))&lt;=3,'9 Grid'!$B$4,IF(COUNT(IF('Data Assessment'!$N358:$Z358-OFFSET(Standar!$B$2,MATCH(Assessment[[#This Row],[JOB TARGET]],Standar[NAMA JABATAN],0)-1,1,1,13)&lt;0,1,""))&gt;=7,'9 Grid'!$B$6,'9 Grid'!$B$5)))</f>
        <v>Job Target Kosong</v>
      </c>
      <c r="I358" s="146" t="str">
        <f>IFERROR(IF(Data_Assessment[[#This Row],[IPP (3 YEARS AVERAGE)]]="","(IPP Belum Ada)",IF(Data_Assessment[[#This Row],[IPP (3 YEARS AVERAGE)]]&lt;2,'9 Grid'!$F$2,IF(Data_Assessment[[#This Row],[IPP (3 YEARS AVERAGE)]]&gt;=4,'9 Grid'!$D$2,'9 Grid'!$E$2))),"")</f>
        <v>Fully Competence Performance</v>
      </c>
      <c r="J358" s="146" t="str">
        <f ca="1">IFERROR(INDEX('9 Grid'!$D$4:$F$6,MATCH('Rekomendasi HAV'!H358,'9 Grid'!$B$4:$B$6,0),MATCH('Rekomendasi HAV'!I358,'9 Grid'!$D$2:$F$2,0)),"")</f>
        <v/>
      </c>
      <c r="K358" s="146" t="str">
        <f>IFERROR(INDEX('9 Grid'!$D$8:$F$8,1,MATCH('Rekomendasi HAV'!I358,'9 Grid'!$D$2:$F$2,0)),"")</f>
        <v>(ST) Within 12 - 18 month</v>
      </c>
      <c r="L358" s="146">
        <f>IF(ISNUMBER(SEARCH("EST",Assessment[[#This Row],[JOB TARGET]])),SUBSTITUTE(Assessment[[#This Row],[JOB TARGET]],"EST","DEV"),Assessment[[#This Row],[JOB TARGET]])</f>
        <v>0</v>
      </c>
      <c r="M358" s="146" t="str" cm="1">
        <f t="array" aca="1" ref="M358" ca="1">IF(Assessment[[#This Row],[JOB TARGET]]="","Job Target Kosong",IF(COUNT(IF('Data Assessment'!$N358:$Z358-OFFSET(Standar!$B$2,MATCH(Assessment[[#This Row],[JOB TARGET
(DEV)]],Standar[NAMA JABATAN],0)-1,1,1,13)&lt;0,1,""))&lt;=3,'9 Grid'!$B$4,IF(COUNT(IF('Data Assessment'!$N358:$Z358-OFFSET(Standar!$B$2,MATCH(Assessment[[#This Row],[JOB TARGET
(DEV)]],Standar[NAMA JABATAN],0)-1,1,1,13)&lt;0,1,""))&gt;=7,'9 Grid'!$B$6,'9 Grid'!$B$5)))</f>
        <v>Job Target Kosong</v>
      </c>
      <c r="N358" s="146" t="str">
        <f>IFERROR(IF(Data_Assessment[[#This Row],[IPP (3 YEARS AVERAGE)]]="","(IPP Belum Ada)",IF(Data_Assessment[[#This Row],[IPP (3 YEARS AVERAGE)]]&lt;2,'9 Grid'!$F$2,IF(Data_Assessment[[#This Row],[IPP (3 YEARS AVERAGE)]]&gt;=4,'9 Grid'!$D$2,'9 Grid'!$E$2))),"")</f>
        <v>Fully Competence Performance</v>
      </c>
      <c r="O358" s="146" t="str">
        <f ca="1">IFERROR(INDEX('9 Grid'!$D$4:$F$6,MATCH('Rekomendasi HAV'!M358,'9 Grid'!$B$4:$B$6,0),MATCH('Rekomendasi HAV'!N358,'9 Grid'!$D$2:$F$2,0)),"")</f>
        <v/>
      </c>
      <c r="P358" s="147" t="str">
        <f>IFERROR(INDEX('9 Grid'!$D$8:$F$8,1,MATCH('Rekomendasi HAV'!N358,'9 Grid'!$D$2:$F$2,0)),"")</f>
        <v>(ST) Within 12 - 18 month</v>
      </c>
    </row>
    <row r="359" spans="1:16" ht="28.5">
      <c r="A359" s="67">
        <v>358</v>
      </c>
      <c r="B359" s="68" t="str">
        <f>INDEX(Data_Assessment[],MATCH('Rekomendasi HAV'!$A359,Data_Assessment[[INDEX]:[INDEX]],0),MATCH('Rekomendasi HAV'!B$1,Data_Assessment[#Headers],0))</f>
        <v>A.S.Sundiono</v>
      </c>
      <c r="C359" s="68" t="str">
        <f>INDEX(Data_Assessment[],MATCH('Rekomendasi HAV'!$A359,Data_Assessment[[INDEX]:[INDEX]],0),MATCH('Rekomendasi HAV'!C$1,Data_Assessment[#Headers],0))</f>
        <v>Jakarta</v>
      </c>
      <c r="D359" s="68" t="str">
        <f>INDEX(Data_Assessment[],MATCH('Rekomendasi HAV'!$A359,Data_Assessment[[INDEX]:[INDEX]],0),MATCH('Rekomendasi HAV'!D$1,Data_Assessment[#Headers],0))</f>
        <v>LSIP - HO Jakarta</v>
      </c>
      <c r="E359" s="68">
        <f>INDEX(Data_Assessment[],MATCH('Rekomendasi HAV'!$B359,Data_Assessment[[NAME]:[NAME]],0),MATCH('Rekomendasi HAV'!E$1,Data_Assessment[#Headers],0))</f>
        <v>0</v>
      </c>
      <c r="F359" s="68"/>
      <c r="G359" s="68">
        <f>IF(ISNUMBER(SEARCH("DEV",Assessment[[#This Row],[JOB TARGET]])),SUBSTITUTE(Assessment[[#This Row],[JOB TARGET]],"DEV","EST"),Assessment[[#This Row],[JOB TARGET]])</f>
        <v>0</v>
      </c>
      <c r="H359" s="146" t="str" cm="1">
        <f t="array" aca="1" ref="H359" ca="1">IF(Assessment[[#This Row],[JOB TARGET]]="","Job Target Kosong",IF(COUNT(IF('Data Assessment'!$N359:$Z359-OFFSET(Standar!$B$2,MATCH(Assessment[[#This Row],[JOB TARGET
(EST)]],Standar[NAMA JABATAN],0)-1,1,1,13)&lt;0,1,""))&lt;=3,'9 Grid'!$B$4,IF(COUNT(IF('Data Assessment'!$N359:$Z359-OFFSET(Standar!$B$2,MATCH(Assessment[[#This Row],[JOB TARGET]],Standar[NAMA JABATAN],0)-1,1,1,13)&lt;0,1,""))&gt;=7,'9 Grid'!$B$6,'9 Grid'!$B$5)))</f>
        <v>Job Target Kosong</v>
      </c>
      <c r="I359" s="146" t="str">
        <f>IFERROR(IF(Data_Assessment[[#This Row],[IPP (3 YEARS AVERAGE)]]="","(IPP Belum Ada)",IF(Data_Assessment[[#This Row],[IPP (3 YEARS AVERAGE)]]&lt;2,'9 Grid'!$F$2,IF(Data_Assessment[[#This Row],[IPP (3 YEARS AVERAGE)]]&gt;=4,'9 Grid'!$D$2,'9 Grid'!$E$2))),"")</f>
        <v>Fully Competence Performance</v>
      </c>
      <c r="J359" s="146" t="str">
        <f ca="1">IFERROR(INDEX('9 Grid'!$D$4:$F$6,MATCH('Rekomendasi HAV'!H359,'9 Grid'!$B$4:$B$6,0),MATCH('Rekomendasi HAV'!I359,'9 Grid'!$D$2:$F$2,0)),"")</f>
        <v/>
      </c>
      <c r="K359" s="146" t="str">
        <f>IFERROR(INDEX('9 Grid'!$D$8:$F$8,1,MATCH('Rekomendasi HAV'!I359,'9 Grid'!$D$2:$F$2,0)),"")</f>
        <v>(ST) Within 12 - 18 month</v>
      </c>
      <c r="L359" s="146">
        <f>IF(ISNUMBER(SEARCH("EST",Assessment[[#This Row],[JOB TARGET]])),SUBSTITUTE(Assessment[[#This Row],[JOB TARGET]],"EST","DEV"),Assessment[[#This Row],[JOB TARGET]])</f>
        <v>0</v>
      </c>
      <c r="M359" s="146" t="str" cm="1">
        <f t="array" aca="1" ref="M359" ca="1">IF(Assessment[[#This Row],[JOB TARGET]]="","Job Target Kosong",IF(COUNT(IF('Data Assessment'!$N359:$Z359-OFFSET(Standar!$B$2,MATCH(Assessment[[#This Row],[JOB TARGET
(DEV)]],Standar[NAMA JABATAN],0)-1,1,1,13)&lt;0,1,""))&lt;=3,'9 Grid'!$B$4,IF(COUNT(IF('Data Assessment'!$N359:$Z359-OFFSET(Standar!$B$2,MATCH(Assessment[[#This Row],[JOB TARGET
(DEV)]],Standar[NAMA JABATAN],0)-1,1,1,13)&lt;0,1,""))&gt;=7,'9 Grid'!$B$6,'9 Grid'!$B$5)))</f>
        <v>Job Target Kosong</v>
      </c>
      <c r="N359" s="146" t="str">
        <f>IFERROR(IF(Data_Assessment[[#This Row],[IPP (3 YEARS AVERAGE)]]="","(IPP Belum Ada)",IF(Data_Assessment[[#This Row],[IPP (3 YEARS AVERAGE)]]&lt;2,'9 Grid'!$F$2,IF(Data_Assessment[[#This Row],[IPP (3 YEARS AVERAGE)]]&gt;=4,'9 Grid'!$D$2,'9 Grid'!$E$2))),"")</f>
        <v>Fully Competence Performance</v>
      </c>
      <c r="O359" s="146" t="str">
        <f ca="1">IFERROR(INDEX('9 Grid'!$D$4:$F$6,MATCH('Rekomendasi HAV'!M359,'9 Grid'!$B$4:$B$6,0),MATCH('Rekomendasi HAV'!N359,'9 Grid'!$D$2:$F$2,0)),"")</f>
        <v/>
      </c>
      <c r="P359" s="147" t="str">
        <f>IFERROR(INDEX('9 Grid'!$D$8:$F$8,1,MATCH('Rekomendasi HAV'!N359,'9 Grid'!$D$2:$F$2,0)),"")</f>
        <v>(ST) Within 12 - 18 month</v>
      </c>
    </row>
    <row r="360" spans="1:16" ht="28.5">
      <c r="A360" s="67">
        <v>359</v>
      </c>
      <c r="B360" s="68" t="str">
        <f>INDEX(Data_Assessment[],MATCH('Rekomendasi HAV'!$A360,Data_Assessment[[INDEX]:[INDEX]],0),MATCH('Rekomendasi HAV'!B$1,Data_Assessment[#Headers],0))</f>
        <v>Jefri Rahmadani</v>
      </c>
      <c r="C360" s="68" t="str">
        <f>INDEX(Data_Assessment[],MATCH('Rekomendasi HAV'!$A360,Data_Assessment[[INDEX]:[INDEX]],0),MATCH('Rekomendasi HAV'!C$1,Data_Assessment[#Headers],0))</f>
        <v>Sumatera Utara</v>
      </c>
      <c r="D360" s="68" t="str">
        <f>INDEX(Data_Assessment[],MATCH('Rekomendasi HAV'!$A360,Data_Assessment[[INDEX]:[INDEX]],0),MATCH('Rekomendasi HAV'!D$1,Data_Assessment[#Headers],0))</f>
        <v>LSIP - Bah Lias Estate</v>
      </c>
      <c r="E360" s="68">
        <f>INDEX(Data_Assessment[],MATCH('Rekomendasi HAV'!$B360,Data_Assessment[[NAME]:[NAME]],0),MATCH('Rekomendasi HAV'!E$1,Data_Assessment[#Headers],0))</f>
        <v>0</v>
      </c>
      <c r="F360" s="68"/>
      <c r="G360" s="68">
        <f>IF(ISNUMBER(SEARCH("DEV",Assessment[[#This Row],[JOB TARGET]])),SUBSTITUTE(Assessment[[#This Row],[JOB TARGET]],"DEV","EST"),Assessment[[#This Row],[JOB TARGET]])</f>
        <v>0</v>
      </c>
      <c r="H360" s="146" t="str" cm="1">
        <f t="array" aca="1" ref="H360" ca="1">IF(Assessment[[#This Row],[JOB TARGET]]="","Job Target Kosong",IF(COUNT(IF('Data Assessment'!$N360:$Z360-OFFSET(Standar!$B$2,MATCH(Assessment[[#This Row],[JOB TARGET
(EST)]],Standar[NAMA JABATAN],0)-1,1,1,13)&lt;0,1,""))&lt;=3,'9 Grid'!$B$4,IF(COUNT(IF('Data Assessment'!$N360:$Z360-OFFSET(Standar!$B$2,MATCH(Assessment[[#This Row],[JOB TARGET]],Standar[NAMA JABATAN],0)-1,1,1,13)&lt;0,1,""))&gt;=7,'9 Grid'!$B$6,'9 Grid'!$B$5)))</f>
        <v>Job Target Kosong</v>
      </c>
      <c r="I360" s="146" t="str">
        <f>IFERROR(IF(Data_Assessment[[#This Row],[IPP (3 YEARS AVERAGE)]]="","(IPP Belum Ada)",IF(Data_Assessment[[#This Row],[IPP (3 YEARS AVERAGE)]]&lt;2,'9 Grid'!$F$2,IF(Data_Assessment[[#This Row],[IPP (3 YEARS AVERAGE)]]&gt;=4,'9 Grid'!$D$2,'9 Grid'!$E$2))),"")</f>
        <v>Fully Competence Performance</v>
      </c>
      <c r="J360" s="146" t="str">
        <f ca="1">IFERROR(INDEX('9 Grid'!$D$4:$F$6,MATCH('Rekomendasi HAV'!H360,'9 Grid'!$B$4:$B$6,0),MATCH('Rekomendasi HAV'!I360,'9 Grid'!$D$2:$F$2,0)),"")</f>
        <v/>
      </c>
      <c r="K360" s="146" t="str">
        <f>IFERROR(INDEX('9 Grid'!$D$8:$F$8,1,MATCH('Rekomendasi HAV'!I360,'9 Grid'!$D$2:$F$2,0)),"")</f>
        <v>(ST) Within 12 - 18 month</v>
      </c>
      <c r="L360" s="146">
        <f>IF(ISNUMBER(SEARCH("EST",Assessment[[#This Row],[JOB TARGET]])),SUBSTITUTE(Assessment[[#This Row],[JOB TARGET]],"EST","DEV"),Assessment[[#This Row],[JOB TARGET]])</f>
        <v>0</v>
      </c>
      <c r="M360" s="146" t="str" cm="1">
        <f t="array" aca="1" ref="M360" ca="1">IF(Assessment[[#This Row],[JOB TARGET]]="","Job Target Kosong",IF(COUNT(IF('Data Assessment'!$N360:$Z360-OFFSET(Standar!$B$2,MATCH(Assessment[[#This Row],[JOB TARGET
(DEV)]],Standar[NAMA JABATAN],0)-1,1,1,13)&lt;0,1,""))&lt;=3,'9 Grid'!$B$4,IF(COUNT(IF('Data Assessment'!$N360:$Z360-OFFSET(Standar!$B$2,MATCH(Assessment[[#This Row],[JOB TARGET
(DEV)]],Standar[NAMA JABATAN],0)-1,1,1,13)&lt;0,1,""))&gt;=7,'9 Grid'!$B$6,'9 Grid'!$B$5)))</f>
        <v>Job Target Kosong</v>
      </c>
      <c r="N360" s="146" t="str">
        <f>IFERROR(IF(Data_Assessment[[#This Row],[IPP (3 YEARS AVERAGE)]]="","(IPP Belum Ada)",IF(Data_Assessment[[#This Row],[IPP (3 YEARS AVERAGE)]]&lt;2,'9 Grid'!$F$2,IF(Data_Assessment[[#This Row],[IPP (3 YEARS AVERAGE)]]&gt;=4,'9 Grid'!$D$2,'9 Grid'!$E$2))),"")</f>
        <v>Fully Competence Performance</v>
      </c>
      <c r="O360" s="146" t="str">
        <f ca="1">IFERROR(INDEX('9 Grid'!$D$4:$F$6,MATCH('Rekomendasi HAV'!M360,'9 Grid'!$B$4:$B$6,0),MATCH('Rekomendasi HAV'!N360,'9 Grid'!$D$2:$F$2,0)),"")</f>
        <v/>
      </c>
      <c r="P360" s="147" t="str">
        <f>IFERROR(INDEX('9 Grid'!$D$8:$F$8,1,MATCH('Rekomendasi HAV'!N360,'9 Grid'!$D$2:$F$2,0)),"")</f>
        <v>(ST) Within 12 - 18 month</v>
      </c>
    </row>
    <row r="361" spans="1:16" ht="28.5">
      <c r="A361" s="67">
        <v>360</v>
      </c>
      <c r="B361" s="68" t="str">
        <f>INDEX(Data_Assessment[],MATCH('Rekomendasi HAV'!$A361,Data_Assessment[[INDEX]:[INDEX]],0),MATCH('Rekomendasi HAV'!B$1,Data_Assessment[#Headers],0))</f>
        <v>Agustian Syahputra</v>
      </c>
      <c r="C361" s="68" t="str">
        <f>INDEX(Data_Assessment[],MATCH('Rekomendasi HAV'!$A361,Data_Assessment[[INDEX]:[INDEX]],0),MATCH('Rekomendasi HAV'!C$1,Data_Assessment[#Headers],0))</f>
        <v>Jakarta</v>
      </c>
      <c r="D361" s="68" t="str">
        <f>INDEX(Data_Assessment[],MATCH('Rekomendasi HAV'!$A361,Data_Assessment[[INDEX]:[INDEX]],0),MATCH('Rekomendasi HAV'!D$1,Data_Assessment[#Headers],0))</f>
        <v>LSIP - HO Jakarta</v>
      </c>
      <c r="E361" s="68">
        <f>INDEX(Data_Assessment[],MATCH('Rekomendasi HAV'!$B361,Data_Assessment[[NAME]:[NAME]],0),MATCH('Rekomendasi HAV'!E$1,Data_Assessment[#Headers],0))</f>
        <v>0</v>
      </c>
      <c r="F361" s="68"/>
      <c r="G361" s="68">
        <f>IF(ISNUMBER(SEARCH("DEV",Assessment[[#This Row],[JOB TARGET]])),SUBSTITUTE(Assessment[[#This Row],[JOB TARGET]],"DEV","EST"),Assessment[[#This Row],[JOB TARGET]])</f>
        <v>0</v>
      </c>
      <c r="H361" s="146" t="str" cm="1">
        <f t="array" aca="1" ref="H361" ca="1">IF(Assessment[[#This Row],[JOB TARGET]]="","Job Target Kosong",IF(COUNT(IF('Data Assessment'!$N361:$Z361-OFFSET(Standar!$B$2,MATCH(Assessment[[#This Row],[JOB TARGET
(EST)]],Standar[NAMA JABATAN],0)-1,1,1,13)&lt;0,1,""))&lt;=3,'9 Grid'!$B$4,IF(COUNT(IF('Data Assessment'!$N361:$Z361-OFFSET(Standar!$B$2,MATCH(Assessment[[#This Row],[JOB TARGET]],Standar[NAMA JABATAN],0)-1,1,1,13)&lt;0,1,""))&gt;=7,'9 Grid'!$B$6,'9 Grid'!$B$5)))</f>
        <v>Job Target Kosong</v>
      </c>
      <c r="I361" s="146" t="str">
        <f>IFERROR(IF(Data_Assessment[[#This Row],[IPP (3 YEARS AVERAGE)]]="","(IPP Belum Ada)",IF(Data_Assessment[[#This Row],[IPP (3 YEARS AVERAGE)]]&lt;2,'9 Grid'!$F$2,IF(Data_Assessment[[#This Row],[IPP (3 YEARS AVERAGE)]]&gt;=4,'9 Grid'!$D$2,'9 Grid'!$E$2))),"")</f>
        <v>Fully Competence Performance</v>
      </c>
      <c r="J361" s="146" t="str">
        <f ca="1">IFERROR(INDEX('9 Grid'!$D$4:$F$6,MATCH('Rekomendasi HAV'!H361,'9 Grid'!$B$4:$B$6,0),MATCH('Rekomendasi HAV'!I361,'9 Grid'!$D$2:$F$2,0)),"")</f>
        <v/>
      </c>
      <c r="K361" s="146" t="str">
        <f>IFERROR(INDEX('9 Grid'!$D$8:$F$8,1,MATCH('Rekomendasi HAV'!I361,'9 Grid'!$D$2:$F$2,0)),"")</f>
        <v>(ST) Within 12 - 18 month</v>
      </c>
      <c r="L361" s="146">
        <f>IF(ISNUMBER(SEARCH("EST",Assessment[[#This Row],[JOB TARGET]])),SUBSTITUTE(Assessment[[#This Row],[JOB TARGET]],"EST","DEV"),Assessment[[#This Row],[JOB TARGET]])</f>
        <v>0</v>
      </c>
      <c r="M361" s="146" t="str" cm="1">
        <f t="array" aca="1" ref="M361" ca="1">IF(Assessment[[#This Row],[JOB TARGET]]="","Job Target Kosong",IF(COUNT(IF('Data Assessment'!$N361:$Z361-OFFSET(Standar!$B$2,MATCH(Assessment[[#This Row],[JOB TARGET
(DEV)]],Standar[NAMA JABATAN],0)-1,1,1,13)&lt;0,1,""))&lt;=3,'9 Grid'!$B$4,IF(COUNT(IF('Data Assessment'!$N361:$Z361-OFFSET(Standar!$B$2,MATCH(Assessment[[#This Row],[JOB TARGET
(DEV)]],Standar[NAMA JABATAN],0)-1,1,1,13)&lt;0,1,""))&gt;=7,'9 Grid'!$B$6,'9 Grid'!$B$5)))</f>
        <v>Job Target Kosong</v>
      </c>
      <c r="N361" s="146" t="str">
        <f>IFERROR(IF(Data_Assessment[[#This Row],[IPP (3 YEARS AVERAGE)]]="","(IPP Belum Ada)",IF(Data_Assessment[[#This Row],[IPP (3 YEARS AVERAGE)]]&lt;2,'9 Grid'!$F$2,IF(Data_Assessment[[#This Row],[IPP (3 YEARS AVERAGE)]]&gt;=4,'9 Grid'!$D$2,'9 Grid'!$E$2))),"")</f>
        <v>Fully Competence Performance</v>
      </c>
      <c r="O361" s="146" t="str">
        <f ca="1">IFERROR(INDEX('9 Grid'!$D$4:$F$6,MATCH('Rekomendasi HAV'!M361,'9 Grid'!$B$4:$B$6,0),MATCH('Rekomendasi HAV'!N361,'9 Grid'!$D$2:$F$2,0)),"")</f>
        <v/>
      </c>
      <c r="P361" s="147" t="str">
        <f>IFERROR(INDEX('9 Grid'!$D$8:$F$8,1,MATCH('Rekomendasi HAV'!N361,'9 Grid'!$D$2:$F$2,0)),"")</f>
        <v>(ST) Within 12 - 18 month</v>
      </c>
    </row>
    <row r="362" spans="1:16" ht="28.5">
      <c r="A362" s="67">
        <v>361</v>
      </c>
      <c r="B362" s="68" t="str">
        <f>INDEX(Data_Assessment[],MATCH('Rekomendasi HAV'!$A362,Data_Assessment[[INDEX]:[INDEX]],0),MATCH('Rekomendasi HAV'!B$1,Data_Assessment[#Headers],0))</f>
        <v>Jenny Hotnida Simanjuntak</v>
      </c>
      <c r="C362" s="68" t="str">
        <f>INDEX(Data_Assessment[],MATCH('Rekomendasi HAV'!$A362,Data_Assessment[[INDEX]:[INDEX]],0),MATCH('Rekomendasi HAV'!C$1,Data_Assessment[#Headers],0))</f>
        <v>Sumatera Utara</v>
      </c>
      <c r="D362" s="68" t="str">
        <f>INDEX(Data_Assessment[],MATCH('Rekomendasi HAV'!$A362,Data_Assessment[[INDEX]:[INDEX]],0),MATCH('Rekomendasi HAV'!D$1,Data_Assessment[#Headers],0))</f>
        <v>LSIP - Bah Lias Estate</v>
      </c>
      <c r="E362" s="68">
        <f>INDEX(Data_Assessment[],MATCH('Rekomendasi HAV'!$B362,Data_Assessment[[NAME]:[NAME]],0),MATCH('Rekomendasi HAV'!E$1,Data_Assessment[#Headers],0))</f>
        <v>0</v>
      </c>
      <c r="F362" s="68"/>
      <c r="G362" s="68">
        <f>IF(ISNUMBER(SEARCH("DEV",Assessment[[#This Row],[JOB TARGET]])),SUBSTITUTE(Assessment[[#This Row],[JOB TARGET]],"DEV","EST"),Assessment[[#This Row],[JOB TARGET]])</f>
        <v>0</v>
      </c>
      <c r="H362" s="146" t="str" cm="1">
        <f t="array" aca="1" ref="H362" ca="1">IF(Assessment[[#This Row],[JOB TARGET]]="","Job Target Kosong",IF(COUNT(IF('Data Assessment'!$N362:$Z362-OFFSET(Standar!$B$2,MATCH(Assessment[[#This Row],[JOB TARGET
(EST)]],Standar[NAMA JABATAN],0)-1,1,1,13)&lt;0,1,""))&lt;=3,'9 Grid'!$B$4,IF(COUNT(IF('Data Assessment'!$N362:$Z362-OFFSET(Standar!$B$2,MATCH(Assessment[[#This Row],[JOB TARGET]],Standar[NAMA JABATAN],0)-1,1,1,13)&lt;0,1,""))&gt;=7,'9 Grid'!$B$6,'9 Grid'!$B$5)))</f>
        <v>Job Target Kosong</v>
      </c>
      <c r="I362" s="146" t="str">
        <f>IFERROR(IF(Data_Assessment[[#This Row],[IPP (3 YEARS AVERAGE)]]="","(IPP Belum Ada)",IF(Data_Assessment[[#This Row],[IPP (3 YEARS AVERAGE)]]&lt;2,'9 Grid'!$F$2,IF(Data_Assessment[[#This Row],[IPP (3 YEARS AVERAGE)]]&gt;=4,'9 Grid'!$D$2,'9 Grid'!$E$2))),"")</f>
        <v>Fully Competence Performance</v>
      </c>
      <c r="J362" s="146" t="str">
        <f ca="1">IFERROR(INDEX('9 Grid'!$D$4:$F$6,MATCH('Rekomendasi HAV'!H362,'9 Grid'!$B$4:$B$6,0),MATCH('Rekomendasi HAV'!I362,'9 Grid'!$D$2:$F$2,0)),"")</f>
        <v/>
      </c>
      <c r="K362" s="146" t="str">
        <f>IFERROR(INDEX('9 Grid'!$D$8:$F$8,1,MATCH('Rekomendasi HAV'!I362,'9 Grid'!$D$2:$F$2,0)),"")</f>
        <v>(ST) Within 12 - 18 month</v>
      </c>
      <c r="L362" s="146">
        <f>IF(ISNUMBER(SEARCH("EST",Assessment[[#This Row],[JOB TARGET]])),SUBSTITUTE(Assessment[[#This Row],[JOB TARGET]],"EST","DEV"),Assessment[[#This Row],[JOB TARGET]])</f>
        <v>0</v>
      </c>
      <c r="M362" s="146" t="str" cm="1">
        <f t="array" aca="1" ref="M362" ca="1">IF(Assessment[[#This Row],[JOB TARGET]]="","Job Target Kosong",IF(COUNT(IF('Data Assessment'!$N362:$Z362-OFFSET(Standar!$B$2,MATCH(Assessment[[#This Row],[JOB TARGET
(DEV)]],Standar[NAMA JABATAN],0)-1,1,1,13)&lt;0,1,""))&lt;=3,'9 Grid'!$B$4,IF(COUNT(IF('Data Assessment'!$N362:$Z362-OFFSET(Standar!$B$2,MATCH(Assessment[[#This Row],[JOB TARGET
(DEV)]],Standar[NAMA JABATAN],0)-1,1,1,13)&lt;0,1,""))&gt;=7,'9 Grid'!$B$6,'9 Grid'!$B$5)))</f>
        <v>Job Target Kosong</v>
      </c>
      <c r="N362" s="146" t="str">
        <f>IFERROR(IF(Data_Assessment[[#This Row],[IPP (3 YEARS AVERAGE)]]="","(IPP Belum Ada)",IF(Data_Assessment[[#This Row],[IPP (3 YEARS AVERAGE)]]&lt;2,'9 Grid'!$F$2,IF(Data_Assessment[[#This Row],[IPP (3 YEARS AVERAGE)]]&gt;=4,'9 Grid'!$D$2,'9 Grid'!$E$2))),"")</f>
        <v>Fully Competence Performance</v>
      </c>
      <c r="O362" s="146" t="str">
        <f ca="1">IFERROR(INDEX('9 Grid'!$D$4:$F$6,MATCH('Rekomendasi HAV'!M362,'9 Grid'!$B$4:$B$6,0),MATCH('Rekomendasi HAV'!N362,'9 Grid'!$D$2:$F$2,0)),"")</f>
        <v/>
      </c>
      <c r="P362" s="147" t="str">
        <f>IFERROR(INDEX('9 Grid'!$D$8:$F$8,1,MATCH('Rekomendasi HAV'!N362,'9 Grid'!$D$2:$F$2,0)),"")</f>
        <v>(ST) Within 12 - 18 month</v>
      </c>
    </row>
    <row r="363" spans="1:16" ht="28.5">
      <c r="A363" s="67">
        <v>362</v>
      </c>
      <c r="B363" s="68" t="str">
        <f>INDEX(Data_Assessment[],MATCH('Rekomendasi HAV'!$A363,Data_Assessment[[INDEX]:[INDEX]],0),MATCH('Rekomendasi HAV'!B$1,Data_Assessment[#Headers],0))</f>
        <v>Yudhi Libriadianny</v>
      </c>
      <c r="C363" s="68" t="str">
        <f>INDEX(Data_Assessment[],MATCH('Rekomendasi HAV'!$A363,Data_Assessment[[INDEX]:[INDEX]],0),MATCH('Rekomendasi HAV'!C$1,Data_Assessment[#Headers],0))</f>
        <v>Jakarta</v>
      </c>
      <c r="D363" s="68" t="str">
        <f>INDEX(Data_Assessment[],MATCH('Rekomendasi HAV'!$A363,Data_Assessment[[INDEX]:[INDEX]],0),MATCH('Rekomendasi HAV'!D$1,Data_Assessment[#Headers],0))</f>
        <v>LSIP - HO Jakarta</v>
      </c>
      <c r="E363" s="68">
        <f>INDEX(Data_Assessment[],MATCH('Rekomendasi HAV'!$B363,Data_Assessment[[NAME]:[NAME]],0),MATCH('Rekomendasi HAV'!E$1,Data_Assessment[#Headers],0))</f>
        <v>0</v>
      </c>
      <c r="F363" s="68"/>
      <c r="G363" s="68">
        <f>IF(ISNUMBER(SEARCH("DEV",Assessment[[#This Row],[JOB TARGET]])),SUBSTITUTE(Assessment[[#This Row],[JOB TARGET]],"DEV","EST"),Assessment[[#This Row],[JOB TARGET]])</f>
        <v>0</v>
      </c>
      <c r="H363" s="146" t="str" cm="1">
        <f t="array" aca="1" ref="H363" ca="1">IF(Assessment[[#This Row],[JOB TARGET]]="","Job Target Kosong",IF(COUNT(IF('Data Assessment'!$N363:$Z363-OFFSET(Standar!$B$2,MATCH(Assessment[[#This Row],[JOB TARGET
(EST)]],Standar[NAMA JABATAN],0)-1,1,1,13)&lt;0,1,""))&lt;=3,'9 Grid'!$B$4,IF(COUNT(IF('Data Assessment'!$N363:$Z363-OFFSET(Standar!$B$2,MATCH(Assessment[[#This Row],[JOB TARGET]],Standar[NAMA JABATAN],0)-1,1,1,13)&lt;0,1,""))&gt;=7,'9 Grid'!$B$6,'9 Grid'!$B$5)))</f>
        <v>Job Target Kosong</v>
      </c>
      <c r="I363" s="146" t="str">
        <f>IFERROR(IF(Data_Assessment[[#This Row],[IPP (3 YEARS AVERAGE)]]="","(IPP Belum Ada)",IF(Data_Assessment[[#This Row],[IPP (3 YEARS AVERAGE)]]&lt;2,'9 Grid'!$F$2,IF(Data_Assessment[[#This Row],[IPP (3 YEARS AVERAGE)]]&gt;=4,'9 Grid'!$D$2,'9 Grid'!$E$2))),"")</f>
        <v>Fully Competence Performance</v>
      </c>
      <c r="J363" s="146" t="str">
        <f ca="1">IFERROR(INDEX('9 Grid'!$D$4:$F$6,MATCH('Rekomendasi HAV'!H363,'9 Grid'!$B$4:$B$6,0),MATCH('Rekomendasi HAV'!I363,'9 Grid'!$D$2:$F$2,0)),"")</f>
        <v/>
      </c>
      <c r="K363" s="146" t="str">
        <f>IFERROR(INDEX('9 Grid'!$D$8:$F$8,1,MATCH('Rekomendasi HAV'!I363,'9 Grid'!$D$2:$F$2,0)),"")</f>
        <v>(ST) Within 12 - 18 month</v>
      </c>
      <c r="L363" s="146">
        <f>IF(ISNUMBER(SEARCH("EST",Assessment[[#This Row],[JOB TARGET]])),SUBSTITUTE(Assessment[[#This Row],[JOB TARGET]],"EST","DEV"),Assessment[[#This Row],[JOB TARGET]])</f>
        <v>0</v>
      </c>
      <c r="M363" s="146" t="str" cm="1">
        <f t="array" aca="1" ref="M363" ca="1">IF(Assessment[[#This Row],[JOB TARGET]]="","Job Target Kosong",IF(COUNT(IF('Data Assessment'!$N363:$Z363-OFFSET(Standar!$B$2,MATCH(Assessment[[#This Row],[JOB TARGET
(DEV)]],Standar[NAMA JABATAN],0)-1,1,1,13)&lt;0,1,""))&lt;=3,'9 Grid'!$B$4,IF(COUNT(IF('Data Assessment'!$N363:$Z363-OFFSET(Standar!$B$2,MATCH(Assessment[[#This Row],[JOB TARGET
(DEV)]],Standar[NAMA JABATAN],0)-1,1,1,13)&lt;0,1,""))&gt;=7,'9 Grid'!$B$6,'9 Grid'!$B$5)))</f>
        <v>Job Target Kosong</v>
      </c>
      <c r="N363" s="146" t="str">
        <f>IFERROR(IF(Data_Assessment[[#This Row],[IPP (3 YEARS AVERAGE)]]="","(IPP Belum Ada)",IF(Data_Assessment[[#This Row],[IPP (3 YEARS AVERAGE)]]&lt;2,'9 Grid'!$F$2,IF(Data_Assessment[[#This Row],[IPP (3 YEARS AVERAGE)]]&gt;=4,'9 Grid'!$D$2,'9 Grid'!$E$2))),"")</f>
        <v>Fully Competence Performance</v>
      </c>
      <c r="O363" s="146" t="str">
        <f ca="1">IFERROR(INDEX('9 Grid'!$D$4:$F$6,MATCH('Rekomendasi HAV'!M363,'9 Grid'!$B$4:$B$6,0),MATCH('Rekomendasi HAV'!N363,'9 Grid'!$D$2:$F$2,0)),"")</f>
        <v/>
      </c>
      <c r="P363" s="147" t="str">
        <f>IFERROR(INDEX('9 Grid'!$D$8:$F$8,1,MATCH('Rekomendasi HAV'!N363,'9 Grid'!$D$2:$F$2,0)),"")</f>
        <v>(ST) Within 12 - 18 month</v>
      </c>
    </row>
    <row r="364" spans="1:16" ht="28.5">
      <c r="A364" s="67">
        <v>363</v>
      </c>
      <c r="B364" s="68" t="str">
        <f>INDEX(Data_Assessment[],MATCH('Rekomendasi HAV'!$A364,Data_Assessment[[INDEX]:[INDEX]],0),MATCH('Rekomendasi HAV'!B$1,Data_Assessment[#Headers],0))</f>
        <v>Adi Syahputra</v>
      </c>
      <c r="C364" s="68" t="str">
        <f>INDEX(Data_Assessment[],MATCH('Rekomendasi HAV'!$A364,Data_Assessment[[INDEX]:[INDEX]],0),MATCH('Rekomendasi HAV'!C$1,Data_Assessment[#Headers],0))</f>
        <v>Sumatera Utara</v>
      </c>
      <c r="D364" s="68" t="str">
        <f>INDEX(Data_Assessment[],MATCH('Rekomendasi HAV'!$A364,Data_Assessment[[INDEX]:[INDEX]],0),MATCH('Rekomendasi HAV'!D$1,Data_Assessment[#Headers],0))</f>
        <v>LSIP - Bah Lias Estate</v>
      </c>
      <c r="E364" s="68">
        <f>INDEX(Data_Assessment[],MATCH('Rekomendasi HAV'!$B364,Data_Assessment[[NAME]:[NAME]],0),MATCH('Rekomendasi HAV'!E$1,Data_Assessment[#Headers],0))</f>
        <v>0</v>
      </c>
      <c r="F364" s="68"/>
      <c r="G364" s="68">
        <f>IF(ISNUMBER(SEARCH("DEV",Assessment[[#This Row],[JOB TARGET]])),SUBSTITUTE(Assessment[[#This Row],[JOB TARGET]],"DEV","EST"),Assessment[[#This Row],[JOB TARGET]])</f>
        <v>0</v>
      </c>
      <c r="H364" s="146" t="str" cm="1">
        <f t="array" aca="1" ref="H364" ca="1">IF(Assessment[[#This Row],[JOB TARGET]]="","Job Target Kosong",IF(COUNT(IF('Data Assessment'!$N364:$Z364-OFFSET(Standar!$B$2,MATCH(Assessment[[#This Row],[JOB TARGET
(EST)]],Standar[NAMA JABATAN],0)-1,1,1,13)&lt;0,1,""))&lt;=3,'9 Grid'!$B$4,IF(COUNT(IF('Data Assessment'!$N364:$Z364-OFFSET(Standar!$B$2,MATCH(Assessment[[#This Row],[JOB TARGET]],Standar[NAMA JABATAN],0)-1,1,1,13)&lt;0,1,""))&gt;=7,'9 Grid'!$B$6,'9 Grid'!$B$5)))</f>
        <v>Job Target Kosong</v>
      </c>
      <c r="I364" s="146" t="str">
        <f>IFERROR(IF(Data_Assessment[[#This Row],[IPP (3 YEARS AVERAGE)]]="","(IPP Belum Ada)",IF(Data_Assessment[[#This Row],[IPP (3 YEARS AVERAGE)]]&lt;2,'9 Grid'!$F$2,IF(Data_Assessment[[#This Row],[IPP (3 YEARS AVERAGE)]]&gt;=4,'9 Grid'!$D$2,'9 Grid'!$E$2))),"")</f>
        <v>Fully Competence Performance</v>
      </c>
      <c r="J364" s="146" t="str">
        <f ca="1">IFERROR(INDEX('9 Grid'!$D$4:$F$6,MATCH('Rekomendasi HAV'!H364,'9 Grid'!$B$4:$B$6,0),MATCH('Rekomendasi HAV'!I364,'9 Grid'!$D$2:$F$2,0)),"")</f>
        <v/>
      </c>
      <c r="K364" s="146" t="str">
        <f>IFERROR(INDEX('9 Grid'!$D$8:$F$8,1,MATCH('Rekomendasi HAV'!I364,'9 Grid'!$D$2:$F$2,0)),"")</f>
        <v>(ST) Within 12 - 18 month</v>
      </c>
      <c r="L364" s="146">
        <f>IF(ISNUMBER(SEARCH("EST",Assessment[[#This Row],[JOB TARGET]])),SUBSTITUTE(Assessment[[#This Row],[JOB TARGET]],"EST","DEV"),Assessment[[#This Row],[JOB TARGET]])</f>
        <v>0</v>
      </c>
      <c r="M364" s="146" t="str" cm="1">
        <f t="array" aca="1" ref="M364" ca="1">IF(Assessment[[#This Row],[JOB TARGET]]="","Job Target Kosong",IF(COUNT(IF('Data Assessment'!$N364:$Z364-OFFSET(Standar!$B$2,MATCH(Assessment[[#This Row],[JOB TARGET
(DEV)]],Standar[NAMA JABATAN],0)-1,1,1,13)&lt;0,1,""))&lt;=3,'9 Grid'!$B$4,IF(COUNT(IF('Data Assessment'!$N364:$Z364-OFFSET(Standar!$B$2,MATCH(Assessment[[#This Row],[JOB TARGET
(DEV)]],Standar[NAMA JABATAN],0)-1,1,1,13)&lt;0,1,""))&gt;=7,'9 Grid'!$B$6,'9 Grid'!$B$5)))</f>
        <v>Job Target Kosong</v>
      </c>
      <c r="N364" s="146" t="str">
        <f>IFERROR(IF(Data_Assessment[[#This Row],[IPP (3 YEARS AVERAGE)]]="","(IPP Belum Ada)",IF(Data_Assessment[[#This Row],[IPP (3 YEARS AVERAGE)]]&lt;2,'9 Grid'!$F$2,IF(Data_Assessment[[#This Row],[IPP (3 YEARS AVERAGE)]]&gt;=4,'9 Grid'!$D$2,'9 Grid'!$E$2))),"")</f>
        <v>Fully Competence Performance</v>
      </c>
      <c r="O364" s="146" t="str">
        <f ca="1">IFERROR(INDEX('9 Grid'!$D$4:$F$6,MATCH('Rekomendasi HAV'!M364,'9 Grid'!$B$4:$B$6,0),MATCH('Rekomendasi HAV'!N364,'9 Grid'!$D$2:$F$2,0)),"")</f>
        <v/>
      </c>
      <c r="P364" s="147" t="str">
        <f>IFERROR(INDEX('9 Grid'!$D$8:$F$8,1,MATCH('Rekomendasi HAV'!N364,'9 Grid'!$D$2:$F$2,0)),"")</f>
        <v>(ST) Within 12 - 18 month</v>
      </c>
    </row>
    <row r="365" spans="1:16" ht="28.5">
      <c r="A365" s="67">
        <v>364</v>
      </c>
      <c r="B365" s="68" t="str">
        <f>INDEX(Data_Assessment[],MATCH('Rekomendasi HAV'!$A365,Data_Assessment[[INDEX]:[INDEX]],0),MATCH('Rekomendasi HAV'!B$1,Data_Assessment[#Headers],0))</f>
        <v>M Yudha Pratama</v>
      </c>
      <c r="C365" s="68" t="str">
        <f>INDEX(Data_Assessment[],MATCH('Rekomendasi HAV'!$A365,Data_Assessment[[INDEX]:[INDEX]],0),MATCH('Rekomendasi HAV'!C$1,Data_Assessment[#Headers],0))</f>
        <v>Jawa Timur</v>
      </c>
      <c r="D365" s="68" t="str">
        <f>INDEX(Data_Assessment[],MATCH('Rekomendasi HAV'!$A365,Data_Assessment[[INDEX]:[INDEX]],0),MATCH('Rekomendasi HAV'!D$1,Data_Assessment[#Headers],0))</f>
        <v>LSIP - Treblasala Estate</v>
      </c>
      <c r="E365" s="68">
        <f>INDEX(Data_Assessment[],MATCH('Rekomendasi HAV'!$B365,Data_Assessment[[NAME]:[NAME]],0),MATCH('Rekomendasi HAV'!E$1,Data_Assessment[#Headers],0))</f>
        <v>0</v>
      </c>
      <c r="F365" s="68"/>
      <c r="G365" s="68">
        <f>IF(ISNUMBER(SEARCH("DEV",Assessment[[#This Row],[JOB TARGET]])),SUBSTITUTE(Assessment[[#This Row],[JOB TARGET]],"DEV","EST"),Assessment[[#This Row],[JOB TARGET]])</f>
        <v>0</v>
      </c>
      <c r="H365" s="146" t="str" cm="1">
        <f t="array" aca="1" ref="H365" ca="1">IF(Assessment[[#This Row],[JOB TARGET]]="","Job Target Kosong",IF(COUNT(IF('Data Assessment'!$N365:$Z365-OFFSET(Standar!$B$2,MATCH(Assessment[[#This Row],[JOB TARGET
(EST)]],Standar[NAMA JABATAN],0)-1,1,1,13)&lt;0,1,""))&lt;=3,'9 Grid'!$B$4,IF(COUNT(IF('Data Assessment'!$N365:$Z365-OFFSET(Standar!$B$2,MATCH(Assessment[[#This Row],[JOB TARGET]],Standar[NAMA JABATAN],0)-1,1,1,13)&lt;0,1,""))&gt;=7,'9 Grid'!$B$6,'9 Grid'!$B$5)))</f>
        <v>Job Target Kosong</v>
      </c>
      <c r="I365" s="146" t="str">
        <f>IFERROR(IF(Data_Assessment[[#This Row],[IPP (3 YEARS AVERAGE)]]="","(IPP Belum Ada)",IF(Data_Assessment[[#This Row],[IPP (3 YEARS AVERAGE)]]&lt;2,'9 Grid'!$F$2,IF(Data_Assessment[[#This Row],[IPP (3 YEARS AVERAGE)]]&gt;=4,'9 Grid'!$D$2,'9 Grid'!$E$2))),"")</f>
        <v>Fully Competence Performance</v>
      </c>
      <c r="J365" s="146" t="str">
        <f ca="1">IFERROR(INDEX('9 Grid'!$D$4:$F$6,MATCH('Rekomendasi HAV'!H365,'9 Grid'!$B$4:$B$6,0),MATCH('Rekomendasi HAV'!I365,'9 Grid'!$D$2:$F$2,0)),"")</f>
        <v/>
      </c>
      <c r="K365" s="146" t="str">
        <f>IFERROR(INDEX('9 Grid'!$D$8:$F$8,1,MATCH('Rekomendasi HAV'!I365,'9 Grid'!$D$2:$F$2,0)),"")</f>
        <v>(ST) Within 12 - 18 month</v>
      </c>
      <c r="L365" s="146">
        <f>IF(ISNUMBER(SEARCH("EST",Assessment[[#This Row],[JOB TARGET]])),SUBSTITUTE(Assessment[[#This Row],[JOB TARGET]],"EST","DEV"),Assessment[[#This Row],[JOB TARGET]])</f>
        <v>0</v>
      </c>
      <c r="M365" s="146" t="str" cm="1">
        <f t="array" aca="1" ref="M365" ca="1">IF(Assessment[[#This Row],[JOB TARGET]]="","Job Target Kosong",IF(COUNT(IF('Data Assessment'!$N365:$Z365-OFFSET(Standar!$B$2,MATCH(Assessment[[#This Row],[JOB TARGET
(DEV)]],Standar[NAMA JABATAN],0)-1,1,1,13)&lt;0,1,""))&lt;=3,'9 Grid'!$B$4,IF(COUNT(IF('Data Assessment'!$N365:$Z365-OFFSET(Standar!$B$2,MATCH(Assessment[[#This Row],[JOB TARGET
(DEV)]],Standar[NAMA JABATAN],0)-1,1,1,13)&lt;0,1,""))&gt;=7,'9 Grid'!$B$6,'9 Grid'!$B$5)))</f>
        <v>Job Target Kosong</v>
      </c>
      <c r="N365" s="146" t="str">
        <f>IFERROR(IF(Data_Assessment[[#This Row],[IPP (3 YEARS AVERAGE)]]="","(IPP Belum Ada)",IF(Data_Assessment[[#This Row],[IPP (3 YEARS AVERAGE)]]&lt;2,'9 Grid'!$F$2,IF(Data_Assessment[[#This Row],[IPP (3 YEARS AVERAGE)]]&gt;=4,'9 Grid'!$D$2,'9 Grid'!$E$2))),"")</f>
        <v>Fully Competence Performance</v>
      </c>
      <c r="O365" s="146" t="str">
        <f ca="1">IFERROR(INDEX('9 Grid'!$D$4:$F$6,MATCH('Rekomendasi HAV'!M365,'9 Grid'!$B$4:$B$6,0),MATCH('Rekomendasi HAV'!N365,'9 Grid'!$D$2:$F$2,0)),"")</f>
        <v/>
      </c>
      <c r="P365" s="147" t="str">
        <f>IFERROR(INDEX('9 Grid'!$D$8:$F$8,1,MATCH('Rekomendasi HAV'!N365,'9 Grid'!$D$2:$F$2,0)),"")</f>
        <v>(ST) Within 12 - 18 month</v>
      </c>
    </row>
    <row r="366" spans="1:16" ht="28.5">
      <c r="A366" s="67">
        <v>365</v>
      </c>
      <c r="B366" s="68" t="str">
        <f>INDEX(Data_Assessment[],MATCH('Rekomendasi HAV'!$A366,Data_Assessment[[INDEX]:[INDEX]],0),MATCH('Rekomendasi HAV'!B$1,Data_Assessment[#Headers],0))</f>
        <v>Iswandra</v>
      </c>
      <c r="C366" s="68" t="str">
        <f>INDEX(Data_Assessment[],MATCH('Rekomendasi HAV'!$A366,Data_Assessment[[INDEX]:[INDEX]],0),MATCH('Rekomendasi HAV'!C$1,Data_Assessment[#Headers],0))</f>
        <v>Sumatera Utara</v>
      </c>
      <c r="D366" s="68" t="str">
        <f>INDEX(Data_Assessment[],MATCH('Rekomendasi HAV'!$A366,Data_Assessment[[INDEX]:[INDEX]],0),MATCH('Rekomendasi HAV'!D$1,Data_Assessment[#Headers],0))</f>
        <v>LSIP - Sei Rumbiya Estate</v>
      </c>
      <c r="E366" s="68">
        <f>INDEX(Data_Assessment[],MATCH('Rekomendasi HAV'!$B366,Data_Assessment[[NAME]:[NAME]],0),MATCH('Rekomendasi HAV'!E$1,Data_Assessment[#Headers],0))</f>
        <v>0</v>
      </c>
      <c r="F366" s="68"/>
      <c r="G366" s="68">
        <f>IF(ISNUMBER(SEARCH("DEV",Assessment[[#This Row],[JOB TARGET]])),SUBSTITUTE(Assessment[[#This Row],[JOB TARGET]],"DEV","EST"),Assessment[[#This Row],[JOB TARGET]])</f>
        <v>0</v>
      </c>
      <c r="H366" s="146" t="str" cm="1">
        <f t="array" aca="1" ref="H366" ca="1">IF(Assessment[[#This Row],[JOB TARGET]]="","Job Target Kosong",IF(COUNT(IF('Data Assessment'!$N366:$Z366-OFFSET(Standar!$B$2,MATCH(Assessment[[#This Row],[JOB TARGET
(EST)]],Standar[NAMA JABATAN],0)-1,1,1,13)&lt;0,1,""))&lt;=3,'9 Grid'!$B$4,IF(COUNT(IF('Data Assessment'!$N366:$Z366-OFFSET(Standar!$B$2,MATCH(Assessment[[#This Row],[JOB TARGET]],Standar[NAMA JABATAN],0)-1,1,1,13)&lt;0,1,""))&gt;=7,'9 Grid'!$B$6,'9 Grid'!$B$5)))</f>
        <v>Job Target Kosong</v>
      </c>
      <c r="I366" s="146" t="str">
        <f>IFERROR(IF(Data_Assessment[[#This Row],[IPP (3 YEARS AVERAGE)]]="","(IPP Belum Ada)",IF(Data_Assessment[[#This Row],[IPP (3 YEARS AVERAGE)]]&lt;2,'9 Grid'!$F$2,IF(Data_Assessment[[#This Row],[IPP (3 YEARS AVERAGE)]]&gt;=4,'9 Grid'!$D$2,'9 Grid'!$E$2))),"")</f>
        <v>Fully Competence Performance</v>
      </c>
      <c r="J366" s="146" t="str">
        <f ca="1">IFERROR(INDEX('9 Grid'!$D$4:$F$6,MATCH('Rekomendasi HAV'!H366,'9 Grid'!$B$4:$B$6,0),MATCH('Rekomendasi HAV'!I366,'9 Grid'!$D$2:$F$2,0)),"")</f>
        <v/>
      </c>
      <c r="K366" s="146" t="str">
        <f>IFERROR(INDEX('9 Grid'!$D$8:$F$8,1,MATCH('Rekomendasi HAV'!I366,'9 Grid'!$D$2:$F$2,0)),"")</f>
        <v>(ST) Within 12 - 18 month</v>
      </c>
      <c r="L366" s="146">
        <f>IF(ISNUMBER(SEARCH("EST",Assessment[[#This Row],[JOB TARGET]])),SUBSTITUTE(Assessment[[#This Row],[JOB TARGET]],"EST","DEV"),Assessment[[#This Row],[JOB TARGET]])</f>
        <v>0</v>
      </c>
      <c r="M366" s="146" t="str" cm="1">
        <f t="array" aca="1" ref="M366" ca="1">IF(Assessment[[#This Row],[JOB TARGET]]="","Job Target Kosong",IF(COUNT(IF('Data Assessment'!$N366:$Z366-OFFSET(Standar!$B$2,MATCH(Assessment[[#This Row],[JOB TARGET
(DEV)]],Standar[NAMA JABATAN],0)-1,1,1,13)&lt;0,1,""))&lt;=3,'9 Grid'!$B$4,IF(COUNT(IF('Data Assessment'!$N366:$Z366-OFFSET(Standar!$B$2,MATCH(Assessment[[#This Row],[JOB TARGET
(DEV)]],Standar[NAMA JABATAN],0)-1,1,1,13)&lt;0,1,""))&gt;=7,'9 Grid'!$B$6,'9 Grid'!$B$5)))</f>
        <v>Job Target Kosong</v>
      </c>
      <c r="N366" s="146" t="str">
        <f>IFERROR(IF(Data_Assessment[[#This Row],[IPP (3 YEARS AVERAGE)]]="","(IPP Belum Ada)",IF(Data_Assessment[[#This Row],[IPP (3 YEARS AVERAGE)]]&lt;2,'9 Grid'!$F$2,IF(Data_Assessment[[#This Row],[IPP (3 YEARS AVERAGE)]]&gt;=4,'9 Grid'!$D$2,'9 Grid'!$E$2))),"")</f>
        <v>Fully Competence Performance</v>
      </c>
      <c r="O366" s="146" t="str">
        <f ca="1">IFERROR(INDEX('9 Grid'!$D$4:$F$6,MATCH('Rekomendasi HAV'!M366,'9 Grid'!$B$4:$B$6,0),MATCH('Rekomendasi HAV'!N366,'9 Grid'!$D$2:$F$2,0)),"")</f>
        <v/>
      </c>
      <c r="P366" s="147" t="str">
        <f>IFERROR(INDEX('9 Grid'!$D$8:$F$8,1,MATCH('Rekomendasi HAV'!N366,'9 Grid'!$D$2:$F$2,0)),"")</f>
        <v>(ST) Within 12 - 18 month</v>
      </c>
    </row>
    <row r="367" spans="1:16" ht="28.5">
      <c r="A367" s="67">
        <v>366</v>
      </c>
      <c r="B367" s="68" t="str">
        <f>INDEX(Data_Assessment[],MATCH('Rekomendasi HAV'!$A367,Data_Assessment[[INDEX]:[INDEX]],0),MATCH('Rekomendasi HAV'!B$1,Data_Assessment[#Headers],0))</f>
        <v>Hasby Ariandi</v>
      </c>
      <c r="C367" s="68" t="str">
        <f>INDEX(Data_Assessment[],MATCH('Rekomendasi HAV'!$A367,Data_Assessment[[INDEX]:[INDEX]],0),MATCH('Rekomendasi HAV'!C$1,Data_Assessment[#Headers],0))</f>
        <v>Sumatera Utara</v>
      </c>
      <c r="D367" s="68" t="str">
        <f>INDEX(Data_Assessment[],MATCH('Rekomendasi HAV'!$A367,Data_Assessment[[INDEX]:[INDEX]],0),MATCH('Rekomendasi HAV'!D$1,Data_Assessment[#Headers],0))</f>
        <v>LSIP - Sei Rumbiya Estate</v>
      </c>
      <c r="E367" s="68">
        <f>INDEX(Data_Assessment[],MATCH('Rekomendasi HAV'!$B367,Data_Assessment[[NAME]:[NAME]],0),MATCH('Rekomendasi HAV'!E$1,Data_Assessment[#Headers],0))</f>
        <v>0</v>
      </c>
      <c r="F367" s="68"/>
      <c r="G367" s="68">
        <f>IF(ISNUMBER(SEARCH("DEV",Assessment[[#This Row],[JOB TARGET]])),SUBSTITUTE(Assessment[[#This Row],[JOB TARGET]],"DEV","EST"),Assessment[[#This Row],[JOB TARGET]])</f>
        <v>0</v>
      </c>
      <c r="H367" s="146" t="str" cm="1">
        <f t="array" aca="1" ref="H367" ca="1">IF(Assessment[[#This Row],[JOB TARGET]]="","Job Target Kosong",IF(COUNT(IF('Data Assessment'!$N367:$Z367-OFFSET(Standar!$B$2,MATCH(Assessment[[#This Row],[JOB TARGET
(EST)]],Standar[NAMA JABATAN],0)-1,1,1,13)&lt;0,1,""))&lt;=3,'9 Grid'!$B$4,IF(COUNT(IF('Data Assessment'!$N367:$Z367-OFFSET(Standar!$B$2,MATCH(Assessment[[#This Row],[JOB TARGET]],Standar[NAMA JABATAN],0)-1,1,1,13)&lt;0,1,""))&gt;=7,'9 Grid'!$B$6,'9 Grid'!$B$5)))</f>
        <v>Job Target Kosong</v>
      </c>
      <c r="I367" s="146" t="str">
        <f>IFERROR(IF(Data_Assessment[[#This Row],[IPP (3 YEARS AVERAGE)]]="","(IPP Belum Ada)",IF(Data_Assessment[[#This Row],[IPP (3 YEARS AVERAGE)]]&lt;2,'9 Grid'!$F$2,IF(Data_Assessment[[#This Row],[IPP (3 YEARS AVERAGE)]]&gt;=4,'9 Grid'!$D$2,'9 Grid'!$E$2))),"")</f>
        <v>Fully Competence Performance</v>
      </c>
      <c r="J367" s="146" t="str">
        <f ca="1">IFERROR(INDEX('9 Grid'!$D$4:$F$6,MATCH('Rekomendasi HAV'!H367,'9 Grid'!$B$4:$B$6,0),MATCH('Rekomendasi HAV'!I367,'9 Grid'!$D$2:$F$2,0)),"")</f>
        <v/>
      </c>
      <c r="K367" s="146" t="str">
        <f>IFERROR(INDEX('9 Grid'!$D$8:$F$8,1,MATCH('Rekomendasi HAV'!I367,'9 Grid'!$D$2:$F$2,0)),"")</f>
        <v>(ST) Within 12 - 18 month</v>
      </c>
      <c r="L367" s="146">
        <f>IF(ISNUMBER(SEARCH("EST",Assessment[[#This Row],[JOB TARGET]])),SUBSTITUTE(Assessment[[#This Row],[JOB TARGET]],"EST","DEV"),Assessment[[#This Row],[JOB TARGET]])</f>
        <v>0</v>
      </c>
      <c r="M367" s="146" t="str" cm="1">
        <f t="array" aca="1" ref="M367" ca="1">IF(Assessment[[#This Row],[JOB TARGET]]="","Job Target Kosong",IF(COUNT(IF('Data Assessment'!$N367:$Z367-OFFSET(Standar!$B$2,MATCH(Assessment[[#This Row],[JOB TARGET
(DEV)]],Standar[NAMA JABATAN],0)-1,1,1,13)&lt;0,1,""))&lt;=3,'9 Grid'!$B$4,IF(COUNT(IF('Data Assessment'!$N367:$Z367-OFFSET(Standar!$B$2,MATCH(Assessment[[#This Row],[JOB TARGET
(DEV)]],Standar[NAMA JABATAN],0)-1,1,1,13)&lt;0,1,""))&gt;=7,'9 Grid'!$B$6,'9 Grid'!$B$5)))</f>
        <v>Job Target Kosong</v>
      </c>
      <c r="N367" s="146" t="str">
        <f>IFERROR(IF(Data_Assessment[[#This Row],[IPP (3 YEARS AVERAGE)]]="","(IPP Belum Ada)",IF(Data_Assessment[[#This Row],[IPP (3 YEARS AVERAGE)]]&lt;2,'9 Grid'!$F$2,IF(Data_Assessment[[#This Row],[IPP (3 YEARS AVERAGE)]]&gt;=4,'9 Grid'!$D$2,'9 Grid'!$E$2))),"")</f>
        <v>Fully Competence Performance</v>
      </c>
      <c r="O367" s="146" t="str">
        <f ca="1">IFERROR(INDEX('9 Grid'!$D$4:$F$6,MATCH('Rekomendasi HAV'!M367,'9 Grid'!$B$4:$B$6,0),MATCH('Rekomendasi HAV'!N367,'9 Grid'!$D$2:$F$2,0)),"")</f>
        <v/>
      </c>
      <c r="P367" s="147" t="str">
        <f>IFERROR(INDEX('9 Grid'!$D$8:$F$8,1,MATCH('Rekomendasi HAV'!N367,'9 Grid'!$D$2:$F$2,0)),"")</f>
        <v>(ST) Within 12 - 18 month</v>
      </c>
    </row>
    <row r="368" spans="1:16" ht="28.5">
      <c r="A368" s="67">
        <v>367</v>
      </c>
      <c r="B368" s="68" t="str">
        <f>INDEX(Data_Assessment[],MATCH('Rekomendasi HAV'!$A368,Data_Assessment[[INDEX]:[INDEX]],0),MATCH('Rekomendasi HAV'!B$1,Data_Assessment[#Headers],0))</f>
        <v>Surya Agus Irawan</v>
      </c>
      <c r="C368" s="68" t="str">
        <f>INDEX(Data_Assessment[],MATCH('Rekomendasi HAV'!$A368,Data_Assessment[[INDEX]:[INDEX]],0),MATCH('Rekomendasi HAV'!C$1,Data_Assessment[#Headers],0))</f>
        <v>Jawa Timur</v>
      </c>
      <c r="D368" s="68" t="str">
        <f>INDEX(Data_Assessment[],MATCH('Rekomendasi HAV'!$A368,Data_Assessment[[INDEX]:[INDEX]],0),MATCH('Rekomendasi HAV'!D$1,Data_Assessment[#Headers],0))</f>
        <v>LSIP - Treblasala Estate</v>
      </c>
      <c r="E368" s="68">
        <f>INDEX(Data_Assessment[],MATCH('Rekomendasi HAV'!$B368,Data_Assessment[[NAME]:[NAME]],0),MATCH('Rekomendasi HAV'!E$1,Data_Assessment[#Headers],0))</f>
        <v>0</v>
      </c>
      <c r="F368" s="68"/>
      <c r="G368" s="68">
        <f>IF(ISNUMBER(SEARCH("DEV",Assessment[[#This Row],[JOB TARGET]])),SUBSTITUTE(Assessment[[#This Row],[JOB TARGET]],"DEV","EST"),Assessment[[#This Row],[JOB TARGET]])</f>
        <v>0</v>
      </c>
      <c r="H368" s="146" t="str" cm="1">
        <f t="array" aca="1" ref="H368" ca="1">IF(Assessment[[#This Row],[JOB TARGET]]="","Job Target Kosong",IF(COUNT(IF('Data Assessment'!$N368:$Z368-OFFSET(Standar!$B$2,MATCH(Assessment[[#This Row],[JOB TARGET
(EST)]],Standar[NAMA JABATAN],0)-1,1,1,13)&lt;0,1,""))&lt;=3,'9 Grid'!$B$4,IF(COUNT(IF('Data Assessment'!$N368:$Z368-OFFSET(Standar!$B$2,MATCH(Assessment[[#This Row],[JOB TARGET]],Standar[NAMA JABATAN],0)-1,1,1,13)&lt;0,1,""))&gt;=7,'9 Grid'!$B$6,'9 Grid'!$B$5)))</f>
        <v>Job Target Kosong</v>
      </c>
      <c r="I368" s="146" t="str">
        <f>IFERROR(IF(Data_Assessment[[#This Row],[IPP (3 YEARS AVERAGE)]]="","(IPP Belum Ada)",IF(Data_Assessment[[#This Row],[IPP (3 YEARS AVERAGE)]]&lt;2,'9 Grid'!$F$2,IF(Data_Assessment[[#This Row],[IPP (3 YEARS AVERAGE)]]&gt;=4,'9 Grid'!$D$2,'9 Grid'!$E$2))),"")</f>
        <v>Fully Competence Performance</v>
      </c>
      <c r="J368" s="146" t="str">
        <f ca="1">IFERROR(INDEX('9 Grid'!$D$4:$F$6,MATCH('Rekomendasi HAV'!H368,'9 Grid'!$B$4:$B$6,0),MATCH('Rekomendasi HAV'!I368,'9 Grid'!$D$2:$F$2,0)),"")</f>
        <v/>
      </c>
      <c r="K368" s="146" t="str">
        <f>IFERROR(INDEX('9 Grid'!$D$8:$F$8,1,MATCH('Rekomendasi HAV'!I368,'9 Grid'!$D$2:$F$2,0)),"")</f>
        <v>(ST) Within 12 - 18 month</v>
      </c>
      <c r="L368" s="146">
        <f>IF(ISNUMBER(SEARCH("EST",Assessment[[#This Row],[JOB TARGET]])),SUBSTITUTE(Assessment[[#This Row],[JOB TARGET]],"EST","DEV"),Assessment[[#This Row],[JOB TARGET]])</f>
        <v>0</v>
      </c>
      <c r="M368" s="146" t="str" cm="1">
        <f t="array" aca="1" ref="M368" ca="1">IF(Assessment[[#This Row],[JOB TARGET]]="","Job Target Kosong",IF(COUNT(IF('Data Assessment'!$N368:$Z368-OFFSET(Standar!$B$2,MATCH(Assessment[[#This Row],[JOB TARGET
(DEV)]],Standar[NAMA JABATAN],0)-1,1,1,13)&lt;0,1,""))&lt;=3,'9 Grid'!$B$4,IF(COUNT(IF('Data Assessment'!$N368:$Z368-OFFSET(Standar!$B$2,MATCH(Assessment[[#This Row],[JOB TARGET
(DEV)]],Standar[NAMA JABATAN],0)-1,1,1,13)&lt;0,1,""))&gt;=7,'9 Grid'!$B$6,'9 Grid'!$B$5)))</f>
        <v>Job Target Kosong</v>
      </c>
      <c r="N368" s="146" t="str">
        <f>IFERROR(IF(Data_Assessment[[#This Row],[IPP (3 YEARS AVERAGE)]]="","(IPP Belum Ada)",IF(Data_Assessment[[#This Row],[IPP (3 YEARS AVERAGE)]]&lt;2,'9 Grid'!$F$2,IF(Data_Assessment[[#This Row],[IPP (3 YEARS AVERAGE)]]&gt;=4,'9 Grid'!$D$2,'9 Grid'!$E$2))),"")</f>
        <v>Fully Competence Performance</v>
      </c>
      <c r="O368" s="146" t="str">
        <f ca="1">IFERROR(INDEX('9 Grid'!$D$4:$F$6,MATCH('Rekomendasi HAV'!M368,'9 Grid'!$B$4:$B$6,0),MATCH('Rekomendasi HAV'!N368,'9 Grid'!$D$2:$F$2,0)),"")</f>
        <v/>
      </c>
      <c r="P368" s="147" t="str">
        <f>IFERROR(INDEX('9 Grid'!$D$8:$F$8,1,MATCH('Rekomendasi HAV'!N368,'9 Grid'!$D$2:$F$2,0)),"")</f>
        <v>(ST) Within 12 - 18 month</v>
      </c>
    </row>
    <row r="369" spans="1:16" ht="28.5">
      <c r="A369" s="67">
        <v>368</v>
      </c>
      <c r="B369" s="68" t="str">
        <f>INDEX(Data_Assessment[],MATCH('Rekomendasi HAV'!$A369,Data_Assessment[[INDEX]:[INDEX]],0),MATCH('Rekomendasi HAV'!B$1,Data_Assessment[#Headers],0))</f>
        <v>Tonton M. Piskariyanto</v>
      </c>
      <c r="C369" s="68" t="str">
        <f>INDEX(Data_Assessment[],MATCH('Rekomendasi HAV'!$A369,Data_Assessment[[INDEX]:[INDEX]],0),MATCH('Rekomendasi HAV'!C$1,Data_Assessment[#Headers],0))</f>
        <v>Jakarta</v>
      </c>
      <c r="D369" s="68" t="str">
        <f>INDEX(Data_Assessment[],MATCH('Rekomendasi HAV'!$A369,Data_Assessment[[INDEX]:[INDEX]],0),MATCH('Rekomendasi HAV'!D$1,Data_Assessment[#Headers],0))</f>
        <v>LSIP - HO Jakarta</v>
      </c>
      <c r="E369" s="68">
        <f>INDEX(Data_Assessment[],MATCH('Rekomendasi HAV'!$B369,Data_Assessment[[NAME]:[NAME]],0),MATCH('Rekomendasi HAV'!E$1,Data_Assessment[#Headers],0))</f>
        <v>0</v>
      </c>
      <c r="F369" s="68"/>
      <c r="G369" s="68">
        <f>IF(ISNUMBER(SEARCH("DEV",Assessment[[#This Row],[JOB TARGET]])),SUBSTITUTE(Assessment[[#This Row],[JOB TARGET]],"DEV","EST"),Assessment[[#This Row],[JOB TARGET]])</f>
        <v>0</v>
      </c>
      <c r="H369" s="146" t="str" cm="1">
        <f t="array" aca="1" ref="H369" ca="1">IF(Assessment[[#This Row],[JOB TARGET]]="","Job Target Kosong",IF(COUNT(IF('Data Assessment'!$N369:$Z369-OFFSET(Standar!$B$2,MATCH(Assessment[[#This Row],[JOB TARGET
(EST)]],Standar[NAMA JABATAN],0)-1,1,1,13)&lt;0,1,""))&lt;=3,'9 Grid'!$B$4,IF(COUNT(IF('Data Assessment'!$N369:$Z369-OFFSET(Standar!$B$2,MATCH(Assessment[[#This Row],[JOB TARGET]],Standar[NAMA JABATAN],0)-1,1,1,13)&lt;0,1,""))&gt;=7,'9 Grid'!$B$6,'9 Grid'!$B$5)))</f>
        <v>Job Target Kosong</v>
      </c>
      <c r="I369" s="146" t="str">
        <f>IFERROR(IF(Data_Assessment[[#This Row],[IPP (3 YEARS AVERAGE)]]="","(IPP Belum Ada)",IF(Data_Assessment[[#This Row],[IPP (3 YEARS AVERAGE)]]&lt;2,'9 Grid'!$F$2,IF(Data_Assessment[[#This Row],[IPP (3 YEARS AVERAGE)]]&gt;=4,'9 Grid'!$D$2,'9 Grid'!$E$2))),"")</f>
        <v>Fully Competence Performance</v>
      </c>
      <c r="J369" s="146" t="str">
        <f ca="1">IFERROR(INDEX('9 Grid'!$D$4:$F$6,MATCH('Rekomendasi HAV'!H369,'9 Grid'!$B$4:$B$6,0),MATCH('Rekomendasi HAV'!I369,'9 Grid'!$D$2:$F$2,0)),"")</f>
        <v/>
      </c>
      <c r="K369" s="146" t="str">
        <f>IFERROR(INDEX('9 Grid'!$D$8:$F$8,1,MATCH('Rekomendasi HAV'!I369,'9 Grid'!$D$2:$F$2,0)),"")</f>
        <v>(ST) Within 12 - 18 month</v>
      </c>
      <c r="L369" s="146">
        <f>IF(ISNUMBER(SEARCH("EST",Assessment[[#This Row],[JOB TARGET]])),SUBSTITUTE(Assessment[[#This Row],[JOB TARGET]],"EST","DEV"),Assessment[[#This Row],[JOB TARGET]])</f>
        <v>0</v>
      </c>
      <c r="M369" s="146" t="str" cm="1">
        <f t="array" aca="1" ref="M369" ca="1">IF(Assessment[[#This Row],[JOB TARGET]]="","Job Target Kosong",IF(COUNT(IF('Data Assessment'!$N369:$Z369-OFFSET(Standar!$B$2,MATCH(Assessment[[#This Row],[JOB TARGET
(DEV)]],Standar[NAMA JABATAN],0)-1,1,1,13)&lt;0,1,""))&lt;=3,'9 Grid'!$B$4,IF(COUNT(IF('Data Assessment'!$N369:$Z369-OFFSET(Standar!$B$2,MATCH(Assessment[[#This Row],[JOB TARGET
(DEV)]],Standar[NAMA JABATAN],0)-1,1,1,13)&lt;0,1,""))&gt;=7,'9 Grid'!$B$6,'9 Grid'!$B$5)))</f>
        <v>Job Target Kosong</v>
      </c>
      <c r="N369" s="146" t="str">
        <f>IFERROR(IF(Data_Assessment[[#This Row],[IPP (3 YEARS AVERAGE)]]="","(IPP Belum Ada)",IF(Data_Assessment[[#This Row],[IPP (3 YEARS AVERAGE)]]&lt;2,'9 Grid'!$F$2,IF(Data_Assessment[[#This Row],[IPP (3 YEARS AVERAGE)]]&gt;=4,'9 Grid'!$D$2,'9 Grid'!$E$2))),"")</f>
        <v>Fully Competence Performance</v>
      </c>
      <c r="O369" s="146" t="str">
        <f ca="1">IFERROR(INDEX('9 Grid'!$D$4:$F$6,MATCH('Rekomendasi HAV'!M369,'9 Grid'!$B$4:$B$6,0),MATCH('Rekomendasi HAV'!N369,'9 Grid'!$D$2:$F$2,0)),"")</f>
        <v/>
      </c>
      <c r="P369" s="147" t="str">
        <f>IFERROR(INDEX('9 Grid'!$D$8:$F$8,1,MATCH('Rekomendasi HAV'!N369,'9 Grid'!$D$2:$F$2,0)),"")</f>
        <v>(ST) Within 12 - 18 month</v>
      </c>
    </row>
    <row r="370" spans="1:16" ht="28.5">
      <c r="A370" s="67">
        <v>369</v>
      </c>
      <c r="B370" s="68" t="str">
        <f>INDEX(Data_Assessment[],MATCH('Rekomendasi HAV'!$A370,Data_Assessment[[INDEX]:[INDEX]],0),MATCH('Rekomendasi HAV'!B$1,Data_Assessment[#Headers],0))</f>
        <v>Dedi Sahputra Hutabarat</v>
      </c>
      <c r="C370" s="68" t="str">
        <f>INDEX(Data_Assessment[],MATCH('Rekomendasi HAV'!$A370,Data_Assessment[[INDEX]:[INDEX]],0),MATCH('Rekomendasi HAV'!C$1,Data_Assessment[#Headers],0))</f>
        <v>Kalimantan Timur</v>
      </c>
      <c r="D370" s="68" t="str">
        <f>INDEX(Data_Assessment[],MATCH('Rekomendasi HAV'!$A370,Data_Assessment[[INDEX]:[INDEX]],0),MATCH('Rekomendasi HAV'!D$1,Data_Assessment[#Headers],0))</f>
        <v>LSIP - Pahu Makmur Estate</v>
      </c>
      <c r="E370" s="68">
        <f>INDEX(Data_Assessment[],MATCH('Rekomendasi HAV'!$B370,Data_Assessment[[NAME]:[NAME]],0),MATCH('Rekomendasi HAV'!E$1,Data_Assessment[#Headers],0))</f>
        <v>0</v>
      </c>
      <c r="F370" s="68"/>
      <c r="G370" s="68">
        <f>IF(ISNUMBER(SEARCH("DEV",Assessment[[#This Row],[JOB TARGET]])),SUBSTITUTE(Assessment[[#This Row],[JOB TARGET]],"DEV","EST"),Assessment[[#This Row],[JOB TARGET]])</f>
        <v>0</v>
      </c>
      <c r="H370" s="146" t="str" cm="1">
        <f t="array" aca="1" ref="H370" ca="1">IF(Assessment[[#This Row],[JOB TARGET]]="","Job Target Kosong",IF(COUNT(IF('Data Assessment'!$N370:$Z370-OFFSET(Standar!$B$2,MATCH(Assessment[[#This Row],[JOB TARGET
(EST)]],Standar[NAMA JABATAN],0)-1,1,1,13)&lt;0,1,""))&lt;=3,'9 Grid'!$B$4,IF(COUNT(IF('Data Assessment'!$N370:$Z370-OFFSET(Standar!$B$2,MATCH(Assessment[[#This Row],[JOB TARGET]],Standar[NAMA JABATAN],0)-1,1,1,13)&lt;0,1,""))&gt;=7,'9 Grid'!$B$6,'9 Grid'!$B$5)))</f>
        <v>Job Target Kosong</v>
      </c>
      <c r="I370" s="146" t="str">
        <f>IFERROR(IF(Data_Assessment[[#This Row],[IPP (3 YEARS AVERAGE)]]="","(IPP Belum Ada)",IF(Data_Assessment[[#This Row],[IPP (3 YEARS AVERAGE)]]&lt;2,'9 Grid'!$F$2,IF(Data_Assessment[[#This Row],[IPP (3 YEARS AVERAGE)]]&gt;=4,'9 Grid'!$D$2,'9 Grid'!$E$2))),"")</f>
        <v>Fully Competence Performance</v>
      </c>
      <c r="J370" s="146" t="str">
        <f ca="1">IFERROR(INDEX('9 Grid'!$D$4:$F$6,MATCH('Rekomendasi HAV'!H370,'9 Grid'!$B$4:$B$6,0),MATCH('Rekomendasi HAV'!I370,'9 Grid'!$D$2:$F$2,0)),"")</f>
        <v/>
      </c>
      <c r="K370" s="146" t="str">
        <f>IFERROR(INDEX('9 Grid'!$D$8:$F$8,1,MATCH('Rekomendasi HAV'!I370,'9 Grid'!$D$2:$F$2,0)),"")</f>
        <v>(ST) Within 12 - 18 month</v>
      </c>
      <c r="L370" s="146">
        <f>IF(ISNUMBER(SEARCH("EST",Assessment[[#This Row],[JOB TARGET]])),SUBSTITUTE(Assessment[[#This Row],[JOB TARGET]],"EST","DEV"),Assessment[[#This Row],[JOB TARGET]])</f>
        <v>0</v>
      </c>
      <c r="M370" s="146" t="str" cm="1">
        <f t="array" aca="1" ref="M370" ca="1">IF(Assessment[[#This Row],[JOB TARGET]]="","Job Target Kosong",IF(COUNT(IF('Data Assessment'!$N370:$Z370-OFFSET(Standar!$B$2,MATCH(Assessment[[#This Row],[JOB TARGET
(DEV)]],Standar[NAMA JABATAN],0)-1,1,1,13)&lt;0,1,""))&lt;=3,'9 Grid'!$B$4,IF(COUNT(IF('Data Assessment'!$N370:$Z370-OFFSET(Standar!$B$2,MATCH(Assessment[[#This Row],[JOB TARGET
(DEV)]],Standar[NAMA JABATAN],0)-1,1,1,13)&lt;0,1,""))&gt;=7,'9 Grid'!$B$6,'9 Grid'!$B$5)))</f>
        <v>Job Target Kosong</v>
      </c>
      <c r="N370" s="146" t="str">
        <f>IFERROR(IF(Data_Assessment[[#This Row],[IPP (3 YEARS AVERAGE)]]="","(IPP Belum Ada)",IF(Data_Assessment[[#This Row],[IPP (3 YEARS AVERAGE)]]&lt;2,'9 Grid'!$F$2,IF(Data_Assessment[[#This Row],[IPP (3 YEARS AVERAGE)]]&gt;=4,'9 Grid'!$D$2,'9 Grid'!$E$2))),"")</f>
        <v>Fully Competence Performance</v>
      </c>
      <c r="O370" s="146" t="str">
        <f ca="1">IFERROR(INDEX('9 Grid'!$D$4:$F$6,MATCH('Rekomendasi HAV'!M370,'9 Grid'!$B$4:$B$6,0),MATCH('Rekomendasi HAV'!N370,'9 Grid'!$D$2:$F$2,0)),"")</f>
        <v/>
      </c>
      <c r="P370" s="147" t="str">
        <f>IFERROR(INDEX('9 Grid'!$D$8:$F$8,1,MATCH('Rekomendasi HAV'!N370,'9 Grid'!$D$2:$F$2,0)),"")</f>
        <v>(ST) Within 12 - 18 month</v>
      </c>
    </row>
    <row r="371" spans="1:16" ht="28.5">
      <c r="A371" s="67">
        <v>370</v>
      </c>
      <c r="B371" s="68" t="str">
        <f>INDEX(Data_Assessment[],MATCH('Rekomendasi HAV'!$A371,Data_Assessment[[INDEX]:[INDEX]],0),MATCH('Rekomendasi HAV'!B$1,Data_Assessment[#Headers],0))</f>
        <v>Manur Hutahaean</v>
      </c>
      <c r="C371" s="68" t="str">
        <f>INDEX(Data_Assessment[],MATCH('Rekomendasi HAV'!$A371,Data_Assessment[[INDEX]:[INDEX]],0),MATCH('Rekomendasi HAV'!C$1,Data_Assessment[#Headers],0))</f>
        <v>Jakarta</v>
      </c>
      <c r="D371" s="68" t="str">
        <f>INDEX(Data_Assessment[],MATCH('Rekomendasi HAV'!$A371,Data_Assessment[[INDEX]:[INDEX]],0),MATCH('Rekomendasi HAV'!D$1,Data_Assessment[#Headers],0))</f>
        <v>LSIP - HO Jakarta</v>
      </c>
      <c r="E371" s="68">
        <f>INDEX(Data_Assessment[],MATCH('Rekomendasi HAV'!$B371,Data_Assessment[[NAME]:[NAME]],0),MATCH('Rekomendasi HAV'!E$1,Data_Assessment[#Headers],0))</f>
        <v>0</v>
      </c>
      <c r="F371" s="68"/>
      <c r="G371" s="68">
        <f>IF(ISNUMBER(SEARCH("DEV",Assessment[[#This Row],[JOB TARGET]])),SUBSTITUTE(Assessment[[#This Row],[JOB TARGET]],"DEV","EST"),Assessment[[#This Row],[JOB TARGET]])</f>
        <v>0</v>
      </c>
      <c r="H371" s="146" t="str" cm="1">
        <f t="array" aca="1" ref="H371" ca="1">IF(Assessment[[#This Row],[JOB TARGET]]="","Job Target Kosong",IF(COUNT(IF('Data Assessment'!$N371:$Z371-OFFSET(Standar!$B$2,MATCH(Assessment[[#This Row],[JOB TARGET
(EST)]],Standar[NAMA JABATAN],0)-1,1,1,13)&lt;0,1,""))&lt;=3,'9 Grid'!$B$4,IF(COUNT(IF('Data Assessment'!$N371:$Z371-OFFSET(Standar!$B$2,MATCH(Assessment[[#This Row],[JOB TARGET]],Standar[NAMA JABATAN],0)-1,1,1,13)&lt;0,1,""))&gt;=7,'9 Grid'!$B$6,'9 Grid'!$B$5)))</f>
        <v>Job Target Kosong</v>
      </c>
      <c r="I371" s="146" t="str">
        <f>IFERROR(IF(Data_Assessment[[#This Row],[IPP (3 YEARS AVERAGE)]]="","(IPP Belum Ada)",IF(Data_Assessment[[#This Row],[IPP (3 YEARS AVERAGE)]]&lt;2,'9 Grid'!$F$2,IF(Data_Assessment[[#This Row],[IPP (3 YEARS AVERAGE)]]&gt;=4,'9 Grid'!$D$2,'9 Grid'!$E$2))),"")</f>
        <v>Fully Competence Performance</v>
      </c>
      <c r="J371" s="146" t="str">
        <f ca="1">IFERROR(INDEX('9 Grid'!$D$4:$F$6,MATCH('Rekomendasi HAV'!H371,'9 Grid'!$B$4:$B$6,0),MATCH('Rekomendasi HAV'!I371,'9 Grid'!$D$2:$F$2,0)),"")</f>
        <v/>
      </c>
      <c r="K371" s="146" t="str">
        <f>IFERROR(INDEX('9 Grid'!$D$8:$F$8,1,MATCH('Rekomendasi HAV'!I371,'9 Grid'!$D$2:$F$2,0)),"")</f>
        <v>(ST) Within 12 - 18 month</v>
      </c>
      <c r="L371" s="146">
        <f>IF(ISNUMBER(SEARCH("EST",Assessment[[#This Row],[JOB TARGET]])),SUBSTITUTE(Assessment[[#This Row],[JOB TARGET]],"EST","DEV"),Assessment[[#This Row],[JOB TARGET]])</f>
        <v>0</v>
      </c>
      <c r="M371" s="146" t="str" cm="1">
        <f t="array" aca="1" ref="M371" ca="1">IF(Assessment[[#This Row],[JOB TARGET]]="","Job Target Kosong",IF(COUNT(IF('Data Assessment'!$N371:$Z371-OFFSET(Standar!$B$2,MATCH(Assessment[[#This Row],[JOB TARGET
(DEV)]],Standar[NAMA JABATAN],0)-1,1,1,13)&lt;0,1,""))&lt;=3,'9 Grid'!$B$4,IF(COUNT(IF('Data Assessment'!$N371:$Z371-OFFSET(Standar!$B$2,MATCH(Assessment[[#This Row],[JOB TARGET
(DEV)]],Standar[NAMA JABATAN],0)-1,1,1,13)&lt;0,1,""))&gt;=7,'9 Grid'!$B$6,'9 Grid'!$B$5)))</f>
        <v>Job Target Kosong</v>
      </c>
      <c r="N371" s="146" t="str">
        <f>IFERROR(IF(Data_Assessment[[#This Row],[IPP (3 YEARS AVERAGE)]]="","(IPP Belum Ada)",IF(Data_Assessment[[#This Row],[IPP (3 YEARS AVERAGE)]]&lt;2,'9 Grid'!$F$2,IF(Data_Assessment[[#This Row],[IPP (3 YEARS AVERAGE)]]&gt;=4,'9 Grid'!$D$2,'9 Grid'!$E$2))),"")</f>
        <v>Fully Competence Performance</v>
      </c>
      <c r="O371" s="146" t="str">
        <f ca="1">IFERROR(INDEX('9 Grid'!$D$4:$F$6,MATCH('Rekomendasi HAV'!M371,'9 Grid'!$B$4:$B$6,0),MATCH('Rekomendasi HAV'!N371,'9 Grid'!$D$2:$F$2,0)),"")</f>
        <v/>
      </c>
      <c r="P371" s="147" t="str">
        <f>IFERROR(INDEX('9 Grid'!$D$8:$F$8,1,MATCH('Rekomendasi HAV'!N371,'9 Grid'!$D$2:$F$2,0)),"")</f>
        <v>(ST) Within 12 - 18 month</v>
      </c>
    </row>
    <row r="372" spans="1:16" ht="28.5">
      <c r="A372" s="67">
        <v>371</v>
      </c>
      <c r="B372" s="68" t="str">
        <f>INDEX(Data_Assessment[],MATCH('Rekomendasi HAV'!$A372,Data_Assessment[[INDEX]:[INDEX]],0),MATCH('Rekomendasi HAV'!B$1,Data_Assessment[#Headers],0))</f>
        <v>Andi Suranta Meliala</v>
      </c>
      <c r="C372" s="68" t="str">
        <f>INDEX(Data_Assessment[],MATCH('Rekomendasi HAV'!$A372,Data_Assessment[[INDEX]:[INDEX]],0),MATCH('Rekomendasi HAV'!C$1,Data_Assessment[#Headers],0))</f>
        <v>Jawa Barat</v>
      </c>
      <c r="D372" s="68" t="str">
        <f>INDEX(Data_Assessment[],MATCH('Rekomendasi HAV'!$A372,Data_Assessment[[INDEX]:[INDEX]],0),MATCH('Rekomendasi HAV'!D$1,Data_Assessment[#Headers],0))</f>
        <v>LSIP - Kertasarie Factory</v>
      </c>
      <c r="E372" s="68">
        <f>INDEX(Data_Assessment[],MATCH('Rekomendasi HAV'!$B372,Data_Assessment[[NAME]:[NAME]],0),MATCH('Rekomendasi HAV'!E$1,Data_Assessment[#Headers],0))</f>
        <v>0</v>
      </c>
      <c r="F372" s="68"/>
      <c r="G372" s="68">
        <f>IF(ISNUMBER(SEARCH("DEV",Assessment[[#This Row],[JOB TARGET]])),SUBSTITUTE(Assessment[[#This Row],[JOB TARGET]],"DEV","EST"),Assessment[[#This Row],[JOB TARGET]])</f>
        <v>0</v>
      </c>
      <c r="H372" s="146" t="str" cm="1">
        <f t="array" aca="1" ref="H372" ca="1">IF(Assessment[[#This Row],[JOB TARGET]]="","Job Target Kosong",IF(COUNT(IF('Data Assessment'!$N372:$Z372-OFFSET(Standar!$B$2,MATCH(Assessment[[#This Row],[JOB TARGET
(EST)]],Standar[NAMA JABATAN],0)-1,1,1,13)&lt;0,1,""))&lt;=3,'9 Grid'!$B$4,IF(COUNT(IF('Data Assessment'!$N372:$Z372-OFFSET(Standar!$B$2,MATCH(Assessment[[#This Row],[JOB TARGET]],Standar[NAMA JABATAN],0)-1,1,1,13)&lt;0,1,""))&gt;=7,'9 Grid'!$B$6,'9 Grid'!$B$5)))</f>
        <v>Job Target Kosong</v>
      </c>
      <c r="I372" s="146" t="str">
        <f>IFERROR(IF(Data_Assessment[[#This Row],[IPP (3 YEARS AVERAGE)]]="","(IPP Belum Ada)",IF(Data_Assessment[[#This Row],[IPP (3 YEARS AVERAGE)]]&lt;2,'9 Grid'!$F$2,IF(Data_Assessment[[#This Row],[IPP (3 YEARS AVERAGE)]]&gt;=4,'9 Grid'!$D$2,'9 Grid'!$E$2))),"")</f>
        <v>Fully Competence Performance</v>
      </c>
      <c r="J372" s="146" t="str">
        <f ca="1">IFERROR(INDEX('9 Grid'!$D$4:$F$6,MATCH('Rekomendasi HAV'!H372,'9 Grid'!$B$4:$B$6,0),MATCH('Rekomendasi HAV'!I372,'9 Grid'!$D$2:$F$2,0)),"")</f>
        <v/>
      </c>
      <c r="K372" s="146" t="str">
        <f>IFERROR(INDEX('9 Grid'!$D$8:$F$8,1,MATCH('Rekomendasi HAV'!I372,'9 Grid'!$D$2:$F$2,0)),"")</f>
        <v>(ST) Within 12 - 18 month</v>
      </c>
      <c r="L372" s="146">
        <f>IF(ISNUMBER(SEARCH("EST",Assessment[[#This Row],[JOB TARGET]])),SUBSTITUTE(Assessment[[#This Row],[JOB TARGET]],"EST","DEV"),Assessment[[#This Row],[JOB TARGET]])</f>
        <v>0</v>
      </c>
      <c r="M372" s="146" t="str" cm="1">
        <f t="array" aca="1" ref="M372" ca="1">IF(Assessment[[#This Row],[JOB TARGET]]="","Job Target Kosong",IF(COUNT(IF('Data Assessment'!$N372:$Z372-OFFSET(Standar!$B$2,MATCH(Assessment[[#This Row],[JOB TARGET
(DEV)]],Standar[NAMA JABATAN],0)-1,1,1,13)&lt;0,1,""))&lt;=3,'9 Grid'!$B$4,IF(COUNT(IF('Data Assessment'!$N372:$Z372-OFFSET(Standar!$B$2,MATCH(Assessment[[#This Row],[JOB TARGET
(DEV)]],Standar[NAMA JABATAN],0)-1,1,1,13)&lt;0,1,""))&gt;=7,'9 Grid'!$B$6,'9 Grid'!$B$5)))</f>
        <v>Job Target Kosong</v>
      </c>
      <c r="N372" s="146" t="str">
        <f>IFERROR(IF(Data_Assessment[[#This Row],[IPP (3 YEARS AVERAGE)]]="","(IPP Belum Ada)",IF(Data_Assessment[[#This Row],[IPP (3 YEARS AVERAGE)]]&lt;2,'9 Grid'!$F$2,IF(Data_Assessment[[#This Row],[IPP (3 YEARS AVERAGE)]]&gt;=4,'9 Grid'!$D$2,'9 Grid'!$E$2))),"")</f>
        <v>Fully Competence Performance</v>
      </c>
      <c r="O372" s="146" t="str">
        <f ca="1">IFERROR(INDEX('9 Grid'!$D$4:$F$6,MATCH('Rekomendasi HAV'!M372,'9 Grid'!$B$4:$B$6,0),MATCH('Rekomendasi HAV'!N372,'9 Grid'!$D$2:$F$2,0)),"")</f>
        <v/>
      </c>
      <c r="P372" s="147" t="str">
        <f>IFERROR(INDEX('9 Grid'!$D$8:$F$8,1,MATCH('Rekomendasi HAV'!N372,'9 Grid'!$D$2:$F$2,0)),"")</f>
        <v>(ST) Within 12 - 18 month</v>
      </c>
    </row>
    <row r="373" spans="1:16" ht="28.5">
      <c r="A373" s="67">
        <v>372</v>
      </c>
      <c r="B373" s="68" t="str">
        <f>INDEX(Data_Assessment[],MATCH('Rekomendasi HAV'!$A373,Data_Assessment[[INDEX]:[INDEX]],0),MATCH('Rekomendasi HAV'!B$1,Data_Assessment[#Headers],0))</f>
        <v>Benyamin Suwito Rahardjo</v>
      </c>
      <c r="C373" s="68" t="str">
        <f>INDEX(Data_Assessment[],MATCH('Rekomendasi HAV'!$A373,Data_Assessment[[INDEX]:[INDEX]],0),MATCH('Rekomendasi HAV'!C$1,Data_Assessment[#Headers],0))</f>
        <v>Jakarta</v>
      </c>
      <c r="D373" s="68" t="str">
        <f>INDEX(Data_Assessment[],MATCH('Rekomendasi HAV'!$A373,Data_Assessment[[INDEX]:[INDEX]],0),MATCH('Rekomendasi HAV'!D$1,Data_Assessment[#Headers],0))</f>
        <v>LSIP - HO Jakarta</v>
      </c>
      <c r="E373" s="68">
        <f>INDEX(Data_Assessment[],MATCH('Rekomendasi HAV'!$B373,Data_Assessment[[NAME]:[NAME]],0),MATCH('Rekomendasi HAV'!E$1,Data_Assessment[#Headers],0))</f>
        <v>0</v>
      </c>
      <c r="F373" s="68"/>
      <c r="G373" s="68">
        <f>IF(ISNUMBER(SEARCH("DEV",Assessment[[#This Row],[JOB TARGET]])),SUBSTITUTE(Assessment[[#This Row],[JOB TARGET]],"DEV","EST"),Assessment[[#This Row],[JOB TARGET]])</f>
        <v>0</v>
      </c>
      <c r="H373" s="146" t="str" cm="1">
        <f t="array" aca="1" ref="H373" ca="1">IF(Assessment[[#This Row],[JOB TARGET]]="","Job Target Kosong",IF(COUNT(IF('Data Assessment'!$N373:$Z373-OFFSET(Standar!$B$2,MATCH(Assessment[[#This Row],[JOB TARGET
(EST)]],Standar[NAMA JABATAN],0)-1,1,1,13)&lt;0,1,""))&lt;=3,'9 Grid'!$B$4,IF(COUNT(IF('Data Assessment'!$N373:$Z373-OFFSET(Standar!$B$2,MATCH(Assessment[[#This Row],[JOB TARGET]],Standar[NAMA JABATAN],0)-1,1,1,13)&lt;0,1,""))&gt;=7,'9 Grid'!$B$6,'9 Grid'!$B$5)))</f>
        <v>Job Target Kosong</v>
      </c>
      <c r="I373" s="146" t="str">
        <f>IFERROR(IF(Data_Assessment[[#This Row],[IPP (3 YEARS AVERAGE)]]="","(IPP Belum Ada)",IF(Data_Assessment[[#This Row],[IPP (3 YEARS AVERAGE)]]&lt;2,'9 Grid'!$F$2,IF(Data_Assessment[[#This Row],[IPP (3 YEARS AVERAGE)]]&gt;=4,'9 Grid'!$D$2,'9 Grid'!$E$2))),"")</f>
        <v>Fully Competence Performance</v>
      </c>
      <c r="J373" s="146" t="str">
        <f ca="1">IFERROR(INDEX('9 Grid'!$D$4:$F$6,MATCH('Rekomendasi HAV'!H373,'9 Grid'!$B$4:$B$6,0),MATCH('Rekomendasi HAV'!I373,'9 Grid'!$D$2:$F$2,0)),"")</f>
        <v/>
      </c>
      <c r="K373" s="146" t="str">
        <f>IFERROR(INDEX('9 Grid'!$D$8:$F$8,1,MATCH('Rekomendasi HAV'!I373,'9 Grid'!$D$2:$F$2,0)),"")</f>
        <v>(ST) Within 12 - 18 month</v>
      </c>
      <c r="L373" s="146">
        <f>IF(ISNUMBER(SEARCH("EST",Assessment[[#This Row],[JOB TARGET]])),SUBSTITUTE(Assessment[[#This Row],[JOB TARGET]],"EST","DEV"),Assessment[[#This Row],[JOB TARGET]])</f>
        <v>0</v>
      </c>
      <c r="M373" s="146" t="str" cm="1">
        <f t="array" aca="1" ref="M373" ca="1">IF(Assessment[[#This Row],[JOB TARGET]]="","Job Target Kosong",IF(COUNT(IF('Data Assessment'!$N373:$Z373-OFFSET(Standar!$B$2,MATCH(Assessment[[#This Row],[JOB TARGET
(DEV)]],Standar[NAMA JABATAN],0)-1,1,1,13)&lt;0,1,""))&lt;=3,'9 Grid'!$B$4,IF(COUNT(IF('Data Assessment'!$N373:$Z373-OFFSET(Standar!$B$2,MATCH(Assessment[[#This Row],[JOB TARGET
(DEV)]],Standar[NAMA JABATAN],0)-1,1,1,13)&lt;0,1,""))&gt;=7,'9 Grid'!$B$6,'9 Grid'!$B$5)))</f>
        <v>Job Target Kosong</v>
      </c>
      <c r="N373" s="146" t="str">
        <f>IFERROR(IF(Data_Assessment[[#This Row],[IPP (3 YEARS AVERAGE)]]="","(IPP Belum Ada)",IF(Data_Assessment[[#This Row],[IPP (3 YEARS AVERAGE)]]&lt;2,'9 Grid'!$F$2,IF(Data_Assessment[[#This Row],[IPP (3 YEARS AVERAGE)]]&gt;=4,'9 Grid'!$D$2,'9 Grid'!$E$2))),"")</f>
        <v>Fully Competence Performance</v>
      </c>
      <c r="O373" s="146" t="str">
        <f ca="1">IFERROR(INDEX('9 Grid'!$D$4:$F$6,MATCH('Rekomendasi HAV'!M373,'9 Grid'!$B$4:$B$6,0),MATCH('Rekomendasi HAV'!N373,'9 Grid'!$D$2:$F$2,0)),"")</f>
        <v/>
      </c>
      <c r="P373" s="147" t="str">
        <f>IFERROR(INDEX('9 Grid'!$D$8:$F$8,1,MATCH('Rekomendasi HAV'!N373,'9 Grid'!$D$2:$F$2,0)),"")</f>
        <v>(ST) Within 12 - 18 month</v>
      </c>
    </row>
    <row r="374" spans="1:16" ht="28.5">
      <c r="A374" s="67">
        <v>373</v>
      </c>
      <c r="B374" s="68" t="str">
        <f>INDEX(Data_Assessment[],MATCH('Rekomendasi HAV'!$A374,Data_Assessment[[INDEX]:[INDEX]],0),MATCH('Rekomendasi HAV'!B$1,Data_Assessment[#Headers],0))</f>
        <v>Erasio Akbar</v>
      </c>
      <c r="C374" s="68" t="str">
        <f>INDEX(Data_Assessment[],MATCH('Rekomendasi HAV'!$A374,Data_Assessment[[INDEX]:[INDEX]],0),MATCH('Rekomendasi HAV'!C$1,Data_Assessment[#Headers],0))</f>
        <v>Kalimantan Timur</v>
      </c>
      <c r="D374" s="68" t="str">
        <f>INDEX(Data_Assessment[],MATCH('Rekomendasi HAV'!$A374,Data_Assessment[[INDEX]:[INDEX]],0),MATCH('Rekomendasi HAV'!D$1,Data_Assessment[#Headers],0))</f>
        <v>LSIP - Issuy Makmur Estate</v>
      </c>
      <c r="E374" s="68">
        <f>INDEX(Data_Assessment[],MATCH('Rekomendasi HAV'!$B374,Data_Assessment[[NAME]:[NAME]],0),MATCH('Rekomendasi HAV'!E$1,Data_Assessment[#Headers],0))</f>
        <v>0</v>
      </c>
      <c r="F374" s="68"/>
      <c r="G374" s="68">
        <f>IF(ISNUMBER(SEARCH("DEV",Assessment[[#This Row],[JOB TARGET]])),SUBSTITUTE(Assessment[[#This Row],[JOB TARGET]],"DEV","EST"),Assessment[[#This Row],[JOB TARGET]])</f>
        <v>0</v>
      </c>
      <c r="H374" s="146" t="str" cm="1">
        <f t="array" aca="1" ref="H374" ca="1">IF(Assessment[[#This Row],[JOB TARGET]]="","Job Target Kosong",IF(COUNT(IF('Data Assessment'!$N374:$Z374-OFFSET(Standar!$B$2,MATCH(Assessment[[#This Row],[JOB TARGET
(EST)]],Standar[NAMA JABATAN],0)-1,1,1,13)&lt;0,1,""))&lt;=3,'9 Grid'!$B$4,IF(COUNT(IF('Data Assessment'!$N374:$Z374-OFFSET(Standar!$B$2,MATCH(Assessment[[#This Row],[JOB TARGET]],Standar[NAMA JABATAN],0)-1,1,1,13)&lt;0,1,""))&gt;=7,'9 Grid'!$B$6,'9 Grid'!$B$5)))</f>
        <v>Job Target Kosong</v>
      </c>
      <c r="I374" s="146" t="str">
        <f>IFERROR(IF(Data_Assessment[[#This Row],[IPP (3 YEARS AVERAGE)]]="","(IPP Belum Ada)",IF(Data_Assessment[[#This Row],[IPP (3 YEARS AVERAGE)]]&lt;2,'9 Grid'!$F$2,IF(Data_Assessment[[#This Row],[IPP (3 YEARS AVERAGE)]]&gt;=4,'9 Grid'!$D$2,'9 Grid'!$E$2))),"")</f>
        <v>Fully Competence Performance</v>
      </c>
      <c r="J374" s="146" t="str">
        <f ca="1">IFERROR(INDEX('9 Grid'!$D$4:$F$6,MATCH('Rekomendasi HAV'!H374,'9 Grid'!$B$4:$B$6,0),MATCH('Rekomendasi HAV'!I374,'9 Grid'!$D$2:$F$2,0)),"")</f>
        <v/>
      </c>
      <c r="K374" s="146" t="str">
        <f>IFERROR(INDEX('9 Grid'!$D$8:$F$8,1,MATCH('Rekomendasi HAV'!I374,'9 Grid'!$D$2:$F$2,0)),"")</f>
        <v>(ST) Within 12 - 18 month</v>
      </c>
      <c r="L374" s="146">
        <f>IF(ISNUMBER(SEARCH("EST",Assessment[[#This Row],[JOB TARGET]])),SUBSTITUTE(Assessment[[#This Row],[JOB TARGET]],"EST","DEV"),Assessment[[#This Row],[JOB TARGET]])</f>
        <v>0</v>
      </c>
      <c r="M374" s="146" t="str" cm="1">
        <f t="array" aca="1" ref="M374" ca="1">IF(Assessment[[#This Row],[JOB TARGET]]="","Job Target Kosong",IF(COUNT(IF('Data Assessment'!$N374:$Z374-OFFSET(Standar!$B$2,MATCH(Assessment[[#This Row],[JOB TARGET
(DEV)]],Standar[NAMA JABATAN],0)-1,1,1,13)&lt;0,1,""))&lt;=3,'9 Grid'!$B$4,IF(COUNT(IF('Data Assessment'!$N374:$Z374-OFFSET(Standar!$B$2,MATCH(Assessment[[#This Row],[JOB TARGET
(DEV)]],Standar[NAMA JABATAN],0)-1,1,1,13)&lt;0,1,""))&gt;=7,'9 Grid'!$B$6,'9 Grid'!$B$5)))</f>
        <v>Job Target Kosong</v>
      </c>
      <c r="N374" s="146" t="str">
        <f>IFERROR(IF(Data_Assessment[[#This Row],[IPP (3 YEARS AVERAGE)]]="","(IPP Belum Ada)",IF(Data_Assessment[[#This Row],[IPP (3 YEARS AVERAGE)]]&lt;2,'9 Grid'!$F$2,IF(Data_Assessment[[#This Row],[IPP (3 YEARS AVERAGE)]]&gt;=4,'9 Grid'!$D$2,'9 Grid'!$E$2))),"")</f>
        <v>Fully Competence Performance</v>
      </c>
      <c r="O374" s="146" t="str">
        <f ca="1">IFERROR(INDEX('9 Grid'!$D$4:$F$6,MATCH('Rekomendasi HAV'!M374,'9 Grid'!$B$4:$B$6,0),MATCH('Rekomendasi HAV'!N374,'9 Grid'!$D$2:$F$2,0)),"")</f>
        <v/>
      </c>
      <c r="P374" s="147" t="str">
        <f>IFERROR(INDEX('9 Grid'!$D$8:$F$8,1,MATCH('Rekomendasi HAV'!N374,'9 Grid'!$D$2:$F$2,0)),"")</f>
        <v>(ST) Within 12 - 18 month</v>
      </c>
    </row>
    <row r="375" spans="1:16" ht="28.5">
      <c r="A375" s="67">
        <v>374</v>
      </c>
      <c r="B375" s="68" t="str">
        <f>INDEX(Data_Assessment[],MATCH('Rekomendasi HAV'!$A375,Data_Assessment[[INDEX]:[INDEX]],0),MATCH('Rekomendasi HAV'!B$1,Data_Assessment[#Headers],0))</f>
        <v>Nanang Budi Istiyanto</v>
      </c>
      <c r="C375" s="68" t="str">
        <f>INDEX(Data_Assessment[],MATCH('Rekomendasi HAV'!$A375,Data_Assessment[[INDEX]:[INDEX]],0),MATCH('Rekomendasi HAV'!C$1,Data_Assessment[#Headers],0))</f>
        <v>Jakarta</v>
      </c>
      <c r="D375" s="68" t="str">
        <f>INDEX(Data_Assessment[],MATCH('Rekomendasi HAV'!$A375,Data_Assessment[[INDEX]:[INDEX]],0),MATCH('Rekomendasi HAV'!D$1,Data_Assessment[#Headers],0))</f>
        <v>LSIP - HO Jakarta</v>
      </c>
      <c r="E375" s="68">
        <f>INDEX(Data_Assessment[],MATCH('Rekomendasi HAV'!$B375,Data_Assessment[[NAME]:[NAME]],0),MATCH('Rekomendasi HAV'!E$1,Data_Assessment[#Headers],0))</f>
        <v>0</v>
      </c>
      <c r="F375" s="68"/>
      <c r="G375" s="68">
        <f>IF(ISNUMBER(SEARCH("DEV",Assessment[[#This Row],[JOB TARGET]])),SUBSTITUTE(Assessment[[#This Row],[JOB TARGET]],"DEV","EST"),Assessment[[#This Row],[JOB TARGET]])</f>
        <v>0</v>
      </c>
      <c r="H375" s="146" t="str" cm="1">
        <f t="array" aca="1" ref="H375" ca="1">IF(Assessment[[#This Row],[JOB TARGET]]="","Job Target Kosong",IF(COUNT(IF('Data Assessment'!$N375:$Z375-OFFSET(Standar!$B$2,MATCH(Assessment[[#This Row],[JOB TARGET
(EST)]],Standar[NAMA JABATAN],0)-1,1,1,13)&lt;0,1,""))&lt;=3,'9 Grid'!$B$4,IF(COUNT(IF('Data Assessment'!$N375:$Z375-OFFSET(Standar!$B$2,MATCH(Assessment[[#This Row],[JOB TARGET]],Standar[NAMA JABATAN],0)-1,1,1,13)&lt;0,1,""))&gt;=7,'9 Grid'!$B$6,'9 Grid'!$B$5)))</f>
        <v>Job Target Kosong</v>
      </c>
      <c r="I375" s="146" t="str">
        <f>IFERROR(IF(Data_Assessment[[#This Row],[IPP (3 YEARS AVERAGE)]]="","(IPP Belum Ada)",IF(Data_Assessment[[#This Row],[IPP (3 YEARS AVERAGE)]]&lt;2,'9 Grid'!$F$2,IF(Data_Assessment[[#This Row],[IPP (3 YEARS AVERAGE)]]&gt;=4,'9 Grid'!$D$2,'9 Grid'!$E$2))),"")</f>
        <v>Fully Competence Performance</v>
      </c>
      <c r="J375" s="146" t="str">
        <f ca="1">IFERROR(INDEX('9 Grid'!$D$4:$F$6,MATCH('Rekomendasi HAV'!H375,'9 Grid'!$B$4:$B$6,0),MATCH('Rekomendasi HAV'!I375,'9 Grid'!$D$2:$F$2,0)),"")</f>
        <v/>
      </c>
      <c r="K375" s="146" t="str">
        <f>IFERROR(INDEX('9 Grid'!$D$8:$F$8,1,MATCH('Rekomendasi HAV'!I375,'9 Grid'!$D$2:$F$2,0)),"")</f>
        <v>(ST) Within 12 - 18 month</v>
      </c>
      <c r="L375" s="146">
        <f>IF(ISNUMBER(SEARCH("EST",Assessment[[#This Row],[JOB TARGET]])),SUBSTITUTE(Assessment[[#This Row],[JOB TARGET]],"EST","DEV"),Assessment[[#This Row],[JOB TARGET]])</f>
        <v>0</v>
      </c>
      <c r="M375" s="146" t="str" cm="1">
        <f t="array" aca="1" ref="M375" ca="1">IF(Assessment[[#This Row],[JOB TARGET]]="","Job Target Kosong",IF(COUNT(IF('Data Assessment'!$N375:$Z375-OFFSET(Standar!$B$2,MATCH(Assessment[[#This Row],[JOB TARGET
(DEV)]],Standar[NAMA JABATAN],0)-1,1,1,13)&lt;0,1,""))&lt;=3,'9 Grid'!$B$4,IF(COUNT(IF('Data Assessment'!$N375:$Z375-OFFSET(Standar!$B$2,MATCH(Assessment[[#This Row],[JOB TARGET
(DEV)]],Standar[NAMA JABATAN],0)-1,1,1,13)&lt;0,1,""))&gt;=7,'9 Grid'!$B$6,'9 Grid'!$B$5)))</f>
        <v>Job Target Kosong</v>
      </c>
      <c r="N375" s="146" t="str">
        <f>IFERROR(IF(Data_Assessment[[#This Row],[IPP (3 YEARS AVERAGE)]]="","(IPP Belum Ada)",IF(Data_Assessment[[#This Row],[IPP (3 YEARS AVERAGE)]]&lt;2,'9 Grid'!$F$2,IF(Data_Assessment[[#This Row],[IPP (3 YEARS AVERAGE)]]&gt;=4,'9 Grid'!$D$2,'9 Grid'!$E$2))),"")</f>
        <v>Fully Competence Performance</v>
      </c>
      <c r="O375" s="146" t="str">
        <f ca="1">IFERROR(INDEX('9 Grid'!$D$4:$F$6,MATCH('Rekomendasi HAV'!M375,'9 Grid'!$B$4:$B$6,0),MATCH('Rekomendasi HAV'!N375,'9 Grid'!$D$2:$F$2,0)),"")</f>
        <v/>
      </c>
      <c r="P375" s="147" t="str">
        <f>IFERROR(INDEX('9 Grid'!$D$8:$F$8,1,MATCH('Rekomendasi HAV'!N375,'9 Grid'!$D$2:$F$2,0)),"")</f>
        <v>(ST) Within 12 - 18 month</v>
      </c>
    </row>
    <row r="376" spans="1:16" ht="28.5">
      <c r="A376" s="67">
        <v>375</v>
      </c>
      <c r="B376" s="68" t="str">
        <f>INDEX(Data_Assessment[],MATCH('Rekomendasi HAV'!$A376,Data_Assessment[[INDEX]:[INDEX]],0),MATCH('Rekomendasi HAV'!B$1,Data_Assessment[#Headers],0))</f>
        <v>Rudolf Van Hallen Harianja</v>
      </c>
      <c r="C376" s="68" t="str">
        <f>INDEX(Data_Assessment[],MATCH('Rekomendasi HAV'!$A376,Data_Assessment[[INDEX]:[INDEX]],0),MATCH('Rekomendasi HAV'!C$1,Data_Assessment[#Headers],0))</f>
        <v>Kalimantan Timur</v>
      </c>
      <c r="D376" s="68" t="str">
        <f>INDEX(Data_Assessment[],MATCH('Rekomendasi HAV'!$A376,Data_Assessment[[INDEX]:[INDEX]],0),MATCH('Rekomendasi HAV'!D$1,Data_Assessment[#Headers],0))</f>
        <v>LSIP - Kedang Makmur Estate</v>
      </c>
      <c r="E376" s="68">
        <f>INDEX(Data_Assessment[],MATCH('Rekomendasi HAV'!$B376,Data_Assessment[[NAME]:[NAME]],0),MATCH('Rekomendasi HAV'!E$1,Data_Assessment[#Headers],0))</f>
        <v>0</v>
      </c>
      <c r="F376" s="68"/>
      <c r="G376" s="68">
        <f>IF(ISNUMBER(SEARCH("DEV",Assessment[[#This Row],[JOB TARGET]])),SUBSTITUTE(Assessment[[#This Row],[JOB TARGET]],"DEV","EST"),Assessment[[#This Row],[JOB TARGET]])</f>
        <v>0</v>
      </c>
      <c r="H376" s="146" t="str" cm="1">
        <f t="array" aca="1" ref="H376" ca="1">IF(Assessment[[#This Row],[JOB TARGET]]="","Job Target Kosong",IF(COUNT(IF('Data Assessment'!$N376:$Z376-OFFSET(Standar!$B$2,MATCH(Assessment[[#This Row],[JOB TARGET
(EST)]],Standar[NAMA JABATAN],0)-1,1,1,13)&lt;0,1,""))&lt;=3,'9 Grid'!$B$4,IF(COUNT(IF('Data Assessment'!$N376:$Z376-OFFSET(Standar!$B$2,MATCH(Assessment[[#This Row],[JOB TARGET]],Standar[NAMA JABATAN],0)-1,1,1,13)&lt;0,1,""))&gt;=7,'9 Grid'!$B$6,'9 Grid'!$B$5)))</f>
        <v>Job Target Kosong</v>
      </c>
      <c r="I376" s="146" t="str">
        <f>IFERROR(IF(Data_Assessment[[#This Row],[IPP (3 YEARS AVERAGE)]]="","(IPP Belum Ada)",IF(Data_Assessment[[#This Row],[IPP (3 YEARS AVERAGE)]]&lt;2,'9 Grid'!$F$2,IF(Data_Assessment[[#This Row],[IPP (3 YEARS AVERAGE)]]&gt;=4,'9 Grid'!$D$2,'9 Grid'!$E$2))),"")</f>
        <v>Fully Competence Performance</v>
      </c>
      <c r="J376" s="146" t="str">
        <f ca="1">IFERROR(INDEX('9 Grid'!$D$4:$F$6,MATCH('Rekomendasi HAV'!H376,'9 Grid'!$B$4:$B$6,0),MATCH('Rekomendasi HAV'!I376,'9 Grid'!$D$2:$F$2,0)),"")</f>
        <v/>
      </c>
      <c r="K376" s="146" t="str">
        <f>IFERROR(INDEX('9 Grid'!$D$8:$F$8,1,MATCH('Rekomendasi HAV'!I376,'9 Grid'!$D$2:$F$2,0)),"")</f>
        <v>(ST) Within 12 - 18 month</v>
      </c>
      <c r="L376" s="146">
        <f>IF(ISNUMBER(SEARCH("EST",Assessment[[#This Row],[JOB TARGET]])),SUBSTITUTE(Assessment[[#This Row],[JOB TARGET]],"EST","DEV"),Assessment[[#This Row],[JOB TARGET]])</f>
        <v>0</v>
      </c>
      <c r="M376" s="146" t="str" cm="1">
        <f t="array" aca="1" ref="M376" ca="1">IF(Assessment[[#This Row],[JOB TARGET]]="","Job Target Kosong",IF(COUNT(IF('Data Assessment'!$N376:$Z376-OFFSET(Standar!$B$2,MATCH(Assessment[[#This Row],[JOB TARGET
(DEV)]],Standar[NAMA JABATAN],0)-1,1,1,13)&lt;0,1,""))&lt;=3,'9 Grid'!$B$4,IF(COUNT(IF('Data Assessment'!$N376:$Z376-OFFSET(Standar!$B$2,MATCH(Assessment[[#This Row],[JOB TARGET
(DEV)]],Standar[NAMA JABATAN],0)-1,1,1,13)&lt;0,1,""))&gt;=7,'9 Grid'!$B$6,'9 Grid'!$B$5)))</f>
        <v>Job Target Kosong</v>
      </c>
      <c r="N376" s="146" t="str">
        <f>IFERROR(IF(Data_Assessment[[#This Row],[IPP (3 YEARS AVERAGE)]]="","(IPP Belum Ada)",IF(Data_Assessment[[#This Row],[IPP (3 YEARS AVERAGE)]]&lt;2,'9 Grid'!$F$2,IF(Data_Assessment[[#This Row],[IPP (3 YEARS AVERAGE)]]&gt;=4,'9 Grid'!$D$2,'9 Grid'!$E$2))),"")</f>
        <v>Fully Competence Performance</v>
      </c>
      <c r="O376" s="146" t="str">
        <f ca="1">IFERROR(INDEX('9 Grid'!$D$4:$F$6,MATCH('Rekomendasi HAV'!M376,'9 Grid'!$B$4:$B$6,0),MATCH('Rekomendasi HAV'!N376,'9 Grid'!$D$2:$F$2,0)),"")</f>
        <v/>
      </c>
      <c r="P376" s="147" t="str">
        <f>IFERROR(INDEX('9 Grid'!$D$8:$F$8,1,MATCH('Rekomendasi HAV'!N376,'9 Grid'!$D$2:$F$2,0)),"")</f>
        <v>(ST) Within 12 - 18 month</v>
      </c>
    </row>
    <row r="377" spans="1:16" ht="14.25">
      <c r="A377" s="67">
        <v>376</v>
      </c>
      <c r="B377" s="68" t="str">
        <f>INDEX(Data_Assessment[],MATCH('Rekomendasi HAV'!$A377,Data_Assessment[[INDEX]:[INDEX]],0),MATCH('Rekomendasi HAV'!B$1,Data_Assessment[#Headers],0))</f>
        <v>Tani Cipto Nugroho</v>
      </c>
      <c r="C377" s="68" t="str">
        <f>INDEX(Data_Assessment[],MATCH('Rekomendasi HAV'!$A377,Data_Assessment[[INDEX]:[INDEX]],0),MATCH('Rekomendasi HAV'!C$1,Data_Assessment[#Headers],0))</f>
        <v>Jakarta</v>
      </c>
      <c r="D377" s="68" t="str">
        <f>INDEX(Data_Assessment[],MATCH('Rekomendasi HAV'!$A377,Data_Assessment[[INDEX]:[INDEX]],0),MATCH('Rekomendasi HAV'!D$1,Data_Assessment[#Headers],0))</f>
        <v>LSIP - HO Jakarta</v>
      </c>
      <c r="E377" s="68">
        <f>INDEX(Data_Assessment[],MATCH('Rekomendasi HAV'!$B377,Data_Assessment[[NAME]:[NAME]],0),MATCH('Rekomendasi HAV'!E$1,Data_Assessment[#Headers],0))</f>
        <v>0</v>
      </c>
      <c r="F377" s="68"/>
      <c r="G377" s="68">
        <f>IF(ISNUMBER(SEARCH("DEV",Assessment[[#This Row],[JOB TARGET]])),SUBSTITUTE(Assessment[[#This Row],[JOB TARGET]],"DEV","EST"),Assessment[[#This Row],[JOB TARGET]])</f>
        <v>0</v>
      </c>
      <c r="H377" s="146" t="str" cm="1">
        <f t="array" aca="1" ref="H377" ca="1">IF(Assessment[[#This Row],[JOB TARGET]]="","Job Target Kosong",IF(COUNT(IF('Data Assessment'!$N377:$Z377-OFFSET(Standar!$B$2,MATCH(Assessment[[#This Row],[JOB TARGET
(EST)]],Standar[NAMA JABATAN],0)-1,1,1,13)&lt;0,1,""))&lt;=3,'9 Grid'!$B$4,IF(COUNT(IF('Data Assessment'!$N377:$Z377-OFFSET(Standar!$B$2,MATCH(Assessment[[#This Row],[JOB TARGET]],Standar[NAMA JABATAN],0)-1,1,1,13)&lt;0,1,""))&gt;=7,'9 Grid'!$B$6,'9 Grid'!$B$5)))</f>
        <v>Job Target Kosong</v>
      </c>
      <c r="I377" s="146" t="str">
        <f>IFERROR(IF(Data_Assessment[[#This Row],[IPP (3 YEARS AVERAGE)]]="","(IPP Belum Ada)",IF(Data_Assessment[[#This Row],[IPP (3 YEARS AVERAGE)]]&lt;2,'9 Grid'!$F$2,IF(Data_Assessment[[#This Row],[IPP (3 YEARS AVERAGE)]]&gt;=4,'9 Grid'!$D$2,'9 Grid'!$E$2))),"")</f>
        <v>Exceptional Performance</v>
      </c>
      <c r="J377" s="146" t="str">
        <f ca="1">IFERROR(INDEX('9 Grid'!$D$4:$F$6,MATCH('Rekomendasi HAV'!H377,'9 Grid'!$B$4:$B$6,0),MATCH('Rekomendasi HAV'!I377,'9 Grid'!$D$2:$F$2,0)),"")</f>
        <v/>
      </c>
      <c r="K377" s="146" t="str">
        <f>IFERROR(INDEX('9 Grid'!$D$8:$F$8,1,MATCH('Rekomendasi HAV'!I377,'9 Grid'!$D$2:$F$2,0)),"")</f>
        <v>(I) Immediately</v>
      </c>
      <c r="L377" s="146">
        <f>IF(ISNUMBER(SEARCH("EST",Assessment[[#This Row],[JOB TARGET]])),SUBSTITUTE(Assessment[[#This Row],[JOB TARGET]],"EST","DEV"),Assessment[[#This Row],[JOB TARGET]])</f>
        <v>0</v>
      </c>
      <c r="M377" s="146" t="str" cm="1">
        <f t="array" aca="1" ref="M377" ca="1">IF(Assessment[[#This Row],[JOB TARGET]]="","Job Target Kosong",IF(COUNT(IF('Data Assessment'!$N377:$Z377-OFFSET(Standar!$B$2,MATCH(Assessment[[#This Row],[JOB TARGET
(DEV)]],Standar[NAMA JABATAN],0)-1,1,1,13)&lt;0,1,""))&lt;=3,'9 Grid'!$B$4,IF(COUNT(IF('Data Assessment'!$N377:$Z377-OFFSET(Standar!$B$2,MATCH(Assessment[[#This Row],[JOB TARGET
(DEV)]],Standar[NAMA JABATAN],0)-1,1,1,13)&lt;0,1,""))&gt;=7,'9 Grid'!$B$6,'9 Grid'!$B$5)))</f>
        <v>Job Target Kosong</v>
      </c>
      <c r="N377" s="146" t="str">
        <f>IFERROR(IF(Data_Assessment[[#This Row],[IPP (3 YEARS AVERAGE)]]="","(IPP Belum Ada)",IF(Data_Assessment[[#This Row],[IPP (3 YEARS AVERAGE)]]&lt;2,'9 Grid'!$F$2,IF(Data_Assessment[[#This Row],[IPP (3 YEARS AVERAGE)]]&gt;=4,'9 Grid'!$D$2,'9 Grid'!$E$2))),"")</f>
        <v>Exceptional Performance</v>
      </c>
      <c r="O377" s="146" t="str">
        <f ca="1">IFERROR(INDEX('9 Grid'!$D$4:$F$6,MATCH('Rekomendasi HAV'!M377,'9 Grid'!$B$4:$B$6,0),MATCH('Rekomendasi HAV'!N377,'9 Grid'!$D$2:$F$2,0)),"")</f>
        <v/>
      </c>
      <c r="P377" s="147" t="str">
        <f>IFERROR(INDEX('9 Grid'!$D$8:$F$8,1,MATCH('Rekomendasi HAV'!N377,'9 Grid'!$D$2:$F$2,0)),"")</f>
        <v>(I) Immediately</v>
      </c>
    </row>
    <row r="378" spans="1:16" ht="28.5">
      <c r="A378" s="67">
        <v>377</v>
      </c>
      <c r="B378" s="68" t="str">
        <f>INDEX(Data_Assessment[],MATCH('Rekomendasi HAV'!$A378,Data_Assessment[[INDEX]:[INDEX]],0),MATCH('Rekomendasi HAV'!B$1,Data_Assessment[#Headers],0))</f>
        <v>Rizki Hamdani Nasution</v>
      </c>
      <c r="C378" s="68" t="str">
        <f>INDEX(Data_Assessment[],MATCH('Rekomendasi HAV'!$A378,Data_Assessment[[INDEX]:[INDEX]],0),MATCH('Rekomendasi HAV'!C$1,Data_Assessment[#Headers],0))</f>
        <v>Sumatera Selatan</v>
      </c>
      <c r="D378" s="68" t="str">
        <f>INDEX(Data_Assessment[],MATCH('Rekomendasi HAV'!$A378,Data_Assessment[[INDEX]:[INDEX]],0),MATCH('Rekomendasi HAV'!D$1,Data_Assessment[#Headers],0))</f>
        <v>LSIP - Riam Indah Estate</v>
      </c>
      <c r="E378" s="68">
        <f>INDEX(Data_Assessment[],MATCH('Rekomendasi HAV'!$B378,Data_Assessment[[NAME]:[NAME]],0),MATCH('Rekomendasi HAV'!E$1,Data_Assessment[#Headers],0))</f>
        <v>0</v>
      </c>
      <c r="F378" s="68"/>
      <c r="G378" s="68">
        <f>IF(ISNUMBER(SEARCH("DEV",Assessment[[#This Row],[JOB TARGET]])),SUBSTITUTE(Assessment[[#This Row],[JOB TARGET]],"DEV","EST"),Assessment[[#This Row],[JOB TARGET]])</f>
        <v>0</v>
      </c>
      <c r="H378" s="146" t="str" cm="1">
        <f t="array" aca="1" ref="H378" ca="1">IF(Assessment[[#This Row],[JOB TARGET]]="","Job Target Kosong",IF(COUNT(IF('Data Assessment'!$N378:$Z378-OFFSET(Standar!$B$2,MATCH(Assessment[[#This Row],[JOB TARGET
(EST)]],Standar[NAMA JABATAN],0)-1,1,1,13)&lt;0,1,""))&lt;=3,'9 Grid'!$B$4,IF(COUNT(IF('Data Assessment'!$N378:$Z378-OFFSET(Standar!$B$2,MATCH(Assessment[[#This Row],[JOB TARGET]],Standar[NAMA JABATAN],0)-1,1,1,13)&lt;0,1,""))&gt;=7,'9 Grid'!$B$6,'9 Grid'!$B$5)))</f>
        <v>Job Target Kosong</v>
      </c>
      <c r="I378" s="146" t="str">
        <f>IFERROR(IF(Data_Assessment[[#This Row],[IPP (3 YEARS AVERAGE)]]="","(IPP Belum Ada)",IF(Data_Assessment[[#This Row],[IPP (3 YEARS AVERAGE)]]&lt;2,'9 Grid'!$F$2,IF(Data_Assessment[[#This Row],[IPP (3 YEARS AVERAGE)]]&gt;=4,'9 Grid'!$D$2,'9 Grid'!$E$2))),"")</f>
        <v>Fully Competence Performance</v>
      </c>
      <c r="J378" s="146" t="str">
        <f ca="1">IFERROR(INDEX('9 Grid'!$D$4:$F$6,MATCH('Rekomendasi HAV'!H378,'9 Grid'!$B$4:$B$6,0),MATCH('Rekomendasi HAV'!I378,'9 Grid'!$D$2:$F$2,0)),"")</f>
        <v/>
      </c>
      <c r="K378" s="146" t="str">
        <f>IFERROR(INDEX('9 Grid'!$D$8:$F$8,1,MATCH('Rekomendasi HAV'!I378,'9 Grid'!$D$2:$F$2,0)),"")</f>
        <v>(ST) Within 12 - 18 month</v>
      </c>
      <c r="L378" s="146">
        <f>IF(ISNUMBER(SEARCH("EST",Assessment[[#This Row],[JOB TARGET]])),SUBSTITUTE(Assessment[[#This Row],[JOB TARGET]],"EST","DEV"),Assessment[[#This Row],[JOB TARGET]])</f>
        <v>0</v>
      </c>
      <c r="M378" s="146" t="str" cm="1">
        <f t="array" aca="1" ref="M378" ca="1">IF(Assessment[[#This Row],[JOB TARGET]]="","Job Target Kosong",IF(COUNT(IF('Data Assessment'!$N378:$Z378-OFFSET(Standar!$B$2,MATCH(Assessment[[#This Row],[JOB TARGET
(DEV)]],Standar[NAMA JABATAN],0)-1,1,1,13)&lt;0,1,""))&lt;=3,'9 Grid'!$B$4,IF(COUNT(IF('Data Assessment'!$N378:$Z378-OFFSET(Standar!$B$2,MATCH(Assessment[[#This Row],[JOB TARGET
(DEV)]],Standar[NAMA JABATAN],0)-1,1,1,13)&lt;0,1,""))&gt;=7,'9 Grid'!$B$6,'9 Grid'!$B$5)))</f>
        <v>Job Target Kosong</v>
      </c>
      <c r="N378" s="146" t="str">
        <f>IFERROR(IF(Data_Assessment[[#This Row],[IPP (3 YEARS AVERAGE)]]="","(IPP Belum Ada)",IF(Data_Assessment[[#This Row],[IPP (3 YEARS AVERAGE)]]&lt;2,'9 Grid'!$F$2,IF(Data_Assessment[[#This Row],[IPP (3 YEARS AVERAGE)]]&gt;=4,'9 Grid'!$D$2,'9 Grid'!$E$2))),"")</f>
        <v>Fully Competence Performance</v>
      </c>
      <c r="O378" s="146" t="str">
        <f ca="1">IFERROR(INDEX('9 Grid'!$D$4:$F$6,MATCH('Rekomendasi HAV'!M378,'9 Grid'!$B$4:$B$6,0),MATCH('Rekomendasi HAV'!N378,'9 Grid'!$D$2:$F$2,0)),"")</f>
        <v/>
      </c>
      <c r="P378" s="147" t="str">
        <f>IFERROR(INDEX('9 Grid'!$D$8:$F$8,1,MATCH('Rekomendasi HAV'!N378,'9 Grid'!$D$2:$F$2,0)),"")</f>
        <v>(ST) Within 12 - 18 month</v>
      </c>
    </row>
    <row r="379" spans="1:16" ht="28.5">
      <c r="A379" s="67">
        <v>378</v>
      </c>
      <c r="B379" s="68" t="str">
        <f>INDEX(Data_Assessment[],MATCH('Rekomendasi HAV'!$A379,Data_Assessment[[INDEX]:[INDEX]],0),MATCH('Rekomendasi HAV'!B$1,Data_Assessment[#Headers],0))</f>
        <v>Anton Heryudhanto</v>
      </c>
      <c r="C379" s="68" t="str">
        <f>INDEX(Data_Assessment[],MATCH('Rekomendasi HAV'!$A379,Data_Assessment[[INDEX]:[INDEX]],0),MATCH('Rekomendasi HAV'!C$1,Data_Assessment[#Headers],0))</f>
        <v>Jakarta</v>
      </c>
      <c r="D379" s="68" t="str">
        <f>INDEX(Data_Assessment[],MATCH('Rekomendasi HAV'!$A379,Data_Assessment[[INDEX]:[INDEX]],0),MATCH('Rekomendasi HAV'!D$1,Data_Assessment[#Headers],0))</f>
        <v>LSIP - HO Jakarta</v>
      </c>
      <c r="E379" s="68">
        <f>INDEX(Data_Assessment[],MATCH('Rekomendasi HAV'!$B379,Data_Assessment[[NAME]:[NAME]],0),MATCH('Rekomendasi HAV'!E$1,Data_Assessment[#Headers],0))</f>
        <v>0</v>
      </c>
      <c r="F379" s="68"/>
      <c r="G379" s="68">
        <f>IF(ISNUMBER(SEARCH("DEV",Assessment[[#This Row],[JOB TARGET]])),SUBSTITUTE(Assessment[[#This Row],[JOB TARGET]],"DEV","EST"),Assessment[[#This Row],[JOB TARGET]])</f>
        <v>0</v>
      </c>
      <c r="H379" s="146" t="str" cm="1">
        <f t="array" aca="1" ref="H379" ca="1">IF(Assessment[[#This Row],[JOB TARGET]]="","Job Target Kosong",IF(COUNT(IF('Data Assessment'!$N379:$Z379-OFFSET(Standar!$B$2,MATCH(Assessment[[#This Row],[JOB TARGET
(EST)]],Standar[NAMA JABATAN],0)-1,1,1,13)&lt;0,1,""))&lt;=3,'9 Grid'!$B$4,IF(COUNT(IF('Data Assessment'!$N379:$Z379-OFFSET(Standar!$B$2,MATCH(Assessment[[#This Row],[JOB TARGET]],Standar[NAMA JABATAN],0)-1,1,1,13)&lt;0,1,""))&gt;=7,'9 Grid'!$B$6,'9 Grid'!$B$5)))</f>
        <v>Job Target Kosong</v>
      </c>
      <c r="I379" s="146" t="str">
        <f>IFERROR(IF(Data_Assessment[[#This Row],[IPP (3 YEARS AVERAGE)]]="","(IPP Belum Ada)",IF(Data_Assessment[[#This Row],[IPP (3 YEARS AVERAGE)]]&lt;2,'9 Grid'!$F$2,IF(Data_Assessment[[#This Row],[IPP (3 YEARS AVERAGE)]]&gt;=4,'9 Grid'!$D$2,'9 Grid'!$E$2))),"")</f>
        <v>Fully Competence Performance</v>
      </c>
      <c r="J379" s="146" t="str">
        <f ca="1">IFERROR(INDEX('9 Grid'!$D$4:$F$6,MATCH('Rekomendasi HAV'!H379,'9 Grid'!$B$4:$B$6,0),MATCH('Rekomendasi HAV'!I379,'9 Grid'!$D$2:$F$2,0)),"")</f>
        <v/>
      </c>
      <c r="K379" s="146" t="str">
        <f>IFERROR(INDEX('9 Grid'!$D$8:$F$8,1,MATCH('Rekomendasi HAV'!I379,'9 Grid'!$D$2:$F$2,0)),"")</f>
        <v>(ST) Within 12 - 18 month</v>
      </c>
      <c r="L379" s="146">
        <f>IF(ISNUMBER(SEARCH("EST",Assessment[[#This Row],[JOB TARGET]])),SUBSTITUTE(Assessment[[#This Row],[JOB TARGET]],"EST","DEV"),Assessment[[#This Row],[JOB TARGET]])</f>
        <v>0</v>
      </c>
      <c r="M379" s="146" t="str" cm="1">
        <f t="array" aca="1" ref="M379" ca="1">IF(Assessment[[#This Row],[JOB TARGET]]="","Job Target Kosong",IF(COUNT(IF('Data Assessment'!$N379:$Z379-OFFSET(Standar!$B$2,MATCH(Assessment[[#This Row],[JOB TARGET
(DEV)]],Standar[NAMA JABATAN],0)-1,1,1,13)&lt;0,1,""))&lt;=3,'9 Grid'!$B$4,IF(COUNT(IF('Data Assessment'!$N379:$Z379-OFFSET(Standar!$B$2,MATCH(Assessment[[#This Row],[JOB TARGET
(DEV)]],Standar[NAMA JABATAN],0)-1,1,1,13)&lt;0,1,""))&gt;=7,'9 Grid'!$B$6,'9 Grid'!$B$5)))</f>
        <v>Job Target Kosong</v>
      </c>
      <c r="N379" s="146" t="str">
        <f>IFERROR(IF(Data_Assessment[[#This Row],[IPP (3 YEARS AVERAGE)]]="","(IPP Belum Ada)",IF(Data_Assessment[[#This Row],[IPP (3 YEARS AVERAGE)]]&lt;2,'9 Grid'!$F$2,IF(Data_Assessment[[#This Row],[IPP (3 YEARS AVERAGE)]]&gt;=4,'9 Grid'!$D$2,'9 Grid'!$E$2))),"")</f>
        <v>Fully Competence Performance</v>
      </c>
      <c r="O379" s="146" t="str">
        <f ca="1">IFERROR(INDEX('9 Grid'!$D$4:$F$6,MATCH('Rekomendasi HAV'!M379,'9 Grid'!$B$4:$B$6,0),MATCH('Rekomendasi HAV'!N379,'9 Grid'!$D$2:$F$2,0)),"")</f>
        <v/>
      </c>
      <c r="P379" s="147" t="str">
        <f>IFERROR(INDEX('9 Grid'!$D$8:$F$8,1,MATCH('Rekomendasi HAV'!N379,'9 Grid'!$D$2:$F$2,0)),"")</f>
        <v>(ST) Within 12 - 18 month</v>
      </c>
    </row>
    <row r="380" spans="1:16" ht="28.5">
      <c r="A380" s="67">
        <v>379</v>
      </c>
      <c r="B380" s="68" t="str">
        <f>INDEX(Data_Assessment[],MATCH('Rekomendasi HAV'!$A380,Data_Assessment[[INDEX]:[INDEX]],0),MATCH('Rekomendasi HAV'!B$1,Data_Assessment[#Headers],0))</f>
        <v>Diki Prasetyo</v>
      </c>
      <c r="C380" s="68" t="str">
        <f>INDEX(Data_Assessment[],MATCH('Rekomendasi HAV'!$A380,Data_Assessment[[INDEX]:[INDEX]],0),MATCH('Rekomendasi HAV'!C$1,Data_Assessment[#Headers],0))</f>
        <v>Sumatera Selatan</v>
      </c>
      <c r="D380" s="68" t="str">
        <f>INDEX(Data_Assessment[],MATCH('Rekomendasi HAV'!$A380,Data_Assessment[[INDEX]:[INDEX]],0),MATCH('Rekomendasi HAV'!D$1,Data_Assessment[#Headers],0))</f>
        <v>LSIP - Tirta Agung Palm Oil Mill</v>
      </c>
      <c r="E380" s="68">
        <f>INDEX(Data_Assessment[],MATCH('Rekomendasi HAV'!$B380,Data_Assessment[[NAME]:[NAME]],0),MATCH('Rekomendasi HAV'!E$1,Data_Assessment[#Headers],0))</f>
        <v>0</v>
      </c>
      <c r="F380" s="68"/>
      <c r="G380" s="68">
        <f>IF(ISNUMBER(SEARCH("DEV",Assessment[[#This Row],[JOB TARGET]])),SUBSTITUTE(Assessment[[#This Row],[JOB TARGET]],"DEV","EST"),Assessment[[#This Row],[JOB TARGET]])</f>
        <v>0</v>
      </c>
      <c r="H380" s="146" t="str" cm="1">
        <f t="array" aca="1" ref="H380" ca="1">IF(Assessment[[#This Row],[JOB TARGET]]="","Job Target Kosong",IF(COUNT(IF('Data Assessment'!$N380:$Z380-OFFSET(Standar!$B$2,MATCH(Assessment[[#This Row],[JOB TARGET
(EST)]],Standar[NAMA JABATAN],0)-1,1,1,13)&lt;0,1,""))&lt;=3,'9 Grid'!$B$4,IF(COUNT(IF('Data Assessment'!$N380:$Z380-OFFSET(Standar!$B$2,MATCH(Assessment[[#This Row],[JOB TARGET]],Standar[NAMA JABATAN],0)-1,1,1,13)&lt;0,1,""))&gt;=7,'9 Grid'!$B$6,'9 Grid'!$B$5)))</f>
        <v>Job Target Kosong</v>
      </c>
      <c r="I380" s="146" t="str">
        <f>IFERROR(IF(Data_Assessment[[#This Row],[IPP (3 YEARS AVERAGE)]]="","(IPP Belum Ada)",IF(Data_Assessment[[#This Row],[IPP (3 YEARS AVERAGE)]]&lt;2,'9 Grid'!$F$2,IF(Data_Assessment[[#This Row],[IPP (3 YEARS AVERAGE)]]&gt;=4,'9 Grid'!$D$2,'9 Grid'!$E$2))),"")</f>
        <v>Fully Competence Performance</v>
      </c>
      <c r="J380" s="146" t="str">
        <f ca="1">IFERROR(INDEX('9 Grid'!$D$4:$F$6,MATCH('Rekomendasi HAV'!H380,'9 Grid'!$B$4:$B$6,0),MATCH('Rekomendasi HAV'!I380,'9 Grid'!$D$2:$F$2,0)),"")</f>
        <v/>
      </c>
      <c r="K380" s="146" t="str">
        <f>IFERROR(INDEX('9 Grid'!$D$8:$F$8,1,MATCH('Rekomendasi HAV'!I380,'9 Grid'!$D$2:$F$2,0)),"")</f>
        <v>(ST) Within 12 - 18 month</v>
      </c>
      <c r="L380" s="146">
        <f>IF(ISNUMBER(SEARCH("EST",Assessment[[#This Row],[JOB TARGET]])),SUBSTITUTE(Assessment[[#This Row],[JOB TARGET]],"EST","DEV"),Assessment[[#This Row],[JOB TARGET]])</f>
        <v>0</v>
      </c>
      <c r="M380" s="146" t="str" cm="1">
        <f t="array" aca="1" ref="M380" ca="1">IF(Assessment[[#This Row],[JOB TARGET]]="","Job Target Kosong",IF(COUNT(IF('Data Assessment'!$N380:$Z380-OFFSET(Standar!$B$2,MATCH(Assessment[[#This Row],[JOB TARGET
(DEV)]],Standar[NAMA JABATAN],0)-1,1,1,13)&lt;0,1,""))&lt;=3,'9 Grid'!$B$4,IF(COUNT(IF('Data Assessment'!$N380:$Z380-OFFSET(Standar!$B$2,MATCH(Assessment[[#This Row],[JOB TARGET
(DEV)]],Standar[NAMA JABATAN],0)-1,1,1,13)&lt;0,1,""))&gt;=7,'9 Grid'!$B$6,'9 Grid'!$B$5)))</f>
        <v>Job Target Kosong</v>
      </c>
      <c r="N380" s="146" t="str">
        <f>IFERROR(IF(Data_Assessment[[#This Row],[IPP (3 YEARS AVERAGE)]]="","(IPP Belum Ada)",IF(Data_Assessment[[#This Row],[IPP (3 YEARS AVERAGE)]]&lt;2,'9 Grid'!$F$2,IF(Data_Assessment[[#This Row],[IPP (3 YEARS AVERAGE)]]&gt;=4,'9 Grid'!$D$2,'9 Grid'!$E$2))),"")</f>
        <v>Fully Competence Performance</v>
      </c>
      <c r="O380" s="146" t="str">
        <f ca="1">IFERROR(INDEX('9 Grid'!$D$4:$F$6,MATCH('Rekomendasi HAV'!M380,'9 Grid'!$B$4:$B$6,0),MATCH('Rekomendasi HAV'!N380,'9 Grid'!$D$2:$F$2,0)),"")</f>
        <v/>
      </c>
      <c r="P380" s="147" t="str">
        <f>IFERROR(INDEX('9 Grid'!$D$8:$F$8,1,MATCH('Rekomendasi HAV'!N380,'9 Grid'!$D$2:$F$2,0)),"")</f>
        <v>(ST) Within 12 - 18 month</v>
      </c>
    </row>
    <row r="381" spans="1:16" ht="28.5">
      <c r="A381" s="67">
        <v>380</v>
      </c>
      <c r="B381" s="68" t="str">
        <f>INDEX(Data_Assessment[],MATCH('Rekomendasi HAV'!$A381,Data_Assessment[[INDEX]:[INDEX]],0),MATCH('Rekomendasi HAV'!B$1,Data_Assessment[#Headers],0))</f>
        <v>Benny Chandra</v>
      </c>
      <c r="C381" s="68" t="str">
        <f>INDEX(Data_Assessment[],MATCH('Rekomendasi HAV'!$A381,Data_Assessment[[INDEX]:[INDEX]],0),MATCH('Rekomendasi HAV'!C$1,Data_Assessment[#Headers],0))</f>
        <v>Jakarta</v>
      </c>
      <c r="D381" s="68" t="str">
        <f>INDEX(Data_Assessment[],MATCH('Rekomendasi HAV'!$A381,Data_Assessment[[INDEX]:[INDEX]],0),MATCH('Rekomendasi HAV'!D$1,Data_Assessment[#Headers],0))</f>
        <v>LSIP - HO Jakarta</v>
      </c>
      <c r="E381" s="68">
        <f>INDEX(Data_Assessment[],MATCH('Rekomendasi HAV'!$B381,Data_Assessment[[NAME]:[NAME]],0),MATCH('Rekomendasi HAV'!E$1,Data_Assessment[#Headers],0))</f>
        <v>0</v>
      </c>
      <c r="F381" s="68"/>
      <c r="G381" s="68">
        <f>IF(ISNUMBER(SEARCH("DEV",Assessment[[#This Row],[JOB TARGET]])),SUBSTITUTE(Assessment[[#This Row],[JOB TARGET]],"DEV","EST"),Assessment[[#This Row],[JOB TARGET]])</f>
        <v>0</v>
      </c>
      <c r="H381" s="146" t="str" cm="1">
        <f t="array" aca="1" ref="H381" ca="1">IF(Assessment[[#This Row],[JOB TARGET]]="","Job Target Kosong",IF(COUNT(IF('Data Assessment'!$N381:$Z381-OFFSET(Standar!$B$2,MATCH(Assessment[[#This Row],[JOB TARGET
(EST)]],Standar[NAMA JABATAN],0)-1,1,1,13)&lt;0,1,""))&lt;=3,'9 Grid'!$B$4,IF(COUNT(IF('Data Assessment'!$N381:$Z381-OFFSET(Standar!$B$2,MATCH(Assessment[[#This Row],[JOB TARGET]],Standar[NAMA JABATAN],0)-1,1,1,13)&lt;0,1,""))&gt;=7,'9 Grid'!$B$6,'9 Grid'!$B$5)))</f>
        <v>Job Target Kosong</v>
      </c>
      <c r="I381" s="146" t="str">
        <f>IFERROR(IF(Data_Assessment[[#This Row],[IPP (3 YEARS AVERAGE)]]="","(IPP Belum Ada)",IF(Data_Assessment[[#This Row],[IPP (3 YEARS AVERAGE)]]&lt;2,'9 Grid'!$F$2,IF(Data_Assessment[[#This Row],[IPP (3 YEARS AVERAGE)]]&gt;=4,'9 Grid'!$D$2,'9 Grid'!$E$2))),"")</f>
        <v>Fully Competence Performance</v>
      </c>
      <c r="J381" s="146" t="str">
        <f ca="1">IFERROR(INDEX('9 Grid'!$D$4:$F$6,MATCH('Rekomendasi HAV'!H381,'9 Grid'!$B$4:$B$6,0),MATCH('Rekomendasi HAV'!I381,'9 Grid'!$D$2:$F$2,0)),"")</f>
        <v/>
      </c>
      <c r="K381" s="146" t="str">
        <f>IFERROR(INDEX('9 Grid'!$D$8:$F$8,1,MATCH('Rekomendasi HAV'!I381,'9 Grid'!$D$2:$F$2,0)),"")</f>
        <v>(ST) Within 12 - 18 month</v>
      </c>
      <c r="L381" s="146">
        <f>IF(ISNUMBER(SEARCH("EST",Assessment[[#This Row],[JOB TARGET]])),SUBSTITUTE(Assessment[[#This Row],[JOB TARGET]],"EST","DEV"),Assessment[[#This Row],[JOB TARGET]])</f>
        <v>0</v>
      </c>
      <c r="M381" s="146" t="str" cm="1">
        <f t="array" aca="1" ref="M381" ca="1">IF(Assessment[[#This Row],[JOB TARGET]]="","Job Target Kosong",IF(COUNT(IF('Data Assessment'!$N381:$Z381-OFFSET(Standar!$B$2,MATCH(Assessment[[#This Row],[JOB TARGET
(DEV)]],Standar[NAMA JABATAN],0)-1,1,1,13)&lt;0,1,""))&lt;=3,'9 Grid'!$B$4,IF(COUNT(IF('Data Assessment'!$N381:$Z381-OFFSET(Standar!$B$2,MATCH(Assessment[[#This Row],[JOB TARGET
(DEV)]],Standar[NAMA JABATAN],0)-1,1,1,13)&lt;0,1,""))&gt;=7,'9 Grid'!$B$6,'9 Grid'!$B$5)))</f>
        <v>Job Target Kosong</v>
      </c>
      <c r="N381" s="146" t="str">
        <f>IFERROR(IF(Data_Assessment[[#This Row],[IPP (3 YEARS AVERAGE)]]="","(IPP Belum Ada)",IF(Data_Assessment[[#This Row],[IPP (3 YEARS AVERAGE)]]&lt;2,'9 Grid'!$F$2,IF(Data_Assessment[[#This Row],[IPP (3 YEARS AVERAGE)]]&gt;=4,'9 Grid'!$D$2,'9 Grid'!$E$2))),"")</f>
        <v>Fully Competence Performance</v>
      </c>
      <c r="O381" s="146" t="str">
        <f ca="1">IFERROR(INDEX('9 Grid'!$D$4:$F$6,MATCH('Rekomendasi HAV'!M381,'9 Grid'!$B$4:$B$6,0),MATCH('Rekomendasi HAV'!N381,'9 Grid'!$D$2:$F$2,0)),"")</f>
        <v/>
      </c>
      <c r="P381" s="147" t="str">
        <f>IFERROR(INDEX('9 Grid'!$D$8:$F$8,1,MATCH('Rekomendasi HAV'!N381,'9 Grid'!$D$2:$F$2,0)),"")</f>
        <v>(ST) Within 12 - 18 month</v>
      </c>
    </row>
    <row r="382" spans="1:16" ht="28.5">
      <c r="A382" s="67">
        <v>381</v>
      </c>
      <c r="B382" s="68" t="str">
        <f>INDEX(Data_Assessment[],MATCH('Rekomendasi HAV'!$A382,Data_Assessment[[INDEX]:[INDEX]],0),MATCH('Rekomendasi HAV'!B$1,Data_Assessment[#Headers],0))</f>
        <v>Do'a Suryanto Taupik</v>
      </c>
      <c r="C382" s="68" t="str">
        <f>INDEX(Data_Assessment[],MATCH('Rekomendasi HAV'!$A382,Data_Assessment[[INDEX]:[INDEX]],0),MATCH('Rekomendasi HAV'!C$1,Data_Assessment[#Headers],0))</f>
        <v>Sumatera Selatan</v>
      </c>
      <c r="D382" s="68" t="str">
        <f>INDEX(Data_Assessment[],MATCH('Rekomendasi HAV'!$A382,Data_Assessment[[INDEX]:[INDEX]],0),MATCH('Rekomendasi HAV'!D$1,Data_Assessment[#Headers],0))</f>
        <v>TAS - Pring Permai Estate</v>
      </c>
      <c r="E382" s="68">
        <f>INDEX(Data_Assessment[],MATCH('Rekomendasi HAV'!$B382,Data_Assessment[[NAME]:[NAME]],0),MATCH('Rekomendasi HAV'!E$1,Data_Assessment[#Headers],0))</f>
        <v>0</v>
      </c>
      <c r="F382" s="68"/>
      <c r="G382" s="68">
        <f>IF(ISNUMBER(SEARCH("DEV",Assessment[[#This Row],[JOB TARGET]])),SUBSTITUTE(Assessment[[#This Row],[JOB TARGET]],"DEV","EST"),Assessment[[#This Row],[JOB TARGET]])</f>
        <v>0</v>
      </c>
      <c r="H382" s="146" t="str" cm="1">
        <f t="array" aca="1" ref="H382" ca="1">IF(Assessment[[#This Row],[JOB TARGET]]="","Job Target Kosong",IF(COUNT(IF('Data Assessment'!$N382:$Z382-OFFSET(Standar!$B$2,MATCH(Assessment[[#This Row],[JOB TARGET
(EST)]],Standar[NAMA JABATAN],0)-1,1,1,13)&lt;0,1,""))&lt;=3,'9 Grid'!$B$4,IF(COUNT(IF('Data Assessment'!$N382:$Z382-OFFSET(Standar!$B$2,MATCH(Assessment[[#This Row],[JOB TARGET]],Standar[NAMA JABATAN],0)-1,1,1,13)&lt;0,1,""))&gt;=7,'9 Grid'!$B$6,'9 Grid'!$B$5)))</f>
        <v>Job Target Kosong</v>
      </c>
      <c r="I382" s="146" t="str">
        <f>IFERROR(IF(Data_Assessment[[#This Row],[IPP (3 YEARS AVERAGE)]]="","(IPP Belum Ada)",IF(Data_Assessment[[#This Row],[IPP (3 YEARS AVERAGE)]]&lt;2,'9 Grid'!$F$2,IF(Data_Assessment[[#This Row],[IPP (3 YEARS AVERAGE)]]&gt;=4,'9 Grid'!$D$2,'9 Grid'!$E$2))),"")</f>
        <v>Fully Competence Performance</v>
      </c>
      <c r="J382" s="146" t="str">
        <f ca="1">IFERROR(INDEX('9 Grid'!$D$4:$F$6,MATCH('Rekomendasi HAV'!H382,'9 Grid'!$B$4:$B$6,0),MATCH('Rekomendasi HAV'!I382,'9 Grid'!$D$2:$F$2,0)),"")</f>
        <v/>
      </c>
      <c r="K382" s="146" t="str">
        <f>IFERROR(INDEX('9 Grid'!$D$8:$F$8,1,MATCH('Rekomendasi HAV'!I382,'9 Grid'!$D$2:$F$2,0)),"")</f>
        <v>(ST) Within 12 - 18 month</v>
      </c>
      <c r="L382" s="146">
        <f>IF(ISNUMBER(SEARCH("EST",Assessment[[#This Row],[JOB TARGET]])),SUBSTITUTE(Assessment[[#This Row],[JOB TARGET]],"EST","DEV"),Assessment[[#This Row],[JOB TARGET]])</f>
        <v>0</v>
      </c>
      <c r="M382" s="146" t="str" cm="1">
        <f t="array" aca="1" ref="M382" ca="1">IF(Assessment[[#This Row],[JOB TARGET]]="","Job Target Kosong",IF(COUNT(IF('Data Assessment'!$N382:$Z382-OFFSET(Standar!$B$2,MATCH(Assessment[[#This Row],[JOB TARGET
(DEV)]],Standar[NAMA JABATAN],0)-1,1,1,13)&lt;0,1,""))&lt;=3,'9 Grid'!$B$4,IF(COUNT(IF('Data Assessment'!$N382:$Z382-OFFSET(Standar!$B$2,MATCH(Assessment[[#This Row],[JOB TARGET
(DEV)]],Standar[NAMA JABATAN],0)-1,1,1,13)&lt;0,1,""))&gt;=7,'9 Grid'!$B$6,'9 Grid'!$B$5)))</f>
        <v>Job Target Kosong</v>
      </c>
      <c r="N382" s="146" t="str">
        <f>IFERROR(IF(Data_Assessment[[#This Row],[IPP (3 YEARS AVERAGE)]]="","(IPP Belum Ada)",IF(Data_Assessment[[#This Row],[IPP (3 YEARS AVERAGE)]]&lt;2,'9 Grid'!$F$2,IF(Data_Assessment[[#This Row],[IPP (3 YEARS AVERAGE)]]&gt;=4,'9 Grid'!$D$2,'9 Grid'!$E$2))),"")</f>
        <v>Fully Competence Performance</v>
      </c>
      <c r="O382" s="146" t="str">
        <f ca="1">IFERROR(INDEX('9 Grid'!$D$4:$F$6,MATCH('Rekomendasi HAV'!M382,'9 Grid'!$B$4:$B$6,0),MATCH('Rekomendasi HAV'!N382,'9 Grid'!$D$2:$F$2,0)),"")</f>
        <v/>
      </c>
      <c r="P382" s="147" t="str">
        <f>IFERROR(INDEX('9 Grid'!$D$8:$F$8,1,MATCH('Rekomendasi HAV'!N382,'9 Grid'!$D$2:$F$2,0)),"")</f>
        <v>(ST) Within 12 - 18 month</v>
      </c>
    </row>
    <row r="383" spans="1:16" ht="28.5">
      <c r="A383" s="67">
        <v>382</v>
      </c>
      <c r="B383" s="68" t="str">
        <f>INDEX(Data_Assessment[],MATCH('Rekomendasi HAV'!$A383,Data_Assessment[[INDEX]:[INDEX]],0),MATCH('Rekomendasi HAV'!B$1,Data_Assessment[#Headers],0))</f>
        <v>Danilast</v>
      </c>
      <c r="C383" s="68" t="str">
        <f>INDEX(Data_Assessment[],MATCH('Rekomendasi HAV'!$A383,Data_Assessment[[INDEX]:[INDEX]],0),MATCH('Rekomendasi HAV'!C$1,Data_Assessment[#Headers],0))</f>
        <v>Jakarta</v>
      </c>
      <c r="D383" s="68" t="str">
        <f>INDEX(Data_Assessment[],MATCH('Rekomendasi HAV'!$A383,Data_Assessment[[INDEX]:[INDEX]],0),MATCH('Rekomendasi HAV'!D$1,Data_Assessment[#Headers],0))</f>
        <v>LSIP - HO Jakarta</v>
      </c>
      <c r="E383" s="68">
        <f>INDEX(Data_Assessment[],MATCH('Rekomendasi HAV'!$B383,Data_Assessment[[NAME]:[NAME]],0),MATCH('Rekomendasi HAV'!E$1,Data_Assessment[#Headers],0))</f>
        <v>0</v>
      </c>
      <c r="F383" s="68"/>
      <c r="G383" s="68">
        <f>IF(ISNUMBER(SEARCH("DEV",Assessment[[#This Row],[JOB TARGET]])),SUBSTITUTE(Assessment[[#This Row],[JOB TARGET]],"DEV","EST"),Assessment[[#This Row],[JOB TARGET]])</f>
        <v>0</v>
      </c>
      <c r="H383" s="146" t="str" cm="1">
        <f t="array" aca="1" ref="H383" ca="1">IF(Assessment[[#This Row],[JOB TARGET]]="","Job Target Kosong",IF(COUNT(IF('Data Assessment'!$N383:$Z383-OFFSET(Standar!$B$2,MATCH(Assessment[[#This Row],[JOB TARGET
(EST)]],Standar[NAMA JABATAN],0)-1,1,1,13)&lt;0,1,""))&lt;=3,'9 Grid'!$B$4,IF(COUNT(IF('Data Assessment'!$N383:$Z383-OFFSET(Standar!$B$2,MATCH(Assessment[[#This Row],[JOB TARGET]],Standar[NAMA JABATAN],0)-1,1,1,13)&lt;0,1,""))&gt;=7,'9 Grid'!$B$6,'9 Grid'!$B$5)))</f>
        <v>Job Target Kosong</v>
      </c>
      <c r="I383" s="146" t="str">
        <f>IFERROR(IF(Data_Assessment[[#This Row],[IPP (3 YEARS AVERAGE)]]="","(IPP Belum Ada)",IF(Data_Assessment[[#This Row],[IPP (3 YEARS AVERAGE)]]&lt;2,'9 Grid'!$F$2,IF(Data_Assessment[[#This Row],[IPP (3 YEARS AVERAGE)]]&gt;=4,'9 Grid'!$D$2,'9 Grid'!$E$2))),"")</f>
        <v>Fully Competence Performance</v>
      </c>
      <c r="J383" s="146" t="str">
        <f ca="1">IFERROR(INDEX('9 Grid'!$D$4:$F$6,MATCH('Rekomendasi HAV'!H383,'9 Grid'!$B$4:$B$6,0),MATCH('Rekomendasi HAV'!I383,'9 Grid'!$D$2:$F$2,0)),"")</f>
        <v/>
      </c>
      <c r="K383" s="146" t="str">
        <f>IFERROR(INDEX('9 Grid'!$D$8:$F$8,1,MATCH('Rekomendasi HAV'!I383,'9 Grid'!$D$2:$F$2,0)),"")</f>
        <v>(ST) Within 12 - 18 month</v>
      </c>
      <c r="L383" s="146">
        <f>IF(ISNUMBER(SEARCH("EST",Assessment[[#This Row],[JOB TARGET]])),SUBSTITUTE(Assessment[[#This Row],[JOB TARGET]],"EST","DEV"),Assessment[[#This Row],[JOB TARGET]])</f>
        <v>0</v>
      </c>
      <c r="M383" s="146" t="str" cm="1">
        <f t="array" aca="1" ref="M383" ca="1">IF(Assessment[[#This Row],[JOB TARGET]]="","Job Target Kosong",IF(COUNT(IF('Data Assessment'!$N383:$Z383-OFFSET(Standar!$B$2,MATCH(Assessment[[#This Row],[JOB TARGET
(DEV)]],Standar[NAMA JABATAN],0)-1,1,1,13)&lt;0,1,""))&lt;=3,'9 Grid'!$B$4,IF(COUNT(IF('Data Assessment'!$N383:$Z383-OFFSET(Standar!$B$2,MATCH(Assessment[[#This Row],[JOB TARGET
(DEV)]],Standar[NAMA JABATAN],0)-1,1,1,13)&lt;0,1,""))&gt;=7,'9 Grid'!$B$6,'9 Grid'!$B$5)))</f>
        <v>Job Target Kosong</v>
      </c>
      <c r="N383" s="146" t="str">
        <f>IFERROR(IF(Data_Assessment[[#This Row],[IPP (3 YEARS AVERAGE)]]="","(IPP Belum Ada)",IF(Data_Assessment[[#This Row],[IPP (3 YEARS AVERAGE)]]&lt;2,'9 Grid'!$F$2,IF(Data_Assessment[[#This Row],[IPP (3 YEARS AVERAGE)]]&gt;=4,'9 Grid'!$D$2,'9 Grid'!$E$2))),"")</f>
        <v>Fully Competence Performance</v>
      </c>
      <c r="O383" s="146" t="str">
        <f ca="1">IFERROR(INDEX('9 Grid'!$D$4:$F$6,MATCH('Rekomendasi HAV'!M383,'9 Grid'!$B$4:$B$6,0),MATCH('Rekomendasi HAV'!N383,'9 Grid'!$D$2:$F$2,0)),"")</f>
        <v/>
      </c>
      <c r="P383" s="147" t="str">
        <f>IFERROR(INDEX('9 Grid'!$D$8:$F$8,1,MATCH('Rekomendasi HAV'!N383,'9 Grid'!$D$2:$F$2,0)),"")</f>
        <v>(ST) Within 12 - 18 month</v>
      </c>
    </row>
    <row r="384" spans="1:16" ht="28.5">
      <c r="A384" s="67">
        <v>383</v>
      </c>
      <c r="B384" s="68" t="str">
        <f>INDEX(Data_Assessment[],MATCH('Rekomendasi HAV'!$A384,Data_Assessment[[INDEX]:[INDEX]],0),MATCH('Rekomendasi HAV'!B$1,Data_Assessment[#Headers],0))</f>
        <v>Muhammad Ikhsan Maulana Lubis</v>
      </c>
      <c r="C384" s="68" t="str">
        <f>INDEX(Data_Assessment[],MATCH('Rekomendasi HAV'!$A384,Data_Assessment[[INDEX]:[INDEX]],0),MATCH('Rekomendasi HAV'!C$1,Data_Assessment[#Headers],0))</f>
        <v>Sumatera Selatan</v>
      </c>
      <c r="D384" s="68" t="str">
        <f>INDEX(Data_Assessment[],MATCH('Rekomendasi HAV'!$A384,Data_Assessment[[INDEX]:[INDEX]],0),MATCH('Rekomendasi HAV'!D$1,Data_Assessment[#Headers],0))</f>
        <v>LSIP - Ketapat Bening Estate</v>
      </c>
      <c r="E384" s="68">
        <f>INDEX(Data_Assessment[],MATCH('Rekomendasi HAV'!$B384,Data_Assessment[[NAME]:[NAME]],0),MATCH('Rekomendasi HAV'!E$1,Data_Assessment[#Headers],0))</f>
        <v>0</v>
      </c>
      <c r="F384" s="68"/>
      <c r="G384" s="68">
        <f>IF(ISNUMBER(SEARCH("DEV",Assessment[[#This Row],[JOB TARGET]])),SUBSTITUTE(Assessment[[#This Row],[JOB TARGET]],"DEV","EST"),Assessment[[#This Row],[JOB TARGET]])</f>
        <v>0</v>
      </c>
      <c r="H384" s="146" t="str" cm="1">
        <f t="array" aca="1" ref="H384" ca="1">IF(Assessment[[#This Row],[JOB TARGET]]="","Job Target Kosong",IF(COUNT(IF('Data Assessment'!$N384:$Z384-OFFSET(Standar!$B$2,MATCH(Assessment[[#This Row],[JOB TARGET
(EST)]],Standar[NAMA JABATAN],0)-1,1,1,13)&lt;0,1,""))&lt;=3,'9 Grid'!$B$4,IF(COUNT(IF('Data Assessment'!$N384:$Z384-OFFSET(Standar!$B$2,MATCH(Assessment[[#This Row],[JOB TARGET]],Standar[NAMA JABATAN],0)-1,1,1,13)&lt;0,1,""))&gt;=7,'9 Grid'!$B$6,'9 Grid'!$B$5)))</f>
        <v>Job Target Kosong</v>
      </c>
      <c r="I384" s="146" t="str">
        <f>IFERROR(IF(Data_Assessment[[#This Row],[IPP (3 YEARS AVERAGE)]]="","(IPP Belum Ada)",IF(Data_Assessment[[#This Row],[IPP (3 YEARS AVERAGE)]]&lt;2,'9 Grid'!$F$2,IF(Data_Assessment[[#This Row],[IPP (3 YEARS AVERAGE)]]&gt;=4,'9 Grid'!$D$2,'9 Grid'!$E$2))),"")</f>
        <v>Fully Competence Performance</v>
      </c>
      <c r="J384" s="146" t="str">
        <f ca="1">IFERROR(INDEX('9 Grid'!$D$4:$F$6,MATCH('Rekomendasi HAV'!H384,'9 Grid'!$B$4:$B$6,0),MATCH('Rekomendasi HAV'!I384,'9 Grid'!$D$2:$F$2,0)),"")</f>
        <v/>
      </c>
      <c r="K384" s="146" t="str">
        <f>IFERROR(INDEX('9 Grid'!$D$8:$F$8,1,MATCH('Rekomendasi HAV'!I384,'9 Grid'!$D$2:$F$2,0)),"")</f>
        <v>(ST) Within 12 - 18 month</v>
      </c>
      <c r="L384" s="146">
        <f>IF(ISNUMBER(SEARCH("EST",Assessment[[#This Row],[JOB TARGET]])),SUBSTITUTE(Assessment[[#This Row],[JOB TARGET]],"EST","DEV"),Assessment[[#This Row],[JOB TARGET]])</f>
        <v>0</v>
      </c>
      <c r="M384" s="146" t="str" cm="1">
        <f t="array" aca="1" ref="M384" ca="1">IF(Assessment[[#This Row],[JOB TARGET]]="","Job Target Kosong",IF(COUNT(IF('Data Assessment'!$N384:$Z384-OFFSET(Standar!$B$2,MATCH(Assessment[[#This Row],[JOB TARGET
(DEV)]],Standar[NAMA JABATAN],0)-1,1,1,13)&lt;0,1,""))&lt;=3,'9 Grid'!$B$4,IF(COUNT(IF('Data Assessment'!$N384:$Z384-OFFSET(Standar!$B$2,MATCH(Assessment[[#This Row],[JOB TARGET
(DEV)]],Standar[NAMA JABATAN],0)-1,1,1,13)&lt;0,1,""))&gt;=7,'9 Grid'!$B$6,'9 Grid'!$B$5)))</f>
        <v>Job Target Kosong</v>
      </c>
      <c r="N384" s="146" t="str">
        <f>IFERROR(IF(Data_Assessment[[#This Row],[IPP (3 YEARS AVERAGE)]]="","(IPP Belum Ada)",IF(Data_Assessment[[#This Row],[IPP (3 YEARS AVERAGE)]]&lt;2,'9 Grid'!$F$2,IF(Data_Assessment[[#This Row],[IPP (3 YEARS AVERAGE)]]&gt;=4,'9 Grid'!$D$2,'9 Grid'!$E$2))),"")</f>
        <v>Fully Competence Performance</v>
      </c>
      <c r="O384" s="146" t="str">
        <f ca="1">IFERROR(INDEX('9 Grid'!$D$4:$F$6,MATCH('Rekomendasi HAV'!M384,'9 Grid'!$B$4:$B$6,0),MATCH('Rekomendasi HAV'!N384,'9 Grid'!$D$2:$F$2,0)),"")</f>
        <v/>
      </c>
      <c r="P384" s="147" t="str">
        <f>IFERROR(INDEX('9 Grid'!$D$8:$F$8,1,MATCH('Rekomendasi HAV'!N384,'9 Grid'!$D$2:$F$2,0)),"")</f>
        <v>(ST) Within 12 - 18 month</v>
      </c>
    </row>
    <row r="385" spans="1:16" ht="28.5">
      <c r="A385" s="67">
        <v>384</v>
      </c>
      <c r="B385" s="68" t="str">
        <f>INDEX(Data_Assessment[],MATCH('Rekomendasi HAV'!$A385,Data_Assessment[[INDEX]:[INDEX]],0),MATCH('Rekomendasi HAV'!B$1,Data_Assessment[#Headers],0))</f>
        <v>Soni Saputra, Spi</v>
      </c>
      <c r="C385" s="68" t="str">
        <f>INDEX(Data_Assessment[],MATCH('Rekomendasi HAV'!$A385,Data_Assessment[[INDEX]:[INDEX]],0),MATCH('Rekomendasi HAV'!C$1,Data_Assessment[#Headers],0))</f>
        <v>Jakarta</v>
      </c>
      <c r="D385" s="68" t="str">
        <f>INDEX(Data_Assessment[],MATCH('Rekomendasi HAV'!$A385,Data_Assessment[[INDEX]:[INDEX]],0),MATCH('Rekomendasi HAV'!D$1,Data_Assessment[#Headers],0))</f>
        <v>LSIP - HO Jakarta</v>
      </c>
      <c r="E385" s="68">
        <f>INDEX(Data_Assessment[],MATCH('Rekomendasi HAV'!$B385,Data_Assessment[[NAME]:[NAME]],0),MATCH('Rekomendasi HAV'!E$1,Data_Assessment[#Headers],0))</f>
        <v>0</v>
      </c>
      <c r="F385" s="68"/>
      <c r="G385" s="68">
        <f>IF(ISNUMBER(SEARCH("DEV",Assessment[[#This Row],[JOB TARGET]])),SUBSTITUTE(Assessment[[#This Row],[JOB TARGET]],"DEV","EST"),Assessment[[#This Row],[JOB TARGET]])</f>
        <v>0</v>
      </c>
      <c r="H385" s="146" t="str" cm="1">
        <f t="array" aca="1" ref="H385" ca="1">IF(Assessment[[#This Row],[JOB TARGET]]="","Job Target Kosong",IF(COUNT(IF('Data Assessment'!$N385:$Z385-OFFSET(Standar!$B$2,MATCH(Assessment[[#This Row],[JOB TARGET
(EST)]],Standar[NAMA JABATAN],0)-1,1,1,13)&lt;0,1,""))&lt;=3,'9 Grid'!$B$4,IF(COUNT(IF('Data Assessment'!$N385:$Z385-OFFSET(Standar!$B$2,MATCH(Assessment[[#This Row],[JOB TARGET]],Standar[NAMA JABATAN],0)-1,1,1,13)&lt;0,1,""))&gt;=7,'9 Grid'!$B$6,'9 Grid'!$B$5)))</f>
        <v>Job Target Kosong</v>
      </c>
      <c r="I385" s="146" t="str">
        <f>IFERROR(IF(Data_Assessment[[#This Row],[IPP (3 YEARS AVERAGE)]]="","(IPP Belum Ada)",IF(Data_Assessment[[#This Row],[IPP (3 YEARS AVERAGE)]]&lt;2,'9 Grid'!$F$2,IF(Data_Assessment[[#This Row],[IPP (3 YEARS AVERAGE)]]&gt;=4,'9 Grid'!$D$2,'9 Grid'!$E$2))),"")</f>
        <v>Fully Competence Performance</v>
      </c>
      <c r="J385" s="146" t="str">
        <f ca="1">IFERROR(INDEX('9 Grid'!$D$4:$F$6,MATCH('Rekomendasi HAV'!H385,'9 Grid'!$B$4:$B$6,0),MATCH('Rekomendasi HAV'!I385,'9 Grid'!$D$2:$F$2,0)),"")</f>
        <v/>
      </c>
      <c r="K385" s="146" t="str">
        <f>IFERROR(INDEX('9 Grid'!$D$8:$F$8,1,MATCH('Rekomendasi HAV'!I385,'9 Grid'!$D$2:$F$2,0)),"")</f>
        <v>(ST) Within 12 - 18 month</v>
      </c>
      <c r="L385" s="146">
        <f>IF(ISNUMBER(SEARCH("EST",Assessment[[#This Row],[JOB TARGET]])),SUBSTITUTE(Assessment[[#This Row],[JOB TARGET]],"EST","DEV"),Assessment[[#This Row],[JOB TARGET]])</f>
        <v>0</v>
      </c>
      <c r="M385" s="146" t="str" cm="1">
        <f t="array" aca="1" ref="M385" ca="1">IF(Assessment[[#This Row],[JOB TARGET]]="","Job Target Kosong",IF(COUNT(IF('Data Assessment'!$N385:$Z385-OFFSET(Standar!$B$2,MATCH(Assessment[[#This Row],[JOB TARGET
(DEV)]],Standar[NAMA JABATAN],0)-1,1,1,13)&lt;0,1,""))&lt;=3,'9 Grid'!$B$4,IF(COUNT(IF('Data Assessment'!$N385:$Z385-OFFSET(Standar!$B$2,MATCH(Assessment[[#This Row],[JOB TARGET
(DEV)]],Standar[NAMA JABATAN],0)-1,1,1,13)&lt;0,1,""))&gt;=7,'9 Grid'!$B$6,'9 Grid'!$B$5)))</f>
        <v>Job Target Kosong</v>
      </c>
      <c r="N385" s="146" t="str">
        <f>IFERROR(IF(Data_Assessment[[#This Row],[IPP (3 YEARS AVERAGE)]]="","(IPP Belum Ada)",IF(Data_Assessment[[#This Row],[IPP (3 YEARS AVERAGE)]]&lt;2,'9 Grid'!$F$2,IF(Data_Assessment[[#This Row],[IPP (3 YEARS AVERAGE)]]&gt;=4,'9 Grid'!$D$2,'9 Grid'!$E$2))),"")</f>
        <v>Fully Competence Performance</v>
      </c>
      <c r="O385" s="146" t="str">
        <f ca="1">IFERROR(INDEX('9 Grid'!$D$4:$F$6,MATCH('Rekomendasi HAV'!M385,'9 Grid'!$B$4:$B$6,0),MATCH('Rekomendasi HAV'!N385,'9 Grid'!$D$2:$F$2,0)),"")</f>
        <v/>
      </c>
      <c r="P385" s="147" t="str">
        <f>IFERROR(INDEX('9 Grid'!$D$8:$F$8,1,MATCH('Rekomendasi HAV'!N385,'9 Grid'!$D$2:$F$2,0)),"")</f>
        <v>(ST) Within 12 - 18 month</v>
      </c>
    </row>
    <row r="386" spans="1:16" ht="28.5">
      <c r="A386" s="67">
        <v>385</v>
      </c>
      <c r="B386" s="68" t="str">
        <f>INDEX(Data_Assessment[],MATCH('Rekomendasi HAV'!$A386,Data_Assessment[[INDEX]:[INDEX]],0),MATCH('Rekomendasi HAV'!B$1,Data_Assessment[#Headers],0))</f>
        <v>Benrus Hollom Saragih</v>
      </c>
      <c r="C386" s="68" t="str">
        <f>INDEX(Data_Assessment[],MATCH('Rekomendasi HAV'!$A386,Data_Assessment[[INDEX]:[INDEX]],0),MATCH('Rekomendasi HAV'!C$1,Data_Assessment[#Headers],0))</f>
        <v>Sumatera Selatan</v>
      </c>
      <c r="D386" s="68" t="str">
        <f>INDEX(Data_Assessment[],MATCH('Rekomendasi HAV'!$A386,Data_Assessment[[INDEX]:[INDEX]],0),MATCH('Rekomendasi HAV'!D$1,Data_Assessment[#Headers],0))</f>
        <v>LSIP - Kubu Pakaran Estate</v>
      </c>
      <c r="E386" s="68">
        <f>INDEX(Data_Assessment[],MATCH('Rekomendasi HAV'!$B386,Data_Assessment[[NAME]:[NAME]],0),MATCH('Rekomendasi HAV'!E$1,Data_Assessment[#Headers],0))</f>
        <v>0</v>
      </c>
      <c r="F386" s="68"/>
      <c r="G386" s="68">
        <f>IF(ISNUMBER(SEARCH("DEV",Assessment[[#This Row],[JOB TARGET]])),SUBSTITUTE(Assessment[[#This Row],[JOB TARGET]],"DEV","EST"),Assessment[[#This Row],[JOB TARGET]])</f>
        <v>0</v>
      </c>
      <c r="H386" s="146" t="str" cm="1">
        <f t="array" aca="1" ref="H386" ca="1">IF(Assessment[[#This Row],[JOB TARGET]]="","Job Target Kosong",IF(COUNT(IF('Data Assessment'!$N386:$Z386-OFFSET(Standar!$B$2,MATCH(Assessment[[#This Row],[JOB TARGET
(EST)]],Standar[NAMA JABATAN],0)-1,1,1,13)&lt;0,1,""))&lt;=3,'9 Grid'!$B$4,IF(COUNT(IF('Data Assessment'!$N386:$Z386-OFFSET(Standar!$B$2,MATCH(Assessment[[#This Row],[JOB TARGET]],Standar[NAMA JABATAN],0)-1,1,1,13)&lt;0,1,""))&gt;=7,'9 Grid'!$B$6,'9 Grid'!$B$5)))</f>
        <v>Job Target Kosong</v>
      </c>
      <c r="I386" s="146" t="str">
        <f>IFERROR(IF(Data_Assessment[[#This Row],[IPP (3 YEARS AVERAGE)]]="","(IPP Belum Ada)",IF(Data_Assessment[[#This Row],[IPP (3 YEARS AVERAGE)]]&lt;2,'9 Grid'!$F$2,IF(Data_Assessment[[#This Row],[IPP (3 YEARS AVERAGE)]]&gt;=4,'9 Grid'!$D$2,'9 Grid'!$E$2))),"")</f>
        <v>Fully Competence Performance</v>
      </c>
      <c r="J386" s="146" t="str">
        <f ca="1">IFERROR(INDEX('9 Grid'!$D$4:$F$6,MATCH('Rekomendasi HAV'!H386,'9 Grid'!$B$4:$B$6,0),MATCH('Rekomendasi HAV'!I386,'9 Grid'!$D$2:$F$2,0)),"")</f>
        <v/>
      </c>
      <c r="K386" s="146" t="str">
        <f>IFERROR(INDEX('9 Grid'!$D$8:$F$8,1,MATCH('Rekomendasi HAV'!I386,'9 Grid'!$D$2:$F$2,0)),"")</f>
        <v>(ST) Within 12 - 18 month</v>
      </c>
      <c r="L386" s="146">
        <f>IF(ISNUMBER(SEARCH("EST",Assessment[[#This Row],[JOB TARGET]])),SUBSTITUTE(Assessment[[#This Row],[JOB TARGET]],"EST","DEV"),Assessment[[#This Row],[JOB TARGET]])</f>
        <v>0</v>
      </c>
      <c r="M386" s="146" t="str" cm="1">
        <f t="array" aca="1" ref="M386" ca="1">IF(Assessment[[#This Row],[JOB TARGET]]="","Job Target Kosong",IF(COUNT(IF('Data Assessment'!$N386:$Z386-OFFSET(Standar!$B$2,MATCH(Assessment[[#This Row],[JOB TARGET
(DEV)]],Standar[NAMA JABATAN],0)-1,1,1,13)&lt;0,1,""))&lt;=3,'9 Grid'!$B$4,IF(COUNT(IF('Data Assessment'!$N386:$Z386-OFFSET(Standar!$B$2,MATCH(Assessment[[#This Row],[JOB TARGET
(DEV)]],Standar[NAMA JABATAN],0)-1,1,1,13)&lt;0,1,""))&gt;=7,'9 Grid'!$B$6,'9 Grid'!$B$5)))</f>
        <v>Job Target Kosong</v>
      </c>
      <c r="N386" s="146" t="str">
        <f>IFERROR(IF(Data_Assessment[[#This Row],[IPP (3 YEARS AVERAGE)]]="","(IPP Belum Ada)",IF(Data_Assessment[[#This Row],[IPP (3 YEARS AVERAGE)]]&lt;2,'9 Grid'!$F$2,IF(Data_Assessment[[#This Row],[IPP (3 YEARS AVERAGE)]]&gt;=4,'9 Grid'!$D$2,'9 Grid'!$E$2))),"")</f>
        <v>Fully Competence Performance</v>
      </c>
      <c r="O386" s="146" t="str">
        <f ca="1">IFERROR(INDEX('9 Grid'!$D$4:$F$6,MATCH('Rekomendasi HAV'!M386,'9 Grid'!$B$4:$B$6,0),MATCH('Rekomendasi HAV'!N386,'9 Grid'!$D$2:$F$2,0)),"")</f>
        <v/>
      </c>
      <c r="P386" s="147" t="str">
        <f>IFERROR(INDEX('9 Grid'!$D$8:$F$8,1,MATCH('Rekomendasi HAV'!N386,'9 Grid'!$D$2:$F$2,0)),"")</f>
        <v>(ST) Within 12 - 18 month</v>
      </c>
    </row>
    <row r="387" spans="1:16" ht="28.5">
      <c r="A387" s="67">
        <v>386</v>
      </c>
      <c r="B387" s="68" t="str">
        <f>INDEX(Data_Assessment[],MATCH('Rekomendasi HAV'!$A387,Data_Assessment[[INDEX]:[INDEX]],0),MATCH('Rekomendasi HAV'!B$1,Data_Assessment[#Headers],0))</f>
        <v>Yuliana</v>
      </c>
      <c r="C387" s="68" t="str">
        <f>INDEX(Data_Assessment[],MATCH('Rekomendasi HAV'!$A387,Data_Assessment[[INDEX]:[INDEX]],0),MATCH('Rekomendasi HAV'!C$1,Data_Assessment[#Headers],0))</f>
        <v>Jakarta</v>
      </c>
      <c r="D387" s="68" t="str">
        <f>INDEX(Data_Assessment[],MATCH('Rekomendasi HAV'!$A387,Data_Assessment[[INDEX]:[INDEX]],0),MATCH('Rekomendasi HAV'!D$1,Data_Assessment[#Headers],0))</f>
        <v>LSIP - HO Jakarta</v>
      </c>
      <c r="E387" s="68">
        <f>INDEX(Data_Assessment[],MATCH('Rekomendasi HAV'!$B387,Data_Assessment[[NAME]:[NAME]],0),MATCH('Rekomendasi HAV'!E$1,Data_Assessment[#Headers],0))</f>
        <v>0</v>
      </c>
      <c r="F387" s="68"/>
      <c r="G387" s="68">
        <f>IF(ISNUMBER(SEARCH("DEV",Assessment[[#This Row],[JOB TARGET]])),SUBSTITUTE(Assessment[[#This Row],[JOB TARGET]],"DEV","EST"),Assessment[[#This Row],[JOB TARGET]])</f>
        <v>0</v>
      </c>
      <c r="H387" s="146" t="str" cm="1">
        <f t="array" aca="1" ref="H387" ca="1">IF(Assessment[[#This Row],[JOB TARGET]]="","Job Target Kosong",IF(COUNT(IF('Data Assessment'!$N387:$Z387-OFFSET(Standar!$B$2,MATCH(Assessment[[#This Row],[JOB TARGET
(EST)]],Standar[NAMA JABATAN],0)-1,1,1,13)&lt;0,1,""))&lt;=3,'9 Grid'!$B$4,IF(COUNT(IF('Data Assessment'!$N387:$Z387-OFFSET(Standar!$B$2,MATCH(Assessment[[#This Row],[JOB TARGET]],Standar[NAMA JABATAN],0)-1,1,1,13)&lt;0,1,""))&gt;=7,'9 Grid'!$B$6,'9 Grid'!$B$5)))</f>
        <v>Job Target Kosong</v>
      </c>
      <c r="I387" s="146" t="str">
        <f>IFERROR(IF(Data_Assessment[[#This Row],[IPP (3 YEARS AVERAGE)]]="","(IPP Belum Ada)",IF(Data_Assessment[[#This Row],[IPP (3 YEARS AVERAGE)]]&lt;2,'9 Grid'!$F$2,IF(Data_Assessment[[#This Row],[IPP (3 YEARS AVERAGE)]]&gt;=4,'9 Grid'!$D$2,'9 Grid'!$E$2))),"")</f>
        <v>Fully Competence Performance</v>
      </c>
      <c r="J387" s="146" t="str">
        <f ca="1">IFERROR(INDEX('9 Grid'!$D$4:$F$6,MATCH('Rekomendasi HAV'!H387,'9 Grid'!$B$4:$B$6,0),MATCH('Rekomendasi HAV'!I387,'9 Grid'!$D$2:$F$2,0)),"")</f>
        <v/>
      </c>
      <c r="K387" s="146" t="str">
        <f>IFERROR(INDEX('9 Grid'!$D$8:$F$8,1,MATCH('Rekomendasi HAV'!I387,'9 Grid'!$D$2:$F$2,0)),"")</f>
        <v>(ST) Within 12 - 18 month</v>
      </c>
      <c r="L387" s="146">
        <f>IF(ISNUMBER(SEARCH("EST",Assessment[[#This Row],[JOB TARGET]])),SUBSTITUTE(Assessment[[#This Row],[JOB TARGET]],"EST","DEV"),Assessment[[#This Row],[JOB TARGET]])</f>
        <v>0</v>
      </c>
      <c r="M387" s="146" t="str" cm="1">
        <f t="array" aca="1" ref="M387" ca="1">IF(Assessment[[#This Row],[JOB TARGET]]="","Job Target Kosong",IF(COUNT(IF('Data Assessment'!$N387:$Z387-OFFSET(Standar!$B$2,MATCH(Assessment[[#This Row],[JOB TARGET
(DEV)]],Standar[NAMA JABATAN],0)-1,1,1,13)&lt;0,1,""))&lt;=3,'9 Grid'!$B$4,IF(COUNT(IF('Data Assessment'!$N387:$Z387-OFFSET(Standar!$B$2,MATCH(Assessment[[#This Row],[JOB TARGET
(DEV)]],Standar[NAMA JABATAN],0)-1,1,1,13)&lt;0,1,""))&gt;=7,'9 Grid'!$B$6,'9 Grid'!$B$5)))</f>
        <v>Job Target Kosong</v>
      </c>
      <c r="N387" s="146" t="str">
        <f>IFERROR(IF(Data_Assessment[[#This Row],[IPP (3 YEARS AVERAGE)]]="","(IPP Belum Ada)",IF(Data_Assessment[[#This Row],[IPP (3 YEARS AVERAGE)]]&lt;2,'9 Grid'!$F$2,IF(Data_Assessment[[#This Row],[IPP (3 YEARS AVERAGE)]]&gt;=4,'9 Grid'!$D$2,'9 Grid'!$E$2))),"")</f>
        <v>Fully Competence Performance</v>
      </c>
      <c r="O387" s="146" t="str">
        <f ca="1">IFERROR(INDEX('9 Grid'!$D$4:$F$6,MATCH('Rekomendasi HAV'!M387,'9 Grid'!$B$4:$B$6,0),MATCH('Rekomendasi HAV'!N387,'9 Grid'!$D$2:$F$2,0)),"")</f>
        <v/>
      </c>
      <c r="P387" s="147" t="str">
        <f>IFERROR(INDEX('9 Grid'!$D$8:$F$8,1,MATCH('Rekomendasi HAV'!N387,'9 Grid'!$D$2:$F$2,0)),"")</f>
        <v>(ST) Within 12 - 18 month</v>
      </c>
    </row>
    <row r="388" spans="1:16" ht="28.5">
      <c r="A388" s="67">
        <v>387</v>
      </c>
      <c r="B388" s="68" t="str">
        <f>INDEX(Data_Assessment[],MATCH('Rekomendasi HAV'!$A388,Data_Assessment[[INDEX]:[INDEX]],0),MATCH('Rekomendasi HAV'!B$1,Data_Assessment[#Headers],0))</f>
        <v>Syndu Dwiki Arisandi</v>
      </c>
      <c r="C388" s="68" t="str">
        <f>INDEX(Data_Assessment[],MATCH('Rekomendasi HAV'!$A388,Data_Assessment[[INDEX]:[INDEX]],0),MATCH('Rekomendasi HAV'!C$1,Data_Assessment[#Headers],0))</f>
        <v>Sumatera Selatan</v>
      </c>
      <c r="D388" s="68" t="str">
        <f>INDEX(Data_Assessment[],MATCH('Rekomendasi HAV'!$A388,Data_Assessment[[INDEX]:[INDEX]],0),MATCH('Rekomendasi HAV'!D$1,Data_Assessment[#Headers],0))</f>
        <v>LSIP - Kencana Sari Estate</v>
      </c>
      <c r="E388" s="68">
        <f>INDEX(Data_Assessment[],MATCH('Rekomendasi HAV'!$B388,Data_Assessment[[NAME]:[NAME]],0),MATCH('Rekomendasi HAV'!E$1,Data_Assessment[#Headers],0))</f>
        <v>0</v>
      </c>
      <c r="F388" s="68"/>
      <c r="G388" s="68">
        <f>IF(ISNUMBER(SEARCH("DEV",Assessment[[#This Row],[JOB TARGET]])),SUBSTITUTE(Assessment[[#This Row],[JOB TARGET]],"DEV","EST"),Assessment[[#This Row],[JOB TARGET]])</f>
        <v>0</v>
      </c>
      <c r="H388" s="146" t="str" cm="1">
        <f t="array" aca="1" ref="H388" ca="1">IF(Assessment[[#This Row],[JOB TARGET]]="","Job Target Kosong",IF(COUNT(IF('Data Assessment'!$N388:$Z388-OFFSET(Standar!$B$2,MATCH(Assessment[[#This Row],[JOB TARGET
(EST)]],Standar[NAMA JABATAN],0)-1,1,1,13)&lt;0,1,""))&lt;=3,'9 Grid'!$B$4,IF(COUNT(IF('Data Assessment'!$N388:$Z388-OFFSET(Standar!$B$2,MATCH(Assessment[[#This Row],[JOB TARGET]],Standar[NAMA JABATAN],0)-1,1,1,13)&lt;0,1,""))&gt;=7,'9 Grid'!$B$6,'9 Grid'!$B$5)))</f>
        <v>Job Target Kosong</v>
      </c>
      <c r="I388" s="146" t="str">
        <f>IFERROR(IF(Data_Assessment[[#This Row],[IPP (3 YEARS AVERAGE)]]="","(IPP Belum Ada)",IF(Data_Assessment[[#This Row],[IPP (3 YEARS AVERAGE)]]&lt;2,'9 Grid'!$F$2,IF(Data_Assessment[[#This Row],[IPP (3 YEARS AVERAGE)]]&gt;=4,'9 Grid'!$D$2,'9 Grid'!$E$2))),"")</f>
        <v>Fully Competence Performance</v>
      </c>
      <c r="J388" s="146" t="str">
        <f ca="1">IFERROR(INDEX('9 Grid'!$D$4:$F$6,MATCH('Rekomendasi HAV'!H388,'9 Grid'!$B$4:$B$6,0),MATCH('Rekomendasi HAV'!I388,'9 Grid'!$D$2:$F$2,0)),"")</f>
        <v/>
      </c>
      <c r="K388" s="146" t="str">
        <f>IFERROR(INDEX('9 Grid'!$D$8:$F$8,1,MATCH('Rekomendasi HAV'!I388,'9 Grid'!$D$2:$F$2,0)),"")</f>
        <v>(ST) Within 12 - 18 month</v>
      </c>
      <c r="L388" s="146">
        <f>IF(ISNUMBER(SEARCH("EST",Assessment[[#This Row],[JOB TARGET]])),SUBSTITUTE(Assessment[[#This Row],[JOB TARGET]],"EST","DEV"),Assessment[[#This Row],[JOB TARGET]])</f>
        <v>0</v>
      </c>
      <c r="M388" s="146" t="str" cm="1">
        <f t="array" aca="1" ref="M388" ca="1">IF(Assessment[[#This Row],[JOB TARGET]]="","Job Target Kosong",IF(COUNT(IF('Data Assessment'!$N388:$Z388-OFFSET(Standar!$B$2,MATCH(Assessment[[#This Row],[JOB TARGET
(DEV)]],Standar[NAMA JABATAN],0)-1,1,1,13)&lt;0,1,""))&lt;=3,'9 Grid'!$B$4,IF(COUNT(IF('Data Assessment'!$N388:$Z388-OFFSET(Standar!$B$2,MATCH(Assessment[[#This Row],[JOB TARGET
(DEV)]],Standar[NAMA JABATAN],0)-1,1,1,13)&lt;0,1,""))&gt;=7,'9 Grid'!$B$6,'9 Grid'!$B$5)))</f>
        <v>Job Target Kosong</v>
      </c>
      <c r="N388" s="146" t="str">
        <f>IFERROR(IF(Data_Assessment[[#This Row],[IPP (3 YEARS AVERAGE)]]="","(IPP Belum Ada)",IF(Data_Assessment[[#This Row],[IPP (3 YEARS AVERAGE)]]&lt;2,'9 Grid'!$F$2,IF(Data_Assessment[[#This Row],[IPP (3 YEARS AVERAGE)]]&gt;=4,'9 Grid'!$D$2,'9 Grid'!$E$2))),"")</f>
        <v>Fully Competence Performance</v>
      </c>
      <c r="O388" s="146" t="str">
        <f ca="1">IFERROR(INDEX('9 Grid'!$D$4:$F$6,MATCH('Rekomendasi HAV'!M388,'9 Grid'!$B$4:$B$6,0),MATCH('Rekomendasi HAV'!N388,'9 Grid'!$D$2:$F$2,0)),"")</f>
        <v/>
      </c>
      <c r="P388" s="147" t="str">
        <f>IFERROR(INDEX('9 Grid'!$D$8:$F$8,1,MATCH('Rekomendasi HAV'!N388,'9 Grid'!$D$2:$F$2,0)),"")</f>
        <v>(ST) Within 12 - 18 month</v>
      </c>
    </row>
    <row r="389" spans="1:16" ht="28.5">
      <c r="A389" s="67">
        <v>388</v>
      </c>
      <c r="B389" s="68" t="str">
        <f>INDEX(Data_Assessment[],MATCH('Rekomendasi HAV'!$A389,Data_Assessment[[INDEX]:[INDEX]],0),MATCH('Rekomendasi HAV'!B$1,Data_Assessment[#Headers],0))</f>
        <v>Albert Oktapianus Silaban</v>
      </c>
      <c r="C389" s="68" t="str">
        <f>INDEX(Data_Assessment[],MATCH('Rekomendasi HAV'!$A389,Data_Assessment[[INDEX]:[INDEX]],0),MATCH('Rekomendasi HAV'!C$1,Data_Assessment[#Headers],0))</f>
        <v>Jakarta</v>
      </c>
      <c r="D389" s="68" t="str">
        <f>INDEX(Data_Assessment[],MATCH('Rekomendasi HAV'!$A389,Data_Assessment[[INDEX]:[INDEX]],0),MATCH('Rekomendasi HAV'!D$1,Data_Assessment[#Headers],0))</f>
        <v>LSIP - HO Jakarta</v>
      </c>
      <c r="E389" s="68">
        <f>INDEX(Data_Assessment[],MATCH('Rekomendasi HAV'!$B389,Data_Assessment[[NAME]:[NAME]],0),MATCH('Rekomendasi HAV'!E$1,Data_Assessment[#Headers],0))</f>
        <v>0</v>
      </c>
      <c r="F389" s="68"/>
      <c r="G389" s="68">
        <f>IF(ISNUMBER(SEARCH("DEV",Assessment[[#This Row],[JOB TARGET]])),SUBSTITUTE(Assessment[[#This Row],[JOB TARGET]],"DEV","EST"),Assessment[[#This Row],[JOB TARGET]])</f>
        <v>0</v>
      </c>
      <c r="H389" s="146" t="str" cm="1">
        <f t="array" aca="1" ref="H389" ca="1">IF(Assessment[[#This Row],[JOB TARGET]]="","Job Target Kosong",IF(COUNT(IF('Data Assessment'!$N389:$Z389-OFFSET(Standar!$B$2,MATCH(Assessment[[#This Row],[JOB TARGET
(EST)]],Standar[NAMA JABATAN],0)-1,1,1,13)&lt;0,1,""))&lt;=3,'9 Grid'!$B$4,IF(COUNT(IF('Data Assessment'!$N389:$Z389-OFFSET(Standar!$B$2,MATCH(Assessment[[#This Row],[JOB TARGET]],Standar[NAMA JABATAN],0)-1,1,1,13)&lt;0,1,""))&gt;=7,'9 Grid'!$B$6,'9 Grid'!$B$5)))</f>
        <v>Job Target Kosong</v>
      </c>
      <c r="I389" s="146" t="str">
        <f>IFERROR(IF(Data_Assessment[[#This Row],[IPP (3 YEARS AVERAGE)]]="","(IPP Belum Ada)",IF(Data_Assessment[[#This Row],[IPP (3 YEARS AVERAGE)]]&lt;2,'9 Grid'!$F$2,IF(Data_Assessment[[#This Row],[IPP (3 YEARS AVERAGE)]]&gt;=4,'9 Grid'!$D$2,'9 Grid'!$E$2))),"")</f>
        <v>Fully Competence Performance</v>
      </c>
      <c r="J389" s="146" t="str">
        <f ca="1">IFERROR(INDEX('9 Grid'!$D$4:$F$6,MATCH('Rekomendasi HAV'!H389,'9 Grid'!$B$4:$B$6,0),MATCH('Rekomendasi HAV'!I389,'9 Grid'!$D$2:$F$2,0)),"")</f>
        <v/>
      </c>
      <c r="K389" s="146" t="str">
        <f>IFERROR(INDEX('9 Grid'!$D$8:$F$8,1,MATCH('Rekomendasi HAV'!I389,'9 Grid'!$D$2:$F$2,0)),"")</f>
        <v>(ST) Within 12 - 18 month</v>
      </c>
      <c r="L389" s="146">
        <f>IF(ISNUMBER(SEARCH("EST",Assessment[[#This Row],[JOB TARGET]])),SUBSTITUTE(Assessment[[#This Row],[JOB TARGET]],"EST","DEV"),Assessment[[#This Row],[JOB TARGET]])</f>
        <v>0</v>
      </c>
      <c r="M389" s="146" t="str" cm="1">
        <f t="array" aca="1" ref="M389" ca="1">IF(Assessment[[#This Row],[JOB TARGET]]="","Job Target Kosong",IF(COUNT(IF('Data Assessment'!$N389:$Z389-OFFSET(Standar!$B$2,MATCH(Assessment[[#This Row],[JOB TARGET
(DEV)]],Standar[NAMA JABATAN],0)-1,1,1,13)&lt;0,1,""))&lt;=3,'9 Grid'!$B$4,IF(COUNT(IF('Data Assessment'!$N389:$Z389-OFFSET(Standar!$B$2,MATCH(Assessment[[#This Row],[JOB TARGET
(DEV)]],Standar[NAMA JABATAN],0)-1,1,1,13)&lt;0,1,""))&gt;=7,'9 Grid'!$B$6,'9 Grid'!$B$5)))</f>
        <v>Job Target Kosong</v>
      </c>
      <c r="N389" s="146" t="str">
        <f>IFERROR(IF(Data_Assessment[[#This Row],[IPP (3 YEARS AVERAGE)]]="","(IPP Belum Ada)",IF(Data_Assessment[[#This Row],[IPP (3 YEARS AVERAGE)]]&lt;2,'9 Grid'!$F$2,IF(Data_Assessment[[#This Row],[IPP (3 YEARS AVERAGE)]]&gt;=4,'9 Grid'!$D$2,'9 Grid'!$E$2))),"")</f>
        <v>Fully Competence Performance</v>
      </c>
      <c r="O389" s="146" t="str">
        <f ca="1">IFERROR(INDEX('9 Grid'!$D$4:$F$6,MATCH('Rekomendasi HAV'!M389,'9 Grid'!$B$4:$B$6,0),MATCH('Rekomendasi HAV'!N389,'9 Grid'!$D$2:$F$2,0)),"")</f>
        <v/>
      </c>
      <c r="P389" s="147" t="str">
        <f>IFERROR(INDEX('9 Grid'!$D$8:$F$8,1,MATCH('Rekomendasi HAV'!N389,'9 Grid'!$D$2:$F$2,0)),"")</f>
        <v>(ST) Within 12 - 18 month</v>
      </c>
    </row>
    <row r="390" spans="1:16" ht="28.5">
      <c r="A390" s="67">
        <v>389</v>
      </c>
      <c r="B390" s="68" t="str">
        <f>INDEX(Data_Assessment[],MATCH('Rekomendasi HAV'!$A390,Data_Assessment[[INDEX]:[INDEX]],0),MATCH('Rekomendasi HAV'!B$1,Data_Assessment[#Headers],0))</f>
        <v>Wira Mustafa</v>
      </c>
      <c r="C390" s="68" t="str">
        <f>INDEX(Data_Assessment[],MATCH('Rekomendasi HAV'!$A390,Data_Assessment[[INDEX]:[INDEX]],0),MATCH('Rekomendasi HAV'!C$1,Data_Assessment[#Headers],0))</f>
        <v>Sumatera Selatan</v>
      </c>
      <c r="D390" s="68" t="str">
        <f>INDEX(Data_Assessment[],MATCH('Rekomendasi HAV'!$A390,Data_Assessment[[INDEX]:[INDEX]],0),MATCH('Rekomendasi HAV'!D$1,Data_Assessment[#Headers],0))</f>
        <v>LSIP - Arta Kencana Estate</v>
      </c>
      <c r="E390" s="68">
        <f>INDEX(Data_Assessment[],MATCH('Rekomendasi HAV'!$B390,Data_Assessment[[NAME]:[NAME]],0),MATCH('Rekomendasi HAV'!E$1,Data_Assessment[#Headers],0))</f>
        <v>0</v>
      </c>
      <c r="F390" s="68"/>
      <c r="G390" s="68">
        <f>IF(ISNUMBER(SEARCH("DEV",Assessment[[#This Row],[JOB TARGET]])),SUBSTITUTE(Assessment[[#This Row],[JOB TARGET]],"DEV","EST"),Assessment[[#This Row],[JOB TARGET]])</f>
        <v>0</v>
      </c>
      <c r="H390" s="146" t="str" cm="1">
        <f t="array" aca="1" ref="H390" ca="1">IF(Assessment[[#This Row],[JOB TARGET]]="","Job Target Kosong",IF(COUNT(IF('Data Assessment'!$N390:$Z390-OFFSET(Standar!$B$2,MATCH(Assessment[[#This Row],[JOB TARGET
(EST)]],Standar[NAMA JABATAN],0)-1,1,1,13)&lt;0,1,""))&lt;=3,'9 Grid'!$B$4,IF(COUNT(IF('Data Assessment'!$N390:$Z390-OFFSET(Standar!$B$2,MATCH(Assessment[[#This Row],[JOB TARGET]],Standar[NAMA JABATAN],0)-1,1,1,13)&lt;0,1,""))&gt;=7,'9 Grid'!$B$6,'9 Grid'!$B$5)))</f>
        <v>Job Target Kosong</v>
      </c>
      <c r="I390" s="146" t="str">
        <f>IFERROR(IF(Data_Assessment[[#This Row],[IPP (3 YEARS AVERAGE)]]="","(IPP Belum Ada)",IF(Data_Assessment[[#This Row],[IPP (3 YEARS AVERAGE)]]&lt;2,'9 Grid'!$F$2,IF(Data_Assessment[[#This Row],[IPP (3 YEARS AVERAGE)]]&gt;=4,'9 Grid'!$D$2,'9 Grid'!$E$2))),"")</f>
        <v>Fully Competence Performance</v>
      </c>
      <c r="J390" s="146" t="str">
        <f ca="1">IFERROR(INDEX('9 Grid'!$D$4:$F$6,MATCH('Rekomendasi HAV'!H390,'9 Grid'!$B$4:$B$6,0),MATCH('Rekomendasi HAV'!I390,'9 Grid'!$D$2:$F$2,0)),"")</f>
        <v/>
      </c>
      <c r="K390" s="146" t="str">
        <f>IFERROR(INDEX('9 Grid'!$D$8:$F$8,1,MATCH('Rekomendasi HAV'!I390,'9 Grid'!$D$2:$F$2,0)),"")</f>
        <v>(ST) Within 12 - 18 month</v>
      </c>
      <c r="L390" s="146">
        <f>IF(ISNUMBER(SEARCH("EST",Assessment[[#This Row],[JOB TARGET]])),SUBSTITUTE(Assessment[[#This Row],[JOB TARGET]],"EST","DEV"),Assessment[[#This Row],[JOB TARGET]])</f>
        <v>0</v>
      </c>
      <c r="M390" s="146" t="str" cm="1">
        <f t="array" aca="1" ref="M390" ca="1">IF(Assessment[[#This Row],[JOB TARGET]]="","Job Target Kosong",IF(COUNT(IF('Data Assessment'!$N390:$Z390-OFFSET(Standar!$B$2,MATCH(Assessment[[#This Row],[JOB TARGET
(DEV)]],Standar[NAMA JABATAN],0)-1,1,1,13)&lt;0,1,""))&lt;=3,'9 Grid'!$B$4,IF(COUNT(IF('Data Assessment'!$N390:$Z390-OFFSET(Standar!$B$2,MATCH(Assessment[[#This Row],[JOB TARGET
(DEV)]],Standar[NAMA JABATAN],0)-1,1,1,13)&lt;0,1,""))&gt;=7,'9 Grid'!$B$6,'9 Grid'!$B$5)))</f>
        <v>Job Target Kosong</v>
      </c>
      <c r="N390" s="146" t="str">
        <f>IFERROR(IF(Data_Assessment[[#This Row],[IPP (3 YEARS AVERAGE)]]="","(IPP Belum Ada)",IF(Data_Assessment[[#This Row],[IPP (3 YEARS AVERAGE)]]&lt;2,'9 Grid'!$F$2,IF(Data_Assessment[[#This Row],[IPP (3 YEARS AVERAGE)]]&gt;=4,'9 Grid'!$D$2,'9 Grid'!$E$2))),"")</f>
        <v>Fully Competence Performance</v>
      </c>
      <c r="O390" s="146" t="str">
        <f ca="1">IFERROR(INDEX('9 Grid'!$D$4:$F$6,MATCH('Rekomendasi HAV'!M390,'9 Grid'!$B$4:$B$6,0),MATCH('Rekomendasi HAV'!N390,'9 Grid'!$D$2:$F$2,0)),"")</f>
        <v/>
      </c>
      <c r="P390" s="147" t="str">
        <f>IFERROR(INDEX('9 Grid'!$D$8:$F$8,1,MATCH('Rekomendasi HAV'!N390,'9 Grid'!$D$2:$F$2,0)),"")</f>
        <v>(ST) Within 12 - 18 month</v>
      </c>
    </row>
    <row r="391" spans="1:16" ht="28.5">
      <c r="A391" s="67">
        <v>390</v>
      </c>
      <c r="B391" s="68" t="str">
        <f>INDEX(Data_Assessment[],MATCH('Rekomendasi HAV'!$A391,Data_Assessment[[INDEX]:[INDEX]],0),MATCH('Rekomendasi HAV'!B$1,Data_Assessment[#Headers],0))</f>
        <v>Amriliadi Bintang Sopandi</v>
      </c>
      <c r="C391" s="68" t="str">
        <f>INDEX(Data_Assessment[],MATCH('Rekomendasi HAV'!$A391,Data_Assessment[[INDEX]:[INDEX]],0),MATCH('Rekomendasi HAV'!C$1,Data_Assessment[#Headers],0))</f>
        <v>Jakarta</v>
      </c>
      <c r="D391" s="68" t="str">
        <f>INDEX(Data_Assessment[],MATCH('Rekomendasi HAV'!$A391,Data_Assessment[[INDEX]:[INDEX]],0),MATCH('Rekomendasi HAV'!D$1,Data_Assessment[#Headers],0))</f>
        <v>LSIP - HO Jakarta</v>
      </c>
      <c r="E391" s="68">
        <f>INDEX(Data_Assessment[],MATCH('Rekomendasi HAV'!$B391,Data_Assessment[[NAME]:[NAME]],0),MATCH('Rekomendasi HAV'!E$1,Data_Assessment[#Headers],0))</f>
        <v>0</v>
      </c>
      <c r="F391" s="68"/>
      <c r="G391" s="68">
        <f>IF(ISNUMBER(SEARCH("DEV",Assessment[[#This Row],[JOB TARGET]])),SUBSTITUTE(Assessment[[#This Row],[JOB TARGET]],"DEV","EST"),Assessment[[#This Row],[JOB TARGET]])</f>
        <v>0</v>
      </c>
      <c r="H391" s="146" t="str" cm="1">
        <f t="array" aca="1" ref="H391" ca="1">IF(Assessment[[#This Row],[JOB TARGET]]="","Job Target Kosong",IF(COUNT(IF('Data Assessment'!$N391:$Z391-OFFSET(Standar!$B$2,MATCH(Assessment[[#This Row],[JOB TARGET
(EST)]],Standar[NAMA JABATAN],0)-1,1,1,13)&lt;0,1,""))&lt;=3,'9 Grid'!$B$4,IF(COUNT(IF('Data Assessment'!$N391:$Z391-OFFSET(Standar!$B$2,MATCH(Assessment[[#This Row],[JOB TARGET]],Standar[NAMA JABATAN],0)-1,1,1,13)&lt;0,1,""))&gt;=7,'9 Grid'!$B$6,'9 Grid'!$B$5)))</f>
        <v>Job Target Kosong</v>
      </c>
      <c r="I391" s="146" t="str">
        <f>IFERROR(IF(Data_Assessment[[#This Row],[IPP (3 YEARS AVERAGE)]]="","(IPP Belum Ada)",IF(Data_Assessment[[#This Row],[IPP (3 YEARS AVERAGE)]]&lt;2,'9 Grid'!$F$2,IF(Data_Assessment[[#This Row],[IPP (3 YEARS AVERAGE)]]&gt;=4,'9 Grid'!$D$2,'9 Grid'!$E$2))),"")</f>
        <v>Fully Competence Performance</v>
      </c>
      <c r="J391" s="146" t="str">
        <f ca="1">IFERROR(INDEX('9 Grid'!$D$4:$F$6,MATCH('Rekomendasi HAV'!H391,'9 Grid'!$B$4:$B$6,0),MATCH('Rekomendasi HAV'!I391,'9 Grid'!$D$2:$F$2,0)),"")</f>
        <v/>
      </c>
      <c r="K391" s="146" t="str">
        <f>IFERROR(INDEX('9 Grid'!$D$8:$F$8,1,MATCH('Rekomendasi HAV'!I391,'9 Grid'!$D$2:$F$2,0)),"")</f>
        <v>(ST) Within 12 - 18 month</v>
      </c>
      <c r="L391" s="146">
        <f>IF(ISNUMBER(SEARCH("EST",Assessment[[#This Row],[JOB TARGET]])),SUBSTITUTE(Assessment[[#This Row],[JOB TARGET]],"EST","DEV"),Assessment[[#This Row],[JOB TARGET]])</f>
        <v>0</v>
      </c>
      <c r="M391" s="146" t="str" cm="1">
        <f t="array" aca="1" ref="M391" ca="1">IF(Assessment[[#This Row],[JOB TARGET]]="","Job Target Kosong",IF(COUNT(IF('Data Assessment'!$N391:$Z391-OFFSET(Standar!$B$2,MATCH(Assessment[[#This Row],[JOB TARGET
(DEV)]],Standar[NAMA JABATAN],0)-1,1,1,13)&lt;0,1,""))&lt;=3,'9 Grid'!$B$4,IF(COUNT(IF('Data Assessment'!$N391:$Z391-OFFSET(Standar!$B$2,MATCH(Assessment[[#This Row],[JOB TARGET
(DEV)]],Standar[NAMA JABATAN],0)-1,1,1,13)&lt;0,1,""))&gt;=7,'9 Grid'!$B$6,'9 Grid'!$B$5)))</f>
        <v>Job Target Kosong</v>
      </c>
      <c r="N391" s="146" t="str">
        <f>IFERROR(IF(Data_Assessment[[#This Row],[IPP (3 YEARS AVERAGE)]]="","(IPP Belum Ada)",IF(Data_Assessment[[#This Row],[IPP (3 YEARS AVERAGE)]]&lt;2,'9 Grid'!$F$2,IF(Data_Assessment[[#This Row],[IPP (3 YEARS AVERAGE)]]&gt;=4,'9 Grid'!$D$2,'9 Grid'!$E$2))),"")</f>
        <v>Fully Competence Performance</v>
      </c>
      <c r="O391" s="146" t="str">
        <f ca="1">IFERROR(INDEX('9 Grid'!$D$4:$F$6,MATCH('Rekomendasi HAV'!M391,'9 Grid'!$B$4:$B$6,0),MATCH('Rekomendasi HAV'!N391,'9 Grid'!$D$2:$F$2,0)),"")</f>
        <v/>
      </c>
      <c r="P391" s="147" t="str">
        <f>IFERROR(INDEX('9 Grid'!$D$8:$F$8,1,MATCH('Rekomendasi HAV'!N391,'9 Grid'!$D$2:$F$2,0)),"")</f>
        <v>(ST) Within 12 - 18 month</v>
      </c>
    </row>
    <row r="392" spans="1:16" ht="14.25">
      <c r="A392" s="67">
        <v>391</v>
      </c>
      <c r="B392" s="68" t="str">
        <f>INDEX(Data_Assessment[],MATCH('Rekomendasi HAV'!$A392,Data_Assessment[[INDEX]:[INDEX]],0),MATCH('Rekomendasi HAV'!B$1,Data_Assessment[#Headers],0))</f>
        <v>Rudi Gunarso, SP</v>
      </c>
      <c r="C392" s="68" t="str">
        <f>INDEX(Data_Assessment[],MATCH('Rekomendasi HAV'!$A392,Data_Assessment[[INDEX]:[INDEX]],0),MATCH('Rekomendasi HAV'!C$1,Data_Assessment[#Headers],0))</f>
        <v>Sumatera Selatan</v>
      </c>
      <c r="D392" s="68" t="str">
        <f>INDEX(Data_Assessment[],MATCH('Rekomendasi HAV'!$A392,Data_Assessment[[INDEX]:[INDEX]],0),MATCH('Rekomendasi HAV'!D$1,Data_Assessment[#Headers],0))</f>
        <v>LSIP - Tirta Agung Estate</v>
      </c>
      <c r="E392" s="68">
        <f>INDEX(Data_Assessment[],MATCH('Rekomendasi HAV'!$B392,Data_Assessment[[NAME]:[NAME]],0),MATCH('Rekomendasi HAV'!E$1,Data_Assessment[#Headers],0))</f>
        <v>0</v>
      </c>
      <c r="F392" s="68"/>
      <c r="G392" s="68">
        <f>IF(ISNUMBER(SEARCH("DEV",Assessment[[#This Row],[JOB TARGET]])),SUBSTITUTE(Assessment[[#This Row],[JOB TARGET]],"DEV","EST"),Assessment[[#This Row],[JOB TARGET]])</f>
        <v>0</v>
      </c>
      <c r="H392" s="146" t="str" cm="1">
        <f t="array" aca="1" ref="H392" ca="1">IF(Assessment[[#This Row],[JOB TARGET]]="","Job Target Kosong",IF(COUNT(IF('Data Assessment'!$N392:$Z392-OFFSET(Standar!$B$2,MATCH(Assessment[[#This Row],[JOB TARGET
(EST)]],Standar[NAMA JABATAN],0)-1,1,1,13)&lt;0,1,""))&lt;=3,'9 Grid'!$B$4,IF(COUNT(IF('Data Assessment'!$N392:$Z392-OFFSET(Standar!$B$2,MATCH(Assessment[[#This Row],[JOB TARGET]],Standar[NAMA JABATAN],0)-1,1,1,13)&lt;0,1,""))&gt;=7,'9 Grid'!$B$6,'9 Grid'!$B$5)))</f>
        <v>Job Target Kosong</v>
      </c>
      <c r="I392" s="146" t="str">
        <f>IFERROR(IF(Data_Assessment[[#This Row],[IPP (3 YEARS AVERAGE)]]="","(IPP Belum Ada)",IF(Data_Assessment[[#This Row],[IPP (3 YEARS AVERAGE)]]&lt;2,'9 Grid'!$F$2,IF(Data_Assessment[[#This Row],[IPP (3 YEARS AVERAGE)]]&gt;=4,'9 Grid'!$D$2,'9 Grid'!$E$2))),"")</f>
        <v>Exceptional Performance</v>
      </c>
      <c r="J392" s="146" t="str">
        <f ca="1">IFERROR(INDEX('9 Grid'!$D$4:$F$6,MATCH('Rekomendasi HAV'!H392,'9 Grid'!$B$4:$B$6,0),MATCH('Rekomendasi HAV'!I392,'9 Grid'!$D$2:$F$2,0)),"")</f>
        <v/>
      </c>
      <c r="K392" s="146" t="str">
        <f>IFERROR(INDEX('9 Grid'!$D$8:$F$8,1,MATCH('Rekomendasi HAV'!I392,'9 Grid'!$D$2:$F$2,0)),"")</f>
        <v>(I) Immediately</v>
      </c>
      <c r="L392" s="146">
        <f>IF(ISNUMBER(SEARCH("EST",Assessment[[#This Row],[JOB TARGET]])),SUBSTITUTE(Assessment[[#This Row],[JOB TARGET]],"EST","DEV"),Assessment[[#This Row],[JOB TARGET]])</f>
        <v>0</v>
      </c>
      <c r="M392" s="146" t="str" cm="1">
        <f t="array" aca="1" ref="M392" ca="1">IF(Assessment[[#This Row],[JOB TARGET]]="","Job Target Kosong",IF(COUNT(IF('Data Assessment'!$N392:$Z392-OFFSET(Standar!$B$2,MATCH(Assessment[[#This Row],[JOB TARGET
(DEV)]],Standar[NAMA JABATAN],0)-1,1,1,13)&lt;0,1,""))&lt;=3,'9 Grid'!$B$4,IF(COUNT(IF('Data Assessment'!$N392:$Z392-OFFSET(Standar!$B$2,MATCH(Assessment[[#This Row],[JOB TARGET
(DEV)]],Standar[NAMA JABATAN],0)-1,1,1,13)&lt;0,1,""))&gt;=7,'9 Grid'!$B$6,'9 Grid'!$B$5)))</f>
        <v>Job Target Kosong</v>
      </c>
      <c r="N392" s="146" t="str">
        <f>IFERROR(IF(Data_Assessment[[#This Row],[IPP (3 YEARS AVERAGE)]]="","(IPP Belum Ada)",IF(Data_Assessment[[#This Row],[IPP (3 YEARS AVERAGE)]]&lt;2,'9 Grid'!$F$2,IF(Data_Assessment[[#This Row],[IPP (3 YEARS AVERAGE)]]&gt;=4,'9 Grid'!$D$2,'9 Grid'!$E$2))),"")</f>
        <v>Exceptional Performance</v>
      </c>
      <c r="O392" s="146" t="str">
        <f ca="1">IFERROR(INDEX('9 Grid'!$D$4:$F$6,MATCH('Rekomendasi HAV'!M392,'9 Grid'!$B$4:$B$6,0),MATCH('Rekomendasi HAV'!N392,'9 Grid'!$D$2:$F$2,0)),"")</f>
        <v/>
      </c>
      <c r="P392" s="147" t="str">
        <f>IFERROR(INDEX('9 Grid'!$D$8:$F$8,1,MATCH('Rekomendasi HAV'!N392,'9 Grid'!$D$2:$F$2,0)),"")</f>
        <v>(I) Immediately</v>
      </c>
    </row>
    <row r="393" spans="1:16" ht="28.5">
      <c r="A393" s="67">
        <v>392</v>
      </c>
      <c r="B393" s="68" t="str">
        <f>INDEX(Data_Assessment[],MATCH('Rekomendasi HAV'!$A393,Data_Assessment[[INDEX]:[INDEX]],0),MATCH('Rekomendasi HAV'!B$1,Data_Assessment[#Headers],0))</f>
        <v>Daniel Karel G. Warouw</v>
      </c>
      <c r="C393" s="68" t="str">
        <f>INDEX(Data_Assessment[],MATCH('Rekomendasi HAV'!$A393,Data_Assessment[[INDEX]:[INDEX]],0),MATCH('Rekomendasi HAV'!C$1,Data_Assessment[#Headers],0))</f>
        <v>Jakarta</v>
      </c>
      <c r="D393" s="68" t="str">
        <f>INDEX(Data_Assessment[],MATCH('Rekomendasi HAV'!$A393,Data_Assessment[[INDEX]:[INDEX]],0),MATCH('Rekomendasi HAV'!D$1,Data_Assessment[#Headers],0))</f>
        <v>LSIP - HO Jakarta</v>
      </c>
      <c r="E393" s="68">
        <f>INDEX(Data_Assessment[],MATCH('Rekomendasi HAV'!$B393,Data_Assessment[[NAME]:[NAME]],0),MATCH('Rekomendasi HAV'!E$1,Data_Assessment[#Headers],0))</f>
        <v>0</v>
      </c>
      <c r="F393" s="68"/>
      <c r="G393" s="68">
        <f>IF(ISNUMBER(SEARCH("DEV",Assessment[[#This Row],[JOB TARGET]])),SUBSTITUTE(Assessment[[#This Row],[JOB TARGET]],"DEV","EST"),Assessment[[#This Row],[JOB TARGET]])</f>
        <v>0</v>
      </c>
      <c r="H393" s="146" t="str" cm="1">
        <f t="array" aca="1" ref="H393" ca="1">IF(Assessment[[#This Row],[JOB TARGET]]="","Job Target Kosong",IF(COUNT(IF('Data Assessment'!$N393:$Z393-OFFSET(Standar!$B$2,MATCH(Assessment[[#This Row],[JOB TARGET
(EST)]],Standar[NAMA JABATAN],0)-1,1,1,13)&lt;0,1,""))&lt;=3,'9 Grid'!$B$4,IF(COUNT(IF('Data Assessment'!$N393:$Z393-OFFSET(Standar!$B$2,MATCH(Assessment[[#This Row],[JOB TARGET]],Standar[NAMA JABATAN],0)-1,1,1,13)&lt;0,1,""))&gt;=7,'9 Grid'!$B$6,'9 Grid'!$B$5)))</f>
        <v>Job Target Kosong</v>
      </c>
      <c r="I393" s="146" t="str">
        <f>IFERROR(IF(Data_Assessment[[#This Row],[IPP (3 YEARS AVERAGE)]]="","(IPP Belum Ada)",IF(Data_Assessment[[#This Row],[IPP (3 YEARS AVERAGE)]]&lt;2,'9 Grid'!$F$2,IF(Data_Assessment[[#This Row],[IPP (3 YEARS AVERAGE)]]&gt;=4,'9 Grid'!$D$2,'9 Grid'!$E$2))),"")</f>
        <v>Fully Competence Performance</v>
      </c>
      <c r="J393" s="146" t="str">
        <f ca="1">IFERROR(INDEX('9 Grid'!$D$4:$F$6,MATCH('Rekomendasi HAV'!H393,'9 Grid'!$B$4:$B$6,0),MATCH('Rekomendasi HAV'!I393,'9 Grid'!$D$2:$F$2,0)),"")</f>
        <v/>
      </c>
      <c r="K393" s="146" t="str">
        <f>IFERROR(INDEX('9 Grid'!$D$8:$F$8,1,MATCH('Rekomendasi HAV'!I393,'9 Grid'!$D$2:$F$2,0)),"")</f>
        <v>(ST) Within 12 - 18 month</v>
      </c>
      <c r="L393" s="146">
        <f>IF(ISNUMBER(SEARCH("EST",Assessment[[#This Row],[JOB TARGET]])),SUBSTITUTE(Assessment[[#This Row],[JOB TARGET]],"EST","DEV"),Assessment[[#This Row],[JOB TARGET]])</f>
        <v>0</v>
      </c>
      <c r="M393" s="146" t="str" cm="1">
        <f t="array" aca="1" ref="M393" ca="1">IF(Assessment[[#This Row],[JOB TARGET]]="","Job Target Kosong",IF(COUNT(IF('Data Assessment'!$N393:$Z393-OFFSET(Standar!$B$2,MATCH(Assessment[[#This Row],[JOB TARGET
(DEV)]],Standar[NAMA JABATAN],0)-1,1,1,13)&lt;0,1,""))&lt;=3,'9 Grid'!$B$4,IF(COUNT(IF('Data Assessment'!$N393:$Z393-OFFSET(Standar!$B$2,MATCH(Assessment[[#This Row],[JOB TARGET
(DEV)]],Standar[NAMA JABATAN],0)-1,1,1,13)&lt;0,1,""))&gt;=7,'9 Grid'!$B$6,'9 Grid'!$B$5)))</f>
        <v>Job Target Kosong</v>
      </c>
      <c r="N393" s="146" t="str">
        <f>IFERROR(IF(Data_Assessment[[#This Row],[IPP (3 YEARS AVERAGE)]]="","(IPP Belum Ada)",IF(Data_Assessment[[#This Row],[IPP (3 YEARS AVERAGE)]]&lt;2,'9 Grid'!$F$2,IF(Data_Assessment[[#This Row],[IPP (3 YEARS AVERAGE)]]&gt;=4,'9 Grid'!$D$2,'9 Grid'!$E$2))),"")</f>
        <v>Fully Competence Performance</v>
      </c>
      <c r="O393" s="146" t="str">
        <f ca="1">IFERROR(INDEX('9 Grid'!$D$4:$F$6,MATCH('Rekomendasi HAV'!M393,'9 Grid'!$B$4:$B$6,0),MATCH('Rekomendasi HAV'!N393,'9 Grid'!$D$2:$F$2,0)),"")</f>
        <v/>
      </c>
      <c r="P393" s="147" t="str">
        <f>IFERROR(INDEX('9 Grid'!$D$8:$F$8,1,MATCH('Rekomendasi HAV'!N393,'9 Grid'!$D$2:$F$2,0)),"")</f>
        <v>(ST) Within 12 - 18 month</v>
      </c>
    </row>
    <row r="394" spans="1:16" ht="28.5">
      <c r="A394" s="67">
        <v>393</v>
      </c>
      <c r="B394" s="68" t="str">
        <f>INDEX(Data_Assessment[],MATCH('Rekomendasi HAV'!$A394,Data_Assessment[[INDEX]:[INDEX]],0),MATCH('Rekomendasi HAV'!B$1,Data_Assessment[#Headers],0))</f>
        <v>Yohanes Karni</v>
      </c>
      <c r="C394" s="68" t="str">
        <f>INDEX(Data_Assessment[],MATCH('Rekomendasi HAV'!$A394,Data_Assessment[[INDEX]:[INDEX]],0),MATCH('Rekomendasi HAV'!C$1,Data_Assessment[#Headers],0))</f>
        <v>Kalimantan Timur</v>
      </c>
      <c r="D394" s="68" t="str">
        <f>INDEX(Data_Assessment[],MATCH('Rekomendasi HAV'!$A394,Data_Assessment[[INDEX]:[INDEX]],0),MATCH('Rekomendasi HAV'!D$1,Data_Assessment[#Headers],0))</f>
        <v>LSIP - Issuy Makmur Estate</v>
      </c>
      <c r="E394" s="68">
        <f>INDEX(Data_Assessment[],MATCH('Rekomendasi HAV'!$B394,Data_Assessment[[NAME]:[NAME]],0),MATCH('Rekomendasi HAV'!E$1,Data_Assessment[#Headers],0))</f>
        <v>0</v>
      </c>
      <c r="F394" s="68"/>
      <c r="G394" s="68">
        <f>IF(ISNUMBER(SEARCH("DEV",Assessment[[#This Row],[JOB TARGET]])),SUBSTITUTE(Assessment[[#This Row],[JOB TARGET]],"DEV","EST"),Assessment[[#This Row],[JOB TARGET]])</f>
        <v>0</v>
      </c>
      <c r="H394" s="146" t="str" cm="1">
        <f t="array" aca="1" ref="H394" ca="1">IF(Assessment[[#This Row],[JOB TARGET]]="","Job Target Kosong",IF(COUNT(IF('Data Assessment'!$N394:$Z394-OFFSET(Standar!$B$2,MATCH(Assessment[[#This Row],[JOB TARGET
(EST)]],Standar[NAMA JABATAN],0)-1,1,1,13)&lt;0,1,""))&lt;=3,'9 Grid'!$B$4,IF(COUNT(IF('Data Assessment'!$N394:$Z394-OFFSET(Standar!$B$2,MATCH(Assessment[[#This Row],[JOB TARGET]],Standar[NAMA JABATAN],0)-1,1,1,13)&lt;0,1,""))&gt;=7,'9 Grid'!$B$6,'9 Grid'!$B$5)))</f>
        <v>Job Target Kosong</v>
      </c>
      <c r="I394" s="146" t="str">
        <f>IFERROR(IF(Data_Assessment[[#This Row],[IPP (3 YEARS AVERAGE)]]="","(IPP Belum Ada)",IF(Data_Assessment[[#This Row],[IPP (3 YEARS AVERAGE)]]&lt;2,'9 Grid'!$F$2,IF(Data_Assessment[[#This Row],[IPP (3 YEARS AVERAGE)]]&gt;=4,'9 Grid'!$D$2,'9 Grid'!$E$2))),"")</f>
        <v>Fully Competence Performance</v>
      </c>
      <c r="J394" s="146" t="str">
        <f ca="1">IFERROR(INDEX('9 Grid'!$D$4:$F$6,MATCH('Rekomendasi HAV'!H394,'9 Grid'!$B$4:$B$6,0),MATCH('Rekomendasi HAV'!I394,'9 Grid'!$D$2:$F$2,0)),"")</f>
        <v/>
      </c>
      <c r="K394" s="146" t="str">
        <f>IFERROR(INDEX('9 Grid'!$D$8:$F$8,1,MATCH('Rekomendasi HAV'!I394,'9 Grid'!$D$2:$F$2,0)),"")</f>
        <v>(ST) Within 12 - 18 month</v>
      </c>
      <c r="L394" s="146">
        <f>IF(ISNUMBER(SEARCH("EST",Assessment[[#This Row],[JOB TARGET]])),SUBSTITUTE(Assessment[[#This Row],[JOB TARGET]],"EST","DEV"),Assessment[[#This Row],[JOB TARGET]])</f>
        <v>0</v>
      </c>
      <c r="M394" s="146" t="str" cm="1">
        <f t="array" aca="1" ref="M394" ca="1">IF(Assessment[[#This Row],[JOB TARGET]]="","Job Target Kosong",IF(COUNT(IF('Data Assessment'!$N394:$Z394-OFFSET(Standar!$B$2,MATCH(Assessment[[#This Row],[JOB TARGET
(DEV)]],Standar[NAMA JABATAN],0)-1,1,1,13)&lt;0,1,""))&lt;=3,'9 Grid'!$B$4,IF(COUNT(IF('Data Assessment'!$N394:$Z394-OFFSET(Standar!$B$2,MATCH(Assessment[[#This Row],[JOB TARGET
(DEV)]],Standar[NAMA JABATAN],0)-1,1,1,13)&lt;0,1,""))&gt;=7,'9 Grid'!$B$6,'9 Grid'!$B$5)))</f>
        <v>Job Target Kosong</v>
      </c>
      <c r="N394" s="146" t="str">
        <f>IFERROR(IF(Data_Assessment[[#This Row],[IPP (3 YEARS AVERAGE)]]="","(IPP Belum Ada)",IF(Data_Assessment[[#This Row],[IPP (3 YEARS AVERAGE)]]&lt;2,'9 Grid'!$F$2,IF(Data_Assessment[[#This Row],[IPP (3 YEARS AVERAGE)]]&gt;=4,'9 Grid'!$D$2,'9 Grid'!$E$2))),"")</f>
        <v>Fully Competence Performance</v>
      </c>
      <c r="O394" s="146" t="str">
        <f ca="1">IFERROR(INDEX('9 Grid'!$D$4:$F$6,MATCH('Rekomendasi HAV'!M394,'9 Grid'!$B$4:$B$6,0),MATCH('Rekomendasi HAV'!N394,'9 Grid'!$D$2:$F$2,0)),"")</f>
        <v/>
      </c>
      <c r="P394" s="147" t="str">
        <f>IFERROR(INDEX('9 Grid'!$D$8:$F$8,1,MATCH('Rekomendasi HAV'!N394,'9 Grid'!$D$2:$F$2,0)),"")</f>
        <v>(ST) Within 12 - 18 month</v>
      </c>
    </row>
    <row r="395" spans="1:16" ht="28.5">
      <c r="A395" s="67">
        <v>394</v>
      </c>
      <c r="B395" s="68" t="str">
        <f>INDEX(Data_Assessment[],MATCH('Rekomendasi HAV'!$A395,Data_Assessment[[INDEX]:[INDEX]],0),MATCH('Rekomendasi HAV'!B$1,Data_Assessment[#Headers],0))</f>
        <v>Choirul May Affandi Siregar</v>
      </c>
      <c r="C395" s="68" t="str">
        <f>INDEX(Data_Assessment[],MATCH('Rekomendasi HAV'!$A395,Data_Assessment[[INDEX]:[INDEX]],0),MATCH('Rekomendasi HAV'!C$1,Data_Assessment[#Headers],0))</f>
        <v>Jakarta</v>
      </c>
      <c r="D395" s="68" t="str">
        <f>INDEX(Data_Assessment[],MATCH('Rekomendasi HAV'!$A395,Data_Assessment[[INDEX]:[INDEX]],0),MATCH('Rekomendasi HAV'!D$1,Data_Assessment[#Headers],0))</f>
        <v>LSIP - HO Jakarta</v>
      </c>
      <c r="E395" s="68">
        <f>INDEX(Data_Assessment[],MATCH('Rekomendasi HAV'!$B395,Data_Assessment[[NAME]:[NAME]],0),MATCH('Rekomendasi HAV'!E$1,Data_Assessment[#Headers],0))</f>
        <v>0</v>
      </c>
      <c r="F395" s="68"/>
      <c r="G395" s="68">
        <f>IF(ISNUMBER(SEARCH("DEV",Assessment[[#This Row],[JOB TARGET]])),SUBSTITUTE(Assessment[[#This Row],[JOB TARGET]],"DEV","EST"),Assessment[[#This Row],[JOB TARGET]])</f>
        <v>0</v>
      </c>
      <c r="H395" s="146" t="str" cm="1">
        <f t="array" aca="1" ref="H395" ca="1">IF(Assessment[[#This Row],[JOB TARGET]]="","Job Target Kosong",IF(COUNT(IF('Data Assessment'!$N395:$Z395-OFFSET(Standar!$B$2,MATCH(Assessment[[#This Row],[JOB TARGET
(EST)]],Standar[NAMA JABATAN],0)-1,1,1,13)&lt;0,1,""))&lt;=3,'9 Grid'!$B$4,IF(COUNT(IF('Data Assessment'!$N395:$Z395-OFFSET(Standar!$B$2,MATCH(Assessment[[#This Row],[JOB TARGET]],Standar[NAMA JABATAN],0)-1,1,1,13)&lt;0,1,""))&gt;=7,'9 Grid'!$B$6,'9 Grid'!$B$5)))</f>
        <v>Job Target Kosong</v>
      </c>
      <c r="I395" s="146" t="str">
        <f>IFERROR(IF(Data_Assessment[[#This Row],[IPP (3 YEARS AVERAGE)]]="","(IPP Belum Ada)",IF(Data_Assessment[[#This Row],[IPP (3 YEARS AVERAGE)]]&lt;2,'9 Grid'!$F$2,IF(Data_Assessment[[#This Row],[IPP (3 YEARS AVERAGE)]]&gt;=4,'9 Grid'!$D$2,'9 Grid'!$E$2))),"")</f>
        <v>Fully Competence Performance</v>
      </c>
      <c r="J395" s="146" t="str">
        <f ca="1">IFERROR(INDEX('9 Grid'!$D$4:$F$6,MATCH('Rekomendasi HAV'!H395,'9 Grid'!$B$4:$B$6,0),MATCH('Rekomendasi HAV'!I395,'9 Grid'!$D$2:$F$2,0)),"")</f>
        <v/>
      </c>
      <c r="K395" s="146" t="str">
        <f>IFERROR(INDEX('9 Grid'!$D$8:$F$8,1,MATCH('Rekomendasi HAV'!I395,'9 Grid'!$D$2:$F$2,0)),"")</f>
        <v>(ST) Within 12 - 18 month</v>
      </c>
      <c r="L395" s="146">
        <f>IF(ISNUMBER(SEARCH("EST",Assessment[[#This Row],[JOB TARGET]])),SUBSTITUTE(Assessment[[#This Row],[JOB TARGET]],"EST","DEV"),Assessment[[#This Row],[JOB TARGET]])</f>
        <v>0</v>
      </c>
      <c r="M395" s="146" t="str" cm="1">
        <f t="array" aca="1" ref="M395" ca="1">IF(Assessment[[#This Row],[JOB TARGET]]="","Job Target Kosong",IF(COUNT(IF('Data Assessment'!$N395:$Z395-OFFSET(Standar!$B$2,MATCH(Assessment[[#This Row],[JOB TARGET
(DEV)]],Standar[NAMA JABATAN],0)-1,1,1,13)&lt;0,1,""))&lt;=3,'9 Grid'!$B$4,IF(COUNT(IF('Data Assessment'!$N395:$Z395-OFFSET(Standar!$B$2,MATCH(Assessment[[#This Row],[JOB TARGET
(DEV)]],Standar[NAMA JABATAN],0)-1,1,1,13)&lt;0,1,""))&gt;=7,'9 Grid'!$B$6,'9 Grid'!$B$5)))</f>
        <v>Job Target Kosong</v>
      </c>
      <c r="N395" s="146" t="str">
        <f>IFERROR(IF(Data_Assessment[[#This Row],[IPP (3 YEARS AVERAGE)]]="","(IPP Belum Ada)",IF(Data_Assessment[[#This Row],[IPP (3 YEARS AVERAGE)]]&lt;2,'9 Grid'!$F$2,IF(Data_Assessment[[#This Row],[IPP (3 YEARS AVERAGE)]]&gt;=4,'9 Grid'!$D$2,'9 Grid'!$E$2))),"")</f>
        <v>Fully Competence Performance</v>
      </c>
      <c r="O395" s="146" t="str">
        <f ca="1">IFERROR(INDEX('9 Grid'!$D$4:$F$6,MATCH('Rekomendasi HAV'!M395,'9 Grid'!$B$4:$B$6,0),MATCH('Rekomendasi HAV'!N395,'9 Grid'!$D$2:$F$2,0)),"")</f>
        <v/>
      </c>
      <c r="P395" s="147" t="str">
        <f>IFERROR(INDEX('9 Grid'!$D$8:$F$8,1,MATCH('Rekomendasi HAV'!N395,'9 Grid'!$D$2:$F$2,0)),"")</f>
        <v>(ST) Within 12 - 18 month</v>
      </c>
    </row>
    <row r="396" spans="1:16" ht="28.5">
      <c r="A396" s="67">
        <v>395</v>
      </c>
      <c r="B396" s="68" t="str">
        <f>INDEX(Data_Assessment[],MATCH('Rekomendasi HAV'!$A396,Data_Assessment[[INDEX]:[INDEX]],0),MATCH('Rekomendasi HAV'!B$1,Data_Assessment[#Headers],0))</f>
        <v>Dharmawan</v>
      </c>
      <c r="C396" s="68" t="str">
        <f>INDEX(Data_Assessment[],MATCH('Rekomendasi HAV'!$A396,Data_Assessment[[INDEX]:[INDEX]],0),MATCH('Rekomendasi HAV'!C$1,Data_Assessment[#Headers],0))</f>
        <v>Sumatera Selatan</v>
      </c>
      <c r="D396" s="68" t="str">
        <f>INDEX(Data_Assessment[],MATCH('Rekomendasi HAV'!$A396,Data_Assessment[[INDEX]:[INDEX]],0),MATCH('Rekomendasi HAV'!D$1,Data_Assessment[#Headers],0))</f>
        <v>LSIP - Suka Damai Estate</v>
      </c>
      <c r="E396" s="68">
        <f>INDEX(Data_Assessment[],MATCH('Rekomendasi HAV'!$B396,Data_Assessment[[NAME]:[NAME]],0),MATCH('Rekomendasi HAV'!E$1,Data_Assessment[#Headers],0))</f>
        <v>0</v>
      </c>
      <c r="F396" s="68"/>
      <c r="G396" s="68">
        <f>IF(ISNUMBER(SEARCH("DEV",Assessment[[#This Row],[JOB TARGET]])),SUBSTITUTE(Assessment[[#This Row],[JOB TARGET]],"DEV","EST"),Assessment[[#This Row],[JOB TARGET]])</f>
        <v>0</v>
      </c>
      <c r="H396" s="146" t="str" cm="1">
        <f t="array" aca="1" ref="H396" ca="1">IF(Assessment[[#This Row],[JOB TARGET]]="","Job Target Kosong",IF(COUNT(IF('Data Assessment'!$N396:$Z396-OFFSET(Standar!$B$2,MATCH(Assessment[[#This Row],[JOB TARGET
(EST)]],Standar[NAMA JABATAN],0)-1,1,1,13)&lt;0,1,""))&lt;=3,'9 Grid'!$B$4,IF(COUNT(IF('Data Assessment'!$N396:$Z396-OFFSET(Standar!$B$2,MATCH(Assessment[[#This Row],[JOB TARGET]],Standar[NAMA JABATAN],0)-1,1,1,13)&lt;0,1,""))&gt;=7,'9 Grid'!$B$6,'9 Grid'!$B$5)))</f>
        <v>Job Target Kosong</v>
      </c>
      <c r="I396" s="146" t="str">
        <f>IFERROR(IF(Data_Assessment[[#This Row],[IPP (3 YEARS AVERAGE)]]="","(IPP Belum Ada)",IF(Data_Assessment[[#This Row],[IPP (3 YEARS AVERAGE)]]&lt;2,'9 Grid'!$F$2,IF(Data_Assessment[[#This Row],[IPP (3 YEARS AVERAGE)]]&gt;=4,'9 Grid'!$D$2,'9 Grid'!$E$2))),"")</f>
        <v>Fully Competence Performance</v>
      </c>
      <c r="J396" s="146" t="str">
        <f ca="1">IFERROR(INDEX('9 Grid'!$D$4:$F$6,MATCH('Rekomendasi HAV'!H396,'9 Grid'!$B$4:$B$6,0),MATCH('Rekomendasi HAV'!I396,'9 Grid'!$D$2:$F$2,0)),"")</f>
        <v/>
      </c>
      <c r="K396" s="146" t="str">
        <f>IFERROR(INDEX('9 Grid'!$D$8:$F$8,1,MATCH('Rekomendasi HAV'!I396,'9 Grid'!$D$2:$F$2,0)),"")</f>
        <v>(ST) Within 12 - 18 month</v>
      </c>
      <c r="L396" s="146">
        <f>IF(ISNUMBER(SEARCH("EST",Assessment[[#This Row],[JOB TARGET]])),SUBSTITUTE(Assessment[[#This Row],[JOB TARGET]],"EST","DEV"),Assessment[[#This Row],[JOB TARGET]])</f>
        <v>0</v>
      </c>
      <c r="M396" s="146" t="str" cm="1">
        <f t="array" aca="1" ref="M396" ca="1">IF(Assessment[[#This Row],[JOB TARGET]]="","Job Target Kosong",IF(COUNT(IF('Data Assessment'!$N396:$Z396-OFFSET(Standar!$B$2,MATCH(Assessment[[#This Row],[JOB TARGET
(DEV)]],Standar[NAMA JABATAN],0)-1,1,1,13)&lt;0,1,""))&lt;=3,'9 Grid'!$B$4,IF(COUNT(IF('Data Assessment'!$N396:$Z396-OFFSET(Standar!$B$2,MATCH(Assessment[[#This Row],[JOB TARGET
(DEV)]],Standar[NAMA JABATAN],0)-1,1,1,13)&lt;0,1,""))&gt;=7,'9 Grid'!$B$6,'9 Grid'!$B$5)))</f>
        <v>Job Target Kosong</v>
      </c>
      <c r="N396" s="146" t="str">
        <f>IFERROR(IF(Data_Assessment[[#This Row],[IPP (3 YEARS AVERAGE)]]="","(IPP Belum Ada)",IF(Data_Assessment[[#This Row],[IPP (3 YEARS AVERAGE)]]&lt;2,'9 Grid'!$F$2,IF(Data_Assessment[[#This Row],[IPP (3 YEARS AVERAGE)]]&gt;=4,'9 Grid'!$D$2,'9 Grid'!$E$2))),"")</f>
        <v>Fully Competence Performance</v>
      </c>
      <c r="O396" s="146" t="str">
        <f ca="1">IFERROR(INDEX('9 Grid'!$D$4:$F$6,MATCH('Rekomendasi HAV'!M396,'9 Grid'!$B$4:$B$6,0),MATCH('Rekomendasi HAV'!N396,'9 Grid'!$D$2:$F$2,0)),"")</f>
        <v/>
      </c>
      <c r="P396" s="147" t="str">
        <f>IFERROR(INDEX('9 Grid'!$D$8:$F$8,1,MATCH('Rekomendasi HAV'!N396,'9 Grid'!$D$2:$F$2,0)),"")</f>
        <v>(ST) Within 12 - 18 month</v>
      </c>
    </row>
    <row r="397" spans="1:16" ht="28.5">
      <c r="A397" s="67">
        <v>396</v>
      </c>
      <c r="B397" s="68" t="str">
        <f>INDEX(Data_Assessment[],MATCH('Rekomendasi HAV'!$A397,Data_Assessment[[INDEX]:[INDEX]],0),MATCH('Rekomendasi HAV'!B$1,Data_Assessment[#Headers],0))</f>
        <v>Maya Endah Wulandari</v>
      </c>
      <c r="C397" s="68" t="str">
        <f>INDEX(Data_Assessment[],MATCH('Rekomendasi HAV'!$A397,Data_Assessment[[INDEX]:[INDEX]],0),MATCH('Rekomendasi HAV'!C$1,Data_Assessment[#Headers],0))</f>
        <v>Jakarta</v>
      </c>
      <c r="D397" s="68" t="str">
        <f>INDEX(Data_Assessment[],MATCH('Rekomendasi HAV'!$A397,Data_Assessment[[INDEX]:[INDEX]],0),MATCH('Rekomendasi HAV'!D$1,Data_Assessment[#Headers],0))</f>
        <v>LSIP - HO Jakarta</v>
      </c>
      <c r="E397" s="68">
        <f>INDEX(Data_Assessment[],MATCH('Rekomendasi HAV'!$B397,Data_Assessment[[NAME]:[NAME]],0),MATCH('Rekomendasi HAV'!E$1,Data_Assessment[#Headers],0))</f>
        <v>0</v>
      </c>
      <c r="F397" s="68"/>
      <c r="G397" s="68">
        <f>IF(ISNUMBER(SEARCH("DEV",Assessment[[#This Row],[JOB TARGET]])),SUBSTITUTE(Assessment[[#This Row],[JOB TARGET]],"DEV","EST"),Assessment[[#This Row],[JOB TARGET]])</f>
        <v>0</v>
      </c>
      <c r="H397" s="146" t="str" cm="1">
        <f t="array" aca="1" ref="H397" ca="1">IF(Assessment[[#This Row],[JOB TARGET]]="","Job Target Kosong",IF(COUNT(IF('Data Assessment'!$N397:$Z397-OFFSET(Standar!$B$2,MATCH(Assessment[[#This Row],[JOB TARGET
(EST)]],Standar[NAMA JABATAN],0)-1,1,1,13)&lt;0,1,""))&lt;=3,'9 Grid'!$B$4,IF(COUNT(IF('Data Assessment'!$N397:$Z397-OFFSET(Standar!$B$2,MATCH(Assessment[[#This Row],[JOB TARGET]],Standar[NAMA JABATAN],0)-1,1,1,13)&lt;0,1,""))&gt;=7,'9 Grid'!$B$6,'9 Grid'!$B$5)))</f>
        <v>Job Target Kosong</v>
      </c>
      <c r="I397" s="146" t="str">
        <f>IFERROR(IF(Data_Assessment[[#This Row],[IPP (3 YEARS AVERAGE)]]="","(IPP Belum Ada)",IF(Data_Assessment[[#This Row],[IPP (3 YEARS AVERAGE)]]&lt;2,'9 Grid'!$F$2,IF(Data_Assessment[[#This Row],[IPP (3 YEARS AVERAGE)]]&gt;=4,'9 Grid'!$D$2,'9 Grid'!$E$2))),"")</f>
        <v>Fully Competence Performance</v>
      </c>
      <c r="J397" s="146" t="str">
        <f ca="1">IFERROR(INDEX('9 Grid'!$D$4:$F$6,MATCH('Rekomendasi HAV'!H397,'9 Grid'!$B$4:$B$6,0),MATCH('Rekomendasi HAV'!I397,'9 Grid'!$D$2:$F$2,0)),"")</f>
        <v/>
      </c>
      <c r="K397" s="146" t="str">
        <f>IFERROR(INDEX('9 Grid'!$D$8:$F$8,1,MATCH('Rekomendasi HAV'!I397,'9 Grid'!$D$2:$F$2,0)),"")</f>
        <v>(ST) Within 12 - 18 month</v>
      </c>
      <c r="L397" s="146">
        <f>IF(ISNUMBER(SEARCH("EST",Assessment[[#This Row],[JOB TARGET]])),SUBSTITUTE(Assessment[[#This Row],[JOB TARGET]],"EST","DEV"),Assessment[[#This Row],[JOB TARGET]])</f>
        <v>0</v>
      </c>
      <c r="M397" s="146" t="str" cm="1">
        <f t="array" aca="1" ref="M397" ca="1">IF(Assessment[[#This Row],[JOB TARGET]]="","Job Target Kosong",IF(COUNT(IF('Data Assessment'!$N397:$Z397-OFFSET(Standar!$B$2,MATCH(Assessment[[#This Row],[JOB TARGET
(DEV)]],Standar[NAMA JABATAN],0)-1,1,1,13)&lt;0,1,""))&lt;=3,'9 Grid'!$B$4,IF(COUNT(IF('Data Assessment'!$N397:$Z397-OFFSET(Standar!$B$2,MATCH(Assessment[[#This Row],[JOB TARGET
(DEV)]],Standar[NAMA JABATAN],0)-1,1,1,13)&lt;0,1,""))&gt;=7,'9 Grid'!$B$6,'9 Grid'!$B$5)))</f>
        <v>Job Target Kosong</v>
      </c>
      <c r="N397" s="146" t="str">
        <f>IFERROR(IF(Data_Assessment[[#This Row],[IPP (3 YEARS AVERAGE)]]="","(IPP Belum Ada)",IF(Data_Assessment[[#This Row],[IPP (3 YEARS AVERAGE)]]&lt;2,'9 Grid'!$F$2,IF(Data_Assessment[[#This Row],[IPP (3 YEARS AVERAGE)]]&gt;=4,'9 Grid'!$D$2,'9 Grid'!$E$2))),"")</f>
        <v>Fully Competence Performance</v>
      </c>
      <c r="O397" s="146" t="str">
        <f ca="1">IFERROR(INDEX('9 Grid'!$D$4:$F$6,MATCH('Rekomendasi HAV'!M397,'9 Grid'!$B$4:$B$6,0),MATCH('Rekomendasi HAV'!N397,'9 Grid'!$D$2:$F$2,0)),"")</f>
        <v/>
      </c>
      <c r="P397" s="147" t="str">
        <f>IFERROR(INDEX('9 Grid'!$D$8:$F$8,1,MATCH('Rekomendasi HAV'!N397,'9 Grid'!$D$2:$F$2,0)),"")</f>
        <v>(ST) Within 12 - 18 month</v>
      </c>
    </row>
    <row r="398" spans="1:16" ht="28.5">
      <c r="A398" s="67">
        <v>397</v>
      </c>
      <c r="B398" s="68" t="str">
        <f>INDEX(Data_Assessment[],MATCH('Rekomendasi HAV'!$A398,Data_Assessment[[INDEX]:[INDEX]],0),MATCH('Rekomendasi HAV'!B$1,Data_Assessment[#Headers],0))</f>
        <v>Alan Rescue Sagala</v>
      </c>
      <c r="C398" s="68" t="str">
        <f>INDEX(Data_Assessment[],MATCH('Rekomendasi HAV'!$A398,Data_Assessment[[INDEX]:[INDEX]],0),MATCH('Rekomendasi HAV'!C$1,Data_Assessment[#Headers],0))</f>
        <v>Sumatera Selatan</v>
      </c>
      <c r="D398" s="68" t="str">
        <f>INDEX(Data_Assessment[],MATCH('Rekomendasi HAV'!$A398,Data_Assessment[[INDEX]:[INDEX]],0),MATCH('Rekomendasi HAV'!D$1,Data_Assessment[#Headers],0))</f>
        <v>LSIP - Budi Tirta Estate</v>
      </c>
      <c r="E398" s="68">
        <f>INDEX(Data_Assessment[],MATCH('Rekomendasi HAV'!$B398,Data_Assessment[[NAME]:[NAME]],0),MATCH('Rekomendasi HAV'!E$1,Data_Assessment[#Headers],0))</f>
        <v>0</v>
      </c>
      <c r="F398" s="68"/>
      <c r="G398" s="68">
        <f>IF(ISNUMBER(SEARCH("DEV",Assessment[[#This Row],[JOB TARGET]])),SUBSTITUTE(Assessment[[#This Row],[JOB TARGET]],"DEV","EST"),Assessment[[#This Row],[JOB TARGET]])</f>
        <v>0</v>
      </c>
      <c r="H398" s="146" t="str" cm="1">
        <f t="array" aca="1" ref="H398" ca="1">IF(Assessment[[#This Row],[JOB TARGET]]="","Job Target Kosong",IF(COUNT(IF('Data Assessment'!$N398:$Z398-OFFSET(Standar!$B$2,MATCH(Assessment[[#This Row],[JOB TARGET
(EST)]],Standar[NAMA JABATAN],0)-1,1,1,13)&lt;0,1,""))&lt;=3,'9 Grid'!$B$4,IF(COUNT(IF('Data Assessment'!$N398:$Z398-OFFSET(Standar!$B$2,MATCH(Assessment[[#This Row],[JOB TARGET]],Standar[NAMA JABATAN],0)-1,1,1,13)&lt;0,1,""))&gt;=7,'9 Grid'!$B$6,'9 Grid'!$B$5)))</f>
        <v>Job Target Kosong</v>
      </c>
      <c r="I398" s="146" t="str">
        <f>IFERROR(IF(Data_Assessment[[#This Row],[IPP (3 YEARS AVERAGE)]]="","(IPP Belum Ada)",IF(Data_Assessment[[#This Row],[IPP (3 YEARS AVERAGE)]]&lt;2,'9 Grid'!$F$2,IF(Data_Assessment[[#This Row],[IPP (3 YEARS AVERAGE)]]&gt;=4,'9 Grid'!$D$2,'9 Grid'!$E$2))),"")</f>
        <v>Fully Competence Performance</v>
      </c>
      <c r="J398" s="146" t="str">
        <f ca="1">IFERROR(INDEX('9 Grid'!$D$4:$F$6,MATCH('Rekomendasi HAV'!H398,'9 Grid'!$B$4:$B$6,0),MATCH('Rekomendasi HAV'!I398,'9 Grid'!$D$2:$F$2,0)),"")</f>
        <v/>
      </c>
      <c r="K398" s="146" t="str">
        <f>IFERROR(INDEX('9 Grid'!$D$8:$F$8,1,MATCH('Rekomendasi HAV'!I398,'9 Grid'!$D$2:$F$2,0)),"")</f>
        <v>(ST) Within 12 - 18 month</v>
      </c>
      <c r="L398" s="146">
        <f>IF(ISNUMBER(SEARCH("EST",Assessment[[#This Row],[JOB TARGET]])),SUBSTITUTE(Assessment[[#This Row],[JOB TARGET]],"EST","DEV"),Assessment[[#This Row],[JOB TARGET]])</f>
        <v>0</v>
      </c>
      <c r="M398" s="146" t="str" cm="1">
        <f t="array" aca="1" ref="M398" ca="1">IF(Assessment[[#This Row],[JOB TARGET]]="","Job Target Kosong",IF(COUNT(IF('Data Assessment'!$N398:$Z398-OFFSET(Standar!$B$2,MATCH(Assessment[[#This Row],[JOB TARGET
(DEV)]],Standar[NAMA JABATAN],0)-1,1,1,13)&lt;0,1,""))&lt;=3,'9 Grid'!$B$4,IF(COUNT(IF('Data Assessment'!$N398:$Z398-OFFSET(Standar!$B$2,MATCH(Assessment[[#This Row],[JOB TARGET
(DEV)]],Standar[NAMA JABATAN],0)-1,1,1,13)&lt;0,1,""))&gt;=7,'9 Grid'!$B$6,'9 Grid'!$B$5)))</f>
        <v>Job Target Kosong</v>
      </c>
      <c r="N398" s="146" t="str">
        <f>IFERROR(IF(Data_Assessment[[#This Row],[IPP (3 YEARS AVERAGE)]]="","(IPP Belum Ada)",IF(Data_Assessment[[#This Row],[IPP (3 YEARS AVERAGE)]]&lt;2,'9 Grid'!$F$2,IF(Data_Assessment[[#This Row],[IPP (3 YEARS AVERAGE)]]&gt;=4,'9 Grid'!$D$2,'9 Grid'!$E$2))),"")</f>
        <v>Fully Competence Performance</v>
      </c>
      <c r="O398" s="146" t="str">
        <f ca="1">IFERROR(INDEX('9 Grid'!$D$4:$F$6,MATCH('Rekomendasi HAV'!M398,'9 Grid'!$B$4:$B$6,0),MATCH('Rekomendasi HAV'!N398,'9 Grid'!$D$2:$F$2,0)),"")</f>
        <v/>
      </c>
      <c r="P398" s="147" t="str">
        <f>IFERROR(INDEX('9 Grid'!$D$8:$F$8,1,MATCH('Rekomendasi HAV'!N398,'9 Grid'!$D$2:$F$2,0)),"")</f>
        <v>(ST) Within 12 - 18 month</v>
      </c>
    </row>
    <row r="399" spans="1:16" ht="28.5">
      <c r="A399" s="67">
        <v>398</v>
      </c>
      <c r="B399" s="68" t="str">
        <f>INDEX(Data_Assessment[],MATCH('Rekomendasi HAV'!$A399,Data_Assessment[[INDEX]:[INDEX]],0),MATCH('Rekomendasi HAV'!B$1,Data_Assessment[#Headers],0))</f>
        <v>Helmi Winda Sinamo</v>
      </c>
      <c r="C399" s="68" t="str">
        <f>INDEX(Data_Assessment[],MATCH('Rekomendasi HAV'!$A399,Data_Assessment[[INDEX]:[INDEX]],0),MATCH('Rekomendasi HAV'!C$1,Data_Assessment[#Headers],0))</f>
        <v>Jakarta</v>
      </c>
      <c r="D399" s="68" t="str">
        <f>INDEX(Data_Assessment[],MATCH('Rekomendasi HAV'!$A399,Data_Assessment[[INDEX]:[INDEX]],0),MATCH('Rekomendasi HAV'!D$1,Data_Assessment[#Headers],0))</f>
        <v>LSIP - HO Jakarta</v>
      </c>
      <c r="E399" s="68">
        <f>INDEX(Data_Assessment[],MATCH('Rekomendasi HAV'!$B399,Data_Assessment[[NAME]:[NAME]],0),MATCH('Rekomendasi HAV'!E$1,Data_Assessment[#Headers],0))</f>
        <v>0</v>
      </c>
      <c r="F399" s="68"/>
      <c r="G399" s="68">
        <f>IF(ISNUMBER(SEARCH("DEV",Assessment[[#This Row],[JOB TARGET]])),SUBSTITUTE(Assessment[[#This Row],[JOB TARGET]],"DEV","EST"),Assessment[[#This Row],[JOB TARGET]])</f>
        <v>0</v>
      </c>
      <c r="H399" s="146" t="str" cm="1">
        <f t="array" aca="1" ref="H399" ca="1">IF(Assessment[[#This Row],[JOB TARGET]]="","Job Target Kosong",IF(COUNT(IF('Data Assessment'!$N399:$Z399-OFFSET(Standar!$B$2,MATCH(Assessment[[#This Row],[JOB TARGET
(EST)]],Standar[NAMA JABATAN],0)-1,1,1,13)&lt;0,1,""))&lt;=3,'9 Grid'!$B$4,IF(COUNT(IF('Data Assessment'!$N399:$Z399-OFFSET(Standar!$B$2,MATCH(Assessment[[#This Row],[JOB TARGET]],Standar[NAMA JABATAN],0)-1,1,1,13)&lt;0,1,""))&gt;=7,'9 Grid'!$B$6,'9 Grid'!$B$5)))</f>
        <v>Job Target Kosong</v>
      </c>
      <c r="I399" s="146" t="str">
        <f>IFERROR(IF(Data_Assessment[[#This Row],[IPP (3 YEARS AVERAGE)]]="","(IPP Belum Ada)",IF(Data_Assessment[[#This Row],[IPP (3 YEARS AVERAGE)]]&lt;2,'9 Grid'!$F$2,IF(Data_Assessment[[#This Row],[IPP (3 YEARS AVERAGE)]]&gt;=4,'9 Grid'!$D$2,'9 Grid'!$E$2))),"")</f>
        <v>Fully Competence Performance</v>
      </c>
      <c r="J399" s="146" t="str">
        <f ca="1">IFERROR(INDEX('9 Grid'!$D$4:$F$6,MATCH('Rekomendasi HAV'!H399,'9 Grid'!$B$4:$B$6,0),MATCH('Rekomendasi HAV'!I399,'9 Grid'!$D$2:$F$2,0)),"")</f>
        <v/>
      </c>
      <c r="K399" s="146" t="str">
        <f>IFERROR(INDEX('9 Grid'!$D$8:$F$8,1,MATCH('Rekomendasi HAV'!I399,'9 Grid'!$D$2:$F$2,0)),"")</f>
        <v>(ST) Within 12 - 18 month</v>
      </c>
      <c r="L399" s="146">
        <f>IF(ISNUMBER(SEARCH("EST",Assessment[[#This Row],[JOB TARGET]])),SUBSTITUTE(Assessment[[#This Row],[JOB TARGET]],"EST","DEV"),Assessment[[#This Row],[JOB TARGET]])</f>
        <v>0</v>
      </c>
      <c r="M399" s="146" t="str" cm="1">
        <f t="array" aca="1" ref="M399" ca="1">IF(Assessment[[#This Row],[JOB TARGET]]="","Job Target Kosong",IF(COUNT(IF('Data Assessment'!$N399:$Z399-OFFSET(Standar!$B$2,MATCH(Assessment[[#This Row],[JOB TARGET
(DEV)]],Standar[NAMA JABATAN],0)-1,1,1,13)&lt;0,1,""))&lt;=3,'9 Grid'!$B$4,IF(COUNT(IF('Data Assessment'!$N399:$Z399-OFFSET(Standar!$B$2,MATCH(Assessment[[#This Row],[JOB TARGET
(DEV)]],Standar[NAMA JABATAN],0)-1,1,1,13)&lt;0,1,""))&gt;=7,'9 Grid'!$B$6,'9 Grid'!$B$5)))</f>
        <v>Job Target Kosong</v>
      </c>
      <c r="N399" s="146" t="str">
        <f>IFERROR(IF(Data_Assessment[[#This Row],[IPP (3 YEARS AVERAGE)]]="","(IPP Belum Ada)",IF(Data_Assessment[[#This Row],[IPP (3 YEARS AVERAGE)]]&lt;2,'9 Grid'!$F$2,IF(Data_Assessment[[#This Row],[IPP (3 YEARS AVERAGE)]]&gt;=4,'9 Grid'!$D$2,'9 Grid'!$E$2))),"")</f>
        <v>Fully Competence Performance</v>
      </c>
      <c r="O399" s="146" t="str">
        <f ca="1">IFERROR(INDEX('9 Grid'!$D$4:$F$6,MATCH('Rekomendasi HAV'!M399,'9 Grid'!$B$4:$B$6,0),MATCH('Rekomendasi HAV'!N399,'9 Grid'!$D$2:$F$2,0)),"")</f>
        <v/>
      </c>
      <c r="P399" s="147" t="str">
        <f>IFERROR(INDEX('9 Grid'!$D$8:$F$8,1,MATCH('Rekomendasi HAV'!N399,'9 Grid'!$D$2:$F$2,0)),"")</f>
        <v>(ST) Within 12 - 18 month</v>
      </c>
    </row>
    <row r="400" spans="1:16" ht="28.5">
      <c r="A400" s="67">
        <v>399</v>
      </c>
      <c r="B400" s="68" t="str">
        <f>INDEX(Data_Assessment[],MATCH('Rekomendasi HAV'!$A400,Data_Assessment[[INDEX]:[INDEX]],0),MATCH('Rekomendasi HAV'!B$1,Data_Assessment[#Headers],0))</f>
        <v>Arif Kurnia Nasution</v>
      </c>
      <c r="C400" s="68" t="str">
        <f>INDEX(Data_Assessment[],MATCH('Rekomendasi HAV'!$A400,Data_Assessment[[INDEX]:[INDEX]],0),MATCH('Rekomendasi HAV'!C$1,Data_Assessment[#Headers],0))</f>
        <v>Sumatera Selatan</v>
      </c>
      <c r="D400" s="68" t="str">
        <f>INDEX(Data_Assessment[],MATCH('Rekomendasi HAV'!$A400,Data_Assessment[[INDEX]:[INDEX]],0),MATCH('Rekomendasi HAV'!D$1,Data_Assessment[#Headers],0))</f>
        <v>LSIP - Marga Sido Region</v>
      </c>
      <c r="E400" s="68">
        <f>INDEX(Data_Assessment[],MATCH('Rekomendasi HAV'!$B400,Data_Assessment[[NAME]:[NAME]],0),MATCH('Rekomendasi HAV'!E$1,Data_Assessment[#Headers],0))</f>
        <v>0</v>
      </c>
      <c r="F400" s="68"/>
      <c r="G400" s="68">
        <f>IF(ISNUMBER(SEARCH("DEV",Assessment[[#This Row],[JOB TARGET]])),SUBSTITUTE(Assessment[[#This Row],[JOB TARGET]],"DEV","EST"),Assessment[[#This Row],[JOB TARGET]])</f>
        <v>0</v>
      </c>
      <c r="H400" s="146" t="str" cm="1">
        <f t="array" aca="1" ref="H400" ca="1">IF(Assessment[[#This Row],[JOB TARGET]]="","Job Target Kosong",IF(COUNT(IF('Data Assessment'!$N400:$Z400-OFFSET(Standar!$B$2,MATCH(Assessment[[#This Row],[JOB TARGET
(EST)]],Standar[NAMA JABATAN],0)-1,1,1,13)&lt;0,1,""))&lt;=3,'9 Grid'!$B$4,IF(COUNT(IF('Data Assessment'!$N400:$Z400-OFFSET(Standar!$B$2,MATCH(Assessment[[#This Row],[JOB TARGET]],Standar[NAMA JABATAN],0)-1,1,1,13)&lt;0,1,""))&gt;=7,'9 Grid'!$B$6,'9 Grid'!$B$5)))</f>
        <v>Job Target Kosong</v>
      </c>
      <c r="I400" s="146" t="str">
        <f>IFERROR(IF(Data_Assessment[[#This Row],[IPP (3 YEARS AVERAGE)]]="","(IPP Belum Ada)",IF(Data_Assessment[[#This Row],[IPP (3 YEARS AVERAGE)]]&lt;2,'9 Grid'!$F$2,IF(Data_Assessment[[#This Row],[IPP (3 YEARS AVERAGE)]]&gt;=4,'9 Grid'!$D$2,'9 Grid'!$E$2))),"")</f>
        <v>Fully Competence Performance</v>
      </c>
      <c r="J400" s="146" t="str">
        <f ca="1">IFERROR(INDEX('9 Grid'!$D$4:$F$6,MATCH('Rekomendasi HAV'!H400,'9 Grid'!$B$4:$B$6,0),MATCH('Rekomendasi HAV'!I400,'9 Grid'!$D$2:$F$2,0)),"")</f>
        <v/>
      </c>
      <c r="K400" s="146" t="str">
        <f>IFERROR(INDEX('9 Grid'!$D$8:$F$8,1,MATCH('Rekomendasi HAV'!I400,'9 Grid'!$D$2:$F$2,0)),"")</f>
        <v>(ST) Within 12 - 18 month</v>
      </c>
      <c r="L400" s="146">
        <f>IF(ISNUMBER(SEARCH("EST",Assessment[[#This Row],[JOB TARGET]])),SUBSTITUTE(Assessment[[#This Row],[JOB TARGET]],"EST","DEV"),Assessment[[#This Row],[JOB TARGET]])</f>
        <v>0</v>
      </c>
      <c r="M400" s="146" t="str" cm="1">
        <f t="array" aca="1" ref="M400" ca="1">IF(Assessment[[#This Row],[JOB TARGET]]="","Job Target Kosong",IF(COUNT(IF('Data Assessment'!$N400:$Z400-OFFSET(Standar!$B$2,MATCH(Assessment[[#This Row],[JOB TARGET
(DEV)]],Standar[NAMA JABATAN],0)-1,1,1,13)&lt;0,1,""))&lt;=3,'9 Grid'!$B$4,IF(COUNT(IF('Data Assessment'!$N400:$Z400-OFFSET(Standar!$B$2,MATCH(Assessment[[#This Row],[JOB TARGET
(DEV)]],Standar[NAMA JABATAN],0)-1,1,1,13)&lt;0,1,""))&gt;=7,'9 Grid'!$B$6,'9 Grid'!$B$5)))</f>
        <v>Job Target Kosong</v>
      </c>
      <c r="N400" s="146" t="str">
        <f>IFERROR(IF(Data_Assessment[[#This Row],[IPP (3 YEARS AVERAGE)]]="","(IPP Belum Ada)",IF(Data_Assessment[[#This Row],[IPP (3 YEARS AVERAGE)]]&lt;2,'9 Grid'!$F$2,IF(Data_Assessment[[#This Row],[IPP (3 YEARS AVERAGE)]]&gt;=4,'9 Grid'!$D$2,'9 Grid'!$E$2))),"")</f>
        <v>Fully Competence Performance</v>
      </c>
      <c r="O400" s="146" t="str">
        <f ca="1">IFERROR(INDEX('9 Grid'!$D$4:$F$6,MATCH('Rekomendasi HAV'!M400,'9 Grid'!$B$4:$B$6,0),MATCH('Rekomendasi HAV'!N400,'9 Grid'!$D$2:$F$2,0)),"")</f>
        <v/>
      </c>
      <c r="P400" s="147" t="str">
        <f>IFERROR(INDEX('9 Grid'!$D$8:$F$8,1,MATCH('Rekomendasi HAV'!N400,'9 Grid'!$D$2:$F$2,0)),"")</f>
        <v>(ST) Within 12 - 18 month</v>
      </c>
    </row>
    <row r="401" spans="1:16" ht="14.25">
      <c r="A401" s="67">
        <v>400</v>
      </c>
      <c r="B401" s="68" t="str">
        <f>INDEX(Data_Assessment[],MATCH('Rekomendasi HAV'!$A401,Data_Assessment[[INDEX]:[INDEX]],0),MATCH('Rekomendasi HAV'!B$1,Data_Assessment[#Headers],0))</f>
        <v>Christian Dinata</v>
      </c>
      <c r="C401" s="68" t="str">
        <f>INDEX(Data_Assessment[],MATCH('Rekomendasi HAV'!$A401,Data_Assessment[[INDEX]:[INDEX]],0),MATCH('Rekomendasi HAV'!C$1,Data_Assessment[#Headers],0))</f>
        <v>Jakarta</v>
      </c>
      <c r="D401" s="68" t="str">
        <f>INDEX(Data_Assessment[],MATCH('Rekomendasi HAV'!$A401,Data_Assessment[[INDEX]:[INDEX]],0),MATCH('Rekomendasi HAV'!D$1,Data_Assessment[#Headers],0))</f>
        <v>LSIP - HO Jakarta</v>
      </c>
      <c r="E401" s="68">
        <f>INDEX(Data_Assessment[],MATCH('Rekomendasi HAV'!$B401,Data_Assessment[[NAME]:[NAME]],0),MATCH('Rekomendasi HAV'!E$1,Data_Assessment[#Headers],0))</f>
        <v>0</v>
      </c>
      <c r="F401" s="68"/>
      <c r="G401" s="68">
        <f>IF(ISNUMBER(SEARCH("DEV",Assessment[[#This Row],[JOB TARGET]])),SUBSTITUTE(Assessment[[#This Row],[JOB TARGET]],"DEV","EST"),Assessment[[#This Row],[JOB TARGET]])</f>
        <v>0</v>
      </c>
      <c r="H401" s="146" t="str" cm="1">
        <f t="array" aca="1" ref="H401" ca="1">IF(Assessment[[#This Row],[JOB TARGET]]="","Job Target Kosong",IF(COUNT(IF('Data Assessment'!$N401:$Z401-OFFSET(Standar!$B$2,MATCH(Assessment[[#This Row],[JOB TARGET
(EST)]],Standar[NAMA JABATAN],0)-1,1,1,13)&lt;0,1,""))&lt;=3,'9 Grid'!$B$4,IF(COUNT(IF('Data Assessment'!$N401:$Z401-OFFSET(Standar!$B$2,MATCH(Assessment[[#This Row],[JOB TARGET]],Standar[NAMA JABATAN],0)-1,1,1,13)&lt;0,1,""))&gt;=7,'9 Grid'!$B$6,'9 Grid'!$B$5)))</f>
        <v>Job Target Kosong</v>
      </c>
      <c r="I401" s="146" t="str">
        <f>IFERROR(IF(Data_Assessment[[#This Row],[IPP (3 YEARS AVERAGE)]]="","(IPP Belum Ada)",IF(Data_Assessment[[#This Row],[IPP (3 YEARS AVERAGE)]]&lt;2,'9 Grid'!$F$2,IF(Data_Assessment[[#This Row],[IPP (3 YEARS AVERAGE)]]&gt;=4,'9 Grid'!$D$2,'9 Grid'!$E$2))),"")</f>
        <v>Exceptional Performance</v>
      </c>
      <c r="J401" s="146" t="str">
        <f ca="1">IFERROR(INDEX('9 Grid'!$D$4:$F$6,MATCH('Rekomendasi HAV'!H401,'9 Grid'!$B$4:$B$6,0),MATCH('Rekomendasi HAV'!I401,'9 Grid'!$D$2:$F$2,0)),"")</f>
        <v/>
      </c>
      <c r="K401" s="146" t="str">
        <f>IFERROR(INDEX('9 Grid'!$D$8:$F$8,1,MATCH('Rekomendasi HAV'!I401,'9 Grid'!$D$2:$F$2,0)),"")</f>
        <v>(I) Immediately</v>
      </c>
      <c r="L401" s="146">
        <f>IF(ISNUMBER(SEARCH("EST",Assessment[[#This Row],[JOB TARGET]])),SUBSTITUTE(Assessment[[#This Row],[JOB TARGET]],"EST","DEV"),Assessment[[#This Row],[JOB TARGET]])</f>
        <v>0</v>
      </c>
      <c r="M401" s="146" t="str" cm="1">
        <f t="array" aca="1" ref="M401" ca="1">IF(Assessment[[#This Row],[JOB TARGET]]="","Job Target Kosong",IF(COUNT(IF('Data Assessment'!$N401:$Z401-OFFSET(Standar!$B$2,MATCH(Assessment[[#This Row],[JOB TARGET
(DEV)]],Standar[NAMA JABATAN],0)-1,1,1,13)&lt;0,1,""))&lt;=3,'9 Grid'!$B$4,IF(COUNT(IF('Data Assessment'!$N401:$Z401-OFFSET(Standar!$B$2,MATCH(Assessment[[#This Row],[JOB TARGET
(DEV)]],Standar[NAMA JABATAN],0)-1,1,1,13)&lt;0,1,""))&gt;=7,'9 Grid'!$B$6,'9 Grid'!$B$5)))</f>
        <v>Job Target Kosong</v>
      </c>
      <c r="N401" s="146" t="str">
        <f>IFERROR(IF(Data_Assessment[[#This Row],[IPP (3 YEARS AVERAGE)]]="","(IPP Belum Ada)",IF(Data_Assessment[[#This Row],[IPP (3 YEARS AVERAGE)]]&lt;2,'9 Grid'!$F$2,IF(Data_Assessment[[#This Row],[IPP (3 YEARS AVERAGE)]]&gt;=4,'9 Grid'!$D$2,'9 Grid'!$E$2))),"")</f>
        <v>Exceptional Performance</v>
      </c>
      <c r="O401" s="146" t="str">
        <f ca="1">IFERROR(INDEX('9 Grid'!$D$4:$F$6,MATCH('Rekomendasi HAV'!M401,'9 Grid'!$B$4:$B$6,0),MATCH('Rekomendasi HAV'!N401,'9 Grid'!$D$2:$F$2,0)),"")</f>
        <v/>
      </c>
      <c r="P401" s="147" t="str">
        <f>IFERROR(INDEX('9 Grid'!$D$8:$F$8,1,MATCH('Rekomendasi HAV'!N401,'9 Grid'!$D$2:$F$2,0)),"")</f>
        <v>(I) Immediately</v>
      </c>
    </row>
    <row r="402" spans="1:16" ht="28.5">
      <c r="A402" s="67">
        <v>401</v>
      </c>
      <c r="B402" s="68" t="str">
        <f>INDEX(Data_Assessment[],MATCH('Rekomendasi HAV'!$A402,Data_Assessment[[INDEX]:[INDEX]],0),MATCH('Rekomendasi HAV'!B$1,Data_Assessment[#Headers],0))</f>
        <v>Rori Rumenda</v>
      </c>
      <c r="C402" s="68" t="str">
        <f>INDEX(Data_Assessment[],MATCH('Rekomendasi HAV'!$A402,Data_Assessment[[INDEX]:[INDEX]],0),MATCH('Rekomendasi HAV'!C$1,Data_Assessment[#Headers],0))</f>
        <v>Sumatera Utara</v>
      </c>
      <c r="D402" s="68" t="str">
        <f>INDEX(Data_Assessment[],MATCH('Rekomendasi HAV'!$A402,Data_Assessment[[INDEX]:[INDEX]],0),MATCH('Rekomendasi HAV'!D$1,Data_Assessment[#Headers],0))</f>
        <v>LSIP - Gunung Malayu Palm Oil Mill</v>
      </c>
      <c r="E402" s="68">
        <f>INDEX(Data_Assessment[],MATCH('Rekomendasi HAV'!$B402,Data_Assessment[[NAME]:[NAME]],0),MATCH('Rekomendasi HAV'!E$1,Data_Assessment[#Headers],0))</f>
        <v>0</v>
      </c>
      <c r="F402" s="68"/>
      <c r="G402" s="68">
        <f>IF(ISNUMBER(SEARCH("DEV",Assessment[[#This Row],[JOB TARGET]])),SUBSTITUTE(Assessment[[#This Row],[JOB TARGET]],"DEV","EST"),Assessment[[#This Row],[JOB TARGET]])</f>
        <v>0</v>
      </c>
      <c r="H402" s="146" t="str" cm="1">
        <f t="array" aca="1" ref="H402" ca="1">IF(Assessment[[#This Row],[JOB TARGET]]="","Job Target Kosong",IF(COUNT(IF('Data Assessment'!$N402:$Z402-OFFSET(Standar!$B$2,MATCH(Assessment[[#This Row],[JOB TARGET
(EST)]],Standar[NAMA JABATAN],0)-1,1,1,13)&lt;0,1,""))&lt;=3,'9 Grid'!$B$4,IF(COUNT(IF('Data Assessment'!$N402:$Z402-OFFSET(Standar!$B$2,MATCH(Assessment[[#This Row],[JOB TARGET]],Standar[NAMA JABATAN],0)-1,1,1,13)&lt;0,1,""))&gt;=7,'9 Grid'!$B$6,'9 Grid'!$B$5)))</f>
        <v>Job Target Kosong</v>
      </c>
      <c r="I402" s="146" t="str">
        <f>IFERROR(IF(Data_Assessment[[#This Row],[IPP (3 YEARS AVERAGE)]]="","(IPP Belum Ada)",IF(Data_Assessment[[#This Row],[IPP (3 YEARS AVERAGE)]]&lt;2,'9 Grid'!$F$2,IF(Data_Assessment[[#This Row],[IPP (3 YEARS AVERAGE)]]&gt;=4,'9 Grid'!$D$2,'9 Grid'!$E$2))),"")</f>
        <v>Fully Competence Performance</v>
      </c>
      <c r="J402" s="146" t="str">
        <f ca="1">IFERROR(INDEX('9 Grid'!$D$4:$F$6,MATCH('Rekomendasi HAV'!H402,'9 Grid'!$B$4:$B$6,0),MATCH('Rekomendasi HAV'!I402,'9 Grid'!$D$2:$F$2,0)),"")</f>
        <v/>
      </c>
      <c r="K402" s="146" t="str">
        <f>IFERROR(INDEX('9 Grid'!$D$8:$F$8,1,MATCH('Rekomendasi HAV'!I402,'9 Grid'!$D$2:$F$2,0)),"")</f>
        <v>(ST) Within 12 - 18 month</v>
      </c>
      <c r="L402" s="146">
        <f>IF(ISNUMBER(SEARCH("EST",Assessment[[#This Row],[JOB TARGET]])),SUBSTITUTE(Assessment[[#This Row],[JOB TARGET]],"EST","DEV"),Assessment[[#This Row],[JOB TARGET]])</f>
        <v>0</v>
      </c>
      <c r="M402" s="146" t="str" cm="1">
        <f t="array" aca="1" ref="M402" ca="1">IF(Assessment[[#This Row],[JOB TARGET]]="","Job Target Kosong",IF(COUNT(IF('Data Assessment'!$N402:$Z402-OFFSET(Standar!$B$2,MATCH(Assessment[[#This Row],[JOB TARGET
(DEV)]],Standar[NAMA JABATAN],0)-1,1,1,13)&lt;0,1,""))&lt;=3,'9 Grid'!$B$4,IF(COUNT(IF('Data Assessment'!$N402:$Z402-OFFSET(Standar!$B$2,MATCH(Assessment[[#This Row],[JOB TARGET
(DEV)]],Standar[NAMA JABATAN],0)-1,1,1,13)&lt;0,1,""))&gt;=7,'9 Grid'!$B$6,'9 Grid'!$B$5)))</f>
        <v>Job Target Kosong</v>
      </c>
      <c r="N402" s="146" t="str">
        <f>IFERROR(IF(Data_Assessment[[#This Row],[IPP (3 YEARS AVERAGE)]]="","(IPP Belum Ada)",IF(Data_Assessment[[#This Row],[IPP (3 YEARS AVERAGE)]]&lt;2,'9 Grid'!$F$2,IF(Data_Assessment[[#This Row],[IPP (3 YEARS AVERAGE)]]&gt;=4,'9 Grid'!$D$2,'9 Grid'!$E$2))),"")</f>
        <v>Fully Competence Performance</v>
      </c>
      <c r="O402" s="146" t="str">
        <f ca="1">IFERROR(INDEX('9 Grid'!$D$4:$F$6,MATCH('Rekomendasi HAV'!M402,'9 Grid'!$B$4:$B$6,0),MATCH('Rekomendasi HAV'!N402,'9 Grid'!$D$2:$F$2,0)),"")</f>
        <v/>
      </c>
      <c r="P402" s="147" t="str">
        <f>IFERROR(INDEX('9 Grid'!$D$8:$F$8,1,MATCH('Rekomendasi HAV'!N402,'9 Grid'!$D$2:$F$2,0)),"")</f>
        <v>(ST) Within 12 - 18 month</v>
      </c>
    </row>
    <row r="403" spans="1:16" ht="28.5">
      <c r="A403" s="67">
        <v>402</v>
      </c>
      <c r="B403" s="68" t="str">
        <f>INDEX(Data_Assessment[],MATCH('Rekomendasi HAV'!$A403,Data_Assessment[[INDEX]:[INDEX]],0),MATCH('Rekomendasi HAV'!B$1,Data_Assessment[#Headers],0))</f>
        <v>Hamka Singadilaga</v>
      </c>
      <c r="C403" s="68" t="str">
        <f>INDEX(Data_Assessment[],MATCH('Rekomendasi HAV'!$A403,Data_Assessment[[INDEX]:[INDEX]],0),MATCH('Rekomendasi HAV'!C$1,Data_Assessment[#Headers],0))</f>
        <v>Sumatera Selatan</v>
      </c>
      <c r="D403" s="68" t="str">
        <f>INDEX(Data_Assessment[],MATCH('Rekomendasi HAV'!$A403,Data_Assessment[[INDEX]:[INDEX]],0),MATCH('Rekomendasi HAV'!D$1,Data_Assessment[#Headers],0))</f>
        <v>LSIP - Pelita Jaya Region</v>
      </c>
      <c r="E403" s="68">
        <f>INDEX(Data_Assessment[],MATCH('Rekomendasi HAV'!$B403,Data_Assessment[[NAME]:[NAME]],0),MATCH('Rekomendasi HAV'!E$1,Data_Assessment[#Headers],0))</f>
        <v>0</v>
      </c>
      <c r="F403" s="68"/>
      <c r="G403" s="68">
        <f>IF(ISNUMBER(SEARCH("DEV",Assessment[[#This Row],[JOB TARGET]])),SUBSTITUTE(Assessment[[#This Row],[JOB TARGET]],"DEV","EST"),Assessment[[#This Row],[JOB TARGET]])</f>
        <v>0</v>
      </c>
      <c r="H403" s="146" t="str" cm="1">
        <f t="array" aca="1" ref="H403" ca="1">IF(Assessment[[#This Row],[JOB TARGET]]="","Job Target Kosong",IF(COUNT(IF('Data Assessment'!$N403:$Z403-OFFSET(Standar!$B$2,MATCH(Assessment[[#This Row],[JOB TARGET
(EST)]],Standar[NAMA JABATAN],0)-1,1,1,13)&lt;0,1,""))&lt;=3,'9 Grid'!$B$4,IF(COUNT(IF('Data Assessment'!$N403:$Z403-OFFSET(Standar!$B$2,MATCH(Assessment[[#This Row],[JOB TARGET]],Standar[NAMA JABATAN],0)-1,1,1,13)&lt;0,1,""))&gt;=7,'9 Grid'!$B$6,'9 Grid'!$B$5)))</f>
        <v>Job Target Kosong</v>
      </c>
      <c r="I403" s="146" t="str">
        <f>IFERROR(IF(Data_Assessment[[#This Row],[IPP (3 YEARS AVERAGE)]]="","(IPP Belum Ada)",IF(Data_Assessment[[#This Row],[IPP (3 YEARS AVERAGE)]]&lt;2,'9 Grid'!$F$2,IF(Data_Assessment[[#This Row],[IPP (3 YEARS AVERAGE)]]&gt;=4,'9 Grid'!$D$2,'9 Grid'!$E$2))),"")</f>
        <v>Fully Competence Performance</v>
      </c>
      <c r="J403" s="146" t="str">
        <f ca="1">IFERROR(INDEX('9 Grid'!$D$4:$F$6,MATCH('Rekomendasi HAV'!H403,'9 Grid'!$B$4:$B$6,0),MATCH('Rekomendasi HAV'!I403,'9 Grid'!$D$2:$F$2,0)),"")</f>
        <v/>
      </c>
      <c r="K403" s="146" t="str">
        <f>IFERROR(INDEX('9 Grid'!$D$8:$F$8,1,MATCH('Rekomendasi HAV'!I403,'9 Grid'!$D$2:$F$2,0)),"")</f>
        <v>(ST) Within 12 - 18 month</v>
      </c>
      <c r="L403" s="146">
        <f>IF(ISNUMBER(SEARCH("EST",Assessment[[#This Row],[JOB TARGET]])),SUBSTITUTE(Assessment[[#This Row],[JOB TARGET]],"EST","DEV"),Assessment[[#This Row],[JOB TARGET]])</f>
        <v>0</v>
      </c>
      <c r="M403" s="146" t="str" cm="1">
        <f t="array" aca="1" ref="M403" ca="1">IF(Assessment[[#This Row],[JOB TARGET]]="","Job Target Kosong",IF(COUNT(IF('Data Assessment'!$N403:$Z403-OFFSET(Standar!$B$2,MATCH(Assessment[[#This Row],[JOB TARGET
(DEV)]],Standar[NAMA JABATAN],0)-1,1,1,13)&lt;0,1,""))&lt;=3,'9 Grid'!$B$4,IF(COUNT(IF('Data Assessment'!$N403:$Z403-OFFSET(Standar!$B$2,MATCH(Assessment[[#This Row],[JOB TARGET
(DEV)]],Standar[NAMA JABATAN],0)-1,1,1,13)&lt;0,1,""))&gt;=7,'9 Grid'!$B$6,'9 Grid'!$B$5)))</f>
        <v>Job Target Kosong</v>
      </c>
      <c r="N403" s="146" t="str">
        <f>IFERROR(IF(Data_Assessment[[#This Row],[IPP (3 YEARS AVERAGE)]]="","(IPP Belum Ada)",IF(Data_Assessment[[#This Row],[IPP (3 YEARS AVERAGE)]]&lt;2,'9 Grid'!$F$2,IF(Data_Assessment[[#This Row],[IPP (3 YEARS AVERAGE)]]&gt;=4,'9 Grid'!$D$2,'9 Grid'!$E$2))),"")</f>
        <v>Fully Competence Performance</v>
      </c>
      <c r="O403" s="146" t="str">
        <f ca="1">IFERROR(INDEX('9 Grid'!$D$4:$F$6,MATCH('Rekomendasi HAV'!M403,'9 Grid'!$B$4:$B$6,0),MATCH('Rekomendasi HAV'!N403,'9 Grid'!$D$2:$F$2,0)),"")</f>
        <v/>
      </c>
      <c r="P403" s="147" t="str">
        <f>IFERROR(INDEX('9 Grid'!$D$8:$F$8,1,MATCH('Rekomendasi HAV'!N403,'9 Grid'!$D$2:$F$2,0)),"")</f>
        <v>(ST) Within 12 - 18 month</v>
      </c>
    </row>
    <row r="404" spans="1:16" ht="28.5">
      <c r="A404" s="67">
        <v>403</v>
      </c>
      <c r="B404" s="68" t="str">
        <f>INDEX(Data_Assessment[],MATCH('Rekomendasi HAV'!$A404,Data_Assessment[[INDEX]:[INDEX]],0),MATCH('Rekomendasi HAV'!B$1,Data_Assessment[#Headers],0))</f>
        <v>Adiyat Anugrah</v>
      </c>
      <c r="C404" s="68" t="str">
        <f>INDEX(Data_Assessment[],MATCH('Rekomendasi HAV'!$A404,Data_Assessment[[INDEX]:[INDEX]],0),MATCH('Rekomendasi HAV'!C$1,Data_Assessment[#Headers],0))</f>
        <v>Jakarta</v>
      </c>
      <c r="D404" s="68" t="str">
        <f>INDEX(Data_Assessment[],MATCH('Rekomendasi HAV'!$A404,Data_Assessment[[INDEX]:[INDEX]],0),MATCH('Rekomendasi HAV'!D$1,Data_Assessment[#Headers],0))</f>
        <v>LSIP - HO Jakarta</v>
      </c>
      <c r="E404" s="68">
        <f>INDEX(Data_Assessment[],MATCH('Rekomendasi HAV'!$B404,Data_Assessment[[NAME]:[NAME]],0),MATCH('Rekomendasi HAV'!E$1,Data_Assessment[#Headers],0))</f>
        <v>0</v>
      </c>
      <c r="F404" s="68"/>
      <c r="G404" s="68">
        <f>IF(ISNUMBER(SEARCH("DEV",Assessment[[#This Row],[JOB TARGET]])),SUBSTITUTE(Assessment[[#This Row],[JOB TARGET]],"DEV","EST"),Assessment[[#This Row],[JOB TARGET]])</f>
        <v>0</v>
      </c>
      <c r="H404" s="146" t="str" cm="1">
        <f t="array" aca="1" ref="H404" ca="1">IF(Assessment[[#This Row],[JOB TARGET]]="","Job Target Kosong",IF(COUNT(IF('Data Assessment'!$N404:$Z404-OFFSET(Standar!$B$2,MATCH(Assessment[[#This Row],[JOB TARGET
(EST)]],Standar[NAMA JABATAN],0)-1,1,1,13)&lt;0,1,""))&lt;=3,'9 Grid'!$B$4,IF(COUNT(IF('Data Assessment'!$N404:$Z404-OFFSET(Standar!$B$2,MATCH(Assessment[[#This Row],[JOB TARGET]],Standar[NAMA JABATAN],0)-1,1,1,13)&lt;0,1,""))&gt;=7,'9 Grid'!$B$6,'9 Grid'!$B$5)))</f>
        <v>Job Target Kosong</v>
      </c>
      <c r="I404" s="146" t="str">
        <f>IFERROR(IF(Data_Assessment[[#This Row],[IPP (3 YEARS AVERAGE)]]="","(IPP Belum Ada)",IF(Data_Assessment[[#This Row],[IPP (3 YEARS AVERAGE)]]&lt;2,'9 Grid'!$F$2,IF(Data_Assessment[[#This Row],[IPP (3 YEARS AVERAGE)]]&gt;=4,'9 Grid'!$D$2,'9 Grid'!$E$2))),"")</f>
        <v>Fully Competence Performance</v>
      </c>
      <c r="J404" s="146" t="str">
        <f ca="1">IFERROR(INDEX('9 Grid'!$D$4:$F$6,MATCH('Rekomendasi HAV'!H404,'9 Grid'!$B$4:$B$6,0),MATCH('Rekomendasi HAV'!I404,'9 Grid'!$D$2:$F$2,0)),"")</f>
        <v/>
      </c>
      <c r="K404" s="146" t="str">
        <f>IFERROR(INDEX('9 Grid'!$D$8:$F$8,1,MATCH('Rekomendasi HAV'!I404,'9 Grid'!$D$2:$F$2,0)),"")</f>
        <v>(ST) Within 12 - 18 month</v>
      </c>
      <c r="L404" s="146">
        <f>IF(ISNUMBER(SEARCH("EST",Assessment[[#This Row],[JOB TARGET]])),SUBSTITUTE(Assessment[[#This Row],[JOB TARGET]],"EST","DEV"),Assessment[[#This Row],[JOB TARGET]])</f>
        <v>0</v>
      </c>
      <c r="M404" s="146" t="str" cm="1">
        <f t="array" aca="1" ref="M404" ca="1">IF(Assessment[[#This Row],[JOB TARGET]]="","Job Target Kosong",IF(COUNT(IF('Data Assessment'!$N404:$Z404-OFFSET(Standar!$B$2,MATCH(Assessment[[#This Row],[JOB TARGET
(DEV)]],Standar[NAMA JABATAN],0)-1,1,1,13)&lt;0,1,""))&lt;=3,'9 Grid'!$B$4,IF(COUNT(IF('Data Assessment'!$N404:$Z404-OFFSET(Standar!$B$2,MATCH(Assessment[[#This Row],[JOB TARGET
(DEV)]],Standar[NAMA JABATAN],0)-1,1,1,13)&lt;0,1,""))&gt;=7,'9 Grid'!$B$6,'9 Grid'!$B$5)))</f>
        <v>Job Target Kosong</v>
      </c>
      <c r="N404" s="146" t="str">
        <f>IFERROR(IF(Data_Assessment[[#This Row],[IPP (3 YEARS AVERAGE)]]="","(IPP Belum Ada)",IF(Data_Assessment[[#This Row],[IPP (3 YEARS AVERAGE)]]&lt;2,'9 Grid'!$F$2,IF(Data_Assessment[[#This Row],[IPP (3 YEARS AVERAGE)]]&gt;=4,'9 Grid'!$D$2,'9 Grid'!$E$2))),"")</f>
        <v>Fully Competence Performance</v>
      </c>
      <c r="O404" s="146" t="str">
        <f ca="1">IFERROR(INDEX('9 Grid'!$D$4:$F$6,MATCH('Rekomendasi HAV'!M404,'9 Grid'!$B$4:$B$6,0),MATCH('Rekomendasi HAV'!N404,'9 Grid'!$D$2:$F$2,0)),"")</f>
        <v/>
      </c>
      <c r="P404" s="147" t="str">
        <f>IFERROR(INDEX('9 Grid'!$D$8:$F$8,1,MATCH('Rekomendasi HAV'!N404,'9 Grid'!$D$2:$F$2,0)),"")</f>
        <v>(ST) Within 12 - 18 month</v>
      </c>
    </row>
    <row r="405" spans="1:16" ht="28.5">
      <c r="A405" s="67">
        <v>404</v>
      </c>
      <c r="B405" s="68" t="str">
        <f>INDEX(Data_Assessment[],MATCH('Rekomendasi HAV'!$A405,Data_Assessment[[INDEX]:[INDEX]],0),MATCH('Rekomendasi HAV'!B$1,Data_Assessment[#Headers],0))</f>
        <v>Johan</v>
      </c>
      <c r="C405" s="68" t="str">
        <f>INDEX(Data_Assessment[],MATCH('Rekomendasi HAV'!$A405,Data_Assessment[[INDEX]:[INDEX]],0),MATCH('Rekomendasi HAV'!C$1,Data_Assessment[#Headers],0))</f>
        <v>Sumatera Selatan</v>
      </c>
      <c r="D405" s="68" t="str">
        <f>INDEX(Data_Assessment[],MATCH('Rekomendasi HAV'!$A405,Data_Assessment[[INDEX]:[INDEX]],0),MATCH('Rekomendasi HAV'!D$1,Data_Assessment[#Headers],0))</f>
        <v>LSIP - Pelita Jaya Region</v>
      </c>
      <c r="E405" s="68">
        <f>INDEX(Data_Assessment[],MATCH('Rekomendasi HAV'!$B405,Data_Assessment[[NAME]:[NAME]],0),MATCH('Rekomendasi HAV'!E$1,Data_Assessment[#Headers],0))</f>
        <v>0</v>
      </c>
      <c r="F405" s="68"/>
      <c r="G405" s="68">
        <f>IF(ISNUMBER(SEARCH("DEV",Assessment[[#This Row],[JOB TARGET]])),SUBSTITUTE(Assessment[[#This Row],[JOB TARGET]],"DEV","EST"),Assessment[[#This Row],[JOB TARGET]])</f>
        <v>0</v>
      </c>
      <c r="H405" s="146" t="str" cm="1">
        <f t="array" aca="1" ref="H405" ca="1">IF(Assessment[[#This Row],[JOB TARGET]]="","Job Target Kosong",IF(COUNT(IF('Data Assessment'!$N405:$Z405-OFFSET(Standar!$B$2,MATCH(Assessment[[#This Row],[JOB TARGET
(EST)]],Standar[NAMA JABATAN],0)-1,1,1,13)&lt;0,1,""))&lt;=3,'9 Grid'!$B$4,IF(COUNT(IF('Data Assessment'!$N405:$Z405-OFFSET(Standar!$B$2,MATCH(Assessment[[#This Row],[JOB TARGET]],Standar[NAMA JABATAN],0)-1,1,1,13)&lt;0,1,""))&gt;=7,'9 Grid'!$B$6,'9 Grid'!$B$5)))</f>
        <v>Job Target Kosong</v>
      </c>
      <c r="I405" s="146" t="str">
        <f>IFERROR(IF(Data_Assessment[[#This Row],[IPP (3 YEARS AVERAGE)]]="","(IPP Belum Ada)",IF(Data_Assessment[[#This Row],[IPP (3 YEARS AVERAGE)]]&lt;2,'9 Grid'!$F$2,IF(Data_Assessment[[#This Row],[IPP (3 YEARS AVERAGE)]]&gt;=4,'9 Grid'!$D$2,'9 Grid'!$E$2))),"")</f>
        <v>Fully Competence Performance</v>
      </c>
      <c r="J405" s="146" t="str">
        <f ca="1">IFERROR(INDEX('9 Grid'!$D$4:$F$6,MATCH('Rekomendasi HAV'!H405,'9 Grid'!$B$4:$B$6,0),MATCH('Rekomendasi HAV'!I405,'9 Grid'!$D$2:$F$2,0)),"")</f>
        <v/>
      </c>
      <c r="K405" s="146" t="str">
        <f>IFERROR(INDEX('9 Grid'!$D$8:$F$8,1,MATCH('Rekomendasi HAV'!I405,'9 Grid'!$D$2:$F$2,0)),"")</f>
        <v>(ST) Within 12 - 18 month</v>
      </c>
      <c r="L405" s="146">
        <f>IF(ISNUMBER(SEARCH("EST",Assessment[[#This Row],[JOB TARGET]])),SUBSTITUTE(Assessment[[#This Row],[JOB TARGET]],"EST","DEV"),Assessment[[#This Row],[JOB TARGET]])</f>
        <v>0</v>
      </c>
      <c r="M405" s="146" t="str" cm="1">
        <f t="array" aca="1" ref="M405" ca="1">IF(Assessment[[#This Row],[JOB TARGET]]="","Job Target Kosong",IF(COUNT(IF('Data Assessment'!$N405:$Z405-OFFSET(Standar!$B$2,MATCH(Assessment[[#This Row],[JOB TARGET
(DEV)]],Standar[NAMA JABATAN],0)-1,1,1,13)&lt;0,1,""))&lt;=3,'9 Grid'!$B$4,IF(COUNT(IF('Data Assessment'!$N405:$Z405-OFFSET(Standar!$B$2,MATCH(Assessment[[#This Row],[JOB TARGET
(DEV)]],Standar[NAMA JABATAN],0)-1,1,1,13)&lt;0,1,""))&gt;=7,'9 Grid'!$B$6,'9 Grid'!$B$5)))</f>
        <v>Job Target Kosong</v>
      </c>
      <c r="N405" s="146" t="str">
        <f>IFERROR(IF(Data_Assessment[[#This Row],[IPP (3 YEARS AVERAGE)]]="","(IPP Belum Ada)",IF(Data_Assessment[[#This Row],[IPP (3 YEARS AVERAGE)]]&lt;2,'9 Grid'!$F$2,IF(Data_Assessment[[#This Row],[IPP (3 YEARS AVERAGE)]]&gt;=4,'9 Grid'!$D$2,'9 Grid'!$E$2))),"")</f>
        <v>Fully Competence Performance</v>
      </c>
      <c r="O405" s="146" t="str">
        <f ca="1">IFERROR(INDEX('9 Grid'!$D$4:$F$6,MATCH('Rekomendasi HAV'!M405,'9 Grid'!$B$4:$B$6,0),MATCH('Rekomendasi HAV'!N405,'9 Grid'!$D$2:$F$2,0)),"")</f>
        <v/>
      </c>
      <c r="P405" s="147" t="str">
        <f>IFERROR(INDEX('9 Grid'!$D$8:$F$8,1,MATCH('Rekomendasi HAV'!N405,'9 Grid'!$D$2:$F$2,0)),"")</f>
        <v>(ST) Within 12 - 18 month</v>
      </c>
    </row>
    <row r="406" spans="1:16" ht="28.5">
      <c r="A406" s="67">
        <v>405</v>
      </c>
      <c r="B406" s="68" t="str">
        <f>INDEX(Data_Assessment[],MATCH('Rekomendasi HAV'!$A406,Data_Assessment[[INDEX]:[INDEX]],0),MATCH('Rekomendasi HAV'!B$1,Data_Assessment[#Headers],0))</f>
        <v>Sanusi Dongoran</v>
      </c>
      <c r="C406" s="68" t="str">
        <f>INDEX(Data_Assessment[],MATCH('Rekomendasi HAV'!$A406,Data_Assessment[[INDEX]:[INDEX]],0),MATCH('Rekomendasi HAV'!C$1,Data_Assessment[#Headers],0))</f>
        <v>Sumatera Selatan</v>
      </c>
      <c r="D406" s="68" t="str">
        <f>INDEX(Data_Assessment[],MATCH('Rekomendasi HAV'!$A406,Data_Assessment[[INDEX]:[INDEX]],0),MATCH('Rekomendasi HAV'!D$1,Data_Assessment[#Headers],0))</f>
        <v>LSIP - Arta Kencana Region</v>
      </c>
      <c r="E406" s="68">
        <f>INDEX(Data_Assessment[],MATCH('Rekomendasi HAV'!$B406,Data_Assessment[[NAME]:[NAME]],0),MATCH('Rekomendasi HAV'!E$1,Data_Assessment[#Headers],0))</f>
        <v>0</v>
      </c>
      <c r="F406" s="68"/>
      <c r="G406" s="68">
        <f>IF(ISNUMBER(SEARCH("DEV",Assessment[[#This Row],[JOB TARGET]])),SUBSTITUTE(Assessment[[#This Row],[JOB TARGET]],"DEV","EST"),Assessment[[#This Row],[JOB TARGET]])</f>
        <v>0</v>
      </c>
      <c r="H406" s="146" t="str" cm="1">
        <f t="array" aca="1" ref="H406" ca="1">IF(Assessment[[#This Row],[JOB TARGET]]="","Job Target Kosong",IF(COUNT(IF('Data Assessment'!$N406:$Z406-OFFSET(Standar!$B$2,MATCH(Assessment[[#This Row],[JOB TARGET
(EST)]],Standar[NAMA JABATAN],0)-1,1,1,13)&lt;0,1,""))&lt;=3,'9 Grid'!$B$4,IF(COUNT(IF('Data Assessment'!$N406:$Z406-OFFSET(Standar!$B$2,MATCH(Assessment[[#This Row],[JOB TARGET]],Standar[NAMA JABATAN],0)-1,1,1,13)&lt;0,1,""))&gt;=7,'9 Grid'!$B$6,'9 Grid'!$B$5)))</f>
        <v>Job Target Kosong</v>
      </c>
      <c r="I406" s="146" t="str">
        <f>IFERROR(IF(Data_Assessment[[#This Row],[IPP (3 YEARS AVERAGE)]]="","(IPP Belum Ada)",IF(Data_Assessment[[#This Row],[IPP (3 YEARS AVERAGE)]]&lt;2,'9 Grid'!$F$2,IF(Data_Assessment[[#This Row],[IPP (3 YEARS AVERAGE)]]&gt;=4,'9 Grid'!$D$2,'9 Grid'!$E$2))),"")</f>
        <v>Fully Competence Performance</v>
      </c>
      <c r="J406" s="146" t="str">
        <f ca="1">IFERROR(INDEX('9 Grid'!$D$4:$F$6,MATCH('Rekomendasi HAV'!H406,'9 Grid'!$B$4:$B$6,0),MATCH('Rekomendasi HAV'!I406,'9 Grid'!$D$2:$F$2,0)),"")</f>
        <v/>
      </c>
      <c r="K406" s="146" t="str">
        <f>IFERROR(INDEX('9 Grid'!$D$8:$F$8,1,MATCH('Rekomendasi HAV'!I406,'9 Grid'!$D$2:$F$2,0)),"")</f>
        <v>(ST) Within 12 - 18 month</v>
      </c>
      <c r="L406" s="146">
        <f>IF(ISNUMBER(SEARCH("EST",Assessment[[#This Row],[JOB TARGET]])),SUBSTITUTE(Assessment[[#This Row],[JOB TARGET]],"EST","DEV"),Assessment[[#This Row],[JOB TARGET]])</f>
        <v>0</v>
      </c>
      <c r="M406" s="146" t="str" cm="1">
        <f t="array" aca="1" ref="M406" ca="1">IF(Assessment[[#This Row],[JOB TARGET]]="","Job Target Kosong",IF(COUNT(IF('Data Assessment'!$N406:$Z406-OFFSET(Standar!$B$2,MATCH(Assessment[[#This Row],[JOB TARGET
(DEV)]],Standar[NAMA JABATAN],0)-1,1,1,13)&lt;0,1,""))&lt;=3,'9 Grid'!$B$4,IF(COUNT(IF('Data Assessment'!$N406:$Z406-OFFSET(Standar!$B$2,MATCH(Assessment[[#This Row],[JOB TARGET
(DEV)]],Standar[NAMA JABATAN],0)-1,1,1,13)&lt;0,1,""))&gt;=7,'9 Grid'!$B$6,'9 Grid'!$B$5)))</f>
        <v>Job Target Kosong</v>
      </c>
      <c r="N406" s="146" t="str">
        <f>IFERROR(IF(Data_Assessment[[#This Row],[IPP (3 YEARS AVERAGE)]]="","(IPP Belum Ada)",IF(Data_Assessment[[#This Row],[IPP (3 YEARS AVERAGE)]]&lt;2,'9 Grid'!$F$2,IF(Data_Assessment[[#This Row],[IPP (3 YEARS AVERAGE)]]&gt;=4,'9 Grid'!$D$2,'9 Grid'!$E$2))),"")</f>
        <v>Fully Competence Performance</v>
      </c>
      <c r="O406" s="146" t="str">
        <f ca="1">IFERROR(INDEX('9 Grid'!$D$4:$F$6,MATCH('Rekomendasi HAV'!M406,'9 Grid'!$B$4:$B$6,0),MATCH('Rekomendasi HAV'!N406,'9 Grid'!$D$2:$F$2,0)),"")</f>
        <v/>
      </c>
      <c r="P406" s="147" t="str">
        <f>IFERROR(INDEX('9 Grid'!$D$8:$F$8,1,MATCH('Rekomendasi HAV'!N406,'9 Grid'!$D$2:$F$2,0)),"")</f>
        <v>(ST) Within 12 - 18 month</v>
      </c>
    </row>
    <row r="407" spans="1:16" ht="28.5">
      <c r="A407" s="67">
        <v>406</v>
      </c>
      <c r="B407" s="68" t="str">
        <f>INDEX(Data_Assessment[],MATCH('Rekomendasi HAV'!$A407,Data_Assessment[[INDEX]:[INDEX]],0),MATCH('Rekomendasi HAV'!B$1,Data_Assessment[#Headers],0))</f>
        <v>Frans Ferdinand Situmorang</v>
      </c>
      <c r="C407" s="68" t="str">
        <f>INDEX(Data_Assessment[],MATCH('Rekomendasi HAV'!$A407,Data_Assessment[[INDEX]:[INDEX]],0),MATCH('Rekomendasi HAV'!C$1,Data_Assessment[#Headers],0))</f>
        <v>Sumatera Utara</v>
      </c>
      <c r="D407" s="68" t="str">
        <f>INDEX(Data_Assessment[],MATCH('Rekomendasi HAV'!$A407,Data_Assessment[[INDEX]:[INDEX]],0),MATCH('Rekomendasi HAV'!D$1,Data_Assessment[#Headers],0))</f>
        <v>LSIP - Sei Rumbiya Rubber Factory</v>
      </c>
      <c r="E407" s="68">
        <f>INDEX(Data_Assessment[],MATCH('Rekomendasi HAV'!$B407,Data_Assessment[[NAME]:[NAME]],0),MATCH('Rekomendasi HAV'!E$1,Data_Assessment[#Headers],0))</f>
        <v>0</v>
      </c>
      <c r="F407" s="68"/>
      <c r="G407" s="68">
        <f>IF(ISNUMBER(SEARCH("DEV",Assessment[[#This Row],[JOB TARGET]])),SUBSTITUTE(Assessment[[#This Row],[JOB TARGET]],"DEV","EST"),Assessment[[#This Row],[JOB TARGET]])</f>
        <v>0</v>
      </c>
      <c r="H407" s="146" t="str" cm="1">
        <f t="array" aca="1" ref="H407" ca="1">IF(Assessment[[#This Row],[JOB TARGET]]="","Job Target Kosong",IF(COUNT(IF('Data Assessment'!$N407:$Z407-OFFSET(Standar!$B$2,MATCH(Assessment[[#This Row],[JOB TARGET
(EST)]],Standar[NAMA JABATAN],0)-1,1,1,13)&lt;0,1,""))&lt;=3,'9 Grid'!$B$4,IF(COUNT(IF('Data Assessment'!$N407:$Z407-OFFSET(Standar!$B$2,MATCH(Assessment[[#This Row],[JOB TARGET]],Standar[NAMA JABATAN],0)-1,1,1,13)&lt;0,1,""))&gt;=7,'9 Grid'!$B$6,'9 Grid'!$B$5)))</f>
        <v>Job Target Kosong</v>
      </c>
      <c r="I407" s="146" t="str">
        <f>IFERROR(IF(Data_Assessment[[#This Row],[IPP (3 YEARS AVERAGE)]]="","(IPP Belum Ada)",IF(Data_Assessment[[#This Row],[IPP (3 YEARS AVERAGE)]]&lt;2,'9 Grid'!$F$2,IF(Data_Assessment[[#This Row],[IPP (3 YEARS AVERAGE)]]&gt;=4,'9 Grid'!$D$2,'9 Grid'!$E$2))),"")</f>
        <v>Fully Competence Performance</v>
      </c>
      <c r="J407" s="146" t="str">
        <f ca="1">IFERROR(INDEX('9 Grid'!$D$4:$F$6,MATCH('Rekomendasi HAV'!H407,'9 Grid'!$B$4:$B$6,0),MATCH('Rekomendasi HAV'!I407,'9 Grid'!$D$2:$F$2,0)),"")</f>
        <v/>
      </c>
      <c r="K407" s="146" t="str">
        <f>IFERROR(INDEX('9 Grid'!$D$8:$F$8,1,MATCH('Rekomendasi HAV'!I407,'9 Grid'!$D$2:$F$2,0)),"")</f>
        <v>(ST) Within 12 - 18 month</v>
      </c>
      <c r="L407" s="146">
        <f>IF(ISNUMBER(SEARCH("EST",Assessment[[#This Row],[JOB TARGET]])),SUBSTITUTE(Assessment[[#This Row],[JOB TARGET]],"EST","DEV"),Assessment[[#This Row],[JOB TARGET]])</f>
        <v>0</v>
      </c>
      <c r="M407" s="146" t="str" cm="1">
        <f t="array" aca="1" ref="M407" ca="1">IF(Assessment[[#This Row],[JOB TARGET]]="","Job Target Kosong",IF(COUNT(IF('Data Assessment'!$N407:$Z407-OFFSET(Standar!$B$2,MATCH(Assessment[[#This Row],[JOB TARGET
(DEV)]],Standar[NAMA JABATAN],0)-1,1,1,13)&lt;0,1,""))&lt;=3,'9 Grid'!$B$4,IF(COUNT(IF('Data Assessment'!$N407:$Z407-OFFSET(Standar!$B$2,MATCH(Assessment[[#This Row],[JOB TARGET
(DEV)]],Standar[NAMA JABATAN],0)-1,1,1,13)&lt;0,1,""))&gt;=7,'9 Grid'!$B$6,'9 Grid'!$B$5)))</f>
        <v>Job Target Kosong</v>
      </c>
      <c r="N407" s="146" t="str">
        <f>IFERROR(IF(Data_Assessment[[#This Row],[IPP (3 YEARS AVERAGE)]]="","(IPP Belum Ada)",IF(Data_Assessment[[#This Row],[IPP (3 YEARS AVERAGE)]]&lt;2,'9 Grid'!$F$2,IF(Data_Assessment[[#This Row],[IPP (3 YEARS AVERAGE)]]&gt;=4,'9 Grid'!$D$2,'9 Grid'!$E$2))),"")</f>
        <v>Fully Competence Performance</v>
      </c>
      <c r="O407" s="146" t="str">
        <f ca="1">IFERROR(INDEX('9 Grid'!$D$4:$F$6,MATCH('Rekomendasi HAV'!M407,'9 Grid'!$B$4:$B$6,0),MATCH('Rekomendasi HAV'!N407,'9 Grid'!$D$2:$F$2,0)),"")</f>
        <v/>
      </c>
      <c r="P407" s="147" t="str">
        <f>IFERROR(INDEX('9 Grid'!$D$8:$F$8,1,MATCH('Rekomendasi HAV'!N407,'9 Grid'!$D$2:$F$2,0)),"")</f>
        <v>(ST) Within 12 - 18 month</v>
      </c>
    </row>
    <row r="408" spans="1:16" ht="14.25">
      <c r="A408" s="67">
        <v>407</v>
      </c>
      <c r="B408" s="68" t="str">
        <f>INDEX(Data_Assessment[],MATCH('Rekomendasi HAV'!$A408,Data_Assessment[[INDEX]:[INDEX]],0),MATCH('Rekomendasi HAV'!B$1,Data_Assessment[#Headers],0))</f>
        <v>Muhammad Waras</v>
      </c>
      <c r="C408" s="68" t="str">
        <f>INDEX(Data_Assessment[],MATCH('Rekomendasi HAV'!$A408,Data_Assessment[[INDEX]:[INDEX]],0),MATCH('Rekomendasi HAV'!C$1,Data_Assessment[#Headers],0))</f>
        <v>Jakarta</v>
      </c>
      <c r="D408" s="68" t="str">
        <f>INDEX(Data_Assessment[],MATCH('Rekomendasi HAV'!$A408,Data_Assessment[[INDEX]:[INDEX]],0),MATCH('Rekomendasi HAV'!D$1,Data_Assessment[#Headers],0))</f>
        <v>LSIP - HO Jakarta</v>
      </c>
      <c r="E408" s="68">
        <f>INDEX(Data_Assessment[],MATCH('Rekomendasi HAV'!$B408,Data_Assessment[[NAME]:[NAME]],0),MATCH('Rekomendasi HAV'!E$1,Data_Assessment[#Headers],0))</f>
        <v>0</v>
      </c>
      <c r="F408" s="68"/>
      <c r="G408" s="68">
        <f>IF(ISNUMBER(SEARCH("DEV",Assessment[[#This Row],[JOB TARGET]])),SUBSTITUTE(Assessment[[#This Row],[JOB TARGET]],"DEV","EST"),Assessment[[#This Row],[JOB TARGET]])</f>
        <v>0</v>
      </c>
      <c r="H408" s="146" t="str" cm="1">
        <f t="array" aca="1" ref="H408" ca="1">IF(Assessment[[#This Row],[JOB TARGET]]="","Job Target Kosong",IF(COUNT(IF('Data Assessment'!$N408:$Z408-OFFSET(Standar!$B$2,MATCH(Assessment[[#This Row],[JOB TARGET
(EST)]],Standar[NAMA JABATAN],0)-1,1,1,13)&lt;0,1,""))&lt;=3,'9 Grid'!$B$4,IF(COUNT(IF('Data Assessment'!$N408:$Z408-OFFSET(Standar!$B$2,MATCH(Assessment[[#This Row],[JOB TARGET]],Standar[NAMA JABATAN],0)-1,1,1,13)&lt;0,1,""))&gt;=7,'9 Grid'!$B$6,'9 Grid'!$B$5)))</f>
        <v>Job Target Kosong</v>
      </c>
      <c r="I408" s="146" t="str">
        <f>IFERROR(IF(Data_Assessment[[#This Row],[IPP (3 YEARS AVERAGE)]]="","(IPP Belum Ada)",IF(Data_Assessment[[#This Row],[IPP (3 YEARS AVERAGE)]]&lt;2,'9 Grid'!$F$2,IF(Data_Assessment[[#This Row],[IPP (3 YEARS AVERAGE)]]&gt;=4,'9 Grid'!$D$2,'9 Grid'!$E$2))),"")</f>
        <v>Exceptional Performance</v>
      </c>
      <c r="J408" s="146" t="str">
        <f ca="1">IFERROR(INDEX('9 Grid'!$D$4:$F$6,MATCH('Rekomendasi HAV'!H408,'9 Grid'!$B$4:$B$6,0),MATCH('Rekomendasi HAV'!I408,'9 Grid'!$D$2:$F$2,0)),"")</f>
        <v/>
      </c>
      <c r="K408" s="146" t="str">
        <f>IFERROR(INDEX('9 Grid'!$D$8:$F$8,1,MATCH('Rekomendasi HAV'!I408,'9 Grid'!$D$2:$F$2,0)),"")</f>
        <v>(I) Immediately</v>
      </c>
      <c r="L408" s="146">
        <f>IF(ISNUMBER(SEARCH("EST",Assessment[[#This Row],[JOB TARGET]])),SUBSTITUTE(Assessment[[#This Row],[JOB TARGET]],"EST","DEV"),Assessment[[#This Row],[JOB TARGET]])</f>
        <v>0</v>
      </c>
      <c r="M408" s="146" t="str" cm="1">
        <f t="array" aca="1" ref="M408" ca="1">IF(Assessment[[#This Row],[JOB TARGET]]="","Job Target Kosong",IF(COUNT(IF('Data Assessment'!$N408:$Z408-OFFSET(Standar!$B$2,MATCH(Assessment[[#This Row],[JOB TARGET
(DEV)]],Standar[NAMA JABATAN],0)-1,1,1,13)&lt;0,1,""))&lt;=3,'9 Grid'!$B$4,IF(COUNT(IF('Data Assessment'!$N408:$Z408-OFFSET(Standar!$B$2,MATCH(Assessment[[#This Row],[JOB TARGET
(DEV)]],Standar[NAMA JABATAN],0)-1,1,1,13)&lt;0,1,""))&gt;=7,'9 Grid'!$B$6,'9 Grid'!$B$5)))</f>
        <v>Job Target Kosong</v>
      </c>
      <c r="N408" s="146" t="str">
        <f>IFERROR(IF(Data_Assessment[[#This Row],[IPP (3 YEARS AVERAGE)]]="","(IPP Belum Ada)",IF(Data_Assessment[[#This Row],[IPP (3 YEARS AVERAGE)]]&lt;2,'9 Grid'!$F$2,IF(Data_Assessment[[#This Row],[IPP (3 YEARS AVERAGE)]]&gt;=4,'9 Grid'!$D$2,'9 Grid'!$E$2))),"")</f>
        <v>Exceptional Performance</v>
      </c>
      <c r="O408" s="146" t="str">
        <f ca="1">IFERROR(INDEX('9 Grid'!$D$4:$F$6,MATCH('Rekomendasi HAV'!M408,'9 Grid'!$B$4:$B$6,0),MATCH('Rekomendasi HAV'!N408,'9 Grid'!$D$2:$F$2,0)),"")</f>
        <v/>
      </c>
      <c r="P408" s="147" t="str">
        <f>IFERROR(INDEX('9 Grid'!$D$8:$F$8,1,MATCH('Rekomendasi HAV'!N408,'9 Grid'!$D$2:$F$2,0)),"")</f>
        <v>(I) Immediately</v>
      </c>
    </row>
    <row r="409" spans="1:16" ht="28.5">
      <c r="A409" s="67">
        <v>408</v>
      </c>
      <c r="B409" s="68" t="str">
        <f>INDEX(Data_Assessment[],MATCH('Rekomendasi HAV'!$A409,Data_Assessment[[INDEX]:[INDEX]],0),MATCH('Rekomendasi HAV'!B$1,Data_Assessment[#Headers],0))</f>
        <v>Andi Wira Primawan</v>
      </c>
      <c r="C409" s="68" t="str">
        <f>INDEX(Data_Assessment[],MATCH('Rekomendasi HAV'!$A409,Data_Assessment[[INDEX]:[INDEX]],0),MATCH('Rekomendasi HAV'!C$1,Data_Assessment[#Headers],0))</f>
        <v>Sulawesi Selatan</v>
      </c>
      <c r="D409" s="68" t="str">
        <f>INDEX(Data_Assessment[],MATCH('Rekomendasi HAV'!$A409,Data_Assessment[[INDEX]:[INDEX]],0),MATCH('Rekomendasi HAV'!D$1,Data_Assessment[#Headers],0))</f>
        <v>LSIP - PalangIsang Estate</v>
      </c>
      <c r="E409" s="68">
        <f>INDEX(Data_Assessment[],MATCH('Rekomendasi HAV'!$B409,Data_Assessment[[NAME]:[NAME]],0),MATCH('Rekomendasi HAV'!E$1,Data_Assessment[#Headers],0))</f>
        <v>0</v>
      </c>
      <c r="F409" s="68"/>
      <c r="G409" s="68">
        <f>IF(ISNUMBER(SEARCH("DEV",Assessment[[#This Row],[JOB TARGET]])),SUBSTITUTE(Assessment[[#This Row],[JOB TARGET]],"DEV","EST"),Assessment[[#This Row],[JOB TARGET]])</f>
        <v>0</v>
      </c>
      <c r="H409" s="146" t="str" cm="1">
        <f t="array" aca="1" ref="H409" ca="1">IF(Assessment[[#This Row],[JOB TARGET]]="","Job Target Kosong",IF(COUNT(IF('Data Assessment'!$N409:$Z409-OFFSET(Standar!$B$2,MATCH(Assessment[[#This Row],[JOB TARGET
(EST)]],Standar[NAMA JABATAN],0)-1,1,1,13)&lt;0,1,""))&lt;=3,'9 Grid'!$B$4,IF(COUNT(IF('Data Assessment'!$N409:$Z409-OFFSET(Standar!$B$2,MATCH(Assessment[[#This Row],[JOB TARGET]],Standar[NAMA JABATAN],0)-1,1,1,13)&lt;0,1,""))&gt;=7,'9 Grid'!$B$6,'9 Grid'!$B$5)))</f>
        <v>Job Target Kosong</v>
      </c>
      <c r="I409" s="146" t="str">
        <f>IFERROR(IF(Data_Assessment[[#This Row],[IPP (3 YEARS AVERAGE)]]="","(IPP Belum Ada)",IF(Data_Assessment[[#This Row],[IPP (3 YEARS AVERAGE)]]&lt;2,'9 Grid'!$F$2,IF(Data_Assessment[[#This Row],[IPP (3 YEARS AVERAGE)]]&gt;=4,'9 Grid'!$D$2,'9 Grid'!$E$2))),"")</f>
        <v>Fully Competence Performance</v>
      </c>
      <c r="J409" s="146" t="str">
        <f ca="1">IFERROR(INDEX('9 Grid'!$D$4:$F$6,MATCH('Rekomendasi HAV'!H409,'9 Grid'!$B$4:$B$6,0),MATCH('Rekomendasi HAV'!I409,'9 Grid'!$D$2:$F$2,0)),"")</f>
        <v/>
      </c>
      <c r="K409" s="146" t="str">
        <f>IFERROR(INDEX('9 Grid'!$D$8:$F$8,1,MATCH('Rekomendasi HAV'!I409,'9 Grid'!$D$2:$F$2,0)),"")</f>
        <v>(ST) Within 12 - 18 month</v>
      </c>
      <c r="L409" s="146">
        <f>IF(ISNUMBER(SEARCH("EST",Assessment[[#This Row],[JOB TARGET]])),SUBSTITUTE(Assessment[[#This Row],[JOB TARGET]],"EST","DEV"),Assessment[[#This Row],[JOB TARGET]])</f>
        <v>0</v>
      </c>
      <c r="M409" s="146" t="str" cm="1">
        <f t="array" aca="1" ref="M409" ca="1">IF(Assessment[[#This Row],[JOB TARGET]]="","Job Target Kosong",IF(COUNT(IF('Data Assessment'!$N409:$Z409-OFFSET(Standar!$B$2,MATCH(Assessment[[#This Row],[JOB TARGET
(DEV)]],Standar[NAMA JABATAN],0)-1,1,1,13)&lt;0,1,""))&lt;=3,'9 Grid'!$B$4,IF(COUNT(IF('Data Assessment'!$N409:$Z409-OFFSET(Standar!$B$2,MATCH(Assessment[[#This Row],[JOB TARGET
(DEV)]],Standar[NAMA JABATAN],0)-1,1,1,13)&lt;0,1,""))&gt;=7,'9 Grid'!$B$6,'9 Grid'!$B$5)))</f>
        <v>Job Target Kosong</v>
      </c>
      <c r="N409" s="146" t="str">
        <f>IFERROR(IF(Data_Assessment[[#This Row],[IPP (3 YEARS AVERAGE)]]="","(IPP Belum Ada)",IF(Data_Assessment[[#This Row],[IPP (3 YEARS AVERAGE)]]&lt;2,'9 Grid'!$F$2,IF(Data_Assessment[[#This Row],[IPP (3 YEARS AVERAGE)]]&gt;=4,'9 Grid'!$D$2,'9 Grid'!$E$2))),"")</f>
        <v>Fully Competence Performance</v>
      </c>
      <c r="O409" s="146" t="str">
        <f ca="1">IFERROR(INDEX('9 Grid'!$D$4:$F$6,MATCH('Rekomendasi HAV'!M409,'9 Grid'!$B$4:$B$6,0),MATCH('Rekomendasi HAV'!N409,'9 Grid'!$D$2:$F$2,0)),"")</f>
        <v/>
      </c>
      <c r="P409" s="147" t="str">
        <f>IFERROR(INDEX('9 Grid'!$D$8:$F$8,1,MATCH('Rekomendasi HAV'!N409,'9 Grid'!$D$2:$F$2,0)),"")</f>
        <v>(ST) Within 12 - 18 month</v>
      </c>
    </row>
    <row r="410" spans="1:16" ht="28.5">
      <c r="A410" s="67">
        <v>409</v>
      </c>
      <c r="B410" s="68" t="str">
        <f>INDEX(Data_Assessment[],MATCH('Rekomendasi HAV'!$A410,Data_Assessment[[INDEX]:[INDEX]],0),MATCH('Rekomendasi HAV'!B$1,Data_Assessment[#Headers],0))</f>
        <v>Irfansyah, St</v>
      </c>
      <c r="C410" s="68" t="str">
        <f>INDEX(Data_Assessment[],MATCH('Rekomendasi HAV'!$A410,Data_Assessment[[INDEX]:[INDEX]],0),MATCH('Rekomendasi HAV'!C$1,Data_Assessment[#Headers],0))</f>
        <v>Sumatera Utara</v>
      </c>
      <c r="D410" s="68" t="str">
        <f>INDEX(Data_Assessment[],MATCH('Rekomendasi HAV'!$A410,Data_Assessment[[INDEX]:[INDEX]],0),MATCH('Rekomendasi HAV'!D$1,Data_Assessment[#Headers],0))</f>
        <v>LSIP - Dolok Estate</v>
      </c>
      <c r="E410" s="68">
        <f>INDEX(Data_Assessment[],MATCH('Rekomendasi HAV'!$B410,Data_Assessment[[NAME]:[NAME]],0),MATCH('Rekomendasi HAV'!E$1,Data_Assessment[#Headers],0))</f>
        <v>0</v>
      </c>
      <c r="F410" s="68"/>
      <c r="G410" s="68">
        <f>IF(ISNUMBER(SEARCH("DEV",Assessment[[#This Row],[JOB TARGET]])),SUBSTITUTE(Assessment[[#This Row],[JOB TARGET]],"DEV","EST"),Assessment[[#This Row],[JOB TARGET]])</f>
        <v>0</v>
      </c>
      <c r="H410" s="146" t="str" cm="1">
        <f t="array" aca="1" ref="H410" ca="1">IF(Assessment[[#This Row],[JOB TARGET]]="","Job Target Kosong",IF(COUNT(IF('Data Assessment'!$N410:$Z410-OFFSET(Standar!$B$2,MATCH(Assessment[[#This Row],[JOB TARGET
(EST)]],Standar[NAMA JABATAN],0)-1,1,1,13)&lt;0,1,""))&lt;=3,'9 Grid'!$B$4,IF(COUNT(IF('Data Assessment'!$N410:$Z410-OFFSET(Standar!$B$2,MATCH(Assessment[[#This Row],[JOB TARGET]],Standar[NAMA JABATAN],0)-1,1,1,13)&lt;0,1,""))&gt;=7,'9 Grid'!$B$6,'9 Grid'!$B$5)))</f>
        <v>Job Target Kosong</v>
      </c>
      <c r="I410" s="146" t="str">
        <f>IFERROR(IF(Data_Assessment[[#This Row],[IPP (3 YEARS AVERAGE)]]="","(IPP Belum Ada)",IF(Data_Assessment[[#This Row],[IPP (3 YEARS AVERAGE)]]&lt;2,'9 Grid'!$F$2,IF(Data_Assessment[[#This Row],[IPP (3 YEARS AVERAGE)]]&gt;=4,'9 Grid'!$D$2,'9 Grid'!$E$2))),"")</f>
        <v>Fully Competence Performance</v>
      </c>
      <c r="J410" s="146" t="str">
        <f ca="1">IFERROR(INDEX('9 Grid'!$D$4:$F$6,MATCH('Rekomendasi HAV'!H410,'9 Grid'!$B$4:$B$6,0),MATCH('Rekomendasi HAV'!I410,'9 Grid'!$D$2:$F$2,0)),"")</f>
        <v/>
      </c>
      <c r="K410" s="146" t="str">
        <f>IFERROR(INDEX('9 Grid'!$D$8:$F$8,1,MATCH('Rekomendasi HAV'!I410,'9 Grid'!$D$2:$F$2,0)),"")</f>
        <v>(ST) Within 12 - 18 month</v>
      </c>
      <c r="L410" s="146">
        <f>IF(ISNUMBER(SEARCH("EST",Assessment[[#This Row],[JOB TARGET]])),SUBSTITUTE(Assessment[[#This Row],[JOB TARGET]],"EST","DEV"),Assessment[[#This Row],[JOB TARGET]])</f>
        <v>0</v>
      </c>
      <c r="M410" s="146" t="str" cm="1">
        <f t="array" aca="1" ref="M410" ca="1">IF(Assessment[[#This Row],[JOB TARGET]]="","Job Target Kosong",IF(COUNT(IF('Data Assessment'!$N410:$Z410-OFFSET(Standar!$B$2,MATCH(Assessment[[#This Row],[JOB TARGET
(DEV)]],Standar[NAMA JABATAN],0)-1,1,1,13)&lt;0,1,""))&lt;=3,'9 Grid'!$B$4,IF(COUNT(IF('Data Assessment'!$N410:$Z410-OFFSET(Standar!$B$2,MATCH(Assessment[[#This Row],[JOB TARGET
(DEV)]],Standar[NAMA JABATAN],0)-1,1,1,13)&lt;0,1,""))&gt;=7,'9 Grid'!$B$6,'9 Grid'!$B$5)))</f>
        <v>Job Target Kosong</v>
      </c>
      <c r="N410" s="146" t="str">
        <f>IFERROR(IF(Data_Assessment[[#This Row],[IPP (3 YEARS AVERAGE)]]="","(IPP Belum Ada)",IF(Data_Assessment[[#This Row],[IPP (3 YEARS AVERAGE)]]&lt;2,'9 Grid'!$F$2,IF(Data_Assessment[[#This Row],[IPP (3 YEARS AVERAGE)]]&gt;=4,'9 Grid'!$D$2,'9 Grid'!$E$2))),"")</f>
        <v>Fully Competence Performance</v>
      </c>
      <c r="O410" s="146" t="str">
        <f ca="1">IFERROR(INDEX('9 Grid'!$D$4:$F$6,MATCH('Rekomendasi HAV'!M410,'9 Grid'!$B$4:$B$6,0),MATCH('Rekomendasi HAV'!N410,'9 Grid'!$D$2:$F$2,0)),"")</f>
        <v/>
      </c>
      <c r="P410" s="147" t="str">
        <f>IFERROR(INDEX('9 Grid'!$D$8:$F$8,1,MATCH('Rekomendasi HAV'!N410,'9 Grid'!$D$2:$F$2,0)),"")</f>
        <v>(ST) Within 12 - 18 month</v>
      </c>
    </row>
    <row r="411" spans="1:16" ht="14.25">
      <c r="A411" s="67">
        <v>410</v>
      </c>
      <c r="B411" s="68" t="str">
        <f>INDEX(Data_Assessment[],MATCH('Rekomendasi HAV'!$A411,Data_Assessment[[INDEX]:[INDEX]],0),MATCH('Rekomendasi HAV'!B$1,Data_Assessment[#Headers],0))</f>
        <v>Doddy Trisna Damanik</v>
      </c>
      <c r="C411" s="68" t="str">
        <f>INDEX(Data_Assessment[],MATCH('Rekomendasi HAV'!$A411,Data_Assessment[[INDEX]:[INDEX]],0),MATCH('Rekomendasi HAV'!C$1,Data_Assessment[#Headers],0))</f>
        <v>Jakarta</v>
      </c>
      <c r="D411" s="68" t="str">
        <f>INDEX(Data_Assessment[],MATCH('Rekomendasi HAV'!$A411,Data_Assessment[[INDEX]:[INDEX]],0),MATCH('Rekomendasi HAV'!D$1,Data_Assessment[#Headers],0))</f>
        <v>LSIP - HO Jakarta</v>
      </c>
      <c r="E411" s="68">
        <f>INDEX(Data_Assessment[],MATCH('Rekomendasi HAV'!$B411,Data_Assessment[[NAME]:[NAME]],0),MATCH('Rekomendasi HAV'!E$1,Data_Assessment[#Headers],0))</f>
        <v>0</v>
      </c>
      <c r="F411" s="68"/>
      <c r="G411" s="68">
        <f>IF(ISNUMBER(SEARCH("DEV",Assessment[[#This Row],[JOB TARGET]])),SUBSTITUTE(Assessment[[#This Row],[JOB TARGET]],"DEV","EST"),Assessment[[#This Row],[JOB TARGET]])</f>
        <v>0</v>
      </c>
      <c r="H411" s="146" t="str" cm="1">
        <f t="array" aca="1" ref="H411" ca="1">IF(Assessment[[#This Row],[JOB TARGET]]="","Job Target Kosong",IF(COUNT(IF('Data Assessment'!$N411:$Z411-OFFSET(Standar!$B$2,MATCH(Assessment[[#This Row],[JOB TARGET
(EST)]],Standar[NAMA JABATAN],0)-1,1,1,13)&lt;0,1,""))&lt;=3,'9 Grid'!$B$4,IF(COUNT(IF('Data Assessment'!$N411:$Z411-OFFSET(Standar!$B$2,MATCH(Assessment[[#This Row],[JOB TARGET]],Standar[NAMA JABATAN],0)-1,1,1,13)&lt;0,1,""))&gt;=7,'9 Grid'!$B$6,'9 Grid'!$B$5)))</f>
        <v>Job Target Kosong</v>
      </c>
      <c r="I411" s="146" t="str">
        <f>IFERROR(IF(Data_Assessment[[#This Row],[IPP (3 YEARS AVERAGE)]]="","(IPP Belum Ada)",IF(Data_Assessment[[#This Row],[IPP (3 YEARS AVERAGE)]]&lt;2,'9 Grid'!$F$2,IF(Data_Assessment[[#This Row],[IPP (3 YEARS AVERAGE)]]&gt;=4,'9 Grid'!$D$2,'9 Grid'!$E$2))),"")</f>
        <v>Exceptional Performance</v>
      </c>
      <c r="J411" s="146" t="str">
        <f ca="1">IFERROR(INDEX('9 Grid'!$D$4:$F$6,MATCH('Rekomendasi HAV'!H411,'9 Grid'!$B$4:$B$6,0),MATCH('Rekomendasi HAV'!I411,'9 Grid'!$D$2:$F$2,0)),"")</f>
        <v/>
      </c>
      <c r="K411" s="146" t="str">
        <f>IFERROR(INDEX('9 Grid'!$D$8:$F$8,1,MATCH('Rekomendasi HAV'!I411,'9 Grid'!$D$2:$F$2,0)),"")</f>
        <v>(I) Immediately</v>
      </c>
      <c r="L411" s="146">
        <f>IF(ISNUMBER(SEARCH("EST",Assessment[[#This Row],[JOB TARGET]])),SUBSTITUTE(Assessment[[#This Row],[JOB TARGET]],"EST","DEV"),Assessment[[#This Row],[JOB TARGET]])</f>
        <v>0</v>
      </c>
      <c r="M411" s="146" t="str" cm="1">
        <f t="array" aca="1" ref="M411" ca="1">IF(Assessment[[#This Row],[JOB TARGET]]="","Job Target Kosong",IF(COUNT(IF('Data Assessment'!$N411:$Z411-OFFSET(Standar!$B$2,MATCH(Assessment[[#This Row],[JOB TARGET
(DEV)]],Standar[NAMA JABATAN],0)-1,1,1,13)&lt;0,1,""))&lt;=3,'9 Grid'!$B$4,IF(COUNT(IF('Data Assessment'!$N411:$Z411-OFFSET(Standar!$B$2,MATCH(Assessment[[#This Row],[JOB TARGET
(DEV)]],Standar[NAMA JABATAN],0)-1,1,1,13)&lt;0,1,""))&gt;=7,'9 Grid'!$B$6,'9 Grid'!$B$5)))</f>
        <v>Job Target Kosong</v>
      </c>
      <c r="N411" s="146" t="str">
        <f>IFERROR(IF(Data_Assessment[[#This Row],[IPP (3 YEARS AVERAGE)]]="","(IPP Belum Ada)",IF(Data_Assessment[[#This Row],[IPP (3 YEARS AVERAGE)]]&lt;2,'9 Grid'!$F$2,IF(Data_Assessment[[#This Row],[IPP (3 YEARS AVERAGE)]]&gt;=4,'9 Grid'!$D$2,'9 Grid'!$E$2))),"")</f>
        <v>Exceptional Performance</v>
      </c>
      <c r="O411" s="146" t="str">
        <f ca="1">IFERROR(INDEX('9 Grid'!$D$4:$F$6,MATCH('Rekomendasi HAV'!M411,'9 Grid'!$B$4:$B$6,0),MATCH('Rekomendasi HAV'!N411,'9 Grid'!$D$2:$F$2,0)),"")</f>
        <v/>
      </c>
      <c r="P411" s="147" t="str">
        <f>IFERROR(INDEX('9 Grid'!$D$8:$F$8,1,MATCH('Rekomendasi HAV'!N411,'9 Grid'!$D$2:$F$2,0)),"")</f>
        <v>(I) Immediately</v>
      </c>
    </row>
    <row r="412" spans="1:16" ht="14.25">
      <c r="A412" s="67">
        <v>411</v>
      </c>
      <c r="B412" s="68" t="str">
        <f>INDEX(Data_Assessment[],MATCH('Rekomendasi HAV'!$A412,Data_Assessment[[INDEX]:[INDEX]],0),MATCH('Rekomendasi HAV'!B$1,Data_Assessment[#Headers],0))</f>
        <v>Fauzie Syam Prasetyo Yibri</v>
      </c>
      <c r="C412" s="68" t="str">
        <f>INDEX(Data_Assessment[],MATCH('Rekomendasi HAV'!$A412,Data_Assessment[[INDEX]:[INDEX]],0),MATCH('Rekomendasi HAV'!C$1,Data_Assessment[#Headers],0))</f>
        <v>Sumatera Utara</v>
      </c>
      <c r="D412" s="68" t="str">
        <f>INDEX(Data_Assessment[],MATCH('Rekomendasi HAV'!$A412,Data_Assessment[[INDEX]:[INDEX]],0),MATCH('Rekomendasi HAV'!D$1,Data_Assessment[#Headers],0))</f>
        <v>LSIP - Sei Merah Estate</v>
      </c>
      <c r="E412" s="68">
        <f>INDEX(Data_Assessment[],MATCH('Rekomendasi HAV'!$B412,Data_Assessment[[NAME]:[NAME]],0),MATCH('Rekomendasi HAV'!E$1,Data_Assessment[#Headers],0))</f>
        <v>0</v>
      </c>
      <c r="F412" s="68"/>
      <c r="G412" s="68">
        <f>IF(ISNUMBER(SEARCH("DEV",Assessment[[#This Row],[JOB TARGET]])),SUBSTITUTE(Assessment[[#This Row],[JOB TARGET]],"DEV","EST"),Assessment[[#This Row],[JOB TARGET]])</f>
        <v>0</v>
      </c>
      <c r="H412" s="146" t="str" cm="1">
        <f t="array" aca="1" ref="H412" ca="1">IF(Assessment[[#This Row],[JOB TARGET]]="","Job Target Kosong",IF(COUNT(IF('Data Assessment'!$N412:$Z412-OFFSET(Standar!$B$2,MATCH(Assessment[[#This Row],[JOB TARGET
(EST)]],Standar[NAMA JABATAN],0)-1,1,1,13)&lt;0,1,""))&lt;=3,'9 Grid'!$B$4,IF(COUNT(IF('Data Assessment'!$N412:$Z412-OFFSET(Standar!$B$2,MATCH(Assessment[[#This Row],[JOB TARGET]],Standar[NAMA JABATAN],0)-1,1,1,13)&lt;0,1,""))&gt;=7,'9 Grid'!$B$6,'9 Grid'!$B$5)))</f>
        <v>Job Target Kosong</v>
      </c>
      <c r="I412" s="146" t="str">
        <f>IFERROR(IF(Data_Assessment[[#This Row],[IPP (3 YEARS AVERAGE)]]="","(IPP Belum Ada)",IF(Data_Assessment[[#This Row],[IPP (3 YEARS AVERAGE)]]&lt;2,'9 Grid'!$F$2,IF(Data_Assessment[[#This Row],[IPP (3 YEARS AVERAGE)]]&gt;=4,'9 Grid'!$D$2,'9 Grid'!$E$2))),"")</f>
        <v>Exceptional Performance</v>
      </c>
      <c r="J412" s="146" t="str">
        <f ca="1">IFERROR(INDEX('9 Grid'!$D$4:$F$6,MATCH('Rekomendasi HAV'!H412,'9 Grid'!$B$4:$B$6,0),MATCH('Rekomendasi HAV'!I412,'9 Grid'!$D$2:$F$2,0)),"")</f>
        <v/>
      </c>
      <c r="K412" s="146" t="str">
        <f>IFERROR(INDEX('9 Grid'!$D$8:$F$8,1,MATCH('Rekomendasi HAV'!I412,'9 Grid'!$D$2:$F$2,0)),"")</f>
        <v>(I) Immediately</v>
      </c>
      <c r="L412" s="146">
        <f>IF(ISNUMBER(SEARCH("EST",Assessment[[#This Row],[JOB TARGET]])),SUBSTITUTE(Assessment[[#This Row],[JOB TARGET]],"EST","DEV"),Assessment[[#This Row],[JOB TARGET]])</f>
        <v>0</v>
      </c>
      <c r="M412" s="146" t="str" cm="1">
        <f t="array" aca="1" ref="M412" ca="1">IF(Assessment[[#This Row],[JOB TARGET]]="","Job Target Kosong",IF(COUNT(IF('Data Assessment'!$N412:$Z412-OFFSET(Standar!$B$2,MATCH(Assessment[[#This Row],[JOB TARGET
(DEV)]],Standar[NAMA JABATAN],0)-1,1,1,13)&lt;0,1,""))&lt;=3,'9 Grid'!$B$4,IF(COUNT(IF('Data Assessment'!$N412:$Z412-OFFSET(Standar!$B$2,MATCH(Assessment[[#This Row],[JOB TARGET
(DEV)]],Standar[NAMA JABATAN],0)-1,1,1,13)&lt;0,1,""))&gt;=7,'9 Grid'!$B$6,'9 Grid'!$B$5)))</f>
        <v>Job Target Kosong</v>
      </c>
      <c r="N412" s="146" t="str">
        <f>IFERROR(IF(Data_Assessment[[#This Row],[IPP (3 YEARS AVERAGE)]]="","(IPP Belum Ada)",IF(Data_Assessment[[#This Row],[IPP (3 YEARS AVERAGE)]]&lt;2,'9 Grid'!$F$2,IF(Data_Assessment[[#This Row],[IPP (3 YEARS AVERAGE)]]&gt;=4,'9 Grid'!$D$2,'9 Grid'!$E$2))),"")</f>
        <v>Exceptional Performance</v>
      </c>
      <c r="O412" s="146" t="str">
        <f ca="1">IFERROR(INDEX('9 Grid'!$D$4:$F$6,MATCH('Rekomendasi HAV'!M412,'9 Grid'!$B$4:$B$6,0),MATCH('Rekomendasi HAV'!N412,'9 Grid'!$D$2:$F$2,0)),"")</f>
        <v/>
      </c>
      <c r="P412" s="147" t="str">
        <f>IFERROR(INDEX('9 Grid'!$D$8:$F$8,1,MATCH('Rekomendasi HAV'!N412,'9 Grid'!$D$2:$F$2,0)),"")</f>
        <v>(I) Immediately</v>
      </c>
    </row>
    <row r="413" spans="1:16" ht="28.5">
      <c r="A413" s="67">
        <v>412</v>
      </c>
      <c r="B413" s="68" t="str">
        <f>INDEX(Data_Assessment[],MATCH('Rekomendasi HAV'!$A413,Data_Assessment[[INDEX]:[INDEX]],0),MATCH('Rekomendasi HAV'!B$1,Data_Assessment[#Headers],0))</f>
        <v>Faisal Ahmad, Ir.</v>
      </c>
      <c r="C413" s="68" t="str">
        <f>INDEX(Data_Assessment[],MATCH('Rekomendasi HAV'!$A413,Data_Assessment[[INDEX]:[INDEX]],0),MATCH('Rekomendasi HAV'!C$1,Data_Assessment[#Headers],0))</f>
        <v>Sumatera Utara</v>
      </c>
      <c r="D413" s="68" t="str">
        <f>INDEX(Data_Assessment[],MATCH('Rekomendasi HAV'!$A413,Data_Assessment[[INDEX]:[INDEX]],0),MATCH('Rekomendasi HAV'!D$1,Data_Assessment[#Headers],0))</f>
        <v>LSIP - Turangie Estate</v>
      </c>
      <c r="E413" s="68">
        <f>INDEX(Data_Assessment[],MATCH('Rekomendasi HAV'!$B413,Data_Assessment[[NAME]:[NAME]],0),MATCH('Rekomendasi HAV'!E$1,Data_Assessment[#Headers],0))</f>
        <v>0</v>
      </c>
      <c r="F413" s="68"/>
      <c r="G413" s="68">
        <f>IF(ISNUMBER(SEARCH("DEV",Assessment[[#This Row],[JOB TARGET]])),SUBSTITUTE(Assessment[[#This Row],[JOB TARGET]],"DEV","EST"),Assessment[[#This Row],[JOB TARGET]])</f>
        <v>0</v>
      </c>
      <c r="H413" s="146" t="str" cm="1">
        <f t="array" aca="1" ref="H413" ca="1">IF(Assessment[[#This Row],[JOB TARGET]]="","Job Target Kosong",IF(COUNT(IF('Data Assessment'!$N413:$Z413-OFFSET(Standar!$B$2,MATCH(Assessment[[#This Row],[JOB TARGET
(EST)]],Standar[NAMA JABATAN],0)-1,1,1,13)&lt;0,1,""))&lt;=3,'9 Grid'!$B$4,IF(COUNT(IF('Data Assessment'!$N413:$Z413-OFFSET(Standar!$B$2,MATCH(Assessment[[#This Row],[JOB TARGET]],Standar[NAMA JABATAN],0)-1,1,1,13)&lt;0,1,""))&gt;=7,'9 Grid'!$B$6,'9 Grid'!$B$5)))</f>
        <v>Job Target Kosong</v>
      </c>
      <c r="I413" s="146" t="str">
        <f>IFERROR(IF(Data_Assessment[[#This Row],[IPP (3 YEARS AVERAGE)]]="","(IPP Belum Ada)",IF(Data_Assessment[[#This Row],[IPP (3 YEARS AVERAGE)]]&lt;2,'9 Grid'!$F$2,IF(Data_Assessment[[#This Row],[IPP (3 YEARS AVERAGE)]]&gt;=4,'9 Grid'!$D$2,'9 Grid'!$E$2))),"")</f>
        <v>Fully Competence Performance</v>
      </c>
      <c r="J413" s="146" t="str">
        <f ca="1">IFERROR(INDEX('9 Grid'!$D$4:$F$6,MATCH('Rekomendasi HAV'!H413,'9 Grid'!$B$4:$B$6,0),MATCH('Rekomendasi HAV'!I413,'9 Grid'!$D$2:$F$2,0)),"")</f>
        <v/>
      </c>
      <c r="K413" s="146" t="str">
        <f>IFERROR(INDEX('9 Grid'!$D$8:$F$8,1,MATCH('Rekomendasi HAV'!I413,'9 Grid'!$D$2:$F$2,0)),"")</f>
        <v>(ST) Within 12 - 18 month</v>
      </c>
      <c r="L413" s="146">
        <f>IF(ISNUMBER(SEARCH("EST",Assessment[[#This Row],[JOB TARGET]])),SUBSTITUTE(Assessment[[#This Row],[JOB TARGET]],"EST","DEV"),Assessment[[#This Row],[JOB TARGET]])</f>
        <v>0</v>
      </c>
      <c r="M413" s="146" t="str" cm="1">
        <f t="array" aca="1" ref="M413" ca="1">IF(Assessment[[#This Row],[JOB TARGET]]="","Job Target Kosong",IF(COUNT(IF('Data Assessment'!$N413:$Z413-OFFSET(Standar!$B$2,MATCH(Assessment[[#This Row],[JOB TARGET
(DEV)]],Standar[NAMA JABATAN],0)-1,1,1,13)&lt;0,1,""))&lt;=3,'9 Grid'!$B$4,IF(COUNT(IF('Data Assessment'!$N413:$Z413-OFFSET(Standar!$B$2,MATCH(Assessment[[#This Row],[JOB TARGET
(DEV)]],Standar[NAMA JABATAN],0)-1,1,1,13)&lt;0,1,""))&gt;=7,'9 Grid'!$B$6,'9 Grid'!$B$5)))</f>
        <v>Job Target Kosong</v>
      </c>
      <c r="N413" s="146" t="str">
        <f>IFERROR(IF(Data_Assessment[[#This Row],[IPP (3 YEARS AVERAGE)]]="","(IPP Belum Ada)",IF(Data_Assessment[[#This Row],[IPP (3 YEARS AVERAGE)]]&lt;2,'9 Grid'!$F$2,IF(Data_Assessment[[#This Row],[IPP (3 YEARS AVERAGE)]]&gt;=4,'9 Grid'!$D$2,'9 Grid'!$E$2))),"")</f>
        <v>Fully Competence Performance</v>
      </c>
      <c r="O413" s="146" t="str">
        <f ca="1">IFERROR(INDEX('9 Grid'!$D$4:$F$6,MATCH('Rekomendasi HAV'!M413,'9 Grid'!$B$4:$B$6,0),MATCH('Rekomendasi HAV'!N413,'9 Grid'!$D$2:$F$2,0)),"")</f>
        <v/>
      </c>
      <c r="P413" s="147" t="str">
        <f>IFERROR(INDEX('9 Grid'!$D$8:$F$8,1,MATCH('Rekomendasi HAV'!N413,'9 Grid'!$D$2:$F$2,0)),"")</f>
        <v>(ST) Within 12 - 18 month</v>
      </c>
    </row>
    <row r="414" spans="1:16" ht="28.5">
      <c r="A414" s="67">
        <v>413</v>
      </c>
      <c r="B414" s="68" t="str">
        <f>INDEX(Data_Assessment[],MATCH('Rekomendasi HAV'!$A414,Data_Assessment[[INDEX]:[INDEX]],0),MATCH('Rekomendasi HAV'!B$1,Data_Assessment[#Headers],0))</f>
        <v>Angelus Pacis Nababan</v>
      </c>
      <c r="C414" s="68" t="str">
        <f>INDEX(Data_Assessment[],MATCH('Rekomendasi HAV'!$A414,Data_Assessment[[INDEX]:[INDEX]],0),MATCH('Rekomendasi HAV'!C$1,Data_Assessment[#Headers],0))</f>
        <v>Sumatera Utara</v>
      </c>
      <c r="D414" s="68" t="str">
        <f>INDEX(Data_Assessment[],MATCH('Rekomendasi HAV'!$A414,Data_Assessment[[INDEX]:[INDEX]],0),MATCH('Rekomendasi HAV'!D$1,Data_Assessment[#Headers],0))</f>
        <v>LSIP - Turangie Estate</v>
      </c>
      <c r="E414" s="68">
        <f>INDEX(Data_Assessment[],MATCH('Rekomendasi HAV'!$B414,Data_Assessment[[NAME]:[NAME]],0),MATCH('Rekomendasi HAV'!E$1,Data_Assessment[#Headers],0))</f>
        <v>0</v>
      </c>
      <c r="F414" s="68"/>
      <c r="G414" s="68">
        <f>IF(ISNUMBER(SEARCH("DEV",Assessment[[#This Row],[JOB TARGET]])),SUBSTITUTE(Assessment[[#This Row],[JOB TARGET]],"DEV","EST"),Assessment[[#This Row],[JOB TARGET]])</f>
        <v>0</v>
      </c>
      <c r="H414" s="146" t="str" cm="1">
        <f t="array" aca="1" ref="H414" ca="1">IF(Assessment[[#This Row],[JOB TARGET]]="","Job Target Kosong",IF(COUNT(IF('Data Assessment'!$N414:$Z414-OFFSET(Standar!$B$2,MATCH(Assessment[[#This Row],[JOB TARGET
(EST)]],Standar[NAMA JABATAN],0)-1,1,1,13)&lt;0,1,""))&lt;=3,'9 Grid'!$B$4,IF(COUNT(IF('Data Assessment'!$N414:$Z414-OFFSET(Standar!$B$2,MATCH(Assessment[[#This Row],[JOB TARGET]],Standar[NAMA JABATAN],0)-1,1,1,13)&lt;0,1,""))&gt;=7,'9 Grid'!$B$6,'9 Grid'!$B$5)))</f>
        <v>Job Target Kosong</v>
      </c>
      <c r="I414" s="146" t="str">
        <f>IFERROR(IF(Data_Assessment[[#This Row],[IPP (3 YEARS AVERAGE)]]="","(IPP Belum Ada)",IF(Data_Assessment[[#This Row],[IPP (3 YEARS AVERAGE)]]&lt;2,'9 Grid'!$F$2,IF(Data_Assessment[[#This Row],[IPP (3 YEARS AVERAGE)]]&gt;=4,'9 Grid'!$D$2,'9 Grid'!$E$2))),"")</f>
        <v>Fully Competence Performance</v>
      </c>
      <c r="J414" s="146" t="str">
        <f ca="1">IFERROR(INDEX('9 Grid'!$D$4:$F$6,MATCH('Rekomendasi HAV'!H414,'9 Grid'!$B$4:$B$6,0),MATCH('Rekomendasi HAV'!I414,'9 Grid'!$D$2:$F$2,0)),"")</f>
        <v/>
      </c>
      <c r="K414" s="146" t="str">
        <f>IFERROR(INDEX('9 Grid'!$D$8:$F$8,1,MATCH('Rekomendasi HAV'!I414,'9 Grid'!$D$2:$F$2,0)),"")</f>
        <v>(ST) Within 12 - 18 month</v>
      </c>
      <c r="L414" s="146">
        <f>IF(ISNUMBER(SEARCH("EST",Assessment[[#This Row],[JOB TARGET]])),SUBSTITUTE(Assessment[[#This Row],[JOB TARGET]],"EST","DEV"),Assessment[[#This Row],[JOB TARGET]])</f>
        <v>0</v>
      </c>
      <c r="M414" s="146" t="str" cm="1">
        <f t="array" aca="1" ref="M414" ca="1">IF(Assessment[[#This Row],[JOB TARGET]]="","Job Target Kosong",IF(COUNT(IF('Data Assessment'!$N414:$Z414-OFFSET(Standar!$B$2,MATCH(Assessment[[#This Row],[JOB TARGET
(DEV)]],Standar[NAMA JABATAN],0)-1,1,1,13)&lt;0,1,""))&lt;=3,'9 Grid'!$B$4,IF(COUNT(IF('Data Assessment'!$N414:$Z414-OFFSET(Standar!$B$2,MATCH(Assessment[[#This Row],[JOB TARGET
(DEV)]],Standar[NAMA JABATAN],0)-1,1,1,13)&lt;0,1,""))&gt;=7,'9 Grid'!$B$6,'9 Grid'!$B$5)))</f>
        <v>Job Target Kosong</v>
      </c>
      <c r="N414" s="146" t="str">
        <f>IFERROR(IF(Data_Assessment[[#This Row],[IPP (3 YEARS AVERAGE)]]="","(IPP Belum Ada)",IF(Data_Assessment[[#This Row],[IPP (3 YEARS AVERAGE)]]&lt;2,'9 Grid'!$F$2,IF(Data_Assessment[[#This Row],[IPP (3 YEARS AVERAGE)]]&gt;=4,'9 Grid'!$D$2,'9 Grid'!$E$2))),"")</f>
        <v>Fully Competence Performance</v>
      </c>
      <c r="O414" s="146" t="str">
        <f ca="1">IFERROR(INDEX('9 Grid'!$D$4:$F$6,MATCH('Rekomendasi HAV'!M414,'9 Grid'!$B$4:$B$6,0),MATCH('Rekomendasi HAV'!N414,'9 Grid'!$D$2:$F$2,0)),"")</f>
        <v/>
      </c>
      <c r="P414" s="147" t="str">
        <f>IFERROR(INDEX('9 Grid'!$D$8:$F$8,1,MATCH('Rekomendasi HAV'!N414,'9 Grid'!$D$2:$F$2,0)),"")</f>
        <v>(ST) Within 12 - 18 month</v>
      </c>
    </row>
    <row r="415" spans="1:16" ht="28.5">
      <c r="A415" s="67">
        <v>414</v>
      </c>
      <c r="B415" s="68" t="str">
        <f>INDEX(Data_Assessment[],MATCH('Rekomendasi HAV'!$A415,Data_Assessment[[INDEX]:[INDEX]],0),MATCH('Rekomendasi HAV'!B$1,Data_Assessment[#Headers],0))</f>
        <v>Sjahwarsja Imral, Ir.</v>
      </c>
      <c r="C415" s="68" t="str">
        <f>INDEX(Data_Assessment[],MATCH('Rekomendasi HAV'!$A415,Data_Assessment[[INDEX]:[INDEX]],0),MATCH('Rekomendasi HAV'!C$1,Data_Assessment[#Headers],0))</f>
        <v>Jakarta</v>
      </c>
      <c r="D415" s="68" t="str">
        <f>INDEX(Data_Assessment[],MATCH('Rekomendasi HAV'!$A415,Data_Assessment[[INDEX]:[INDEX]],0),MATCH('Rekomendasi HAV'!D$1,Data_Assessment[#Headers],0))</f>
        <v>LSIP - HO Jakarta</v>
      </c>
      <c r="E415" s="68">
        <f>INDEX(Data_Assessment[],MATCH('Rekomendasi HAV'!$B415,Data_Assessment[[NAME]:[NAME]],0),MATCH('Rekomendasi HAV'!E$1,Data_Assessment[#Headers],0))</f>
        <v>0</v>
      </c>
      <c r="F415" s="68"/>
      <c r="G415" s="68">
        <f>IF(ISNUMBER(SEARCH("DEV",Assessment[[#This Row],[JOB TARGET]])),SUBSTITUTE(Assessment[[#This Row],[JOB TARGET]],"DEV","EST"),Assessment[[#This Row],[JOB TARGET]])</f>
        <v>0</v>
      </c>
      <c r="H415" s="146" t="str" cm="1">
        <f t="array" aca="1" ref="H415" ca="1">IF(Assessment[[#This Row],[JOB TARGET]]="","Job Target Kosong",IF(COUNT(IF('Data Assessment'!$N415:$Z415-OFFSET(Standar!$B$2,MATCH(Assessment[[#This Row],[JOB TARGET
(EST)]],Standar[NAMA JABATAN],0)-1,1,1,13)&lt;0,1,""))&lt;=3,'9 Grid'!$B$4,IF(COUNT(IF('Data Assessment'!$N415:$Z415-OFFSET(Standar!$B$2,MATCH(Assessment[[#This Row],[JOB TARGET]],Standar[NAMA JABATAN],0)-1,1,1,13)&lt;0,1,""))&gt;=7,'9 Grid'!$B$6,'9 Grid'!$B$5)))</f>
        <v>Job Target Kosong</v>
      </c>
      <c r="I415" s="146" t="str">
        <f>IFERROR(IF(Data_Assessment[[#This Row],[IPP (3 YEARS AVERAGE)]]="","(IPP Belum Ada)",IF(Data_Assessment[[#This Row],[IPP (3 YEARS AVERAGE)]]&lt;2,'9 Grid'!$F$2,IF(Data_Assessment[[#This Row],[IPP (3 YEARS AVERAGE)]]&gt;=4,'9 Grid'!$D$2,'9 Grid'!$E$2))),"")</f>
        <v>Fully Competence Performance</v>
      </c>
      <c r="J415" s="146" t="str">
        <f ca="1">IFERROR(INDEX('9 Grid'!$D$4:$F$6,MATCH('Rekomendasi HAV'!H415,'9 Grid'!$B$4:$B$6,0),MATCH('Rekomendasi HAV'!I415,'9 Grid'!$D$2:$F$2,0)),"")</f>
        <v/>
      </c>
      <c r="K415" s="146" t="str">
        <f>IFERROR(INDEX('9 Grid'!$D$8:$F$8,1,MATCH('Rekomendasi HAV'!I415,'9 Grid'!$D$2:$F$2,0)),"")</f>
        <v>(ST) Within 12 - 18 month</v>
      </c>
      <c r="L415" s="146">
        <f>IF(ISNUMBER(SEARCH("EST",Assessment[[#This Row],[JOB TARGET]])),SUBSTITUTE(Assessment[[#This Row],[JOB TARGET]],"EST","DEV"),Assessment[[#This Row],[JOB TARGET]])</f>
        <v>0</v>
      </c>
      <c r="M415" s="146" t="str" cm="1">
        <f t="array" aca="1" ref="M415" ca="1">IF(Assessment[[#This Row],[JOB TARGET]]="","Job Target Kosong",IF(COUNT(IF('Data Assessment'!$N415:$Z415-OFFSET(Standar!$B$2,MATCH(Assessment[[#This Row],[JOB TARGET
(DEV)]],Standar[NAMA JABATAN],0)-1,1,1,13)&lt;0,1,""))&lt;=3,'9 Grid'!$B$4,IF(COUNT(IF('Data Assessment'!$N415:$Z415-OFFSET(Standar!$B$2,MATCH(Assessment[[#This Row],[JOB TARGET
(DEV)]],Standar[NAMA JABATAN],0)-1,1,1,13)&lt;0,1,""))&gt;=7,'9 Grid'!$B$6,'9 Grid'!$B$5)))</f>
        <v>Job Target Kosong</v>
      </c>
      <c r="N415" s="146" t="str">
        <f>IFERROR(IF(Data_Assessment[[#This Row],[IPP (3 YEARS AVERAGE)]]="","(IPP Belum Ada)",IF(Data_Assessment[[#This Row],[IPP (3 YEARS AVERAGE)]]&lt;2,'9 Grid'!$F$2,IF(Data_Assessment[[#This Row],[IPP (3 YEARS AVERAGE)]]&gt;=4,'9 Grid'!$D$2,'9 Grid'!$E$2))),"")</f>
        <v>Fully Competence Performance</v>
      </c>
      <c r="O415" s="146" t="str">
        <f ca="1">IFERROR(INDEX('9 Grid'!$D$4:$F$6,MATCH('Rekomendasi HAV'!M415,'9 Grid'!$B$4:$B$6,0),MATCH('Rekomendasi HAV'!N415,'9 Grid'!$D$2:$F$2,0)),"")</f>
        <v/>
      </c>
      <c r="P415" s="147" t="str">
        <f>IFERROR(INDEX('9 Grid'!$D$8:$F$8,1,MATCH('Rekomendasi HAV'!N415,'9 Grid'!$D$2:$F$2,0)),"")</f>
        <v>(ST) Within 12 - 18 month</v>
      </c>
    </row>
    <row r="416" spans="1:16" ht="28.5">
      <c r="A416" s="67">
        <v>415</v>
      </c>
      <c r="B416" s="68" t="str">
        <f>INDEX(Data_Assessment[],MATCH('Rekomendasi HAV'!$A416,Data_Assessment[[INDEX]:[INDEX]],0),MATCH('Rekomendasi HAV'!B$1,Data_Assessment[#Headers],0))</f>
        <v>Firman, Amd</v>
      </c>
      <c r="C416" s="68" t="str">
        <f>INDEX(Data_Assessment[],MATCH('Rekomendasi HAV'!$A416,Data_Assessment[[INDEX]:[INDEX]],0),MATCH('Rekomendasi HAV'!C$1,Data_Assessment[#Headers],0))</f>
        <v>Sumatera Utara</v>
      </c>
      <c r="D416" s="68" t="str">
        <f>INDEX(Data_Assessment[],MATCH('Rekomendasi HAV'!$A416,Data_Assessment[[INDEX]:[INDEX]],0),MATCH('Rekomendasi HAV'!D$1,Data_Assessment[#Headers],0))</f>
        <v>LSIP - Sei Merah Estate</v>
      </c>
      <c r="E416" s="68">
        <f>INDEX(Data_Assessment[],MATCH('Rekomendasi HAV'!$B416,Data_Assessment[[NAME]:[NAME]],0),MATCH('Rekomendasi HAV'!E$1,Data_Assessment[#Headers],0))</f>
        <v>0</v>
      </c>
      <c r="F416" s="68"/>
      <c r="G416" s="68">
        <f>IF(ISNUMBER(SEARCH("DEV",Assessment[[#This Row],[JOB TARGET]])),SUBSTITUTE(Assessment[[#This Row],[JOB TARGET]],"DEV","EST"),Assessment[[#This Row],[JOB TARGET]])</f>
        <v>0</v>
      </c>
      <c r="H416" s="146" t="str" cm="1">
        <f t="array" aca="1" ref="H416" ca="1">IF(Assessment[[#This Row],[JOB TARGET]]="","Job Target Kosong",IF(COUNT(IF('Data Assessment'!$N416:$Z416-OFFSET(Standar!$B$2,MATCH(Assessment[[#This Row],[JOB TARGET
(EST)]],Standar[NAMA JABATAN],0)-1,1,1,13)&lt;0,1,""))&lt;=3,'9 Grid'!$B$4,IF(COUNT(IF('Data Assessment'!$N416:$Z416-OFFSET(Standar!$B$2,MATCH(Assessment[[#This Row],[JOB TARGET]],Standar[NAMA JABATAN],0)-1,1,1,13)&lt;0,1,""))&gt;=7,'9 Grid'!$B$6,'9 Grid'!$B$5)))</f>
        <v>Job Target Kosong</v>
      </c>
      <c r="I416" s="146" t="str">
        <f>IFERROR(IF(Data_Assessment[[#This Row],[IPP (3 YEARS AVERAGE)]]="","(IPP Belum Ada)",IF(Data_Assessment[[#This Row],[IPP (3 YEARS AVERAGE)]]&lt;2,'9 Grid'!$F$2,IF(Data_Assessment[[#This Row],[IPP (3 YEARS AVERAGE)]]&gt;=4,'9 Grid'!$D$2,'9 Grid'!$E$2))),"")</f>
        <v>Fully Competence Performance</v>
      </c>
      <c r="J416" s="146" t="str">
        <f ca="1">IFERROR(INDEX('9 Grid'!$D$4:$F$6,MATCH('Rekomendasi HAV'!H416,'9 Grid'!$B$4:$B$6,0),MATCH('Rekomendasi HAV'!I416,'9 Grid'!$D$2:$F$2,0)),"")</f>
        <v/>
      </c>
      <c r="K416" s="146" t="str">
        <f>IFERROR(INDEX('9 Grid'!$D$8:$F$8,1,MATCH('Rekomendasi HAV'!I416,'9 Grid'!$D$2:$F$2,0)),"")</f>
        <v>(ST) Within 12 - 18 month</v>
      </c>
      <c r="L416" s="146">
        <f>IF(ISNUMBER(SEARCH("EST",Assessment[[#This Row],[JOB TARGET]])),SUBSTITUTE(Assessment[[#This Row],[JOB TARGET]],"EST","DEV"),Assessment[[#This Row],[JOB TARGET]])</f>
        <v>0</v>
      </c>
      <c r="M416" s="146" t="str" cm="1">
        <f t="array" aca="1" ref="M416" ca="1">IF(Assessment[[#This Row],[JOB TARGET]]="","Job Target Kosong",IF(COUNT(IF('Data Assessment'!$N416:$Z416-OFFSET(Standar!$B$2,MATCH(Assessment[[#This Row],[JOB TARGET
(DEV)]],Standar[NAMA JABATAN],0)-1,1,1,13)&lt;0,1,""))&lt;=3,'9 Grid'!$B$4,IF(COUNT(IF('Data Assessment'!$N416:$Z416-OFFSET(Standar!$B$2,MATCH(Assessment[[#This Row],[JOB TARGET
(DEV)]],Standar[NAMA JABATAN],0)-1,1,1,13)&lt;0,1,""))&gt;=7,'9 Grid'!$B$6,'9 Grid'!$B$5)))</f>
        <v>Job Target Kosong</v>
      </c>
      <c r="N416" s="146" t="str">
        <f>IFERROR(IF(Data_Assessment[[#This Row],[IPP (3 YEARS AVERAGE)]]="","(IPP Belum Ada)",IF(Data_Assessment[[#This Row],[IPP (3 YEARS AVERAGE)]]&lt;2,'9 Grid'!$F$2,IF(Data_Assessment[[#This Row],[IPP (3 YEARS AVERAGE)]]&gt;=4,'9 Grid'!$D$2,'9 Grid'!$E$2))),"")</f>
        <v>Fully Competence Performance</v>
      </c>
      <c r="O416" s="146" t="str">
        <f ca="1">IFERROR(INDEX('9 Grid'!$D$4:$F$6,MATCH('Rekomendasi HAV'!M416,'9 Grid'!$B$4:$B$6,0),MATCH('Rekomendasi HAV'!N416,'9 Grid'!$D$2:$F$2,0)),"")</f>
        <v/>
      </c>
      <c r="P416" s="147" t="str">
        <f>IFERROR(INDEX('9 Grid'!$D$8:$F$8,1,MATCH('Rekomendasi HAV'!N416,'9 Grid'!$D$2:$F$2,0)),"")</f>
        <v>(ST) Within 12 - 18 month</v>
      </c>
    </row>
    <row r="417" spans="1:16" ht="28.5">
      <c r="A417" s="67">
        <v>416</v>
      </c>
      <c r="B417" s="68" t="str">
        <f>INDEX(Data_Assessment[],MATCH('Rekomendasi HAV'!$A417,Data_Assessment[[INDEX]:[INDEX]],0),MATCH('Rekomendasi HAV'!B$1,Data_Assessment[#Headers],0))</f>
        <v>Nurhasanah Hasibuan</v>
      </c>
      <c r="C417" s="68" t="str">
        <f>INDEX(Data_Assessment[],MATCH('Rekomendasi HAV'!$A417,Data_Assessment[[INDEX]:[INDEX]],0),MATCH('Rekomendasi HAV'!C$1,Data_Assessment[#Headers],0))</f>
        <v>Sumatera Utara</v>
      </c>
      <c r="D417" s="68" t="str">
        <f>INDEX(Data_Assessment[],MATCH('Rekomendasi HAV'!$A417,Data_Assessment[[INDEX]:[INDEX]],0),MATCH('Rekomendasi HAV'!D$1,Data_Assessment[#Headers],0))</f>
        <v>LSIP - Sei Merah Estate</v>
      </c>
      <c r="E417" s="68">
        <f>INDEX(Data_Assessment[],MATCH('Rekomendasi HAV'!$B417,Data_Assessment[[NAME]:[NAME]],0),MATCH('Rekomendasi HAV'!E$1,Data_Assessment[#Headers],0))</f>
        <v>0</v>
      </c>
      <c r="F417" s="68"/>
      <c r="G417" s="68">
        <f>IF(ISNUMBER(SEARCH("DEV",Assessment[[#This Row],[JOB TARGET]])),SUBSTITUTE(Assessment[[#This Row],[JOB TARGET]],"DEV","EST"),Assessment[[#This Row],[JOB TARGET]])</f>
        <v>0</v>
      </c>
      <c r="H417" s="146" t="str" cm="1">
        <f t="array" aca="1" ref="H417" ca="1">IF(Assessment[[#This Row],[JOB TARGET]]="","Job Target Kosong",IF(COUNT(IF('Data Assessment'!$N417:$Z417-OFFSET(Standar!$B$2,MATCH(Assessment[[#This Row],[JOB TARGET
(EST)]],Standar[NAMA JABATAN],0)-1,1,1,13)&lt;0,1,""))&lt;=3,'9 Grid'!$B$4,IF(COUNT(IF('Data Assessment'!$N417:$Z417-OFFSET(Standar!$B$2,MATCH(Assessment[[#This Row],[JOB TARGET]],Standar[NAMA JABATAN],0)-1,1,1,13)&lt;0,1,""))&gt;=7,'9 Grid'!$B$6,'9 Grid'!$B$5)))</f>
        <v>Job Target Kosong</v>
      </c>
      <c r="I417" s="146" t="str">
        <f>IFERROR(IF(Data_Assessment[[#This Row],[IPP (3 YEARS AVERAGE)]]="","(IPP Belum Ada)",IF(Data_Assessment[[#This Row],[IPP (3 YEARS AVERAGE)]]&lt;2,'9 Grid'!$F$2,IF(Data_Assessment[[#This Row],[IPP (3 YEARS AVERAGE)]]&gt;=4,'9 Grid'!$D$2,'9 Grid'!$E$2))),"")</f>
        <v>Fully Competence Performance</v>
      </c>
      <c r="J417" s="146" t="str">
        <f ca="1">IFERROR(INDEX('9 Grid'!$D$4:$F$6,MATCH('Rekomendasi HAV'!H417,'9 Grid'!$B$4:$B$6,0),MATCH('Rekomendasi HAV'!I417,'9 Grid'!$D$2:$F$2,0)),"")</f>
        <v/>
      </c>
      <c r="K417" s="146" t="str">
        <f>IFERROR(INDEX('9 Grid'!$D$8:$F$8,1,MATCH('Rekomendasi HAV'!I417,'9 Grid'!$D$2:$F$2,0)),"")</f>
        <v>(ST) Within 12 - 18 month</v>
      </c>
      <c r="L417" s="146">
        <f>IF(ISNUMBER(SEARCH("EST",Assessment[[#This Row],[JOB TARGET]])),SUBSTITUTE(Assessment[[#This Row],[JOB TARGET]],"EST","DEV"),Assessment[[#This Row],[JOB TARGET]])</f>
        <v>0</v>
      </c>
      <c r="M417" s="146" t="str" cm="1">
        <f t="array" aca="1" ref="M417" ca="1">IF(Assessment[[#This Row],[JOB TARGET]]="","Job Target Kosong",IF(COUNT(IF('Data Assessment'!$N417:$Z417-OFFSET(Standar!$B$2,MATCH(Assessment[[#This Row],[JOB TARGET
(DEV)]],Standar[NAMA JABATAN],0)-1,1,1,13)&lt;0,1,""))&lt;=3,'9 Grid'!$B$4,IF(COUNT(IF('Data Assessment'!$N417:$Z417-OFFSET(Standar!$B$2,MATCH(Assessment[[#This Row],[JOB TARGET
(DEV)]],Standar[NAMA JABATAN],0)-1,1,1,13)&lt;0,1,""))&gt;=7,'9 Grid'!$B$6,'9 Grid'!$B$5)))</f>
        <v>Job Target Kosong</v>
      </c>
      <c r="N417" s="146" t="str">
        <f>IFERROR(IF(Data_Assessment[[#This Row],[IPP (3 YEARS AVERAGE)]]="","(IPP Belum Ada)",IF(Data_Assessment[[#This Row],[IPP (3 YEARS AVERAGE)]]&lt;2,'9 Grid'!$F$2,IF(Data_Assessment[[#This Row],[IPP (3 YEARS AVERAGE)]]&gt;=4,'9 Grid'!$D$2,'9 Grid'!$E$2))),"")</f>
        <v>Fully Competence Performance</v>
      </c>
      <c r="O417" s="146" t="str">
        <f ca="1">IFERROR(INDEX('9 Grid'!$D$4:$F$6,MATCH('Rekomendasi HAV'!M417,'9 Grid'!$B$4:$B$6,0),MATCH('Rekomendasi HAV'!N417,'9 Grid'!$D$2:$F$2,0)),"")</f>
        <v/>
      </c>
      <c r="P417" s="147" t="str">
        <f>IFERROR(INDEX('9 Grid'!$D$8:$F$8,1,MATCH('Rekomendasi HAV'!N417,'9 Grid'!$D$2:$F$2,0)),"")</f>
        <v>(ST) Within 12 - 18 month</v>
      </c>
    </row>
    <row r="418" spans="1:16" ht="28.5">
      <c r="A418" s="67">
        <v>417</v>
      </c>
      <c r="B418" s="68" t="str">
        <f>INDEX(Data_Assessment[],MATCH('Rekomendasi HAV'!$A418,Data_Assessment[[INDEX]:[INDEX]],0),MATCH('Rekomendasi HAV'!B$1,Data_Assessment[#Headers],0))</f>
        <v>Nengsih Samady</v>
      </c>
      <c r="C418" s="68" t="str">
        <f>INDEX(Data_Assessment[],MATCH('Rekomendasi HAV'!$A418,Data_Assessment[[INDEX]:[INDEX]],0),MATCH('Rekomendasi HAV'!C$1,Data_Assessment[#Headers],0))</f>
        <v>Jakarta</v>
      </c>
      <c r="D418" s="68" t="str">
        <f>INDEX(Data_Assessment[],MATCH('Rekomendasi HAV'!$A418,Data_Assessment[[INDEX]:[INDEX]],0),MATCH('Rekomendasi HAV'!D$1,Data_Assessment[#Headers],0))</f>
        <v>LSIP - HO Jakarta</v>
      </c>
      <c r="E418" s="68">
        <f>INDEX(Data_Assessment[],MATCH('Rekomendasi HAV'!$B418,Data_Assessment[[NAME]:[NAME]],0),MATCH('Rekomendasi HAV'!E$1,Data_Assessment[#Headers],0))</f>
        <v>0</v>
      </c>
      <c r="F418" s="68"/>
      <c r="G418" s="68">
        <f>IF(ISNUMBER(SEARCH("DEV",Assessment[[#This Row],[JOB TARGET]])),SUBSTITUTE(Assessment[[#This Row],[JOB TARGET]],"DEV","EST"),Assessment[[#This Row],[JOB TARGET]])</f>
        <v>0</v>
      </c>
      <c r="H418" s="146" t="str" cm="1">
        <f t="array" aca="1" ref="H418" ca="1">IF(Assessment[[#This Row],[JOB TARGET]]="","Job Target Kosong",IF(COUNT(IF('Data Assessment'!$N418:$Z418-OFFSET(Standar!$B$2,MATCH(Assessment[[#This Row],[JOB TARGET
(EST)]],Standar[NAMA JABATAN],0)-1,1,1,13)&lt;0,1,""))&lt;=3,'9 Grid'!$B$4,IF(COUNT(IF('Data Assessment'!$N418:$Z418-OFFSET(Standar!$B$2,MATCH(Assessment[[#This Row],[JOB TARGET]],Standar[NAMA JABATAN],0)-1,1,1,13)&lt;0,1,""))&gt;=7,'9 Grid'!$B$6,'9 Grid'!$B$5)))</f>
        <v>Job Target Kosong</v>
      </c>
      <c r="I418" s="146" t="str">
        <f>IFERROR(IF(Data_Assessment[[#This Row],[IPP (3 YEARS AVERAGE)]]="","(IPP Belum Ada)",IF(Data_Assessment[[#This Row],[IPP (3 YEARS AVERAGE)]]&lt;2,'9 Grid'!$F$2,IF(Data_Assessment[[#This Row],[IPP (3 YEARS AVERAGE)]]&gt;=4,'9 Grid'!$D$2,'9 Grid'!$E$2))),"")</f>
        <v>Fully Competence Performance</v>
      </c>
      <c r="J418" s="146" t="str">
        <f ca="1">IFERROR(INDEX('9 Grid'!$D$4:$F$6,MATCH('Rekomendasi HAV'!H418,'9 Grid'!$B$4:$B$6,0),MATCH('Rekomendasi HAV'!I418,'9 Grid'!$D$2:$F$2,0)),"")</f>
        <v/>
      </c>
      <c r="K418" s="146" t="str">
        <f>IFERROR(INDEX('9 Grid'!$D$8:$F$8,1,MATCH('Rekomendasi HAV'!I418,'9 Grid'!$D$2:$F$2,0)),"")</f>
        <v>(ST) Within 12 - 18 month</v>
      </c>
      <c r="L418" s="146">
        <f>IF(ISNUMBER(SEARCH("EST",Assessment[[#This Row],[JOB TARGET]])),SUBSTITUTE(Assessment[[#This Row],[JOB TARGET]],"EST","DEV"),Assessment[[#This Row],[JOB TARGET]])</f>
        <v>0</v>
      </c>
      <c r="M418" s="146" t="str" cm="1">
        <f t="array" aca="1" ref="M418" ca="1">IF(Assessment[[#This Row],[JOB TARGET]]="","Job Target Kosong",IF(COUNT(IF('Data Assessment'!$N418:$Z418-OFFSET(Standar!$B$2,MATCH(Assessment[[#This Row],[JOB TARGET
(DEV)]],Standar[NAMA JABATAN],0)-1,1,1,13)&lt;0,1,""))&lt;=3,'9 Grid'!$B$4,IF(COUNT(IF('Data Assessment'!$N418:$Z418-OFFSET(Standar!$B$2,MATCH(Assessment[[#This Row],[JOB TARGET
(DEV)]],Standar[NAMA JABATAN],0)-1,1,1,13)&lt;0,1,""))&gt;=7,'9 Grid'!$B$6,'9 Grid'!$B$5)))</f>
        <v>Job Target Kosong</v>
      </c>
      <c r="N418" s="146" t="str">
        <f>IFERROR(IF(Data_Assessment[[#This Row],[IPP (3 YEARS AVERAGE)]]="","(IPP Belum Ada)",IF(Data_Assessment[[#This Row],[IPP (3 YEARS AVERAGE)]]&lt;2,'9 Grid'!$F$2,IF(Data_Assessment[[#This Row],[IPP (3 YEARS AVERAGE)]]&gt;=4,'9 Grid'!$D$2,'9 Grid'!$E$2))),"")</f>
        <v>Fully Competence Performance</v>
      </c>
      <c r="O418" s="146" t="str">
        <f ca="1">IFERROR(INDEX('9 Grid'!$D$4:$F$6,MATCH('Rekomendasi HAV'!M418,'9 Grid'!$B$4:$B$6,0),MATCH('Rekomendasi HAV'!N418,'9 Grid'!$D$2:$F$2,0)),"")</f>
        <v/>
      </c>
      <c r="P418" s="147" t="str">
        <f>IFERROR(INDEX('9 Grid'!$D$8:$F$8,1,MATCH('Rekomendasi HAV'!N418,'9 Grid'!$D$2:$F$2,0)),"")</f>
        <v>(ST) Within 12 - 18 month</v>
      </c>
    </row>
    <row r="419" spans="1:16" ht="14.25">
      <c r="A419" s="67">
        <v>418</v>
      </c>
      <c r="B419" s="68" t="str">
        <f>INDEX(Data_Assessment[],MATCH('Rekomendasi HAV'!$A419,Data_Assessment[[INDEX]:[INDEX]],0),MATCH('Rekomendasi HAV'!B$1,Data_Assessment[#Headers],0))</f>
        <v>M. Irwansyah, Ir.</v>
      </c>
      <c r="C419" s="68" t="str">
        <f>INDEX(Data_Assessment[],MATCH('Rekomendasi HAV'!$A419,Data_Assessment[[INDEX]:[INDEX]],0),MATCH('Rekomendasi HAV'!C$1,Data_Assessment[#Headers],0))</f>
        <v>Sumatera Utara</v>
      </c>
      <c r="D419" s="68" t="str">
        <f>INDEX(Data_Assessment[],MATCH('Rekomendasi HAV'!$A419,Data_Assessment[[INDEX]:[INDEX]],0),MATCH('Rekomendasi HAV'!D$1,Data_Assessment[#Headers],0))</f>
        <v>LSIP - Pulo Rambong Estate</v>
      </c>
      <c r="E419" s="68">
        <f>INDEX(Data_Assessment[],MATCH('Rekomendasi HAV'!$B419,Data_Assessment[[NAME]:[NAME]],0),MATCH('Rekomendasi HAV'!E$1,Data_Assessment[#Headers],0))</f>
        <v>0</v>
      </c>
      <c r="F419" s="68"/>
      <c r="G419" s="68">
        <f>IF(ISNUMBER(SEARCH("DEV",Assessment[[#This Row],[JOB TARGET]])),SUBSTITUTE(Assessment[[#This Row],[JOB TARGET]],"DEV","EST"),Assessment[[#This Row],[JOB TARGET]])</f>
        <v>0</v>
      </c>
      <c r="H419" s="146" t="str" cm="1">
        <f t="array" aca="1" ref="H419" ca="1">IF(Assessment[[#This Row],[JOB TARGET]]="","Job Target Kosong",IF(COUNT(IF('Data Assessment'!$N419:$Z419-OFFSET(Standar!$B$2,MATCH(Assessment[[#This Row],[JOB TARGET
(EST)]],Standar[NAMA JABATAN],0)-1,1,1,13)&lt;0,1,""))&lt;=3,'9 Grid'!$B$4,IF(COUNT(IF('Data Assessment'!$N419:$Z419-OFFSET(Standar!$B$2,MATCH(Assessment[[#This Row],[JOB TARGET]],Standar[NAMA JABATAN],0)-1,1,1,13)&lt;0,1,""))&gt;=7,'9 Grid'!$B$6,'9 Grid'!$B$5)))</f>
        <v>Job Target Kosong</v>
      </c>
      <c r="I419" s="146" t="str">
        <f>IFERROR(IF(Data_Assessment[[#This Row],[IPP (3 YEARS AVERAGE)]]="","(IPP Belum Ada)",IF(Data_Assessment[[#This Row],[IPP (3 YEARS AVERAGE)]]&lt;2,'9 Grid'!$F$2,IF(Data_Assessment[[#This Row],[IPP (3 YEARS AVERAGE)]]&gt;=4,'9 Grid'!$D$2,'9 Grid'!$E$2))),"")</f>
        <v>Exceptional Performance</v>
      </c>
      <c r="J419" s="146" t="str">
        <f ca="1">IFERROR(INDEX('9 Grid'!$D$4:$F$6,MATCH('Rekomendasi HAV'!H419,'9 Grid'!$B$4:$B$6,0),MATCH('Rekomendasi HAV'!I419,'9 Grid'!$D$2:$F$2,0)),"")</f>
        <v/>
      </c>
      <c r="K419" s="146" t="str">
        <f>IFERROR(INDEX('9 Grid'!$D$8:$F$8,1,MATCH('Rekomendasi HAV'!I419,'9 Grid'!$D$2:$F$2,0)),"")</f>
        <v>(I) Immediately</v>
      </c>
      <c r="L419" s="146">
        <f>IF(ISNUMBER(SEARCH("EST",Assessment[[#This Row],[JOB TARGET]])),SUBSTITUTE(Assessment[[#This Row],[JOB TARGET]],"EST","DEV"),Assessment[[#This Row],[JOB TARGET]])</f>
        <v>0</v>
      </c>
      <c r="M419" s="146" t="str" cm="1">
        <f t="array" aca="1" ref="M419" ca="1">IF(Assessment[[#This Row],[JOB TARGET]]="","Job Target Kosong",IF(COUNT(IF('Data Assessment'!$N419:$Z419-OFFSET(Standar!$B$2,MATCH(Assessment[[#This Row],[JOB TARGET
(DEV)]],Standar[NAMA JABATAN],0)-1,1,1,13)&lt;0,1,""))&lt;=3,'9 Grid'!$B$4,IF(COUNT(IF('Data Assessment'!$N419:$Z419-OFFSET(Standar!$B$2,MATCH(Assessment[[#This Row],[JOB TARGET
(DEV)]],Standar[NAMA JABATAN],0)-1,1,1,13)&lt;0,1,""))&gt;=7,'9 Grid'!$B$6,'9 Grid'!$B$5)))</f>
        <v>Job Target Kosong</v>
      </c>
      <c r="N419" s="146" t="str">
        <f>IFERROR(IF(Data_Assessment[[#This Row],[IPP (3 YEARS AVERAGE)]]="","(IPP Belum Ada)",IF(Data_Assessment[[#This Row],[IPP (3 YEARS AVERAGE)]]&lt;2,'9 Grid'!$F$2,IF(Data_Assessment[[#This Row],[IPP (3 YEARS AVERAGE)]]&gt;=4,'9 Grid'!$D$2,'9 Grid'!$E$2))),"")</f>
        <v>Exceptional Performance</v>
      </c>
      <c r="O419" s="146" t="str">
        <f ca="1">IFERROR(INDEX('9 Grid'!$D$4:$F$6,MATCH('Rekomendasi HAV'!M419,'9 Grid'!$B$4:$B$6,0),MATCH('Rekomendasi HAV'!N419,'9 Grid'!$D$2:$F$2,0)),"")</f>
        <v/>
      </c>
      <c r="P419" s="147" t="str">
        <f>IFERROR(INDEX('9 Grid'!$D$8:$F$8,1,MATCH('Rekomendasi HAV'!N419,'9 Grid'!$D$2:$F$2,0)),"")</f>
        <v>(I) Immediately</v>
      </c>
    </row>
    <row r="420" spans="1:16" ht="28.5">
      <c r="A420" s="67">
        <v>419</v>
      </c>
      <c r="B420" s="68" t="str">
        <f>INDEX(Data_Assessment[],MATCH('Rekomendasi HAV'!$A420,Data_Assessment[[INDEX]:[INDEX]],0),MATCH('Rekomendasi HAV'!B$1,Data_Assessment[#Headers],0))</f>
        <v>Kamal Sidik, ST</v>
      </c>
      <c r="C420" s="68" t="str">
        <f>INDEX(Data_Assessment[],MATCH('Rekomendasi HAV'!$A420,Data_Assessment[[INDEX]:[INDEX]],0),MATCH('Rekomendasi HAV'!C$1,Data_Assessment[#Headers],0))</f>
        <v>Jakarta</v>
      </c>
      <c r="D420" s="68" t="str">
        <f>INDEX(Data_Assessment[],MATCH('Rekomendasi HAV'!$A420,Data_Assessment[[INDEX]:[INDEX]],0),MATCH('Rekomendasi HAV'!D$1,Data_Assessment[#Headers],0))</f>
        <v>LSIP - HO Jakarta</v>
      </c>
      <c r="E420" s="68">
        <f>INDEX(Data_Assessment[],MATCH('Rekomendasi HAV'!$B420,Data_Assessment[[NAME]:[NAME]],0),MATCH('Rekomendasi HAV'!E$1,Data_Assessment[#Headers],0))</f>
        <v>0</v>
      </c>
      <c r="F420" s="68"/>
      <c r="G420" s="68">
        <f>IF(ISNUMBER(SEARCH("DEV",Assessment[[#This Row],[JOB TARGET]])),SUBSTITUTE(Assessment[[#This Row],[JOB TARGET]],"DEV","EST"),Assessment[[#This Row],[JOB TARGET]])</f>
        <v>0</v>
      </c>
      <c r="H420" s="146" t="str" cm="1">
        <f t="array" aca="1" ref="H420" ca="1">IF(Assessment[[#This Row],[JOB TARGET]]="","Job Target Kosong",IF(COUNT(IF('Data Assessment'!$N420:$Z420-OFFSET(Standar!$B$2,MATCH(Assessment[[#This Row],[JOB TARGET
(EST)]],Standar[NAMA JABATAN],0)-1,1,1,13)&lt;0,1,""))&lt;=3,'9 Grid'!$B$4,IF(COUNT(IF('Data Assessment'!$N420:$Z420-OFFSET(Standar!$B$2,MATCH(Assessment[[#This Row],[JOB TARGET]],Standar[NAMA JABATAN],0)-1,1,1,13)&lt;0,1,""))&gt;=7,'9 Grid'!$B$6,'9 Grid'!$B$5)))</f>
        <v>Job Target Kosong</v>
      </c>
      <c r="I420" s="146" t="str">
        <f>IFERROR(IF(Data_Assessment[[#This Row],[IPP (3 YEARS AVERAGE)]]="","(IPP Belum Ada)",IF(Data_Assessment[[#This Row],[IPP (3 YEARS AVERAGE)]]&lt;2,'9 Grid'!$F$2,IF(Data_Assessment[[#This Row],[IPP (3 YEARS AVERAGE)]]&gt;=4,'9 Grid'!$D$2,'9 Grid'!$E$2))),"")</f>
        <v>Fully Competence Performance</v>
      </c>
      <c r="J420" s="146" t="str">
        <f ca="1">IFERROR(INDEX('9 Grid'!$D$4:$F$6,MATCH('Rekomendasi HAV'!H420,'9 Grid'!$B$4:$B$6,0),MATCH('Rekomendasi HAV'!I420,'9 Grid'!$D$2:$F$2,0)),"")</f>
        <v/>
      </c>
      <c r="K420" s="146" t="str">
        <f>IFERROR(INDEX('9 Grid'!$D$8:$F$8,1,MATCH('Rekomendasi HAV'!I420,'9 Grid'!$D$2:$F$2,0)),"")</f>
        <v>(ST) Within 12 - 18 month</v>
      </c>
      <c r="L420" s="146">
        <f>IF(ISNUMBER(SEARCH("EST",Assessment[[#This Row],[JOB TARGET]])),SUBSTITUTE(Assessment[[#This Row],[JOB TARGET]],"EST","DEV"),Assessment[[#This Row],[JOB TARGET]])</f>
        <v>0</v>
      </c>
      <c r="M420" s="146" t="str" cm="1">
        <f t="array" aca="1" ref="M420" ca="1">IF(Assessment[[#This Row],[JOB TARGET]]="","Job Target Kosong",IF(COUNT(IF('Data Assessment'!$N420:$Z420-OFFSET(Standar!$B$2,MATCH(Assessment[[#This Row],[JOB TARGET
(DEV)]],Standar[NAMA JABATAN],0)-1,1,1,13)&lt;0,1,""))&lt;=3,'9 Grid'!$B$4,IF(COUNT(IF('Data Assessment'!$N420:$Z420-OFFSET(Standar!$B$2,MATCH(Assessment[[#This Row],[JOB TARGET
(DEV)]],Standar[NAMA JABATAN],0)-1,1,1,13)&lt;0,1,""))&gt;=7,'9 Grid'!$B$6,'9 Grid'!$B$5)))</f>
        <v>Job Target Kosong</v>
      </c>
      <c r="N420" s="146" t="str">
        <f>IFERROR(IF(Data_Assessment[[#This Row],[IPP (3 YEARS AVERAGE)]]="","(IPP Belum Ada)",IF(Data_Assessment[[#This Row],[IPP (3 YEARS AVERAGE)]]&lt;2,'9 Grid'!$F$2,IF(Data_Assessment[[#This Row],[IPP (3 YEARS AVERAGE)]]&gt;=4,'9 Grid'!$D$2,'9 Grid'!$E$2))),"")</f>
        <v>Fully Competence Performance</v>
      </c>
      <c r="O420" s="146" t="str">
        <f ca="1">IFERROR(INDEX('9 Grid'!$D$4:$F$6,MATCH('Rekomendasi HAV'!M420,'9 Grid'!$B$4:$B$6,0),MATCH('Rekomendasi HAV'!N420,'9 Grid'!$D$2:$F$2,0)),"")</f>
        <v/>
      </c>
      <c r="P420" s="147" t="str">
        <f>IFERROR(INDEX('9 Grid'!$D$8:$F$8,1,MATCH('Rekomendasi HAV'!N420,'9 Grid'!$D$2:$F$2,0)),"")</f>
        <v>(ST) Within 12 - 18 month</v>
      </c>
    </row>
    <row r="421" spans="1:16" ht="28.5">
      <c r="A421" s="67">
        <v>420</v>
      </c>
      <c r="B421" s="68" t="str">
        <f>INDEX(Data_Assessment[],MATCH('Rekomendasi HAV'!$A421,Data_Assessment[[INDEX]:[INDEX]],0),MATCH('Rekomendasi HAV'!B$1,Data_Assessment[#Headers],0))</f>
        <v>Hendrik Hayata</v>
      </c>
      <c r="C421" s="68" t="str">
        <f>INDEX(Data_Assessment[],MATCH('Rekomendasi HAV'!$A421,Data_Assessment[[INDEX]:[INDEX]],0),MATCH('Rekomendasi HAV'!C$1,Data_Assessment[#Headers],0))</f>
        <v>Sumatera Utara</v>
      </c>
      <c r="D421" s="68" t="str">
        <f>INDEX(Data_Assessment[],MATCH('Rekomendasi HAV'!$A421,Data_Assessment[[INDEX]:[INDEX]],0),MATCH('Rekomendasi HAV'!D$1,Data_Assessment[#Headers],0))</f>
        <v>LSIP - Pulo Rambong Estate</v>
      </c>
      <c r="E421" s="68">
        <f>INDEX(Data_Assessment[],MATCH('Rekomendasi HAV'!$B421,Data_Assessment[[NAME]:[NAME]],0),MATCH('Rekomendasi HAV'!E$1,Data_Assessment[#Headers],0))</f>
        <v>0</v>
      </c>
      <c r="F421" s="68"/>
      <c r="G421" s="68">
        <f>IF(ISNUMBER(SEARCH("DEV",Assessment[[#This Row],[JOB TARGET]])),SUBSTITUTE(Assessment[[#This Row],[JOB TARGET]],"DEV","EST"),Assessment[[#This Row],[JOB TARGET]])</f>
        <v>0</v>
      </c>
      <c r="H421" s="146" t="str" cm="1">
        <f t="array" aca="1" ref="H421" ca="1">IF(Assessment[[#This Row],[JOB TARGET]]="","Job Target Kosong",IF(COUNT(IF('Data Assessment'!$N421:$Z421-OFFSET(Standar!$B$2,MATCH(Assessment[[#This Row],[JOB TARGET
(EST)]],Standar[NAMA JABATAN],0)-1,1,1,13)&lt;0,1,""))&lt;=3,'9 Grid'!$B$4,IF(COUNT(IF('Data Assessment'!$N421:$Z421-OFFSET(Standar!$B$2,MATCH(Assessment[[#This Row],[JOB TARGET]],Standar[NAMA JABATAN],0)-1,1,1,13)&lt;0,1,""))&gt;=7,'9 Grid'!$B$6,'9 Grid'!$B$5)))</f>
        <v>Job Target Kosong</v>
      </c>
      <c r="I421" s="146" t="str">
        <f>IFERROR(IF(Data_Assessment[[#This Row],[IPP (3 YEARS AVERAGE)]]="","(IPP Belum Ada)",IF(Data_Assessment[[#This Row],[IPP (3 YEARS AVERAGE)]]&lt;2,'9 Grid'!$F$2,IF(Data_Assessment[[#This Row],[IPP (3 YEARS AVERAGE)]]&gt;=4,'9 Grid'!$D$2,'9 Grid'!$E$2))),"")</f>
        <v>Fully Competence Performance</v>
      </c>
      <c r="J421" s="146" t="str">
        <f ca="1">IFERROR(INDEX('9 Grid'!$D$4:$F$6,MATCH('Rekomendasi HAV'!H421,'9 Grid'!$B$4:$B$6,0),MATCH('Rekomendasi HAV'!I421,'9 Grid'!$D$2:$F$2,0)),"")</f>
        <v/>
      </c>
      <c r="K421" s="146" t="str">
        <f>IFERROR(INDEX('9 Grid'!$D$8:$F$8,1,MATCH('Rekomendasi HAV'!I421,'9 Grid'!$D$2:$F$2,0)),"")</f>
        <v>(ST) Within 12 - 18 month</v>
      </c>
      <c r="L421" s="146">
        <f>IF(ISNUMBER(SEARCH("EST",Assessment[[#This Row],[JOB TARGET]])),SUBSTITUTE(Assessment[[#This Row],[JOB TARGET]],"EST","DEV"),Assessment[[#This Row],[JOB TARGET]])</f>
        <v>0</v>
      </c>
      <c r="M421" s="146" t="str" cm="1">
        <f t="array" aca="1" ref="M421" ca="1">IF(Assessment[[#This Row],[JOB TARGET]]="","Job Target Kosong",IF(COUNT(IF('Data Assessment'!$N421:$Z421-OFFSET(Standar!$B$2,MATCH(Assessment[[#This Row],[JOB TARGET
(DEV)]],Standar[NAMA JABATAN],0)-1,1,1,13)&lt;0,1,""))&lt;=3,'9 Grid'!$B$4,IF(COUNT(IF('Data Assessment'!$N421:$Z421-OFFSET(Standar!$B$2,MATCH(Assessment[[#This Row],[JOB TARGET
(DEV)]],Standar[NAMA JABATAN],0)-1,1,1,13)&lt;0,1,""))&gt;=7,'9 Grid'!$B$6,'9 Grid'!$B$5)))</f>
        <v>Job Target Kosong</v>
      </c>
      <c r="N421" s="146" t="str">
        <f>IFERROR(IF(Data_Assessment[[#This Row],[IPP (3 YEARS AVERAGE)]]="","(IPP Belum Ada)",IF(Data_Assessment[[#This Row],[IPP (3 YEARS AVERAGE)]]&lt;2,'9 Grid'!$F$2,IF(Data_Assessment[[#This Row],[IPP (3 YEARS AVERAGE)]]&gt;=4,'9 Grid'!$D$2,'9 Grid'!$E$2))),"")</f>
        <v>Fully Competence Performance</v>
      </c>
      <c r="O421" s="146" t="str">
        <f ca="1">IFERROR(INDEX('9 Grid'!$D$4:$F$6,MATCH('Rekomendasi HAV'!M421,'9 Grid'!$B$4:$B$6,0),MATCH('Rekomendasi HAV'!N421,'9 Grid'!$D$2:$F$2,0)),"")</f>
        <v/>
      </c>
      <c r="P421" s="147" t="str">
        <f>IFERROR(INDEX('9 Grid'!$D$8:$F$8,1,MATCH('Rekomendasi HAV'!N421,'9 Grid'!$D$2:$F$2,0)),"")</f>
        <v>(ST) Within 12 - 18 month</v>
      </c>
    </row>
    <row r="422" spans="1:16" ht="28.5">
      <c r="A422" s="67">
        <v>421</v>
      </c>
      <c r="B422" s="68" t="str">
        <f>INDEX(Data_Assessment[],MATCH('Rekomendasi HAV'!$A422,Data_Assessment[[INDEX]:[INDEX]],0),MATCH('Rekomendasi HAV'!B$1,Data_Assessment[#Headers],0))</f>
        <v>Joko Priyatmoko, SE</v>
      </c>
      <c r="C422" s="68" t="str">
        <f>INDEX(Data_Assessment[],MATCH('Rekomendasi HAV'!$A422,Data_Assessment[[INDEX]:[INDEX]],0),MATCH('Rekomendasi HAV'!C$1,Data_Assessment[#Headers],0))</f>
        <v>Jakarta</v>
      </c>
      <c r="D422" s="68" t="str">
        <f>INDEX(Data_Assessment[],MATCH('Rekomendasi HAV'!$A422,Data_Assessment[[INDEX]:[INDEX]],0),MATCH('Rekomendasi HAV'!D$1,Data_Assessment[#Headers],0))</f>
        <v>LSIP - HO Jakarta</v>
      </c>
      <c r="E422" s="68">
        <f>INDEX(Data_Assessment[],MATCH('Rekomendasi HAV'!$B422,Data_Assessment[[NAME]:[NAME]],0),MATCH('Rekomendasi HAV'!E$1,Data_Assessment[#Headers],0))</f>
        <v>0</v>
      </c>
      <c r="F422" s="68"/>
      <c r="G422" s="68">
        <f>IF(ISNUMBER(SEARCH("DEV",Assessment[[#This Row],[JOB TARGET]])),SUBSTITUTE(Assessment[[#This Row],[JOB TARGET]],"DEV","EST"),Assessment[[#This Row],[JOB TARGET]])</f>
        <v>0</v>
      </c>
      <c r="H422" s="146" t="str" cm="1">
        <f t="array" aca="1" ref="H422" ca="1">IF(Assessment[[#This Row],[JOB TARGET]]="","Job Target Kosong",IF(COUNT(IF('Data Assessment'!$N422:$Z422-OFFSET(Standar!$B$2,MATCH(Assessment[[#This Row],[JOB TARGET
(EST)]],Standar[NAMA JABATAN],0)-1,1,1,13)&lt;0,1,""))&lt;=3,'9 Grid'!$B$4,IF(COUNT(IF('Data Assessment'!$N422:$Z422-OFFSET(Standar!$B$2,MATCH(Assessment[[#This Row],[JOB TARGET]],Standar[NAMA JABATAN],0)-1,1,1,13)&lt;0,1,""))&gt;=7,'9 Grid'!$B$6,'9 Grid'!$B$5)))</f>
        <v>Job Target Kosong</v>
      </c>
      <c r="I422" s="146" t="str">
        <f>IFERROR(IF(Data_Assessment[[#This Row],[IPP (3 YEARS AVERAGE)]]="","(IPP Belum Ada)",IF(Data_Assessment[[#This Row],[IPP (3 YEARS AVERAGE)]]&lt;2,'9 Grid'!$F$2,IF(Data_Assessment[[#This Row],[IPP (3 YEARS AVERAGE)]]&gt;=4,'9 Grid'!$D$2,'9 Grid'!$E$2))),"")</f>
        <v>Fully Competence Performance</v>
      </c>
      <c r="J422" s="146" t="str">
        <f ca="1">IFERROR(INDEX('9 Grid'!$D$4:$F$6,MATCH('Rekomendasi HAV'!H422,'9 Grid'!$B$4:$B$6,0),MATCH('Rekomendasi HAV'!I422,'9 Grid'!$D$2:$F$2,0)),"")</f>
        <v/>
      </c>
      <c r="K422" s="146" t="str">
        <f>IFERROR(INDEX('9 Grid'!$D$8:$F$8,1,MATCH('Rekomendasi HAV'!I422,'9 Grid'!$D$2:$F$2,0)),"")</f>
        <v>(ST) Within 12 - 18 month</v>
      </c>
      <c r="L422" s="146">
        <f>IF(ISNUMBER(SEARCH("EST",Assessment[[#This Row],[JOB TARGET]])),SUBSTITUTE(Assessment[[#This Row],[JOB TARGET]],"EST","DEV"),Assessment[[#This Row],[JOB TARGET]])</f>
        <v>0</v>
      </c>
      <c r="M422" s="146" t="str" cm="1">
        <f t="array" aca="1" ref="M422" ca="1">IF(Assessment[[#This Row],[JOB TARGET]]="","Job Target Kosong",IF(COUNT(IF('Data Assessment'!$N422:$Z422-OFFSET(Standar!$B$2,MATCH(Assessment[[#This Row],[JOB TARGET
(DEV)]],Standar[NAMA JABATAN],0)-1,1,1,13)&lt;0,1,""))&lt;=3,'9 Grid'!$B$4,IF(COUNT(IF('Data Assessment'!$N422:$Z422-OFFSET(Standar!$B$2,MATCH(Assessment[[#This Row],[JOB TARGET
(DEV)]],Standar[NAMA JABATAN],0)-1,1,1,13)&lt;0,1,""))&gt;=7,'9 Grid'!$B$6,'9 Grid'!$B$5)))</f>
        <v>Job Target Kosong</v>
      </c>
      <c r="N422" s="146" t="str">
        <f>IFERROR(IF(Data_Assessment[[#This Row],[IPP (3 YEARS AVERAGE)]]="","(IPP Belum Ada)",IF(Data_Assessment[[#This Row],[IPP (3 YEARS AVERAGE)]]&lt;2,'9 Grid'!$F$2,IF(Data_Assessment[[#This Row],[IPP (3 YEARS AVERAGE)]]&gt;=4,'9 Grid'!$D$2,'9 Grid'!$E$2))),"")</f>
        <v>Fully Competence Performance</v>
      </c>
      <c r="O422" s="146" t="str">
        <f ca="1">IFERROR(INDEX('9 Grid'!$D$4:$F$6,MATCH('Rekomendasi HAV'!M422,'9 Grid'!$B$4:$B$6,0),MATCH('Rekomendasi HAV'!N422,'9 Grid'!$D$2:$F$2,0)),"")</f>
        <v/>
      </c>
      <c r="P422" s="147" t="str">
        <f>IFERROR(INDEX('9 Grid'!$D$8:$F$8,1,MATCH('Rekomendasi HAV'!N422,'9 Grid'!$D$2:$F$2,0)),"")</f>
        <v>(ST) Within 12 - 18 month</v>
      </c>
    </row>
    <row r="423" spans="1:16" ht="28.5">
      <c r="A423" s="67">
        <v>422</v>
      </c>
      <c r="B423" s="68" t="str">
        <f>INDEX(Data_Assessment[],MATCH('Rekomendasi HAV'!$A423,Data_Assessment[[INDEX]:[INDEX]],0),MATCH('Rekomendasi HAV'!B$1,Data_Assessment[#Headers],0))</f>
        <v>Fachrizal Nurdin Pane, Ir.</v>
      </c>
      <c r="C423" s="68" t="str">
        <f>INDEX(Data_Assessment[],MATCH('Rekomendasi HAV'!$A423,Data_Assessment[[INDEX]:[INDEX]],0),MATCH('Rekomendasi HAV'!C$1,Data_Assessment[#Headers],0))</f>
        <v>Sumatera Utara</v>
      </c>
      <c r="D423" s="68" t="str">
        <f>INDEX(Data_Assessment[],MATCH('Rekomendasi HAV'!$A423,Data_Assessment[[INDEX]:[INDEX]],0),MATCH('Rekomendasi HAV'!D$1,Data_Assessment[#Headers],0))</f>
        <v>LSIP - Bungara Estate</v>
      </c>
      <c r="E423" s="68">
        <f>INDEX(Data_Assessment[],MATCH('Rekomendasi HAV'!$B423,Data_Assessment[[NAME]:[NAME]],0),MATCH('Rekomendasi HAV'!E$1,Data_Assessment[#Headers],0))</f>
        <v>0</v>
      </c>
      <c r="F423" s="68"/>
      <c r="G423" s="68">
        <f>IF(ISNUMBER(SEARCH("DEV",Assessment[[#This Row],[JOB TARGET]])),SUBSTITUTE(Assessment[[#This Row],[JOB TARGET]],"DEV","EST"),Assessment[[#This Row],[JOB TARGET]])</f>
        <v>0</v>
      </c>
      <c r="H423" s="146" t="str" cm="1">
        <f t="array" aca="1" ref="H423" ca="1">IF(Assessment[[#This Row],[JOB TARGET]]="","Job Target Kosong",IF(COUNT(IF('Data Assessment'!$N423:$Z423-OFFSET(Standar!$B$2,MATCH(Assessment[[#This Row],[JOB TARGET
(EST)]],Standar[NAMA JABATAN],0)-1,1,1,13)&lt;0,1,""))&lt;=3,'9 Grid'!$B$4,IF(COUNT(IF('Data Assessment'!$N423:$Z423-OFFSET(Standar!$B$2,MATCH(Assessment[[#This Row],[JOB TARGET]],Standar[NAMA JABATAN],0)-1,1,1,13)&lt;0,1,""))&gt;=7,'9 Grid'!$B$6,'9 Grid'!$B$5)))</f>
        <v>Job Target Kosong</v>
      </c>
      <c r="I423" s="146" t="str">
        <f>IFERROR(IF(Data_Assessment[[#This Row],[IPP (3 YEARS AVERAGE)]]="","(IPP Belum Ada)",IF(Data_Assessment[[#This Row],[IPP (3 YEARS AVERAGE)]]&lt;2,'9 Grid'!$F$2,IF(Data_Assessment[[#This Row],[IPP (3 YEARS AVERAGE)]]&gt;=4,'9 Grid'!$D$2,'9 Grid'!$E$2))),"")</f>
        <v>Fully Competence Performance</v>
      </c>
      <c r="J423" s="146" t="str">
        <f ca="1">IFERROR(INDEX('9 Grid'!$D$4:$F$6,MATCH('Rekomendasi HAV'!H423,'9 Grid'!$B$4:$B$6,0),MATCH('Rekomendasi HAV'!I423,'9 Grid'!$D$2:$F$2,0)),"")</f>
        <v/>
      </c>
      <c r="K423" s="146" t="str">
        <f>IFERROR(INDEX('9 Grid'!$D$8:$F$8,1,MATCH('Rekomendasi HAV'!I423,'9 Grid'!$D$2:$F$2,0)),"")</f>
        <v>(ST) Within 12 - 18 month</v>
      </c>
      <c r="L423" s="146">
        <f>IF(ISNUMBER(SEARCH("EST",Assessment[[#This Row],[JOB TARGET]])),SUBSTITUTE(Assessment[[#This Row],[JOB TARGET]],"EST","DEV"),Assessment[[#This Row],[JOB TARGET]])</f>
        <v>0</v>
      </c>
      <c r="M423" s="146" t="str" cm="1">
        <f t="array" aca="1" ref="M423" ca="1">IF(Assessment[[#This Row],[JOB TARGET]]="","Job Target Kosong",IF(COUNT(IF('Data Assessment'!$N423:$Z423-OFFSET(Standar!$B$2,MATCH(Assessment[[#This Row],[JOB TARGET
(DEV)]],Standar[NAMA JABATAN],0)-1,1,1,13)&lt;0,1,""))&lt;=3,'9 Grid'!$B$4,IF(COUNT(IF('Data Assessment'!$N423:$Z423-OFFSET(Standar!$B$2,MATCH(Assessment[[#This Row],[JOB TARGET
(DEV)]],Standar[NAMA JABATAN],0)-1,1,1,13)&lt;0,1,""))&gt;=7,'9 Grid'!$B$6,'9 Grid'!$B$5)))</f>
        <v>Job Target Kosong</v>
      </c>
      <c r="N423" s="146" t="str">
        <f>IFERROR(IF(Data_Assessment[[#This Row],[IPP (3 YEARS AVERAGE)]]="","(IPP Belum Ada)",IF(Data_Assessment[[#This Row],[IPP (3 YEARS AVERAGE)]]&lt;2,'9 Grid'!$F$2,IF(Data_Assessment[[#This Row],[IPP (3 YEARS AVERAGE)]]&gt;=4,'9 Grid'!$D$2,'9 Grid'!$E$2))),"")</f>
        <v>Fully Competence Performance</v>
      </c>
      <c r="O423" s="146" t="str">
        <f ca="1">IFERROR(INDEX('9 Grid'!$D$4:$F$6,MATCH('Rekomendasi HAV'!M423,'9 Grid'!$B$4:$B$6,0),MATCH('Rekomendasi HAV'!N423,'9 Grid'!$D$2:$F$2,0)),"")</f>
        <v/>
      </c>
      <c r="P423" s="147" t="str">
        <f>IFERROR(INDEX('9 Grid'!$D$8:$F$8,1,MATCH('Rekomendasi HAV'!N423,'9 Grid'!$D$2:$F$2,0)),"")</f>
        <v>(ST) Within 12 - 18 month</v>
      </c>
    </row>
    <row r="424" spans="1:16" ht="28.5">
      <c r="A424" s="67">
        <v>423</v>
      </c>
      <c r="B424" s="68" t="str">
        <f>INDEX(Data_Assessment[],MATCH('Rekomendasi HAV'!$A424,Data_Assessment[[INDEX]:[INDEX]],0),MATCH('Rekomendasi HAV'!B$1,Data_Assessment[#Headers],0))</f>
        <v>Hasan Zaini Putra</v>
      </c>
      <c r="C424" s="68" t="str">
        <f>INDEX(Data_Assessment[],MATCH('Rekomendasi HAV'!$A424,Data_Assessment[[INDEX]:[INDEX]],0),MATCH('Rekomendasi HAV'!C$1,Data_Assessment[#Headers],0))</f>
        <v>Sumatera Utara</v>
      </c>
      <c r="D424" s="68" t="str">
        <f>INDEX(Data_Assessment[],MATCH('Rekomendasi HAV'!$A424,Data_Assessment[[INDEX]:[INDEX]],0),MATCH('Rekomendasi HAV'!D$1,Data_Assessment[#Headers],0))</f>
        <v>LSIP - Bungara Estate</v>
      </c>
      <c r="E424" s="68">
        <f>INDEX(Data_Assessment[],MATCH('Rekomendasi HAV'!$B424,Data_Assessment[[NAME]:[NAME]],0),MATCH('Rekomendasi HAV'!E$1,Data_Assessment[#Headers],0))</f>
        <v>0</v>
      </c>
      <c r="F424" s="68"/>
      <c r="G424" s="68">
        <f>IF(ISNUMBER(SEARCH("DEV",Assessment[[#This Row],[JOB TARGET]])),SUBSTITUTE(Assessment[[#This Row],[JOB TARGET]],"DEV","EST"),Assessment[[#This Row],[JOB TARGET]])</f>
        <v>0</v>
      </c>
      <c r="H424" s="146" t="str" cm="1">
        <f t="array" aca="1" ref="H424" ca="1">IF(Assessment[[#This Row],[JOB TARGET]]="","Job Target Kosong",IF(COUNT(IF('Data Assessment'!$N424:$Z424-OFFSET(Standar!$B$2,MATCH(Assessment[[#This Row],[JOB TARGET
(EST)]],Standar[NAMA JABATAN],0)-1,1,1,13)&lt;0,1,""))&lt;=3,'9 Grid'!$B$4,IF(COUNT(IF('Data Assessment'!$N424:$Z424-OFFSET(Standar!$B$2,MATCH(Assessment[[#This Row],[JOB TARGET]],Standar[NAMA JABATAN],0)-1,1,1,13)&lt;0,1,""))&gt;=7,'9 Grid'!$B$6,'9 Grid'!$B$5)))</f>
        <v>Job Target Kosong</v>
      </c>
      <c r="I424" s="146" t="str">
        <f>IFERROR(IF(Data_Assessment[[#This Row],[IPP (3 YEARS AVERAGE)]]="","(IPP Belum Ada)",IF(Data_Assessment[[#This Row],[IPP (3 YEARS AVERAGE)]]&lt;2,'9 Grid'!$F$2,IF(Data_Assessment[[#This Row],[IPP (3 YEARS AVERAGE)]]&gt;=4,'9 Grid'!$D$2,'9 Grid'!$E$2))),"")</f>
        <v>Fully Competence Performance</v>
      </c>
      <c r="J424" s="146" t="str">
        <f ca="1">IFERROR(INDEX('9 Grid'!$D$4:$F$6,MATCH('Rekomendasi HAV'!H424,'9 Grid'!$B$4:$B$6,0),MATCH('Rekomendasi HAV'!I424,'9 Grid'!$D$2:$F$2,0)),"")</f>
        <v/>
      </c>
      <c r="K424" s="146" t="str">
        <f>IFERROR(INDEX('9 Grid'!$D$8:$F$8,1,MATCH('Rekomendasi HAV'!I424,'9 Grid'!$D$2:$F$2,0)),"")</f>
        <v>(ST) Within 12 - 18 month</v>
      </c>
      <c r="L424" s="146">
        <f>IF(ISNUMBER(SEARCH("EST",Assessment[[#This Row],[JOB TARGET]])),SUBSTITUTE(Assessment[[#This Row],[JOB TARGET]],"EST","DEV"),Assessment[[#This Row],[JOB TARGET]])</f>
        <v>0</v>
      </c>
      <c r="M424" s="146" t="str" cm="1">
        <f t="array" aca="1" ref="M424" ca="1">IF(Assessment[[#This Row],[JOB TARGET]]="","Job Target Kosong",IF(COUNT(IF('Data Assessment'!$N424:$Z424-OFFSET(Standar!$B$2,MATCH(Assessment[[#This Row],[JOB TARGET
(DEV)]],Standar[NAMA JABATAN],0)-1,1,1,13)&lt;0,1,""))&lt;=3,'9 Grid'!$B$4,IF(COUNT(IF('Data Assessment'!$N424:$Z424-OFFSET(Standar!$B$2,MATCH(Assessment[[#This Row],[JOB TARGET
(DEV)]],Standar[NAMA JABATAN],0)-1,1,1,13)&lt;0,1,""))&gt;=7,'9 Grid'!$B$6,'9 Grid'!$B$5)))</f>
        <v>Job Target Kosong</v>
      </c>
      <c r="N424" s="146" t="str">
        <f>IFERROR(IF(Data_Assessment[[#This Row],[IPP (3 YEARS AVERAGE)]]="","(IPP Belum Ada)",IF(Data_Assessment[[#This Row],[IPP (3 YEARS AVERAGE)]]&lt;2,'9 Grid'!$F$2,IF(Data_Assessment[[#This Row],[IPP (3 YEARS AVERAGE)]]&gt;=4,'9 Grid'!$D$2,'9 Grid'!$E$2))),"")</f>
        <v>Fully Competence Performance</v>
      </c>
      <c r="O424" s="146" t="str">
        <f ca="1">IFERROR(INDEX('9 Grid'!$D$4:$F$6,MATCH('Rekomendasi HAV'!M424,'9 Grid'!$B$4:$B$6,0),MATCH('Rekomendasi HAV'!N424,'9 Grid'!$D$2:$F$2,0)),"")</f>
        <v/>
      </c>
      <c r="P424" s="147" t="str">
        <f>IFERROR(INDEX('9 Grid'!$D$8:$F$8,1,MATCH('Rekomendasi HAV'!N424,'9 Grid'!$D$2:$F$2,0)),"")</f>
        <v>(ST) Within 12 - 18 month</v>
      </c>
    </row>
    <row r="425" spans="1:16" ht="28.5">
      <c r="A425" s="67">
        <v>424</v>
      </c>
      <c r="B425" s="68" t="str">
        <f>INDEX(Data_Assessment[],MATCH('Rekomendasi HAV'!$A425,Data_Assessment[[INDEX]:[INDEX]],0),MATCH('Rekomendasi HAV'!B$1,Data_Assessment[#Headers],0))</f>
        <v>M. Febrianto</v>
      </c>
      <c r="C425" s="68" t="str">
        <f>INDEX(Data_Assessment[],MATCH('Rekomendasi HAV'!$A425,Data_Assessment[[INDEX]:[INDEX]],0),MATCH('Rekomendasi HAV'!C$1,Data_Assessment[#Headers],0))</f>
        <v>Jakarta</v>
      </c>
      <c r="D425" s="68" t="str">
        <f>INDEX(Data_Assessment[],MATCH('Rekomendasi HAV'!$A425,Data_Assessment[[INDEX]:[INDEX]],0),MATCH('Rekomendasi HAV'!D$1,Data_Assessment[#Headers],0))</f>
        <v>LSIP - HO Jakarta</v>
      </c>
      <c r="E425" s="68">
        <f>INDEX(Data_Assessment[],MATCH('Rekomendasi HAV'!$B425,Data_Assessment[[NAME]:[NAME]],0),MATCH('Rekomendasi HAV'!E$1,Data_Assessment[#Headers],0))</f>
        <v>0</v>
      </c>
      <c r="F425" s="68"/>
      <c r="G425" s="68">
        <f>IF(ISNUMBER(SEARCH("DEV",Assessment[[#This Row],[JOB TARGET]])),SUBSTITUTE(Assessment[[#This Row],[JOB TARGET]],"DEV","EST"),Assessment[[#This Row],[JOB TARGET]])</f>
        <v>0</v>
      </c>
      <c r="H425" s="146" t="str" cm="1">
        <f t="array" aca="1" ref="H425" ca="1">IF(Assessment[[#This Row],[JOB TARGET]]="","Job Target Kosong",IF(COUNT(IF('Data Assessment'!$N425:$Z425-OFFSET(Standar!$B$2,MATCH(Assessment[[#This Row],[JOB TARGET
(EST)]],Standar[NAMA JABATAN],0)-1,1,1,13)&lt;0,1,""))&lt;=3,'9 Grid'!$B$4,IF(COUNT(IF('Data Assessment'!$N425:$Z425-OFFSET(Standar!$B$2,MATCH(Assessment[[#This Row],[JOB TARGET]],Standar[NAMA JABATAN],0)-1,1,1,13)&lt;0,1,""))&gt;=7,'9 Grid'!$B$6,'9 Grid'!$B$5)))</f>
        <v>Job Target Kosong</v>
      </c>
      <c r="I425" s="146" t="str">
        <f>IFERROR(IF(Data_Assessment[[#This Row],[IPP (3 YEARS AVERAGE)]]="","(IPP Belum Ada)",IF(Data_Assessment[[#This Row],[IPP (3 YEARS AVERAGE)]]&lt;2,'9 Grid'!$F$2,IF(Data_Assessment[[#This Row],[IPP (3 YEARS AVERAGE)]]&gt;=4,'9 Grid'!$D$2,'9 Grid'!$E$2))),"")</f>
        <v>Fully Competence Performance</v>
      </c>
      <c r="J425" s="146" t="str">
        <f ca="1">IFERROR(INDEX('9 Grid'!$D$4:$F$6,MATCH('Rekomendasi HAV'!H425,'9 Grid'!$B$4:$B$6,0),MATCH('Rekomendasi HAV'!I425,'9 Grid'!$D$2:$F$2,0)),"")</f>
        <v/>
      </c>
      <c r="K425" s="146" t="str">
        <f>IFERROR(INDEX('9 Grid'!$D$8:$F$8,1,MATCH('Rekomendasi HAV'!I425,'9 Grid'!$D$2:$F$2,0)),"")</f>
        <v>(ST) Within 12 - 18 month</v>
      </c>
      <c r="L425" s="146">
        <f>IF(ISNUMBER(SEARCH("EST",Assessment[[#This Row],[JOB TARGET]])),SUBSTITUTE(Assessment[[#This Row],[JOB TARGET]],"EST","DEV"),Assessment[[#This Row],[JOB TARGET]])</f>
        <v>0</v>
      </c>
      <c r="M425" s="146" t="str" cm="1">
        <f t="array" aca="1" ref="M425" ca="1">IF(Assessment[[#This Row],[JOB TARGET]]="","Job Target Kosong",IF(COUNT(IF('Data Assessment'!$N425:$Z425-OFFSET(Standar!$B$2,MATCH(Assessment[[#This Row],[JOB TARGET
(DEV)]],Standar[NAMA JABATAN],0)-1,1,1,13)&lt;0,1,""))&lt;=3,'9 Grid'!$B$4,IF(COUNT(IF('Data Assessment'!$N425:$Z425-OFFSET(Standar!$B$2,MATCH(Assessment[[#This Row],[JOB TARGET
(DEV)]],Standar[NAMA JABATAN],0)-1,1,1,13)&lt;0,1,""))&gt;=7,'9 Grid'!$B$6,'9 Grid'!$B$5)))</f>
        <v>Job Target Kosong</v>
      </c>
      <c r="N425" s="146" t="str">
        <f>IFERROR(IF(Data_Assessment[[#This Row],[IPP (3 YEARS AVERAGE)]]="","(IPP Belum Ada)",IF(Data_Assessment[[#This Row],[IPP (3 YEARS AVERAGE)]]&lt;2,'9 Grid'!$F$2,IF(Data_Assessment[[#This Row],[IPP (3 YEARS AVERAGE)]]&gt;=4,'9 Grid'!$D$2,'9 Grid'!$E$2))),"")</f>
        <v>Fully Competence Performance</v>
      </c>
      <c r="O425" s="146" t="str">
        <f ca="1">IFERROR(INDEX('9 Grid'!$D$4:$F$6,MATCH('Rekomendasi HAV'!M425,'9 Grid'!$B$4:$B$6,0),MATCH('Rekomendasi HAV'!N425,'9 Grid'!$D$2:$F$2,0)),"")</f>
        <v/>
      </c>
      <c r="P425" s="147" t="str">
        <f>IFERROR(INDEX('9 Grid'!$D$8:$F$8,1,MATCH('Rekomendasi HAV'!N425,'9 Grid'!$D$2:$F$2,0)),"")</f>
        <v>(ST) Within 12 - 18 month</v>
      </c>
    </row>
    <row r="426" spans="1:16" ht="28.5">
      <c r="A426" s="67">
        <v>425</v>
      </c>
      <c r="B426" s="68" t="str">
        <f>INDEX(Data_Assessment[],MATCH('Rekomendasi HAV'!$A426,Data_Assessment[[INDEX]:[INDEX]],0),MATCH('Rekomendasi HAV'!B$1,Data_Assessment[#Headers],0))</f>
        <v>Zulkifly Rensius Situngkir</v>
      </c>
      <c r="C426" s="68" t="str">
        <f>INDEX(Data_Assessment[],MATCH('Rekomendasi HAV'!$A426,Data_Assessment[[INDEX]:[INDEX]],0),MATCH('Rekomendasi HAV'!C$1,Data_Assessment[#Headers],0))</f>
        <v>Sumatera Utara</v>
      </c>
      <c r="D426" s="68" t="str">
        <f>INDEX(Data_Assessment[],MATCH('Rekomendasi HAV'!$A426,Data_Assessment[[INDEX]:[INDEX]],0),MATCH('Rekomendasi HAV'!D$1,Data_Assessment[#Headers],0))</f>
        <v>LSIP - Bungara Estate</v>
      </c>
      <c r="E426" s="68">
        <f>INDEX(Data_Assessment[],MATCH('Rekomendasi HAV'!$B426,Data_Assessment[[NAME]:[NAME]],0),MATCH('Rekomendasi HAV'!E$1,Data_Assessment[#Headers],0))</f>
        <v>0</v>
      </c>
      <c r="F426" s="68"/>
      <c r="G426" s="68">
        <f>IF(ISNUMBER(SEARCH("DEV",Assessment[[#This Row],[JOB TARGET]])),SUBSTITUTE(Assessment[[#This Row],[JOB TARGET]],"DEV","EST"),Assessment[[#This Row],[JOB TARGET]])</f>
        <v>0</v>
      </c>
      <c r="H426" s="146" t="str" cm="1">
        <f t="array" aca="1" ref="H426" ca="1">IF(Assessment[[#This Row],[JOB TARGET]]="","Job Target Kosong",IF(COUNT(IF('Data Assessment'!$N426:$Z426-OFFSET(Standar!$B$2,MATCH(Assessment[[#This Row],[JOB TARGET
(EST)]],Standar[NAMA JABATAN],0)-1,1,1,13)&lt;0,1,""))&lt;=3,'9 Grid'!$B$4,IF(COUNT(IF('Data Assessment'!$N426:$Z426-OFFSET(Standar!$B$2,MATCH(Assessment[[#This Row],[JOB TARGET]],Standar[NAMA JABATAN],0)-1,1,1,13)&lt;0,1,""))&gt;=7,'9 Grid'!$B$6,'9 Grid'!$B$5)))</f>
        <v>Job Target Kosong</v>
      </c>
      <c r="I426" s="146" t="str">
        <f>IFERROR(IF(Data_Assessment[[#This Row],[IPP (3 YEARS AVERAGE)]]="","(IPP Belum Ada)",IF(Data_Assessment[[#This Row],[IPP (3 YEARS AVERAGE)]]&lt;2,'9 Grid'!$F$2,IF(Data_Assessment[[#This Row],[IPP (3 YEARS AVERAGE)]]&gt;=4,'9 Grid'!$D$2,'9 Grid'!$E$2))),"")</f>
        <v>Fully Competence Performance</v>
      </c>
      <c r="J426" s="146" t="str">
        <f ca="1">IFERROR(INDEX('9 Grid'!$D$4:$F$6,MATCH('Rekomendasi HAV'!H426,'9 Grid'!$B$4:$B$6,0),MATCH('Rekomendasi HAV'!I426,'9 Grid'!$D$2:$F$2,0)),"")</f>
        <v/>
      </c>
      <c r="K426" s="146" t="str">
        <f>IFERROR(INDEX('9 Grid'!$D$8:$F$8,1,MATCH('Rekomendasi HAV'!I426,'9 Grid'!$D$2:$F$2,0)),"")</f>
        <v>(ST) Within 12 - 18 month</v>
      </c>
      <c r="L426" s="146">
        <f>IF(ISNUMBER(SEARCH("EST",Assessment[[#This Row],[JOB TARGET]])),SUBSTITUTE(Assessment[[#This Row],[JOB TARGET]],"EST","DEV"),Assessment[[#This Row],[JOB TARGET]])</f>
        <v>0</v>
      </c>
      <c r="M426" s="146" t="str" cm="1">
        <f t="array" aca="1" ref="M426" ca="1">IF(Assessment[[#This Row],[JOB TARGET]]="","Job Target Kosong",IF(COUNT(IF('Data Assessment'!$N426:$Z426-OFFSET(Standar!$B$2,MATCH(Assessment[[#This Row],[JOB TARGET
(DEV)]],Standar[NAMA JABATAN],0)-1,1,1,13)&lt;0,1,""))&lt;=3,'9 Grid'!$B$4,IF(COUNT(IF('Data Assessment'!$N426:$Z426-OFFSET(Standar!$B$2,MATCH(Assessment[[#This Row],[JOB TARGET
(DEV)]],Standar[NAMA JABATAN],0)-1,1,1,13)&lt;0,1,""))&gt;=7,'9 Grid'!$B$6,'9 Grid'!$B$5)))</f>
        <v>Job Target Kosong</v>
      </c>
      <c r="N426" s="146" t="str">
        <f>IFERROR(IF(Data_Assessment[[#This Row],[IPP (3 YEARS AVERAGE)]]="","(IPP Belum Ada)",IF(Data_Assessment[[#This Row],[IPP (3 YEARS AVERAGE)]]&lt;2,'9 Grid'!$F$2,IF(Data_Assessment[[#This Row],[IPP (3 YEARS AVERAGE)]]&gt;=4,'9 Grid'!$D$2,'9 Grid'!$E$2))),"")</f>
        <v>Fully Competence Performance</v>
      </c>
      <c r="O426" s="146" t="str">
        <f ca="1">IFERROR(INDEX('9 Grid'!$D$4:$F$6,MATCH('Rekomendasi HAV'!M426,'9 Grid'!$B$4:$B$6,0),MATCH('Rekomendasi HAV'!N426,'9 Grid'!$D$2:$F$2,0)),"")</f>
        <v/>
      </c>
      <c r="P426" s="147" t="str">
        <f>IFERROR(INDEX('9 Grid'!$D$8:$F$8,1,MATCH('Rekomendasi HAV'!N426,'9 Grid'!$D$2:$F$2,0)),"")</f>
        <v>(ST) Within 12 - 18 month</v>
      </c>
    </row>
    <row r="427" spans="1:16" ht="14.25">
      <c r="A427" s="67">
        <v>426</v>
      </c>
      <c r="B427" s="68" t="str">
        <f>INDEX(Data_Assessment[],MATCH('Rekomendasi HAV'!$A427,Data_Assessment[[INDEX]:[INDEX]],0),MATCH('Rekomendasi HAV'!B$1,Data_Assessment[#Headers],0))</f>
        <v>Lashot P. Sidabutar, Ir.</v>
      </c>
      <c r="C427" s="68" t="str">
        <f>INDEX(Data_Assessment[],MATCH('Rekomendasi HAV'!$A427,Data_Assessment[[INDEX]:[INDEX]],0),MATCH('Rekomendasi HAV'!C$1,Data_Assessment[#Headers],0))</f>
        <v>Sumatera Utara</v>
      </c>
      <c r="D427" s="68" t="str">
        <f>INDEX(Data_Assessment[],MATCH('Rekomendasi HAV'!$A427,Data_Assessment[[INDEX]:[INDEX]],0),MATCH('Rekomendasi HAV'!D$1,Data_Assessment[#Headers],0))</f>
        <v>LSIP - Begerpang Estate</v>
      </c>
      <c r="E427" s="68">
        <f>INDEX(Data_Assessment[],MATCH('Rekomendasi HAV'!$B427,Data_Assessment[[NAME]:[NAME]],0),MATCH('Rekomendasi HAV'!E$1,Data_Assessment[#Headers],0))</f>
        <v>0</v>
      </c>
      <c r="F427" s="68"/>
      <c r="G427" s="68">
        <f>IF(ISNUMBER(SEARCH("DEV",Assessment[[#This Row],[JOB TARGET]])),SUBSTITUTE(Assessment[[#This Row],[JOB TARGET]],"DEV","EST"),Assessment[[#This Row],[JOB TARGET]])</f>
        <v>0</v>
      </c>
      <c r="H427" s="146" t="str" cm="1">
        <f t="array" aca="1" ref="H427" ca="1">IF(Assessment[[#This Row],[JOB TARGET]]="","Job Target Kosong",IF(COUNT(IF('Data Assessment'!$N427:$Z427-OFFSET(Standar!$B$2,MATCH(Assessment[[#This Row],[JOB TARGET
(EST)]],Standar[NAMA JABATAN],0)-1,1,1,13)&lt;0,1,""))&lt;=3,'9 Grid'!$B$4,IF(COUNT(IF('Data Assessment'!$N427:$Z427-OFFSET(Standar!$B$2,MATCH(Assessment[[#This Row],[JOB TARGET]],Standar[NAMA JABATAN],0)-1,1,1,13)&lt;0,1,""))&gt;=7,'9 Grid'!$B$6,'9 Grid'!$B$5)))</f>
        <v>Job Target Kosong</v>
      </c>
      <c r="I427" s="146" t="str">
        <f>IFERROR(IF(Data_Assessment[[#This Row],[IPP (3 YEARS AVERAGE)]]="","(IPP Belum Ada)",IF(Data_Assessment[[#This Row],[IPP (3 YEARS AVERAGE)]]&lt;2,'9 Grid'!$F$2,IF(Data_Assessment[[#This Row],[IPP (3 YEARS AVERAGE)]]&gt;=4,'9 Grid'!$D$2,'9 Grid'!$E$2))),"")</f>
        <v>Exceptional Performance</v>
      </c>
      <c r="J427" s="146" t="str">
        <f ca="1">IFERROR(INDEX('9 Grid'!$D$4:$F$6,MATCH('Rekomendasi HAV'!H427,'9 Grid'!$B$4:$B$6,0),MATCH('Rekomendasi HAV'!I427,'9 Grid'!$D$2:$F$2,0)),"")</f>
        <v/>
      </c>
      <c r="K427" s="146" t="str">
        <f>IFERROR(INDEX('9 Grid'!$D$8:$F$8,1,MATCH('Rekomendasi HAV'!I427,'9 Grid'!$D$2:$F$2,0)),"")</f>
        <v>(I) Immediately</v>
      </c>
      <c r="L427" s="146">
        <f>IF(ISNUMBER(SEARCH("EST",Assessment[[#This Row],[JOB TARGET]])),SUBSTITUTE(Assessment[[#This Row],[JOB TARGET]],"EST","DEV"),Assessment[[#This Row],[JOB TARGET]])</f>
        <v>0</v>
      </c>
      <c r="M427" s="146" t="str" cm="1">
        <f t="array" aca="1" ref="M427" ca="1">IF(Assessment[[#This Row],[JOB TARGET]]="","Job Target Kosong",IF(COUNT(IF('Data Assessment'!$N427:$Z427-OFFSET(Standar!$B$2,MATCH(Assessment[[#This Row],[JOB TARGET
(DEV)]],Standar[NAMA JABATAN],0)-1,1,1,13)&lt;0,1,""))&lt;=3,'9 Grid'!$B$4,IF(COUNT(IF('Data Assessment'!$N427:$Z427-OFFSET(Standar!$B$2,MATCH(Assessment[[#This Row],[JOB TARGET
(DEV)]],Standar[NAMA JABATAN],0)-1,1,1,13)&lt;0,1,""))&gt;=7,'9 Grid'!$B$6,'9 Grid'!$B$5)))</f>
        <v>Job Target Kosong</v>
      </c>
      <c r="N427" s="146" t="str">
        <f>IFERROR(IF(Data_Assessment[[#This Row],[IPP (3 YEARS AVERAGE)]]="","(IPP Belum Ada)",IF(Data_Assessment[[#This Row],[IPP (3 YEARS AVERAGE)]]&lt;2,'9 Grid'!$F$2,IF(Data_Assessment[[#This Row],[IPP (3 YEARS AVERAGE)]]&gt;=4,'9 Grid'!$D$2,'9 Grid'!$E$2))),"")</f>
        <v>Exceptional Performance</v>
      </c>
      <c r="O427" s="146" t="str">
        <f ca="1">IFERROR(INDEX('9 Grid'!$D$4:$F$6,MATCH('Rekomendasi HAV'!M427,'9 Grid'!$B$4:$B$6,0),MATCH('Rekomendasi HAV'!N427,'9 Grid'!$D$2:$F$2,0)),"")</f>
        <v/>
      </c>
      <c r="P427" s="147" t="str">
        <f>IFERROR(INDEX('9 Grid'!$D$8:$F$8,1,MATCH('Rekomendasi HAV'!N427,'9 Grid'!$D$2:$F$2,0)),"")</f>
        <v>(I) Immediately</v>
      </c>
    </row>
    <row r="428" spans="1:16" ht="28.5">
      <c r="A428" s="67">
        <v>427</v>
      </c>
      <c r="B428" s="68" t="str">
        <f>INDEX(Data_Assessment[],MATCH('Rekomendasi HAV'!$A428,Data_Assessment[[INDEX]:[INDEX]],0),MATCH('Rekomendasi HAV'!B$1,Data_Assessment[#Headers],0))</f>
        <v>Tri Teguh Wibowo</v>
      </c>
      <c r="C428" s="68" t="str">
        <f>INDEX(Data_Assessment[],MATCH('Rekomendasi HAV'!$A428,Data_Assessment[[INDEX]:[INDEX]],0),MATCH('Rekomendasi HAV'!C$1,Data_Assessment[#Headers],0))</f>
        <v>Sumatera Utara</v>
      </c>
      <c r="D428" s="68" t="str">
        <f>INDEX(Data_Assessment[],MATCH('Rekomendasi HAV'!$A428,Data_Assessment[[INDEX]:[INDEX]],0),MATCH('Rekomendasi HAV'!D$1,Data_Assessment[#Headers],0))</f>
        <v>LSIP - Begerpang Estate</v>
      </c>
      <c r="E428" s="68">
        <f>INDEX(Data_Assessment[],MATCH('Rekomendasi HAV'!$B428,Data_Assessment[[NAME]:[NAME]],0),MATCH('Rekomendasi HAV'!E$1,Data_Assessment[#Headers],0))</f>
        <v>0</v>
      </c>
      <c r="F428" s="68"/>
      <c r="G428" s="68">
        <f>IF(ISNUMBER(SEARCH("DEV",Assessment[[#This Row],[JOB TARGET]])),SUBSTITUTE(Assessment[[#This Row],[JOB TARGET]],"DEV","EST"),Assessment[[#This Row],[JOB TARGET]])</f>
        <v>0</v>
      </c>
      <c r="H428" s="146" t="str" cm="1">
        <f t="array" aca="1" ref="H428" ca="1">IF(Assessment[[#This Row],[JOB TARGET]]="","Job Target Kosong",IF(COUNT(IF('Data Assessment'!$N428:$Z428-OFFSET(Standar!$B$2,MATCH(Assessment[[#This Row],[JOB TARGET
(EST)]],Standar[NAMA JABATAN],0)-1,1,1,13)&lt;0,1,""))&lt;=3,'9 Grid'!$B$4,IF(COUNT(IF('Data Assessment'!$N428:$Z428-OFFSET(Standar!$B$2,MATCH(Assessment[[#This Row],[JOB TARGET]],Standar[NAMA JABATAN],0)-1,1,1,13)&lt;0,1,""))&gt;=7,'9 Grid'!$B$6,'9 Grid'!$B$5)))</f>
        <v>Job Target Kosong</v>
      </c>
      <c r="I428" s="146" t="str">
        <f>IFERROR(IF(Data_Assessment[[#This Row],[IPP (3 YEARS AVERAGE)]]="","(IPP Belum Ada)",IF(Data_Assessment[[#This Row],[IPP (3 YEARS AVERAGE)]]&lt;2,'9 Grid'!$F$2,IF(Data_Assessment[[#This Row],[IPP (3 YEARS AVERAGE)]]&gt;=4,'9 Grid'!$D$2,'9 Grid'!$E$2))),"")</f>
        <v>Fully Competence Performance</v>
      </c>
      <c r="J428" s="146" t="str">
        <f ca="1">IFERROR(INDEX('9 Grid'!$D$4:$F$6,MATCH('Rekomendasi HAV'!H428,'9 Grid'!$B$4:$B$6,0),MATCH('Rekomendasi HAV'!I428,'9 Grid'!$D$2:$F$2,0)),"")</f>
        <v/>
      </c>
      <c r="K428" s="146" t="str">
        <f>IFERROR(INDEX('9 Grid'!$D$8:$F$8,1,MATCH('Rekomendasi HAV'!I428,'9 Grid'!$D$2:$F$2,0)),"")</f>
        <v>(ST) Within 12 - 18 month</v>
      </c>
      <c r="L428" s="146">
        <f>IF(ISNUMBER(SEARCH("EST",Assessment[[#This Row],[JOB TARGET]])),SUBSTITUTE(Assessment[[#This Row],[JOB TARGET]],"EST","DEV"),Assessment[[#This Row],[JOB TARGET]])</f>
        <v>0</v>
      </c>
      <c r="M428" s="146" t="str" cm="1">
        <f t="array" aca="1" ref="M428" ca="1">IF(Assessment[[#This Row],[JOB TARGET]]="","Job Target Kosong",IF(COUNT(IF('Data Assessment'!$N428:$Z428-OFFSET(Standar!$B$2,MATCH(Assessment[[#This Row],[JOB TARGET
(DEV)]],Standar[NAMA JABATAN],0)-1,1,1,13)&lt;0,1,""))&lt;=3,'9 Grid'!$B$4,IF(COUNT(IF('Data Assessment'!$N428:$Z428-OFFSET(Standar!$B$2,MATCH(Assessment[[#This Row],[JOB TARGET
(DEV)]],Standar[NAMA JABATAN],0)-1,1,1,13)&lt;0,1,""))&gt;=7,'9 Grid'!$B$6,'9 Grid'!$B$5)))</f>
        <v>Job Target Kosong</v>
      </c>
      <c r="N428" s="146" t="str">
        <f>IFERROR(IF(Data_Assessment[[#This Row],[IPP (3 YEARS AVERAGE)]]="","(IPP Belum Ada)",IF(Data_Assessment[[#This Row],[IPP (3 YEARS AVERAGE)]]&lt;2,'9 Grid'!$F$2,IF(Data_Assessment[[#This Row],[IPP (3 YEARS AVERAGE)]]&gt;=4,'9 Grid'!$D$2,'9 Grid'!$E$2))),"")</f>
        <v>Fully Competence Performance</v>
      </c>
      <c r="O428" s="146" t="str">
        <f ca="1">IFERROR(INDEX('9 Grid'!$D$4:$F$6,MATCH('Rekomendasi HAV'!M428,'9 Grid'!$B$4:$B$6,0),MATCH('Rekomendasi HAV'!N428,'9 Grid'!$D$2:$F$2,0)),"")</f>
        <v/>
      </c>
      <c r="P428" s="147" t="str">
        <f>IFERROR(INDEX('9 Grid'!$D$8:$F$8,1,MATCH('Rekomendasi HAV'!N428,'9 Grid'!$D$2:$F$2,0)),"")</f>
        <v>(ST) Within 12 - 18 month</v>
      </c>
    </row>
    <row r="429" spans="1:16" ht="28.5">
      <c r="A429" s="67">
        <v>428</v>
      </c>
      <c r="B429" s="68" t="str">
        <f>INDEX(Data_Assessment[],MATCH('Rekomendasi HAV'!$A429,Data_Assessment[[INDEX]:[INDEX]],0),MATCH('Rekomendasi HAV'!B$1,Data_Assessment[#Headers],0))</f>
        <v>Syukur Ariadin, Sp</v>
      </c>
      <c r="C429" s="68" t="str">
        <f>INDEX(Data_Assessment[],MATCH('Rekomendasi HAV'!$A429,Data_Assessment[[INDEX]:[INDEX]],0),MATCH('Rekomendasi HAV'!C$1,Data_Assessment[#Headers],0))</f>
        <v>Sumatera Utara</v>
      </c>
      <c r="D429" s="68" t="str">
        <f>INDEX(Data_Assessment[],MATCH('Rekomendasi HAV'!$A429,Data_Assessment[[INDEX]:[INDEX]],0),MATCH('Rekomendasi HAV'!D$1,Data_Assessment[#Headers],0))</f>
        <v>LSIP - Begerpang Estate</v>
      </c>
      <c r="E429" s="68">
        <f>INDEX(Data_Assessment[],MATCH('Rekomendasi HAV'!$B429,Data_Assessment[[NAME]:[NAME]],0),MATCH('Rekomendasi HAV'!E$1,Data_Assessment[#Headers],0))</f>
        <v>0</v>
      </c>
      <c r="F429" s="68"/>
      <c r="G429" s="68">
        <f>IF(ISNUMBER(SEARCH("DEV",Assessment[[#This Row],[JOB TARGET]])),SUBSTITUTE(Assessment[[#This Row],[JOB TARGET]],"DEV","EST"),Assessment[[#This Row],[JOB TARGET]])</f>
        <v>0</v>
      </c>
      <c r="H429" s="146" t="str" cm="1">
        <f t="array" aca="1" ref="H429" ca="1">IF(Assessment[[#This Row],[JOB TARGET]]="","Job Target Kosong",IF(COUNT(IF('Data Assessment'!$N429:$Z429-OFFSET(Standar!$B$2,MATCH(Assessment[[#This Row],[JOB TARGET
(EST)]],Standar[NAMA JABATAN],0)-1,1,1,13)&lt;0,1,""))&lt;=3,'9 Grid'!$B$4,IF(COUNT(IF('Data Assessment'!$N429:$Z429-OFFSET(Standar!$B$2,MATCH(Assessment[[#This Row],[JOB TARGET]],Standar[NAMA JABATAN],0)-1,1,1,13)&lt;0,1,""))&gt;=7,'9 Grid'!$B$6,'9 Grid'!$B$5)))</f>
        <v>Job Target Kosong</v>
      </c>
      <c r="I429" s="146" t="str">
        <f>IFERROR(IF(Data_Assessment[[#This Row],[IPP (3 YEARS AVERAGE)]]="","(IPP Belum Ada)",IF(Data_Assessment[[#This Row],[IPP (3 YEARS AVERAGE)]]&lt;2,'9 Grid'!$F$2,IF(Data_Assessment[[#This Row],[IPP (3 YEARS AVERAGE)]]&gt;=4,'9 Grid'!$D$2,'9 Grid'!$E$2))),"")</f>
        <v>Fully Competence Performance</v>
      </c>
      <c r="J429" s="146" t="str">
        <f ca="1">IFERROR(INDEX('9 Grid'!$D$4:$F$6,MATCH('Rekomendasi HAV'!H429,'9 Grid'!$B$4:$B$6,0),MATCH('Rekomendasi HAV'!I429,'9 Grid'!$D$2:$F$2,0)),"")</f>
        <v/>
      </c>
      <c r="K429" s="146" t="str">
        <f>IFERROR(INDEX('9 Grid'!$D$8:$F$8,1,MATCH('Rekomendasi HAV'!I429,'9 Grid'!$D$2:$F$2,0)),"")</f>
        <v>(ST) Within 12 - 18 month</v>
      </c>
      <c r="L429" s="146">
        <f>IF(ISNUMBER(SEARCH("EST",Assessment[[#This Row],[JOB TARGET]])),SUBSTITUTE(Assessment[[#This Row],[JOB TARGET]],"EST","DEV"),Assessment[[#This Row],[JOB TARGET]])</f>
        <v>0</v>
      </c>
      <c r="M429" s="146" t="str" cm="1">
        <f t="array" aca="1" ref="M429" ca="1">IF(Assessment[[#This Row],[JOB TARGET]]="","Job Target Kosong",IF(COUNT(IF('Data Assessment'!$N429:$Z429-OFFSET(Standar!$B$2,MATCH(Assessment[[#This Row],[JOB TARGET
(DEV)]],Standar[NAMA JABATAN],0)-1,1,1,13)&lt;0,1,""))&lt;=3,'9 Grid'!$B$4,IF(COUNT(IF('Data Assessment'!$N429:$Z429-OFFSET(Standar!$B$2,MATCH(Assessment[[#This Row],[JOB TARGET
(DEV)]],Standar[NAMA JABATAN],0)-1,1,1,13)&lt;0,1,""))&gt;=7,'9 Grid'!$B$6,'9 Grid'!$B$5)))</f>
        <v>Job Target Kosong</v>
      </c>
      <c r="N429" s="146" t="str">
        <f>IFERROR(IF(Data_Assessment[[#This Row],[IPP (3 YEARS AVERAGE)]]="","(IPP Belum Ada)",IF(Data_Assessment[[#This Row],[IPP (3 YEARS AVERAGE)]]&lt;2,'9 Grid'!$F$2,IF(Data_Assessment[[#This Row],[IPP (3 YEARS AVERAGE)]]&gt;=4,'9 Grid'!$D$2,'9 Grid'!$E$2))),"")</f>
        <v>Fully Competence Performance</v>
      </c>
      <c r="O429" s="146" t="str">
        <f ca="1">IFERROR(INDEX('9 Grid'!$D$4:$F$6,MATCH('Rekomendasi HAV'!M429,'9 Grid'!$B$4:$B$6,0),MATCH('Rekomendasi HAV'!N429,'9 Grid'!$D$2:$F$2,0)),"")</f>
        <v/>
      </c>
      <c r="P429" s="147" t="str">
        <f>IFERROR(INDEX('9 Grid'!$D$8:$F$8,1,MATCH('Rekomendasi HAV'!N429,'9 Grid'!$D$2:$F$2,0)),"")</f>
        <v>(ST) Within 12 - 18 month</v>
      </c>
    </row>
    <row r="430" spans="1:16" ht="28.5">
      <c r="A430" s="67">
        <v>429</v>
      </c>
      <c r="B430" s="68" t="str">
        <f>INDEX(Data_Assessment[],MATCH('Rekomendasi HAV'!$A430,Data_Assessment[[INDEX]:[INDEX]],0),MATCH('Rekomendasi HAV'!B$1,Data_Assessment[#Headers],0))</f>
        <v>Fahruli Susanto</v>
      </c>
      <c r="C430" s="68" t="str">
        <f>INDEX(Data_Assessment[],MATCH('Rekomendasi HAV'!$A430,Data_Assessment[[INDEX]:[INDEX]],0),MATCH('Rekomendasi HAV'!C$1,Data_Assessment[#Headers],0))</f>
        <v>Jakarta</v>
      </c>
      <c r="D430" s="68" t="str">
        <f>INDEX(Data_Assessment[],MATCH('Rekomendasi HAV'!$A430,Data_Assessment[[INDEX]:[INDEX]],0),MATCH('Rekomendasi HAV'!D$1,Data_Assessment[#Headers],0))</f>
        <v>LSIP - HO Jakarta</v>
      </c>
      <c r="E430" s="68">
        <f>INDEX(Data_Assessment[],MATCH('Rekomendasi HAV'!$B430,Data_Assessment[[NAME]:[NAME]],0),MATCH('Rekomendasi HAV'!E$1,Data_Assessment[#Headers],0))</f>
        <v>0</v>
      </c>
      <c r="F430" s="68"/>
      <c r="G430" s="68">
        <f>IF(ISNUMBER(SEARCH("DEV",Assessment[[#This Row],[JOB TARGET]])),SUBSTITUTE(Assessment[[#This Row],[JOB TARGET]],"DEV","EST"),Assessment[[#This Row],[JOB TARGET]])</f>
        <v>0</v>
      </c>
      <c r="H430" s="146" t="str" cm="1">
        <f t="array" aca="1" ref="H430" ca="1">IF(Assessment[[#This Row],[JOB TARGET]]="","Job Target Kosong",IF(COUNT(IF('Data Assessment'!$N430:$Z430-OFFSET(Standar!$B$2,MATCH(Assessment[[#This Row],[JOB TARGET
(EST)]],Standar[NAMA JABATAN],0)-1,1,1,13)&lt;0,1,""))&lt;=3,'9 Grid'!$B$4,IF(COUNT(IF('Data Assessment'!$N430:$Z430-OFFSET(Standar!$B$2,MATCH(Assessment[[#This Row],[JOB TARGET]],Standar[NAMA JABATAN],0)-1,1,1,13)&lt;0,1,""))&gt;=7,'9 Grid'!$B$6,'9 Grid'!$B$5)))</f>
        <v>Job Target Kosong</v>
      </c>
      <c r="I430" s="146" t="str">
        <f>IFERROR(IF(Data_Assessment[[#This Row],[IPP (3 YEARS AVERAGE)]]="","(IPP Belum Ada)",IF(Data_Assessment[[#This Row],[IPP (3 YEARS AVERAGE)]]&lt;2,'9 Grid'!$F$2,IF(Data_Assessment[[#This Row],[IPP (3 YEARS AVERAGE)]]&gt;=4,'9 Grid'!$D$2,'9 Grid'!$E$2))),"")</f>
        <v>Fully Competence Performance</v>
      </c>
      <c r="J430" s="146" t="str">
        <f ca="1">IFERROR(INDEX('9 Grid'!$D$4:$F$6,MATCH('Rekomendasi HAV'!H430,'9 Grid'!$B$4:$B$6,0),MATCH('Rekomendasi HAV'!I430,'9 Grid'!$D$2:$F$2,0)),"")</f>
        <v/>
      </c>
      <c r="K430" s="146" t="str">
        <f>IFERROR(INDEX('9 Grid'!$D$8:$F$8,1,MATCH('Rekomendasi HAV'!I430,'9 Grid'!$D$2:$F$2,0)),"")</f>
        <v>(ST) Within 12 - 18 month</v>
      </c>
      <c r="L430" s="146">
        <f>IF(ISNUMBER(SEARCH("EST",Assessment[[#This Row],[JOB TARGET]])),SUBSTITUTE(Assessment[[#This Row],[JOB TARGET]],"EST","DEV"),Assessment[[#This Row],[JOB TARGET]])</f>
        <v>0</v>
      </c>
      <c r="M430" s="146" t="str" cm="1">
        <f t="array" aca="1" ref="M430" ca="1">IF(Assessment[[#This Row],[JOB TARGET]]="","Job Target Kosong",IF(COUNT(IF('Data Assessment'!$N430:$Z430-OFFSET(Standar!$B$2,MATCH(Assessment[[#This Row],[JOB TARGET
(DEV)]],Standar[NAMA JABATAN],0)-1,1,1,13)&lt;0,1,""))&lt;=3,'9 Grid'!$B$4,IF(COUNT(IF('Data Assessment'!$N430:$Z430-OFFSET(Standar!$B$2,MATCH(Assessment[[#This Row],[JOB TARGET
(DEV)]],Standar[NAMA JABATAN],0)-1,1,1,13)&lt;0,1,""))&gt;=7,'9 Grid'!$B$6,'9 Grid'!$B$5)))</f>
        <v>Job Target Kosong</v>
      </c>
      <c r="N430" s="146" t="str">
        <f>IFERROR(IF(Data_Assessment[[#This Row],[IPP (3 YEARS AVERAGE)]]="","(IPP Belum Ada)",IF(Data_Assessment[[#This Row],[IPP (3 YEARS AVERAGE)]]&lt;2,'9 Grid'!$F$2,IF(Data_Assessment[[#This Row],[IPP (3 YEARS AVERAGE)]]&gt;=4,'9 Grid'!$D$2,'9 Grid'!$E$2))),"")</f>
        <v>Fully Competence Performance</v>
      </c>
      <c r="O430" s="146" t="str">
        <f ca="1">IFERROR(INDEX('9 Grid'!$D$4:$F$6,MATCH('Rekomendasi HAV'!M430,'9 Grid'!$B$4:$B$6,0),MATCH('Rekomendasi HAV'!N430,'9 Grid'!$D$2:$F$2,0)),"")</f>
        <v/>
      </c>
      <c r="P430" s="147" t="str">
        <f>IFERROR(INDEX('9 Grid'!$D$8:$F$8,1,MATCH('Rekomendasi HAV'!N430,'9 Grid'!$D$2:$F$2,0)),"")</f>
        <v>(ST) Within 12 - 18 month</v>
      </c>
    </row>
    <row r="431" spans="1:16" ht="28.5">
      <c r="A431" s="67">
        <v>430</v>
      </c>
      <c r="B431" s="68" t="str">
        <f>INDEX(Data_Assessment[],MATCH('Rekomendasi HAV'!$A431,Data_Assessment[[INDEX]:[INDEX]],0),MATCH('Rekomendasi HAV'!B$1,Data_Assessment[#Headers],0))</f>
        <v>Prengki Siregar</v>
      </c>
      <c r="C431" s="68" t="str">
        <f>INDEX(Data_Assessment[],MATCH('Rekomendasi HAV'!$A431,Data_Assessment[[INDEX]:[INDEX]],0),MATCH('Rekomendasi HAV'!C$1,Data_Assessment[#Headers],0))</f>
        <v>Sumatera Utara</v>
      </c>
      <c r="D431" s="68" t="str">
        <f>INDEX(Data_Assessment[],MATCH('Rekomendasi HAV'!$A431,Data_Assessment[[INDEX]:[INDEX]],0),MATCH('Rekomendasi HAV'!D$1,Data_Assessment[#Headers],0))</f>
        <v>LSIP - Begerpang Estate</v>
      </c>
      <c r="E431" s="68">
        <f>INDEX(Data_Assessment[],MATCH('Rekomendasi HAV'!$B431,Data_Assessment[[NAME]:[NAME]],0),MATCH('Rekomendasi HAV'!E$1,Data_Assessment[#Headers],0))</f>
        <v>0</v>
      </c>
      <c r="F431" s="68"/>
      <c r="G431" s="68">
        <f>IF(ISNUMBER(SEARCH("DEV",Assessment[[#This Row],[JOB TARGET]])),SUBSTITUTE(Assessment[[#This Row],[JOB TARGET]],"DEV","EST"),Assessment[[#This Row],[JOB TARGET]])</f>
        <v>0</v>
      </c>
      <c r="H431" s="146" t="str" cm="1">
        <f t="array" aca="1" ref="H431" ca="1">IF(Assessment[[#This Row],[JOB TARGET]]="","Job Target Kosong",IF(COUNT(IF('Data Assessment'!$N431:$Z431-OFFSET(Standar!$B$2,MATCH(Assessment[[#This Row],[JOB TARGET
(EST)]],Standar[NAMA JABATAN],0)-1,1,1,13)&lt;0,1,""))&lt;=3,'9 Grid'!$B$4,IF(COUNT(IF('Data Assessment'!$N431:$Z431-OFFSET(Standar!$B$2,MATCH(Assessment[[#This Row],[JOB TARGET]],Standar[NAMA JABATAN],0)-1,1,1,13)&lt;0,1,""))&gt;=7,'9 Grid'!$B$6,'9 Grid'!$B$5)))</f>
        <v>Job Target Kosong</v>
      </c>
      <c r="I431" s="146" t="str">
        <f>IFERROR(IF(Data_Assessment[[#This Row],[IPP (3 YEARS AVERAGE)]]="","(IPP Belum Ada)",IF(Data_Assessment[[#This Row],[IPP (3 YEARS AVERAGE)]]&lt;2,'9 Grid'!$F$2,IF(Data_Assessment[[#This Row],[IPP (3 YEARS AVERAGE)]]&gt;=4,'9 Grid'!$D$2,'9 Grid'!$E$2))),"")</f>
        <v>Fully Competence Performance</v>
      </c>
      <c r="J431" s="146" t="str">
        <f ca="1">IFERROR(INDEX('9 Grid'!$D$4:$F$6,MATCH('Rekomendasi HAV'!H431,'9 Grid'!$B$4:$B$6,0),MATCH('Rekomendasi HAV'!I431,'9 Grid'!$D$2:$F$2,0)),"")</f>
        <v/>
      </c>
      <c r="K431" s="146" t="str">
        <f>IFERROR(INDEX('9 Grid'!$D$8:$F$8,1,MATCH('Rekomendasi HAV'!I431,'9 Grid'!$D$2:$F$2,0)),"")</f>
        <v>(ST) Within 12 - 18 month</v>
      </c>
      <c r="L431" s="146">
        <f>IF(ISNUMBER(SEARCH("EST",Assessment[[#This Row],[JOB TARGET]])),SUBSTITUTE(Assessment[[#This Row],[JOB TARGET]],"EST","DEV"),Assessment[[#This Row],[JOB TARGET]])</f>
        <v>0</v>
      </c>
      <c r="M431" s="146" t="str" cm="1">
        <f t="array" aca="1" ref="M431" ca="1">IF(Assessment[[#This Row],[JOB TARGET]]="","Job Target Kosong",IF(COUNT(IF('Data Assessment'!$N431:$Z431-OFFSET(Standar!$B$2,MATCH(Assessment[[#This Row],[JOB TARGET
(DEV)]],Standar[NAMA JABATAN],0)-1,1,1,13)&lt;0,1,""))&lt;=3,'9 Grid'!$B$4,IF(COUNT(IF('Data Assessment'!$N431:$Z431-OFFSET(Standar!$B$2,MATCH(Assessment[[#This Row],[JOB TARGET
(DEV)]],Standar[NAMA JABATAN],0)-1,1,1,13)&lt;0,1,""))&gt;=7,'9 Grid'!$B$6,'9 Grid'!$B$5)))</f>
        <v>Job Target Kosong</v>
      </c>
      <c r="N431" s="146" t="str">
        <f>IFERROR(IF(Data_Assessment[[#This Row],[IPP (3 YEARS AVERAGE)]]="","(IPP Belum Ada)",IF(Data_Assessment[[#This Row],[IPP (3 YEARS AVERAGE)]]&lt;2,'9 Grid'!$F$2,IF(Data_Assessment[[#This Row],[IPP (3 YEARS AVERAGE)]]&gt;=4,'9 Grid'!$D$2,'9 Grid'!$E$2))),"")</f>
        <v>Fully Competence Performance</v>
      </c>
      <c r="O431" s="146" t="str">
        <f ca="1">IFERROR(INDEX('9 Grid'!$D$4:$F$6,MATCH('Rekomendasi HAV'!M431,'9 Grid'!$B$4:$B$6,0),MATCH('Rekomendasi HAV'!N431,'9 Grid'!$D$2:$F$2,0)),"")</f>
        <v/>
      </c>
      <c r="P431" s="147" t="str">
        <f>IFERROR(INDEX('9 Grid'!$D$8:$F$8,1,MATCH('Rekomendasi HAV'!N431,'9 Grid'!$D$2:$F$2,0)),"")</f>
        <v>(ST) Within 12 - 18 month</v>
      </c>
    </row>
    <row r="432" spans="1:16" ht="28.5">
      <c r="A432" s="67">
        <v>431</v>
      </c>
      <c r="B432" s="68" t="str">
        <f>INDEX(Data_Assessment[],MATCH('Rekomendasi HAV'!$A432,Data_Assessment[[INDEX]:[INDEX]],0),MATCH('Rekomendasi HAV'!B$1,Data_Assessment[#Headers],0))</f>
        <v>Rudi Rizal</v>
      </c>
      <c r="C432" s="68" t="str">
        <f>INDEX(Data_Assessment[],MATCH('Rekomendasi HAV'!$A432,Data_Assessment[[INDEX]:[INDEX]],0),MATCH('Rekomendasi HAV'!C$1,Data_Assessment[#Headers],0))</f>
        <v>Jakarta</v>
      </c>
      <c r="D432" s="68" t="str">
        <f>INDEX(Data_Assessment[],MATCH('Rekomendasi HAV'!$A432,Data_Assessment[[INDEX]:[INDEX]],0),MATCH('Rekomendasi HAV'!D$1,Data_Assessment[#Headers],0))</f>
        <v>LSIP - HO Jakarta</v>
      </c>
      <c r="E432" s="68">
        <f>INDEX(Data_Assessment[],MATCH('Rekomendasi HAV'!$B432,Data_Assessment[[NAME]:[NAME]],0),MATCH('Rekomendasi HAV'!E$1,Data_Assessment[#Headers],0))</f>
        <v>0</v>
      </c>
      <c r="F432" s="68"/>
      <c r="G432" s="68">
        <f>IF(ISNUMBER(SEARCH("DEV",Assessment[[#This Row],[JOB TARGET]])),SUBSTITUTE(Assessment[[#This Row],[JOB TARGET]],"DEV","EST"),Assessment[[#This Row],[JOB TARGET]])</f>
        <v>0</v>
      </c>
      <c r="H432" s="146" t="str" cm="1">
        <f t="array" aca="1" ref="H432" ca="1">IF(Assessment[[#This Row],[JOB TARGET]]="","Job Target Kosong",IF(COUNT(IF('Data Assessment'!$N432:$Z432-OFFSET(Standar!$B$2,MATCH(Assessment[[#This Row],[JOB TARGET
(EST)]],Standar[NAMA JABATAN],0)-1,1,1,13)&lt;0,1,""))&lt;=3,'9 Grid'!$B$4,IF(COUNT(IF('Data Assessment'!$N432:$Z432-OFFSET(Standar!$B$2,MATCH(Assessment[[#This Row],[JOB TARGET]],Standar[NAMA JABATAN],0)-1,1,1,13)&lt;0,1,""))&gt;=7,'9 Grid'!$B$6,'9 Grid'!$B$5)))</f>
        <v>Job Target Kosong</v>
      </c>
      <c r="I432" s="146" t="str">
        <f>IFERROR(IF(Data_Assessment[[#This Row],[IPP (3 YEARS AVERAGE)]]="","(IPP Belum Ada)",IF(Data_Assessment[[#This Row],[IPP (3 YEARS AVERAGE)]]&lt;2,'9 Grid'!$F$2,IF(Data_Assessment[[#This Row],[IPP (3 YEARS AVERAGE)]]&gt;=4,'9 Grid'!$D$2,'9 Grid'!$E$2))),"")</f>
        <v>Fully Competence Performance</v>
      </c>
      <c r="J432" s="146" t="str">
        <f ca="1">IFERROR(INDEX('9 Grid'!$D$4:$F$6,MATCH('Rekomendasi HAV'!H432,'9 Grid'!$B$4:$B$6,0),MATCH('Rekomendasi HAV'!I432,'9 Grid'!$D$2:$F$2,0)),"")</f>
        <v/>
      </c>
      <c r="K432" s="146" t="str">
        <f>IFERROR(INDEX('9 Grid'!$D$8:$F$8,1,MATCH('Rekomendasi HAV'!I432,'9 Grid'!$D$2:$F$2,0)),"")</f>
        <v>(ST) Within 12 - 18 month</v>
      </c>
      <c r="L432" s="146">
        <f>IF(ISNUMBER(SEARCH("EST",Assessment[[#This Row],[JOB TARGET]])),SUBSTITUTE(Assessment[[#This Row],[JOB TARGET]],"EST","DEV"),Assessment[[#This Row],[JOB TARGET]])</f>
        <v>0</v>
      </c>
      <c r="M432" s="146" t="str" cm="1">
        <f t="array" aca="1" ref="M432" ca="1">IF(Assessment[[#This Row],[JOB TARGET]]="","Job Target Kosong",IF(COUNT(IF('Data Assessment'!$N432:$Z432-OFFSET(Standar!$B$2,MATCH(Assessment[[#This Row],[JOB TARGET
(DEV)]],Standar[NAMA JABATAN],0)-1,1,1,13)&lt;0,1,""))&lt;=3,'9 Grid'!$B$4,IF(COUNT(IF('Data Assessment'!$N432:$Z432-OFFSET(Standar!$B$2,MATCH(Assessment[[#This Row],[JOB TARGET
(DEV)]],Standar[NAMA JABATAN],0)-1,1,1,13)&lt;0,1,""))&gt;=7,'9 Grid'!$B$6,'9 Grid'!$B$5)))</f>
        <v>Job Target Kosong</v>
      </c>
      <c r="N432" s="146" t="str">
        <f>IFERROR(IF(Data_Assessment[[#This Row],[IPP (3 YEARS AVERAGE)]]="","(IPP Belum Ada)",IF(Data_Assessment[[#This Row],[IPP (3 YEARS AVERAGE)]]&lt;2,'9 Grid'!$F$2,IF(Data_Assessment[[#This Row],[IPP (3 YEARS AVERAGE)]]&gt;=4,'9 Grid'!$D$2,'9 Grid'!$E$2))),"")</f>
        <v>Fully Competence Performance</v>
      </c>
      <c r="O432" s="146" t="str">
        <f ca="1">IFERROR(INDEX('9 Grid'!$D$4:$F$6,MATCH('Rekomendasi HAV'!M432,'9 Grid'!$B$4:$B$6,0),MATCH('Rekomendasi HAV'!N432,'9 Grid'!$D$2:$F$2,0)),"")</f>
        <v/>
      </c>
      <c r="P432" s="147" t="str">
        <f>IFERROR(INDEX('9 Grid'!$D$8:$F$8,1,MATCH('Rekomendasi HAV'!N432,'9 Grid'!$D$2:$F$2,0)),"")</f>
        <v>(ST) Within 12 - 18 month</v>
      </c>
    </row>
    <row r="433" spans="1:16" ht="28.5">
      <c r="A433" s="67">
        <v>432</v>
      </c>
      <c r="B433" s="68" t="str">
        <f>INDEX(Data_Assessment[],MATCH('Rekomendasi HAV'!$A433,Data_Assessment[[INDEX]:[INDEX]],0),MATCH('Rekomendasi HAV'!B$1,Data_Assessment[#Headers],0))</f>
        <v>Robbi Aditya Candra Batubara</v>
      </c>
      <c r="C433" s="68" t="str">
        <f>INDEX(Data_Assessment[],MATCH('Rekomendasi HAV'!$A433,Data_Assessment[[INDEX]:[INDEX]],0),MATCH('Rekomendasi HAV'!C$1,Data_Assessment[#Headers],0))</f>
        <v>Sumatera Utara</v>
      </c>
      <c r="D433" s="68" t="str">
        <f>INDEX(Data_Assessment[],MATCH('Rekomendasi HAV'!$A433,Data_Assessment[[INDEX]:[INDEX]],0),MATCH('Rekomendasi HAV'!D$1,Data_Assessment[#Headers],0))</f>
        <v>LSIP - Begerpang Estate</v>
      </c>
      <c r="E433" s="68">
        <f>INDEX(Data_Assessment[],MATCH('Rekomendasi HAV'!$B433,Data_Assessment[[NAME]:[NAME]],0),MATCH('Rekomendasi HAV'!E$1,Data_Assessment[#Headers],0))</f>
        <v>0</v>
      </c>
      <c r="F433" s="68"/>
      <c r="G433" s="68">
        <f>IF(ISNUMBER(SEARCH("DEV",Assessment[[#This Row],[JOB TARGET]])),SUBSTITUTE(Assessment[[#This Row],[JOB TARGET]],"DEV","EST"),Assessment[[#This Row],[JOB TARGET]])</f>
        <v>0</v>
      </c>
      <c r="H433" s="146" t="str" cm="1">
        <f t="array" aca="1" ref="H433" ca="1">IF(Assessment[[#This Row],[JOB TARGET]]="","Job Target Kosong",IF(COUNT(IF('Data Assessment'!$N433:$Z433-OFFSET(Standar!$B$2,MATCH(Assessment[[#This Row],[JOB TARGET
(EST)]],Standar[NAMA JABATAN],0)-1,1,1,13)&lt;0,1,""))&lt;=3,'9 Grid'!$B$4,IF(COUNT(IF('Data Assessment'!$N433:$Z433-OFFSET(Standar!$B$2,MATCH(Assessment[[#This Row],[JOB TARGET]],Standar[NAMA JABATAN],0)-1,1,1,13)&lt;0,1,""))&gt;=7,'9 Grid'!$B$6,'9 Grid'!$B$5)))</f>
        <v>Job Target Kosong</v>
      </c>
      <c r="I433" s="146" t="str">
        <f>IFERROR(IF(Data_Assessment[[#This Row],[IPP (3 YEARS AVERAGE)]]="","(IPP Belum Ada)",IF(Data_Assessment[[#This Row],[IPP (3 YEARS AVERAGE)]]&lt;2,'9 Grid'!$F$2,IF(Data_Assessment[[#This Row],[IPP (3 YEARS AVERAGE)]]&gt;=4,'9 Grid'!$D$2,'9 Grid'!$E$2))),"")</f>
        <v>Fully Competence Performance</v>
      </c>
      <c r="J433" s="146" t="str">
        <f ca="1">IFERROR(INDEX('9 Grid'!$D$4:$F$6,MATCH('Rekomendasi HAV'!H433,'9 Grid'!$B$4:$B$6,0),MATCH('Rekomendasi HAV'!I433,'9 Grid'!$D$2:$F$2,0)),"")</f>
        <v/>
      </c>
      <c r="K433" s="146" t="str">
        <f>IFERROR(INDEX('9 Grid'!$D$8:$F$8,1,MATCH('Rekomendasi HAV'!I433,'9 Grid'!$D$2:$F$2,0)),"")</f>
        <v>(ST) Within 12 - 18 month</v>
      </c>
      <c r="L433" s="146">
        <f>IF(ISNUMBER(SEARCH("EST",Assessment[[#This Row],[JOB TARGET]])),SUBSTITUTE(Assessment[[#This Row],[JOB TARGET]],"EST","DEV"),Assessment[[#This Row],[JOB TARGET]])</f>
        <v>0</v>
      </c>
      <c r="M433" s="146" t="str" cm="1">
        <f t="array" aca="1" ref="M433" ca="1">IF(Assessment[[#This Row],[JOB TARGET]]="","Job Target Kosong",IF(COUNT(IF('Data Assessment'!$N433:$Z433-OFFSET(Standar!$B$2,MATCH(Assessment[[#This Row],[JOB TARGET
(DEV)]],Standar[NAMA JABATAN],0)-1,1,1,13)&lt;0,1,""))&lt;=3,'9 Grid'!$B$4,IF(COUNT(IF('Data Assessment'!$N433:$Z433-OFFSET(Standar!$B$2,MATCH(Assessment[[#This Row],[JOB TARGET
(DEV)]],Standar[NAMA JABATAN],0)-1,1,1,13)&lt;0,1,""))&gt;=7,'9 Grid'!$B$6,'9 Grid'!$B$5)))</f>
        <v>Job Target Kosong</v>
      </c>
      <c r="N433" s="146" t="str">
        <f>IFERROR(IF(Data_Assessment[[#This Row],[IPP (3 YEARS AVERAGE)]]="","(IPP Belum Ada)",IF(Data_Assessment[[#This Row],[IPP (3 YEARS AVERAGE)]]&lt;2,'9 Grid'!$F$2,IF(Data_Assessment[[#This Row],[IPP (3 YEARS AVERAGE)]]&gt;=4,'9 Grid'!$D$2,'9 Grid'!$E$2))),"")</f>
        <v>Fully Competence Performance</v>
      </c>
      <c r="O433" s="146" t="str">
        <f ca="1">IFERROR(INDEX('9 Grid'!$D$4:$F$6,MATCH('Rekomendasi HAV'!M433,'9 Grid'!$B$4:$B$6,0),MATCH('Rekomendasi HAV'!N433,'9 Grid'!$D$2:$F$2,0)),"")</f>
        <v/>
      </c>
      <c r="P433" s="147" t="str">
        <f>IFERROR(INDEX('9 Grid'!$D$8:$F$8,1,MATCH('Rekomendasi HAV'!N433,'9 Grid'!$D$2:$F$2,0)),"")</f>
        <v>(ST) Within 12 - 18 month</v>
      </c>
    </row>
    <row r="434" spans="1:16" ht="28.5">
      <c r="A434" s="67">
        <v>433</v>
      </c>
      <c r="B434" s="68" t="str">
        <f>INDEX(Data_Assessment[],MATCH('Rekomendasi HAV'!$A434,Data_Assessment[[INDEX]:[INDEX]],0),MATCH('Rekomendasi HAV'!B$1,Data_Assessment[#Headers],0))</f>
        <v>Pramujo Sri Hatmoko</v>
      </c>
      <c r="C434" s="68" t="str">
        <f>INDEX(Data_Assessment[],MATCH('Rekomendasi HAV'!$A434,Data_Assessment[[INDEX]:[INDEX]],0),MATCH('Rekomendasi HAV'!C$1,Data_Assessment[#Headers],0))</f>
        <v>Jakarta</v>
      </c>
      <c r="D434" s="68" t="str">
        <f>INDEX(Data_Assessment[],MATCH('Rekomendasi HAV'!$A434,Data_Assessment[[INDEX]:[INDEX]],0),MATCH('Rekomendasi HAV'!D$1,Data_Assessment[#Headers],0))</f>
        <v>LSIP - HO Jakarta</v>
      </c>
      <c r="E434" s="68">
        <f>INDEX(Data_Assessment[],MATCH('Rekomendasi HAV'!$B434,Data_Assessment[[NAME]:[NAME]],0),MATCH('Rekomendasi HAV'!E$1,Data_Assessment[#Headers],0))</f>
        <v>0</v>
      </c>
      <c r="F434" s="68"/>
      <c r="G434" s="68">
        <f>IF(ISNUMBER(SEARCH("DEV",Assessment[[#This Row],[JOB TARGET]])),SUBSTITUTE(Assessment[[#This Row],[JOB TARGET]],"DEV","EST"),Assessment[[#This Row],[JOB TARGET]])</f>
        <v>0</v>
      </c>
      <c r="H434" s="146" t="str" cm="1">
        <f t="array" aca="1" ref="H434" ca="1">IF(Assessment[[#This Row],[JOB TARGET]]="","Job Target Kosong",IF(COUNT(IF('Data Assessment'!$N434:$Z434-OFFSET(Standar!$B$2,MATCH(Assessment[[#This Row],[JOB TARGET
(EST)]],Standar[NAMA JABATAN],0)-1,1,1,13)&lt;0,1,""))&lt;=3,'9 Grid'!$B$4,IF(COUNT(IF('Data Assessment'!$N434:$Z434-OFFSET(Standar!$B$2,MATCH(Assessment[[#This Row],[JOB TARGET]],Standar[NAMA JABATAN],0)-1,1,1,13)&lt;0,1,""))&gt;=7,'9 Grid'!$B$6,'9 Grid'!$B$5)))</f>
        <v>Job Target Kosong</v>
      </c>
      <c r="I434" s="146" t="str">
        <f>IFERROR(IF(Data_Assessment[[#This Row],[IPP (3 YEARS AVERAGE)]]="","(IPP Belum Ada)",IF(Data_Assessment[[#This Row],[IPP (3 YEARS AVERAGE)]]&lt;2,'9 Grid'!$F$2,IF(Data_Assessment[[#This Row],[IPP (3 YEARS AVERAGE)]]&gt;=4,'9 Grid'!$D$2,'9 Grid'!$E$2))),"")</f>
        <v>Fully Competence Performance</v>
      </c>
      <c r="J434" s="146" t="str">
        <f ca="1">IFERROR(INDEX('9 Grid'!$D$4:$F$6,MATCH('Rekomendasi HAV'!H434,'9 Grid'!$B$4:$B$6,0),MATCH('Rekomendasi HAV'!I434,'9 Grid'!$D$2:$F$2,0)),"")</f>
        <v/>
      </c>
      <c r="K434" s="146" t="str">
        <f>IFERROR(INDEX('9 Grid'!$D$8:$F$8,1,MATCH('Rekomendasi HAV'!I434,'9 Grid'!$D$2:$F$2,0)),"")</f>
        <v>(ST) Within 12 - 18 month</v>
      </c>
      <c r="L434" s="146">
        <f>IF(ISNUMBER(SEARCH("EST",Assessment[[#This Row],[JOB TARGET]])),SUBSTITUTE(Assessment[[#This Row],[JOB TARGET]],"EST","DEV"),Assessment[[#This Row],[JOB TARGET]])</f>
        <v>0</v>
      </c>
      <c r="M434" s="146" t="str" cm="1">
        <f t="array" aca="1" ref="M434" ca="1">IF(Assessment[[#This Row],[JOB TARGET]]="","Job Target Kosong",IF(COUNT(IF('Data Assessment'!$N434:$Z434-OFFSET(Standar!$B$2,MATCH(Assessment[[#This Row],[JOB TARGET
(DEV)]],Standar[NAMA JABATAN],0)-1,1,1,13)&lt;0,1,""))&lt;=3,'9 Grid'!$B$4,IF(COUNT(IF('Data Assessment'!$N434:$Z434-OFFSET(Standar!$B$2,MATCH(Assessment[[#This Row],[JOB TARGET
(DEV)]],Standar[NAMA JABATAN],0)-1,1,1,13)&lt;0,1,""))&gt;=7,'9 Grid'!$B$6,'9 Grid'!$B$5)))</f>
        <v>Job Target Kosong</v>
      </c>
      <c r="N434" s="146" t="str">
        <f>IFERROR(IF(Data_Assessment[[#This Row],[IPP (3 YEARS AVERAGE)]]="","(IPP Belum Ada)",IF(Data_Assessment[[#This Row],[IPP (3 YEARS AVERAGE)]]&lt;2,'9 Grid'!$F$2,IF(Data_Assessment[[#This Row],[IPP (3 YEARS AVERAGE)]]&gt;=4,'9 Grid'!$D$2,'9 Grid'!$E$2))),"")</f>
        <v>Fully Competence Performance</v>
      </c>
      <c r="O434" s="146" t="str">
        <f ca="1">IFERROR(INDEX('9 Grid'!$D$4:$F$6,MATCH('Rekomendasi HAV'!M434,'9 Grid'!$B$4:$B$6,0),MATCH('Rekomendasi HAV'!N434,'9 Grid'!$D$2:$F$2,0)),"")</f>
        <v/>
      </c>
      <c r="P434" s="147" t="str">
        <f>IFERROR(INDEX('9 Grid'!$D$8:$F$8,1,MATCH('Rekomendasi HAV'!N434,'9 Grid'!$D$2:$F$2,0)),"")</f>
        <v>(ST) Within 12 - 18 month</v>
      </c>
    </row>
    <row r="435" spans="1:16" ht="28.5">
      <c r="A435" s="67">
        <v>434</v>
      </c>
      <c r="B435" s="68" t="str">
        <f>INDEX(Data_Assessment[],MATCH('Rekomendasi HAV'!$A435,Data_Assessment[[INDEX]:[INDEX]],0),MATCH('Rekomendasi HAV'!B$1,Data_Assessment[#Headers],0))</f>
        <v>Dedi Yanto Syahputra</v>
      </c>
      <c r="C435" s="68" t="str">
        <f>INDEX(Data_Assessment[],MATCH('Rekomendasi HAV'!$A435,Data_Assessment[[INDEX]:[INDEX]],0),MATCH('Rekomendasi HAV'!C$1,Data_Assessment[#Headers],0))</f>
        <v>Sumatera Utara</v>
      </c>
      <c r="D435" s="68" t="str">
        <f>INDEX(Data_Assessment[],MATCH('Rekomendasi HAV'!$A435,Data_Assessment[[INDEX]:[INDEX]],0),MATCH('Rekomendasi HAV'!D$1,Data_Assessment[#Headers],0))</f>
        <v>LSIP - Begerpang Estate</v>
      </c>
      <c r="E435" s="68">
        <f>INDEX(Data_Assessment[],MATCH('Rekomendasi HAV'!$B435,Data_Assessment[[NAME]:[NAME]],0),MATCH('Rekomendasi HAV'!E$1,Data_Assessment[#Headers],0))</f>
        <v>0</v>
      </c>
      <c r="F435" s="68"/>
      <c r="G435" s="68">
        <f>IF(ISNUMBER(SEARCH("DEV",Assessment[[#This Row],[JOB TARGET]])),SUBSTITUTE(Assessment[[#This Row],[JOB TARGET]],"DEV","EST"),Assessment[[#This Row],[JOB TARGET]])</f>
        <v>0</v>
      </c>
      <c r="H435" s="146" t="str" cm="1">
        <f t="array" aca="1" ref="H435" ca="1">IF(Assessment[[#This Row],[JOB TARGET]]="","Job Target Kosong",IF(COUNT(IF('Data Assessment'!$N435:$Z435-OFFSET(Standar!$B$2,MATCH(Assessment[[#This Row],[JOB TARGET
(EST)]],Standar[NAMA JABATAN],0)-1,1,1,13)&lt;0,1,""))&lt;=3,'9 Grid'!$B$4,IF(COUNT(IF('Data Assessment'!$N435:$Z435-OFFSET(Standar!$B$2,MATCH(Assessment[[#This Row],[JOB TARGET]],Standar[NAMA JABATAN],0)-1,1,1,13)&lt;0,1,""))&gt;=7,'9 Grid'!$B$6,'9 Grid'!$B$5)))</f>
        <v>Job Target Kosong</v>
      </c>
      <c r="I435" s="146" t="str">
        <f>IFERROR(IF(Data_Assessment[[#This Row],[IPP (3 YEARS AVERAGE)]]="","(IPP Belum Ada)",IF(Data_Assessment[[#This Row],[IPP (3 YEARS AVERAGE)]]&lt;2,'9 Grid'!$F$2,IF(Data_Assessment[[#This Row],[IPP (3 YEARS AVERAGE)]]&gt;=4,'9 Grid'!$D$2,'9 Grid'!$E$2))),"")</f>
        <v>Fully Competence Performance</v>
      </c>
      <c r="J435" s="146" t="str">
        <f ca="1">IFERROR(INDEX('9 Grid'!$D$4:$F$6,MATCH('Rekomendasi HAV'!H435,'9 Grid'!$B$4:$B$6,0),MATCH('Rekomendasi HAV'!I435,'9 Grid'!$D$2:$F$2,0)),"")</f>
        <v/>
      </c>
      <c r="K435" s="146" t="str">
        <f>IFERROR(INDEX('9 Grid'!$D$8:$F$8,1,MATCH('Rekomendasi HAV'!I435,'9 Grid'!$D$2:$F$2,0)),"")</f>
        <v>(ST) Within 12 - 18 month</v>
      </c>
      <c r="L435" s="146">
        <f>IF(ISNUMBER(SEARCH("EST",Assessment[[#This Row],[JOB TARGET]])),SUBSTITUTE(Assessment[[#This Row],[JOB TARGET]],"EST","DEV"),Assessment[[#This Row],[JOB TARGET]])</f>
        <v>0</v>
      </c>
      <c r="M435" s="146" t="str" cm="1">
        <f t="array" aca="1" ref="M435" ca="1">IF(Assessment[[#This Row],[JOB TARGET]]="","Job Target Kosong",IF(COUNT(IF('Data Assessment'!$N435:$Z435-OFFSET(Standar!$B$2,MATCH(Assessment[[#This Row],[JOB TARGET
(DEV)]],Standar[NAMA JABATAN],0)-1,1,1,13)&lt;0,1,""))&lt;=3,'9 Grid'!$B$4,IF(COUNT(IF('Data Assessment'!$N435:$Z435-OFFSET(Standar!$B$2,MATCH(Assessment[[#This Row],[JOB TARGET
(DEV)]],Standar[NAMA JABATAN],0)-1,1,1,13)&lt;0,1,""))&gt;=7,'9 Grid'!$B$6,'9 Grid'!$B$5)))</f>
        <v>Job Target Kosong</v>
      </c>
      <c r="N435" s="146" t="str">
        <f>IFERROR(IF(Data_Assessment[[#This Row],[IPP (3 YEARS AVERAGE)]]="","(IPP Belum Ada)",IF(Data_Assessment[[#This Row],[IPP (3 YEARS AVERAGE)]]&lt;2,'9 Grid'!$F$2,IF(Data_Assessment[[#This Row],[IPP (3 YEARS AVERAGE)]]&gt;=4,'9 Grid'!$D$2,'9 Grid'!$E$2))),"")</f>
        <v>Fully Competence Performance</v>
      </c>
      <c r="O435" s="146" t="str">
        <f ca="1">IFERROR(INDEX('9 Grid'!$D$4:$F$6,MATCH('Rekomendasi HAV'!M435,'9 Grid'!$B$4:$B$6,0),MATCH('Rekomendasi HAV'!N435,'9 Grid'!$D$2:$F$2,0)),"")</f>
        <v/>
      </c>
      <c r="P435" s="147" t="str">
        <f>IFERROR(INDEX('9 Grid'!$D$8:$F$8,1,MATCH('Rekomendasi HAV'!N435,'9 Grid'!$D$2:$F$2,0)),"")</f>
        <v>(ST) Within 12 - 18 month</v>
      </c>
    </row>
    <row r="436" spans="1:16" ht="14.25">
      <c r="A436" s="67">
        <v>435</v>
      </c>
      <c r="B436" s="68" t="str">
        <f>INDEX(Data_Assessment[],MATCH('Rekomendasi HAV'!$A436,Data_Assessment[[INDEX]:[INDEX]],0),MATCH('Rekomendasi HAV'!B$1,Data_Assessment[#Headers],0))</f>
        <v>Rico Haryanto P Hutabalian</v>
      </c>
      <c r="C436" s="68" t="str">
        <f>INDEX(Data_Assessment[],MATCH('Rekomendasi HAV'!$A436,Data_Assessment[[INDEX]:[INDEX]],0),MATCH('Rekomendasi HAV'!C$1,Data_Assessment[#Headers],0))</f>
        <v>Jakarta</v>
      </c>
      <c r="D436" s="68" t="str">
        <f>INDEX(Data_Assessment[],MATCH('Rekomendasi HAV'!$A436,Data_Assessment[[INDEX]:[INDEX]],0),MATCH('Rekomendasi HAV'!D$1,Data_Assessment[#Headers],0))</f>
        <v>LSIP - HO Jakarta</v>
      </c>
      <c r="E436" s="68">
        <f>INDEX(Data_Assessment[],MATCH('Rekomendasi HAV'!$B436,Data_Assessment[[NAME]:[NAME]],0),MATCH('Rekomendasi HAV'!E$1,Data_Assessment[#Headers],0))</f>
        <v>0</v>
      </c>
      <c r="F436" s="68"/>
      <c r="G436" s="68">
        <f>IF(ISNUMBER(SEARCH("DEV",Assessment[[#This Row],[JOB TARGET]])),SUBSTITUTE(Assessment[[#This Row],[JOB TARGET]],"DEV","EST"),Assessment[[#This Row],[JOB TARGET]])</f>
        <v>0</v>
      </c>
      <c r="H436" s="146" t="str" cm="1">
        <f t="array" aca="1" ref="H436" ca="1">IF(Assessment[[#This Row],[JOB TARGET]]="","Job Target Kosong",IF(COUNT(IF('Data Assessment'!$N436:$Z436-OFFSET(Standar!$B$2,MATCH(Assessment[[#This Row],[JOB TARGET
(EST)]],Standar[NAMA JABATAN],0)-1,1,1,13)&lt;0,1,""))&lt;=3,'9 Grid'!$B$4,IF(COUNT(IF('Data Assessment'!$N436:$Z436-OFFSET(Standar!$B$2,MATCH(Assessment[[#This Row],[JOB TARGET]],Standar[NAMA JABATAN],0)-1,1,1,13)&lt;0,1,""))&gt;=7,'9 Grid'!$B$6,'9 Grid'!$B$5)))</f>
        <v>Job Target Kosong</v>
      </c>
      <c r="I436" s="146" t="str">
        <f>IFERROR(IF(Data_Assessment[[#This Row],[IPP (3 YEARS AVERAGE)]]="","(IPP Belum Ada)",IF(Data_Assessment[[#This Row],[IPP (3 YEARS AVERAGE)]]&lt;2,'9 Grid'!$F$2,IF(Data_Assessment[[#This Row],[IPP (3 YEARS AVERAGE)]]&gt;=4,'9 Grid'!$D$2,'9 Grid'!$E$2))),"")</f>
        <v>Exceptional Performance</v>
      </c>
      <c r="J436" s="146" t="str">
        <f ca="1">IFERROR(INDEX('9 Grid'!$D$4:$F$6,MATCH('Rekomendasi HAV'!H436,'9 Grid'!$B$4:$B$6,0),MATCH('Rekomendasi HAV'!I436,'9 Grid'!$D$2:$F$2,0)),"")</f>
        <v/>
      </c>
      <c r="K436" s="146" t="str">
        <f>IFERROR(INDEX('9 Grid'!$D$8:$F$8,1,MATCH('Rekomendasi HAV'!I436,'9 Grid'!$D$2:$F$2,0)),"")</f>
        <v>(I) Immediately</v>
      </c>
      <c r="L436" s="146">
        <f>IF(ISNUMBER(SEARCH("EST",Assessment[[#This Row],[JOB TARGET]])),SUBSTITUTE(Assessment[[#This Row],[JOB TARGET]],"EST","DEV"),Assessment[[#This Row],[JOB TARGET]])</f>
        <v>0</v>
      </c>
      <c r="M436" s="146" t="str" cm="1">
        <f t="array" aca="1" ref="M436" ca="1">IF(Assessment[[#This Row],[JOB TARGET]]="","Job Target Kosong",IF(COUNT(IF('Data Assessment'!$N436:$Z436-OFFSET(Standar!$B$2,MATCH(Assessment[[#This Row],[JOB TARGET
(DEV)]],Standar[NAMA JABATAN],0)-1,1,1,13)&lt;0,1,""))&lt;=3,'9 Grid'!$B$4,IF(COUNT(IF('Data Assessment'!$N436:$Z436-OFFSET(Standar!$B$2,MATCH(Assessment[[#This Row],[JOB TARGET
(DEV)]],Standar[NAMA JABATAN],0)-1,1,1,13)&lt;0,1,""))&gt;=7,'9 Grid'!$B$6,'9 Grid'!$B$5)))</f>
        <v>Job Target Kosong</v>
      </c>
      <c r="N436" s="146" t="str">
        <f>IFERROR(IF(Data_Assessment[[#This Row],[IPP (3 YEARS AVERAGE)]]="","(IPP Belum Ada)",IF(Data_Assessment[[#This Row],[IPP (3 YEARS AVERAGE)]]&lt;2,'9 Grid'!$F$2,IF(Data_Assessment[[#This Row],[IPP (3 YEARS AVERAGE)]]&gt;=4,'9 Grid'!$D$2,'9 Grid'!$E$2))),"")</f>
        <v>Exceptional Performance</v>
      </c>
      <c r="O436" s="146" t="str">
        <f ca="1">IFERROR(INDEX('9 Grid'!$D$4:$F$6,MATCH('Rekomendasi HAV'!M436,'9 Grid'!$B$4:$B$6,0),MATCH('Rekomendasi HAV'!N436,'9 Grid'!$D$2:$F$2,0)),"")</f>
        <v/>
      </c>
      <c r="P436" s="147" t="str">
        <f>IFERROR(INDEX('9 Grid'!$D$8:$F$8,1,MATCH('Rekomendasi HAV'!N436,'9 Grid'!$D$2:$F$2,0)),"")</f>
        <v>(I) Immediately</v>
      </c>
    </row>
    <row r="437" spans="1:16" ht="28.5">
      <c r="A437" s="67">
        <v>436</v>
      </c>
      <c r="B437" s="68" t="str">
        <f>INDEX(Data_Assessment[],MATCH('Rekomendasi HAV'!$A437,Data_Assessment[[INDEX]:[INDEX]],0),MATCH('Rekomendasi HAV'!B$1,Data_Assessment[#Headers],0))</f>
        <v>Surya Affandi</v>
      </c>
      <c r="C437" s="68" t="str">
        <f>INDEX(Data_Assessment[],MATCH('Rekomendasi HAV'!$A437,Data_Assessment[[INDEX]:[INDEX]],0),MATCH('Rekomendasi HAV'!C$1,Data_Assessment[#Headers],0))</f>
        <v>Sumatera Utara</v>
      </c>
      <c r="D437" s="68" t="str">
        <f>INDEX(Data_Assessment[],MATCH('Rekomendasi HAV'!$A437,Data_Assessment[[INDEX]:[INDEX]],0),MATCH('Rekomendasi HAV'!D$1,Data_Assessment[#Headers],0))</f>
        <v>LSIP - Begerpang Estate</v>
      </c>
      <c r="E437" s="68">
        <f>INDEX(Data_Assessment[],MATCH('Rekomendasi HAV'!$B437,Data_Assessment[[NAME]:[NAME]],0),MATCH('Rekomendasi HAV'!E$1,Data_Assessment[#Headers],0))</f>
        <v>0</v>
      </c>
      <c r="F437" s="68"/>
      <c r="G437" s="68">
        <f>IF(ISNUMBER(SEARCH("DEV",Assessment[[#This Row],[JOB TARGET]])),SUBSTITUTE(Assessment[[#This Row],[JOB TARGET]],"DEV","EST"),Assessment[[#This Row],[JOB TARGET]])</f>
        <v>0</v>
      </c>
      <c r="H437" s="146" t="str" cm="1">
        <f t="array" aca="1" ref="H437" ca="1">IF(Assessment[[#This Row],[JOB TARGET]]="","Job Target Kosong",IF(COUNT(IF('Data Assessment'!$N437:$Z437-OFFSET(Standar!$B$2,MATCH(Assessment[[#This Row],[JOB TARGET
(EST)]],Standar[NAMA JABATAN],0)-1,1,1,13)&lt;0,1,""))&lt;=3,'9 Grid'!$B$4,IF(COUNT(IF('Data Assessment'!$N437:$Z437-OFFSET(Standar!$B$2,MATCH(Assessment[[#This Row],[JOB TARGET]],Standar[NAMA JABATAN],0)-1,1,1,13)&lt;0,1,""))&gt;=7,'9 Grid'!$B$6,'9 Grid'!$B$5)))</f>
        <v>Job Target Kosong</v>
      </c>
      <c r="I437" s="146" t="str">
        <f>IFERROR(IF(Data_Assessment[[#This Row],[IPP (3 YEARS AVERAGE)]]="","(IPP Belum Ada)",IF(Data_Assessment[[#This Row],[IPP (3 YEARS AVERAGE)]]&lt;2,'9 Grid'!$F$2,IF(Data_Assessment[[#This Row],[IPP (3 YEARS AVERAGE)]]&gt;=4,'9 Grid'!$D$2,'9 Grid'!$E$2))),"")</f>
        <v>Fully Competence Performance</v>
      </c>
      <c r="J437" s="146" t="str">
        <f ca="1">IFERROR(INDEX('9 Grid'!$D$4:$F$6,MATCH('Rekomendasi HAV'!H437,'9 Grid'!$B$4:$B$6,0),MATCH('Rekomendasi HAV'!I437,'9 Grid'!$D$2:$F$2,0)),"")</f>
        <v/>
      </c>
      <c r="K437" s="146" t="str">
        <f>IFERROR(INDEX('9 Grid'!$D$8:$F$8,1,MATCH('Rekomendasi HAV'!I437,'9 Grid'!$D$2:$F$2,0)),"")</f>
        <v>(ST) Within 12 - 18 month</v>
      </c>
      <c r="L437" s="146">
        <f>IF(ISNUMBER(SEARCH("EST",Assessment[[#This Row],[JOB TARGET]])),SUBSTITUTE(Assessment[[#This Row],[JOB TARGET]],"EST","DEV"),Assessment[[#This Row],[JOB TARGET]])</f>
        <v>0</v>
      </c>
      <c r="M437" s="146" t="str" cm="1">
        <f t="array" aca="1" ref="M437" ca="1">IF(Assessment[[#This Row],[JOB TARGET]]="","Job Target Kosong",IF(COUNT(IF('Data Assessment'!$N437:$Z437-OFFSET(Standar!$B$2,MATCH(Assessment[[#This Row],[JOB TARGET
(DEV)]],Standar[NAMA JABATAN],0)-1,1,1,13)&lt;0,1,""))&lt;=3,'9 Grid'!$B$4,IF(COUNT(IF('Data Assessment'!$N437:$Z437-OFFSET(Standar!$B$2,MATCH(Assessment[[#This Row],[JOB TARGET
(DEV)]],Standar[NAMA JABATAN],0)-1,1,1,13)&lt;0,1,""))&gt;=7,'9 Grid'!$B$6,'9 Grid'!$B$5)))</f>
        <v>Job Target Kosong</v>
      </c>
      <c r="N437" s="146" t="str">
        <f>IFERROR(IF(Data_Assessment[[#This Row],[IPP (3 YEARS AVERAGE)]]="","(IPP Belum Ada)",IF(Data_Assessment[[#This Row],[IPP (3 YEARS AVERAGE)]]&lt;2,'9 Grid'!$F$2,IF(Data_Assessment[[#This Row],[IPP (3 YEARS AVERAGE)]]&gt;=4,'9 Grid'!$D$2,'9 Grid'!$E$2))),"")</f>
        <v>Fully Competence Performance</v>
      </c>
      <c r="O437" s="146" t="str">
        <f ca="1">IFERROR(INDEX('9 Grid'!$D$4:$F$6,MATCH('Rekomendasi HAV'!M437,'9 Grid'!$B$4:$B$6,0),MATCH('Rekomendasi HAV'!N437,'9 Grid'!$D$2:$F$2,0)),"")</f>
        <v/>
      </c>
      <c r="P437" s="147" t="str">
        <f>IFERROR(INDEX('9 Grid'!$D$8:$F$8,1,MATCH('Rekomendasi HAV'!N437,'9 Grid'!$D$2:$F$2,0)),"")</f>
        <v>(ST) Within 12 - 18 month</v>
      </c>
    </row>
    <row r="438" spans="1:16" ht="28.5">
      <c r="A438" s="67">
        <v>437</v>
      </c>
      <c r="B438" s="68" t="str">
        <f>INDEX(Data_Assessment[],MATCH('Rekomendasi HAV'!$A438,Data_Assessment[[INDEX]:[INDEX]],0),MATCH('Rekomendasi HAV'!B$1,Data_Assessment[#Headers],0))</f>
        <v>Fahriza Khairi Siregar</v>
      </c>
      <c r="C438" s="68" t="str">
        <f>INDEX(Data_Assessment[],MATCH('Rekomendasi HAV'!$A438,Data_Assessment[[INDEX]:[INDEX]],0),MATCH('Rekomendasi HAV'!C$1,Data_Assessment[#Headers],0))</f>
        <v>Sumatera Utara</v>
      </c>
      <c r="D438" s="68" t="str">
        <f>INDEX(Data_Assessment[],MATCH('Rekomendasi HAV'!$A438,Data_Assessment[[INDEX]:[INDEX]],0),MATCH('Rekomendasi HAV'!D$1,Data_Assessment[#Headers],0))</f>
        <v>LSIP - Begerpang Estate</v>
      </c>
      <c r="E438" s="68">
        <f>INDEX(Data_Assessment[],MATCH('Rekomendasi HAV'!$B438,Data_Assessment[[NAME]:[NAME]],0),MATCH('Rekomendasi HAV'!E$1,Data_Assessment[#Headers],0))</f>
        <v>0</v>
      </c>
      <c r="F438" s="68"/>
      <c r="G438" s="68">
        <f>IF(ISNUMBER(SEARCH("DEV",Assessment[[#This Row],[JOB TARGET]])),SUBSTITUTE(Assessment[[#This Row],[JOB TARGET]],"DEV","EST"),Assessment[[#This Row],[JOB TARGET]])</f>
        <v>0</v>
      </c>
      <c r="H438" s="146" t="str" cm="1">
        <f t="array" aca="1" ref="H438" ca="1">IF(Assessment[[#This Row],[JOB TARGET]]="","Job Target Kosong",IF(COUNT(IF('Data Assessment'!$N438:$Z438-OFFSET(Standar!$B$2,MATCH(Assessment[[#This Row],[JOB TARGET
(EST)]],Standar[NAMA JABATAN],0)-1,1,1,13)&lt;0,1,""))&lt;=3,'9 Grid'!$B$4,IF(COUNT(IF('Data Assessment'!$N438:$Z438-OFFSET(Standar!$B$2,MATCH(Assessment[[#This Row],[JOB TARGET]],Standar[NAMA JABATAN],0)-1,1,1,13)&lt;0,1,""))&gt;=7,'9 Grid'!$B$6,'9 Grid'!$B$5)))</f>
        <v>Job Target Kosong</v>
      </c>
      <c r="I438" s="146" t="str">
        <f>IFERROR(IF(Data_Assessment[[#This Row],[IPP (3 YEARS AVERAGE)]]="","(IPP Belum Ada)",IF(Data_Assessment[[#This Row],[IPP (3 YEARS AVERAGE)]]&lt;2,'9 Grid'!$F$2,IF(Data_Assessment[[#This Row],[IPP (3 YEARS AVERAGE)]]&gt;=4,'9 Grid'!$D$2,'9 Grid'!$E$2))),"")</f>
        <v>Fully Competence Performance</v>
      </c>
      <c r="J438" s="146" t="str">
        <f ca="1">IFERROR(INDEX('9 Grid'!$D$4:$F$6,MATCH('Rekomendasi HAV'!H438,'9 Grid'!$B$4:$B$6,0),MATCH('Rekomendasi HAV'!I438,'9 Grid'!$D$2:$F$2,0)),"")</f>
        <v/>
      </c>
      <c r="K438" s="146" t="str">
        <f>IFERROR(INDEX('9 Grid'!$D$8:$F$8,1,MATCH('Rekomendasi HAV'!I438,'9 Grid'!$D$2:$F$2,0)),"")</f>
        <v>(ST) Within 12 - 18 month</v>
      </c>
      <c r="L438" s="146">
        <f>IF(ISNUMBER(SEARCH("EST",Assessment[[#This Row],[JOB TARGET]])),SUBSTITUTE(Assessment[[#This Row],[JOB TARGET]],"EST","DEV"),Assessment[[#This Row],[JOB TARGET]])</f>
        <v>0</v>
      </c>
      <c r="M438" s="146" t="str" cm="1">
        <f t="array" aca="1" ref="M438" ca="1">IF(Assessment[[#This Row],[JOB TARGET]]="","Job Target Kosong",IF(COUNT(IF('Data Assessment'!$N438:$Z438-OFFSET(Standar!$B$2,MATCH(Assessment[[#This Row],[JOB TARGET
(DEV)]],Standar[NAMA JABATAN],0)-1,1,1,13)&lt;0,1,""))&lt;=3,'9 Grid'!$B$4,IF(COUNT(IF('Data Assessment'!$N438:$Z438-OFFSET(Standar!$B$2,MATCH(Assessment[[#This Row],[JOB TARGET
(DEV)]],Standar[NAMA JABATAN],0)-1,1,1,13)&lt;0,1,""))&gt;=7,'9 Grid'!$B$6,'9 Grid'!$B$5)))</f>
        <v>Job Target Kosong</v>
      </c>
      <c r="N438" s="146" t="str">
        <f>IFERROR(IF(Data_Assessment[[#This Row],[IPP (3 YEARS AVERAGE)]]="","(IPP Belum Ada)",IF(Data_Assessment[[#This Row],[IPP (3 YEARS AVERAGE)]]&lt;2,'9 Grid'!$F$2,IF(Data_Assessment[[#This Row],[IPP (3 YEARS AVERAGE)]]&gt;=4,'9 Grid'!$D$2,'9 Grid'!$E$2))),"")</f>
        <v>Fully Competence Performance</v>
      </c>
      <c r="O438" s="146" t="str">
        <f ca="1">IFERROR(INDEX('9 Grid'!$D$4:$F$6,MATCH('Rekomendasi HAV'!M438,'9 Grid'!$B$4:$B$6,0),MATCH('Rekomendasi HAV'!N438,'9 Grid'!$D$2:$F$2,0)),"")</f>
        <v/>
      </c>
      <c r="P438" s="147" t="str">
        <f>IFERROR(INDEX('9 Grid'!$D$8:$F$8,1,MATCH('Rekomendasi HAV'!N438,'9 Grid'!$D$2:$F$2,0)),"")</f>
        <v>(ST) Within 12 - 18 month</v>
      </c>
    </row>
    <row r="439" spans="1:16" ht="28.5">
      <c r="A439" s="67">
        <v>438</v>
      </c>
      <c r="B439" s="68" t="str">
        <f>INDEX(Data_Assessment[],MATCH('Rekomendasi HAV'!$A439,Data_Assessment[[INDEX]:[INDEX]],0),MATCH('Rekomendasi HAV'!B$1,Data_Assessment[#Headers],0))</f>
        <v>Eri Epriyanto</v>
      </c>
      <c r="C439" s="68" t="str">
        <f>INDEX(Data_Assessment[],MATCH('Rekomendasi HAV'!$A439,Data_Assessment[[INDEX]:[INDEX]],0),MATCH('Rekomendasi HAV'!C$1,Data_Assessment[#Headers],0))</f>
        <v>Jakarta</v>
      </c>
      <c r="D439" s="68" t="str">
        <f>INDEX(Data_Assessment[],MATCH('Rekomendasi HAV'!$A439,Data_Assessment[[INDEX]:[INDEX]],0),MATCH('Rekomendasi HAV'!D$1,Data_Assessment[#Headers],0))</f>
        <v>LSIP - HO Jakarta</v>
      </c>
      <c r="E439" s="68">
        <f>INDEX(Data_Assessment[],MATCH('Rekomendasi HAV'!$B439,Data_Assessment[[NAME]:[NAME]],0),MATCH('Rekomendasi HAV'!E$1,Data_Assessment[#Headers],0))</f>
        <v>0</v>
      </c>
      <c r="F439" s="68"/>
      <c r="G439" s="68">
        <f>IF(ISNUMBER(SEARCH("DEV",Assessment[[#This Row],[JOB TARGET]])),SUBSTITUTE(Assessment[[#This Row],[JOB TARGET]],"DEV","EST"),Assessment[[#This Row],[JOB TARGET]])</f>
        <v>0</v>
      </c>
      <c r="H439" s="146" t="str" cm="1">
        <f t="array" aca="1" ref="H439" ca="1">IF(Assessment[[#This Row],[JOB TARGET]]="","Job Target Kosong",IF(COUNT(IF('Data Assessment'!$N439:$Z439-OFFSET(Standar!$B$2,MATCH(Assessment[[#This Row],[JOB TARGET
(EST)]],Standar[NAMA JABATAN],0)-1,1,1,13)&lt;0,1,""))&lt;=3,'9 Grid'!$B$4,IF(COUNT(IF('Data Assessment'!$N439:$Z439-OFFSET(Standar!$B$2,MATCH(Assessment[[#This Row],[JOB TARGET]],Standar[NAMA JABATAN],0)-1,1,1,13)&lt;0,1,""))&gt;=7,'9 Grid'!$B$6,'9 Grid'!$B$5)))</f>
        <v>Job Target Kosong</v>
      </c>
      <c r="I439" s="146" t="str">
        <f>IFERROR(IF(Data_Assessment[[#This Row],[IPP (3 YEARS AVERAGE)]]="","(IPP Belum Ada)",IF(Data_Assessment[[#This Row],[IPP (3 YEARS AVERAGE)]]&lt;2,'9 Grid'!$F$2,IF(Data_Assessment[[#This Row],[IPP (3 YEARS AVERAGE)]]&gt;=4,'9 Grid'!$D$2,'9 Grid'!$E$2))),"")</f>
        <v>Fully Competence Performance</v>
      </c>
      <c r="J439" s="146" t="str">
        <f ca="1">IFERROR(INDEX('9 Grid'!$D$4:$F$6,MATCH('Rekomendasi HAV'!H439,'9 Grid'!$B$4:$B$6,0),MATCH('Rekomendasi HAV'!I439,'9 Grid'!$D$2:$F$2,0)),"")</f>
        <v/>
      </c>
      <c r="K439" s="146" t="str">
        <f>IFERROR(INDEX('9 Grid'!$D$8:$F$8,1,MATCH('Rekomendasi HAV'!I439,'9 Grid'!$D$2:$F$2,0)),"")</f>
        <v>(ST) Within 12 - 18 month</v>
      </c>
      <c r="L439" s="146">
        <f>IF(ISNUMBER(SEARCH("EST",Assessment[[#This Row],[JOB TARGET]])),SUBSTITUTE(Assessment[[#This Row],[JOB TARGET]],"EST","DEV"),Assessment[[#This Row],[JOB TARGET]])</f>
        <v>0</v>
      </c>
      <c r="M439" s="146" t="str" cm="1">
        <f t="array" aca="1" ref="M439" ca="1">IF(Assessment[[#This Row],[JOB TARGET]]="","Job Target Kosong",IF(COUNT(IF('Data Assessment'!$N439:$Z439-OFFSET(Standar!$B$2,MATCH(Assessment[[#This Row],[JOB TARGET
(DEV)]],Standar[NAMA JABATAN],0)-1,1,1,13)&lt;0,1,""))&lt;=3,'9 Grid'!$B$4,IF(COUNT(IF('Data Assessment'!$N439:$Z439-OFFSET(Standar!$B$2,MATCH(Assessment[[#This Row],[JOB TARGET
(DEV)]],Standar[NAMA JABATAN],0)-1,1,1,13)&lt;0,1,""))&gt;=7,'9 Grid'!$B$6,'9 Grid'!$B$5)))</f>
        <v>Job Target Kosong</v>
      </c>
      <c r="N439" s="146" t="str">
        <f>IFERROR(IF(Data_Assessment[[#This Row],[IPP (3 YEARS AVERAGE)]]="","(IPP Belum Ada)",IF(Data_Assessment[[#This Row],[IPP (3 YEARS AVERAGE)]]&lt;2,'9 Grid'!$F$2,IF(Data_Assessment[[#This Row],[IPP (3 YEARS AVERAGE)]]&gt;=4,'9 Grid'!$D$2,'9 Grid'!$E$2))),"")</f>
        <v>Fully Competence Performance</v>
      </c>
      <c r="O439" s="146" t="str">
        <f ca="1">IFERROR(INDEX('9 Grid'!$D$4:$F$6,MATCH('Rekomendasi HAV'!M439,'9 Grid'!$B$4:$B$6,0),MATCH('Rekomendasi HAV'!N439,'9 Grid'!$D$2:$F$2,0)),"")</f>
        <v/>
      </c>
      <c r="P439" s="147" t="str">
        <f>IFERROR(INDEX('9 Grid'!$D$8:$F$8,1,MATCH('Rekomendasi HAV'!N439,'9 Grid'!$D$2:$F$2,0)),"")</f>
        <v>(ST) Within 12 - 18 month</v>
      </c>
    </row>
    <row r="440" spans="1:16" ht="14.25">
      <c r="A440" s="67">
        <v>439</v>
      </c>
      <c r="B440" s="68" t="str">
        <f>INDEX(Data_Assessment[],MATCH('Rekomendasi HAV'!$A440,Data_Assessment[[INDEX]:[INDEX]],0),MATCH('Rekomendasi HAV'!B$1,Data_Assessment[#Headers],0))</f>
        <v>M. Nur Arfan, Ir.</v>
      </c>
      <c r="C440" s="68" t="str">
        <f>INDEX(Data_Assessment[],MATCH('Rekomendasi HAV'!$A440,Data_Assessment[[INDEX]:[INDEX]],0),MATCH('Rekomendasi HAV'!C$1,Data_Assessment[#Headers],0))</f>
        <v>Sumatera Utara</v>
      </c>
      <c r="D440" s="68" t="str">
        <f>INDEX(Data_Assessment[],MATCH('Rekomendasi HAV'!$A440,Data_Assessment[[INDEX]:[INDEX]],0),MATCH('Rekomendasi HAV'!D$1,Data_Assessment[#Headers],0))</f>
        <v>LSIP - Rambong Sialang Estate</v>
      </c>
      <c r="E440" s="68">
        <f>INDEX(Data_Assessment[],MATCH('Rekomendasi HAV'!$B440,Data_Assessment[[NAME]:[NAME]],0),MATCH('Rekomendasi HAV'!E$1,Data_Assessment[#Headers],0))</f>
        <v>0</v>
      </c>
      <c r="F440" s="68"/>
      <c r="G440" s="68">
        <f>IF(ISNUMBER(SEARCH("DEV",Assessment[[#This Row],[JOB TARGET]])),SUBSTITUTE(Assessment[[#This Row],[JOB TARGET]],"DEV","EST"),Assessment[[#This Row],[JOB TARGET]])</f>
        <v>0</v>
      </c>
      <c r="H440" s="146" t="str" cm="1">
        <f t="array" aca="1" ref="H440" ca="1">IF(Assessment[[#This Row],[JOB TARGET]]="","Job Target Kosong",IF(COUNT(IF('Data Assessment'!$N440:$Z440-OFFSET(Standar!$B$2,MATCH(Assessment[[#This Row],[JOB TARGET
(EST)]],Standar[NAMA JABATAN],0)-1,1,1,13)&lt;0,1,""))&lt;=3,'9 Grid'!$B$4,IF(COUNT(IF('Data Assessment'!$N440:$Z440-OFFSET(Standar!$B$2,MATCH(Assessment[[#This Row],[JOB TARGET]],Standar[NAMA JABATAN],0)-1,1,1,13)&lt;0,1,""))&gt;=7,'9 Grid'!$B$6,'9 Grid'!$B$5)))</f>
        <v>Job Target Kosong</v>
      </c>
      <c r="I440" s="146" t="str">
        <f>IFERROR(IF(Data_Assessment[[#This Row],[IPP (3 YEARS AVERAGE)]]="","(IPP Belum Ada)",IF(Data_Assessment[[#This Row],[IPP (3 YEARS AVERAGE)]]&lt;2,'9 Grid'!$F$2,IF(Data_Assessment[[#This Row],[IPP (3 YEARS AVERAGE)]]&gt;=4,'9 Grid'!$D$2,'9 Grid'!$E$2))),"")</f>
        <v>Exceptional Performance</v>
      </c>
      <c r="J440" s="146" t="str">
        <f ca="1">IFERROR(INDEX('9 Grid'!$D$4:$F$6,MATCH('Rekomendasi HAV'!H440,'9 Grid'!$B$4:$B$6,0),MATCH('Rekomendasi HAV'!I440,'9 Grid'!$D$2:$F$2,0)),"")</f>
        <v/>
      </c>
      <c r="K440" s="146" t="str">
        <f>IFERROR(INDEX('9 Grid'!$D$8:$F$8,1,MATCH('Rekomendasi HAV'!I440,'9 Grid'!$D$2:$F$2,0)),"")</f>
        <v>(I) Immediately</v>
      </c>
      <c r="L440" s="146">
        <f>IF(ISNUMBER(SEARCH("EST",Assessment[[#This Row],[JOB TARGET]])),SUBSTITUTE(Assessment[[#This Row],[JOB TARGET]],"EST","DEV"),Assessment[[#This Row],[JOB TARGET]])</f>
        <v>0</v>
      </c>
      <c r="M440" s="146" t="str" cm="1">
        <f t="array" aca="1" ref="M440" ca="1">IF(Assessment[[#This Row],[JOB TARGET]]="","Job Target Kosong",IF(COUNT(IF('Data Assessment'!$N440:$Z440-OFFSET(Standar!$B$2,MATCH(Assessment[[#This Row],[JOB TARGET
(DEV)]],Standar[NAMA JABATAN],0)-1,1,1,13)&lt;0,1,""))&lt;=3,'9 Grid'!$B$4,IF(COUNT(IF('Data Assessment'!$N440:$Z440-OFFSET(Standar!$B$2,MATCH(Assessment[[#This Row],[JOB TARGET
(DEV)]],Standar[NAMA JABATAN],0)-1,1,1,13)&lt;0,1,""))&gt;=7,'9 Grid'!$B$6,'9 Grid'!$B$5)))</f>
        <v>Job Target Kosong</v>
      </c>
      <c r="N440" s="146" t="str">
        <f>IFERROR(IF(Data_Assessment[[#This Row],[IPP (3 YEARS AVERAGE)]]="","(IPP Belum Ada)",IF(Data_Assessment[[#This Row],[IPP (3 YEARS AVERAGE)]]&lt;2,'9 Grid'!$F$2,IF(Data_Assessment[[#This Row],[IPP (3 YEARS AVERAGE)]]&gt;=4,'9 Grid'!$D$2,'9 Grid'!$E$2))),"")</f>
        <v>Exceptional Performance</v>
      </c>
      <c r="O440" s="146" t="str">
        <f ca="1">IFERROR(INDEX('9 Grid'!$D$4:$F$6,MATCH('Rekomendasi HAV'!M440,'9 Grid'!$B$4:$B$6,0),MATCH('Rekomendasi HAV'!N440,'9 Grid'!$D$2:$F$2,0)),"")</f>
        <v/>
      </c>
      <c r="P440" s="147" t="str">
        <f>IFERROR(INDEX('9 Grid'!$D$8:$F$8,1,MATCH('Rekomendasi HAV'!N440,'9 Grid'!$D$2:$F$2,0)),"")</f>
        <v>(I) Immediately</v>
      </c>
    </row>
    <row r="441" spans="1:16" ht="28.5">
      <c r="A441" s="67">
        <v>440</v>
      </c>
      <c r="B441" s="68" t="str">
        <f>INDEX(Data_Assessment[],MATCH('Rekomendasi HAV'!$A441,Data_Assessment[[INDEX]:[INDEX]],0),MATCH('Rekomendasi HAV'!B$1,Data_Assessment[#Headers],0))</f>
        <v>Suarina Tarigan, Ir.</v>
      </c>
      <c r="C441" s="68" t="str">
        <f>INDEX(Data_Assessment[],MATCH('Rekomendasi HAV'!$A441,Data_Assessment[[INDEX]:[INDEX]],0),MATCH('Rekomendasi HAV'!C$1,Data_Assessment[#Headers],0))</f>
        <v>Sumatera Utara</v>
      </c>
      <c r="D441" s="68" t="str">
        <f>INDEX(Data_Assessment[],MATCH('Rekomendasi HAV'!$A441,Data_Assessment[[INDEX]:[INDEX]],0),MATCH('Rekomendasi HAV'!D$1,Data_Assessment[#Headers],0))</f>
        <v>LSIP - Rambong Sialang Estate</v>
      </c>
      <c r="E441" s="68">
        <f>INDEX(Data_Assessment[],MATCH('Rekomendasi HAV'!$B441,Data_Assessment[[NAME]:[NAME]],0),MATCH('Rekomendasi HAV'!E$1,Data_Assessment[#Headers],0))</f>
        <v>0</v>
      </c>
      <c r="F441" s="68"/>
      <c r="G441" s="68">
        <f>IF(ISNUMBER(SEARCH("DEV",Assessment[[#This Row],[JOB TARGET]])),SUBSTITUTE(Assessment[[#This Row],[JOB TARGET]],"DEV","EST"),Assessment[[#This Row],[JOB TARGET]])</f>
        <v>0</v>
      </c>
      <c r="H441" s="146" t="str" cm="1">
        <f t="array" aca="1" ref="H441" ca="1">IF(Assessment[[#This Row],[JOB TARGET]]="","Job Target Kosong",IF(COUNT(IF('Data Assessment'!$N441:$Z441-OFFSET(Standar!$B$2,MATCH(Assessment[[#This Row],[JOB TARGET
(EST)]],Standar[NAMA JABATAN],0)-1,1,1,13)&lt;0,1,""))&lt;=3,'9 Grid'!$B$4,IF(COUNT(IF('Data Assessment'!$N441:$Z441-OFFSET(Standar!$B$2,MATCH(Assessment[[#This Row],[JOB TARGET]],Standar[NAMA JABATAN],0)-1,1,1,13)&lt;0,1,""))&gt;=7,'9 Grid'!$B$6,'9 Grid'!$B$5)))</f>
        <v>Job Target Kosong</v>
      </c>
      <c r="I441" s="146" t="str">
        <f>IFERROR(IF(Data_Assessment[[#This Row],[IPP (3 YEARS AVERAGE)]]="","(IPP Belum Ada)",IF(Data_Assessment[[#This Row],[IPP (3 YEARS AVERAGE)]]&lt;2,'9 Grid'!$F$2,IF(Data_Assessment[[#This Row],[IPP (3 YEARS AVERAGE)]]&gt;=4,'9 Grid'!$D$2,'9 Grid'!$E$2))),"")</f>
        <v>Fully Competence Performance</v>
      </c>
      <c r="J441" s="146" t="str">
        <f ca="1">IFERROR(INDEX('9 Grid'!$D$4:$F$6,MATCH('Rekomendasi HAV'!H441,'9 Grid'!$B$4:$B$6,0),MATCH('Rekomendasi HAV'!I441,'9 Grid'!$D$2:$F$2,0)),"")</f>
        <v/>
      </c>
      <c r="K441" s="146" t="str">
        <f>IFERROR(INDEX('9 Grid'!$D$8:$F$8,1,MATCH('Rekomendasi HAV'!I441,'9 Grid'!$D$2:$F$2,0)),"")</f>
        <v>(ST) Within 12 - 18 month</v>
      </c>
      <c r="L441" s="146">
        <f>IF(ISNUMBER(SEARCH("EST",Assessment[[#This Row],[JOB TARGET]])),SUBSTITUTE(Assessment[[#This Row],[JOB TARGET]],"EST","DEV"),Assessment[[#This Row],[JOB TARGET]])</f>
        <v>0</v>
      </c>
      <c r="M441" s="146" t="str" cm="1">
        <f t="array" aca="1" ref="M441" ca="1">IF(Assessment[[#This Row],[JOB TARGET]]="","Job Target Kosong",IF(COUNT(IF('Data Assessment'!$N441:$Z441-OFFSET(Standar!$B$2,MATCH(Assessment[[#This Row],[JOB TARGET
(DEV)]],Standar[NAMA JABATAN],0)-1,1,1,13)&lt;0,1,""))&lt;=3,'9 Grid'!$B$4,IF(COUNT(IF('Data Assessment'!$N441:$Z441-OFFSET(Standar!$B$2,MATCH(Assessment[[#This Row],[JOB TARGET
(DEV)]],Standar[NAMA JABATAN],0)-1,1,1,13)&lt;0,1,""))&gt;=7,'9 Grid'!$B$6,'9 Grid'!$B$5)))</f>
        <v>Job Target Kosong</v>
      </c>
      <c r="N441" s="146" t="str">
        <f>IFERROR(IF(Data_Assessment[[#This Row],[IPP (3 YEARS AVERAGE)]]="","(IPP Belum Ada)",IF(Data_Assessment[[#This Row],[IPP (3 YEARS AVERAGE)]]&lt;2,'9 Grid'!$F$2,IF(Data_Assessment[[#This Row],[IPP (3 YEARS AVERAGE)]]&gt;=4,'9 Grid'!$D$2,'9 Grid'!$E$2))),"")</f>
        <v>Fully Competence Performance</v>
      </c>
      <c r="O441" s="146" t="str">
        <f ca="1">IFERROR(INDEX('9 Grid'!$D$4:$F$6,MATCH('Rekomendasi HAV'!M441,'9 Grid'!$B$4:$B$6,0),MATCH('Rekomendasi HAV'!N441,'9 Grid'!$D$2:$F$2,0)),"")</f>
        <v/>
      </c>
      <c r="P441" s="147" t="str">
        <f>IFERROR(INDEX('9 Grid'!$D$8:$F$8,1,MATCH('Rekomendasi HAV'!N441,'9 Grid'!$D$2:$F$2,0)),"")</f>
        <v>(ST) Within 12 - 18 month</v>
      </c>
    </row>
    <row r="442" spans="1:16" ht="28.5">
      <c r="A442" s="67">
        <v>441</v>
      </c>
      <c r="B442" s="68" t="str">
        <f>INDEX(Data_Assessment[],MATCH('Rekomendasi HAV'!$A442,Data_Assessment[[INDEX]:[INDEX]],0),MATCH('Rekomendasi HAV'!B$1,Data_Assessment[#Headers],0))</f>
        <v>Bustami Saragih, Ir.</v>
      </c>
      <c r="C442" s="68" t="str">
        <f>INDEX(Data_Assessment[],MATCH('Rekomendasi HAV'!$A442,Data_Assessment[[INDEX]:[INDEX]],0),MATCH('Rekomendasi HAV'!C$1,Data_Assessment[#Headers],0))</f>
        <v>Sumatera Utara</v>
      </c>
      <c r="D442" s="68" t="str">
        <f>INDEX(Data_Assessment[],MATCH('Rekomendasi HAV'!$A442,Data_Assessment[[INDEX]:[INDEX]],0),MATCH('Rekomendasi HAV'!D$1,Data_Assessment[#Headers],0))</f>
        <v>LSIP - Rambong Sialang Estate</v>
      </c>
      <c r="E442" s="68">
        <f>INDEX(Data_Assessment[],MATCH('Rekomendasi HAV'!$B442,Data_Assessment[[NAME]:[NAME]],0),MATCH('Rekomendasi HAV'!E$1,Data_Assessment[#Headers],0))</f>
        <v>0</v>
      </c>
      <c r="F442" s="68"/>
      <c r="G442" s="68">
        <f>IF(ISNUMBER(SEARCH("DEV",Assessment[[#This Row],[JOB TARGET]])),SUBSTITUTE(Assessment[[#This Row],[JOB TARGET]],"DEV","EST"),Assessment[[#This Row],[JOB TARGET]])</f>
        <v>0</v>
      </c>
      <c r="H442" s="146" t="str" cm="1">
        <f t="array" aca="1" ref="H442" ca="1">IF(Assessment[[#This Row],[JOB TARGET]]="","Job Target Kosong",IF(COUNT(IF('Data Assessment'!$N442:$Z442-OFFSET(Standar!$B$2,MATCH(Assessment[[#This Row],[JOB TARGET
(EST)]],Standar[NAMA JABATAN],0)-1,1,1,13)&lt;0,1,""))&lt;=3,'9 Grid'!$B$4,IF(COUNT(IF('Data Assessment'!$N442:$Z442-OFFSET(Standar!$B$2,MATCH(Assessment[[#This Row],[JOB TARGET]],Standar[NAMA JABATAN],0)-1,1,1,13)&lt;0,1,""))&gt;=7,'9 Grid'!$B$6,'9 Grid'!$B$5)))</f>
        <v>Job Target Kosong</v>
      </c>
      <c r="I442" s="146" t="str">
        <f>IFERROR(IF(Data_Assessment[[#This Row],[IPP (3 YEARS AVERAGE)]]="","(IPP Belum Ada)",IF(Data_Assessment[[#This Row],[IPP (3 YEARS AVERAGE)]]&lt;2,'9 Grid'!$F$2,IF(Data_Assessment[[#This Row],[IPP (3 YEARS AVERAGE)]]&gt;=4,'9 Grid'!$D$2,'9 Grid'!$E$2))),"")</f>
        <v>Fully Competence Performance</v>
      </c>
      <c r="J442" s="146" t="str">
        <f ca="1">IFERROR(INDEX('9 Grid'!$D$4:$F$6,MATCH('Rekomendasi HAV'!H442,'9 Grid'!$B$4:$B$6,0),MATCH('Rekomendasi HAV'!I442,'9 Grid'!$D$2:$F$2,0)),"")</f>
        <v/>
      </c>
      <c r="K442" s="146" t="str">
        <f>IFERROR(INDEX('9 Grid'!$D$8:$F$8,1,MATCH('Rekomendasi HAV'!I442,'9 Grid'!$D$2:$F$2,0)),"")</f>
        <v>(ST) Within 12 - 18 month</v>
      </c>
      <c r="L442" s="146">
        <f>IF(ISNUMBER(SEARCH("EST",Assessment[[#This Row],[JOB TARGET]])),SUBSTITUTE(Assessment[[#This Row],[JOB TARGET]],"EST","DEV"),Assessment[[#This Row],[JOB TARGET]])</f>
        <v>0</v>
      </c>
      <c r="M442" s="146" t="str" cm="1">
        <f t="array" aca="1" ref="M442" ca="1">IF(Assessment[[#This Row],[JOB TARGET]]="","Job Target Kosong",IF(COUNT(IF('Data Assessment'!$N442:$Z442-OFFSET(Standar!$B$2,MATCH(Assessment[[#This Row],[JOB TARGET
(DEV)]],Standar[NAMA JABATAN],0)-1,1,1,13)&lt;0,1,""))&lt;=3,'9 Grid'!$B$4,IF(COUNT(IF('Data Assessment'!$N442:$Z442-OFFSET(Standar!$B$2,MATCH(Assessment[[#This Row],[JOB TARGET
(DEV)]],Standar[NAMA JABATAN],0)-1,1,1,13)&lt;0,1,""))&gt;=7,'9 Grid'!$B$6,'9 Grid'!$B$5)))</f>
        <v>Job Target Kosong</v>
      </c>
      <c r="N442" s="146" t="str">
        <f>IFERROR(IF(Data_Assessment[[#This Row],[IPP (3 YEARS AVERAGE)]]="","(IPP Belum Ada)",IF(Data_Assessment[[#This Row],[IPP (3 YEARS AVERAGE)]]&lt;2,'9 Grid'!$F$2,IF(Data_Assessment[[#This Row],[IPP (3 YEARS AVERAGE)]]&gt;=4,'9 Grid'!$D$2,'9 Grid'!$E$2))),"")</f>
        <v>Fully Competence Performance</v>
      </c>
      <c r="O442" s="146" t="str">
        <f ca="1">IFERROR(INDEX('9 Grid'!$D$4:$F$6,MATCH('Rekomendasi HAV'!M442,'9 Grid'!$B$4:$B$6,0),MATCH('Rekomendasi HAV'!N442,'9 Grid'!$D$2:$F$2,0)),"")</f>
        <v/>
      </c>
      <c r="P442" s="147" t="str">
        <f>IFERROR(INDEX('9 Grid'!$D$8:$F$8,1,MATCH('Rekomendasi HAV'!N442,'9 Grid'!$D$2:$F$2,0)),"")</f>
        <v>(ST) Within 12 - 18 month</v>
      </c>
    </row>
    <row r="443" spans="1:16" ht="14.25">
      <c r="A443" s="67">
        <v>442</v>
      </c>
      <c r="B443" s="68" t="str">
        <f>INDEX(Data_Assessment[],MATCH('Rekomendasi HAV'!$A443,Data_Assessment[[INDEX]:[INDEX]],0),MATCH('Rekomendasi HAV'!B$1,Data_Assessment[#Headers],0))</f>
        <v>Donni Iandes A. Siagian</v>
      </c>
      <c r="C443" s="68" t="str">
        <f>INDEX(Data_Assessment[],MATCH('Rekomendasi HAV'!$A443,Data_Assessment[[INDEX]:[INDEX]],0),MATCH('Rekomendasi HAV'!C$1,Data_Assessment[#Headers],0))</f>
        <v>Jakarta</v>
      </c>
      <c r="D443" s="68" t="str">
        <f>INDEX(Data_Assessment[],MATCH('Rekomendasi HAV'!$A443,Data_Assessment[[INDEX]:[INDEX]],0),MATCH('Rekomendasi HAV'!D$1,Data_Assessment[#Headers],0))</f>
        <v>LSIP - HO Jakarta</v>
      </c>
      <c r="E443" s="68">
        <f>INDEX(Data_Assessment[],MATCH('Rekomendasi HAV'!$B443,Data_Assessment[[NAME]:[NAME]],0),MATCH('Rekomendasi HAV'!E$1,Data_Assessment[#Headers],0))</f>
        <v>0</v>
      </c>
      <c r="F443" s="68"/>
      <c r="G443" s="68">
        <f>IF(ISNUMBER(SEARCH("DEV",Assessment[[#This Row],[JOB TARGET]])),SUBSTITUTE(Assessment[[#This Row],[JOB TARGET]],"DEV","EST"),Assessment[[#This Row],[JOB TARGET]])</f>
        <v>0</v>
      </c>
      <c r="H443" s="146" t="str" cm="1">
        <f t="array" aca="1" ref="H443" ca="1">IF(Assessment[[#This Row],[JOB TARGET]]="","Job Target Kosong",IF(COUNT(IF('Data Assessment'!$N443:$Z443-OFFSET(Standar!$B$2,MATCH(Assessment[[#This Row],[JOB TARGET
(EST)]],Standar[NAMA JABATAN],0)-1,1,1,13)&lt;0,1,""))&lt;=3,'9 Grid'!$B$4,IF(COUNT(IF('Data Assessment'!$N443:$Z443-OFFSET(Standar!$B$2,MATCH(Assessment[[#This Row],[JOB TARGET]],Standar[NAMA JABATAN],0)-1,1,1,13)&lt;0,1,""))&gt;=7,'9 Grid'!$B$6,'9 Grid'!$B$5)))</f>
        <v>Job Target Kosong</v>
      </c>
      <c r="I443" s="146" t="str">
        <f>IFERROR(IF(Data_Assessment[[#This Row],[IPP (3 YEARS AVERAGE)]]="","(IPP Belum Ada)",IF(Data_Assessment[[#This Row],[IPP (3 YEARS AVERAGE)]]&lt;2,'9 Grid'!$F$2,IF(Data_Assessment[[#This Row],[IPP (3 YEARS AVERAGE)]]&gt;=4,'9 Grid'!$D$2,'9 Grid'!$E$2))),"")</f>
        <v>Exceptional Performance</v>
      </c>
      <c r="J443" s="146" t="str">
        <f ca="1">IFERROR(INDEX('9 Grid'!$D$4:$F$6,MATCH('Rekomendasi HAV'!H443,'9 Grid'!$B$4:$B$6,0),MATCH('Rekomendasi HAV'!I443,'9 Grid'!$D$2:$F$2,0)),"")</f>
        <v/>
      </c>
      <c r="K443" s="146" t="str">
        <f>IFERROR(INDEX('9 Grid'!$D$8:$F$8,1,MATCH('Rekomendasi HAV'!I443,'9 Grid'!$D$2:$F$2,0)),"")</f>
        <v>(I) Immediately</v>
      </c>
      <c r="L443" s="146">
        <f>IF(ISNUMBER(SEARCH("EST",Assessment[[#This Row],[JOB TARGET]])),SUBSTITUTE(Assessment[[#This Row],[JOB TARGET]],"EST","DEV"),Assessment[[#This Row],[JOB TARGET]])</f>
        <v>0</v>
      </c>
      <c r="M443" s="146" t="str" cm="1">
        <f t="array" aca="1" ref="M443" ca="1">IF(Assessment[[#This Row],[JOB TARGET]]="","Job Target Kosong",IF(COUNT(IF('Data Assessment'!$N443:$Z443-OFFSET(Standar!$B$2,MATCH(Assessment[[#This Row],[JOB TARGET
(DEV)]],Standar[NAMA JABATAN],0)-1,1,1,13)&lt;0,1,""))&lt;=3,'9 Grid'!$B$4,IF(COUNT(IF('Data Assessment'!$N443:$Z443-OFFSET(Standar!$B$2,MATCH(Assessment[[#This Row],[JOB TARGET
(DEV)]],Standar[NAMA JABATAN],0)-1,1,1,13)&lt;0,1,""))&gt;=7,'9 Grid'!$B$6,'9 Grid'!$B$5)))</f>
        <v>Job Target Kosong</v>
      </c>
      <c r="N443" s="146" t="str">
        <f>IFERROR(IF(Data_Assessment[[#This Row],[IPP (3 YEARS AVERAGE)]]="","(IPP Belum Ada)",IF(Data_Assessment[[#This Row],[IPP (3 YEARS AVERAGE)]]&lt;2,'9 Grid'!$F$2,IF(Data_Assessment[[#This Row],[IPP (3 YEARS AVERAGE)]]&gt;=4,'9 Grid'!$D$2,'9 Grid'!$E$2))),"")</f>
        <v>Exceptional Performance</v>
      </c>
      <c r="O443" s="146" t="str">
        <f ca="1">IFERROR(INDEX('9 Grid'!$D$4:$F$6,MATCH('Rekomendasi HAV'!M443,'9 Grid'!$B$4:$B$6,0),MATCH('Rekomendasi HAV'!N443,'9 Grid'!$D$2:$F$2,0)),"")</f>
        <v/>
      </c>
      <c r="P443" s="147" t="str">
        <f>IFERROR(INDEX('9 Grid'!$D$8:$F$8,1,MATCH('Rekomendasi HAV'!N443,'9 Grid'!$D$2:$F$2,0)),"")</f>
        <v>(I) Immediately</v>
      </c>
    </row>
    <row r="444" spans="1:16" ht="28.5">
      <c r="A444" s="67">
        <v>443</v>
      </c>
      <c r="B444" s="68" t="str">
        <f>INDEX(Data_Assessment[],MATCH('Rekomendasi HAV'!$A444,Data_Assessment[[INDEX]:[INDEX]],0),MATCH('Rekomendasi HAV'!B$1,Data_Assessment[#Headers],0))</f>
        <v>Januariska, SP</v>
      </c>
      <c r="C444" s="68" t="str">
        <f>INDEX(Data_Assessment[],MATCH('Rekomendasi HAV'!$A444,Data_Assessment[[INDEX]:[INDEX]],0),MATCH('Rekomendasi HAV'!C$1,Data_Assessment[#Headers],0))</f>
        <v>Sumatera Utara</v>
      </c>
      <c r="D444" s="68" t="str">
        <f>INDEX(Data_Assessment[],MATCH('Rekomendasi HAV'!$A444,Data_Assessment[[INDEX]:[INDEX]],0),MATCH('Rekomendasi HAV'!D$1,Data_Assessment[#Headers],0))</f>
        <v>LSIP - Rambong Sialang Estate</v>
      </c>
      <c r="E444" s="68">
        <f>INDEX(Data_Assessment[],MATCH('Rekomendasi HAV'!$B444,Data_Assessment[[NAME]:[NAME]],0),MATCH('Rekomendasi HAV'!E$1,Data_Assessment[#Headers],0))</f>
        <v>0</v>
      </c>
      <c r="F444" s="68"/>
      <c r="G444" s="68">
        <f>IF(ISNUMBER(SEARCH("DEV",Assessment[[#This Row],[JOB TARGET]])),SUBSTITUTE(Assessment[[#This Row],[JOB TARGET]],"DEV","EST"),Assessment[[#This Row],[JOB TARGET]])</f>
        <v>0</v>
      </c>
      <c r="H444" s="146" t="str" cm="1">
        <f t="array" aca="1" ref="H444" ca="1">IF(Assessment[[#This Row],[JOB TARGET]]="","Job Target Kosong",IF(COUNT(IF('Data Assessment'!$N444:$Z444-OFFSET(Standar!$B$2,MATCH(Assessment[[#This Row],[JOB TARGET
(EST)]],Standar[NAMA JABATAN],0)-1,1,1,13)&lt;0,1,""))&lt;=3,'9 Grid'!$B$4,IF(COUNT(IF('Data Assessment'!$N444:$Z444-OFFSET(Standar!$B$2,MATCH(Assessment[[#This Row],[JOB TARGET]],Standar[NAMA JABATAN],0)-1,1,1,13)&lt;0,1,""))&gt;=7,'9 Grid'!$B$6,'9 Grid'!$B$5)))</f>
        <v>Job Target Kosong</v>
      </c>
      <c r="I444" s="146" t="str">
        <f>IFERROR(IF(Data_Assessment[[#This Row],[IPP (3 YEARS AVERAGE)]]="","(IPP Belum Ada)",IF(Data_Assessment[[#This Row],[IPP (3 YEARS AVERAGE)]]&lt;2,'9 Grid'!$F$2,IF(Data_Assessment[[#This Row],[IPP (3 YEARS AVERAGE)]]&gt;=4,'9 Grid'!$D$2,'9 Grid'!$E$2))),"")</f>
        <v>Fully Competence Performance</v>
      </c>
      <c r="J444" s="146" t="str">
        <f ca="1">IFERROR(INDEX('9 Grid'!$D$4:$F$6,MATCH('Rekomendasi HAV'!H444,'9 Grid'!$B$4:$B$6,0),MATCH('Rekomendasi HAV'!I444,'9 Grid'!$D$2:$F$2,0)),"")</f>
        <v/>
      </c>
      <c r="K444" s="146" t="str">
        <f>IFERROR(INDEX('9 Grid'!$D$8:$F$8,1,MATCH('Rekomendasi HAV'!I444,'9 Grid'!$D$2:$F$2,0)),"")</f>
        <v>(ST) Within 12 - 18 month</v>
      </c>
      <c r="L444" s="146">
        <f>IF(ISNUMBER(SEARCH("EST",Assessment[[#This Row],[JOB TARGET]])),SUBSTITUTE(Assessment[[#This Row],[JOB TARGET]],"EST","DEV"),Assessment[[#This Row],[JOB TARGET]])</f>
        <v>0</v>
      </c>
      <c r="M444" s="146" t="str" cm="1">
        <f t="array" aca="1" ref="M444" ca="1">IF(Assessment[[#This Row],[JOB TARGET]]="","Job Target Kosong",IF(COUNT(IF('Data Assessment'!$N444:$Z444-OFFSET(Standar!$B$2,MATCH(Assessment[[#This Row],[JOB TARGET
(DEV)]],Standar[NAMA JABATAN],0)-1,1,1,13)&lt;0,1,""))&lt;=3,'9 Grid'!$B$4,IF(COUNT(IF('Data Assessment'!$N444:$Z444-OFFSET(Standar!$B$2,MATCH(Assessment[[#This Row],[JOB TARGET
(DEV)]],Standar[NAMA JABATAN],0)-1,1,1,13)&lt;0,1,""))&gt;=7,'9 Grid'!$B$6,'9 Grid'!$B$5)))</f>
        <v>Job Target Kosong</v>
      </c>
      <c r="N444" s="146" t="str">
        <f>IFERROR(IF(Data_Assessment[[#This Row],[IPP (3 YEARS AVERAGE)]]="","(IPP Belum Ada)",IF(Data_Assessment[[#This Row],[IPP (3 YEARS AVERAGE)]]&lt;2,'9 Grid'!$F$2,IF(Data_Assessment[[#This Row],[IPP (3 YEARS AVERAGE)]]&gt;=4,'9 Grid'!$D$2,'9 Grid'!$E$2))),"")</f>
        <v>Fully Competence Performance</v>
      </c>
      <c r="O444" s="146" t="str">
        <f ca="1">IFERROR(INDEX('9 Grid'!$D$4:$F$6,MATCH('Rekomendasi HAV'!M444,'9 Grid'!$B$4:$B$6,0),MATCH('Rekomendasi HAV'!N444,'9 Grid'!$D$2:$F$2,0)),"")</f>
        <v/>
      </c>
      <c r="P444" s="147" t="str">
        <f>IFERROR(INDEX('9 Grid'!$D$8:$F$8,1,MATCH('Rekomendasi HAV'!N444,'9 Grid'!$D$2:$F$2,0)),"")</f>
        <v>(ST) Within 12 - 18 month</v>
      </c>
    </row>
    <row r="445" spans="1:16" ht="28.5">
      <c r="A445" s="67">
        <v>444</v>
      </c>
      <c r="B445" s="68" t="str">
        <f>INDEX(Data_Assessment[],MATCH('Rekomendasi HAV'!$A445,Data_Assessment[[INDEX]:[INDEX]],0),MATCH('Rekomendasi HAV'!B$1,Data_Assessment[#Headers],0))</f>
        <v>Bayu Setiawan</v>
      </c>
      <c r="C445" s="68" t="str">
        <f>INDEX(Data_Assessment[],MATCH('Rekomendasi HAV'!$A445,Data_Assessment[[INDEX]:[INDEX]],0),MATCH('Rekomendasi HAV'!C$1,Data_Assessment[#Headers],0))</f>
        <v>Jakarta</v>
      </c>
      <c r="D445" s="68" t="str">
        <f>INDEX(Data_Assessment[],MATCH('Rekomendasi HAV'!$A445,Data_Assessment[[INDEX]:[INDEX]],0),MATCH('Rekomendasi HAV'!D$1,Data_Assessment[#Headers],0))</f>
        <v>LSIP - HO Jakarta</v>
      </c>
      <c r="E445" s="68">
        <f>INDEX(Data_Assessment[],MATCH('Rekomendasi HAV'!$B445,Data_Assessment[[NAME]:[NAME]],0),MATCH('Rekomendasi HAV'!E$1,Data_Assessment[#Headers],0))</f>
        <v>0</v>
      </c>
      <c r="F445" s="68"/>
      <c r="G445" s="68">
        <f>IF(ISNUMBER(SEARCH("DEV",Assessment[[#This Row],[JOB TARGET]])),SUBSTITUTE(Assessment[[#This Row],[JOB TARGET]],"DEV","EST"),Assessment[[#This Row],[JOB TARGET]])</f>
        <v>0</v>
      </c>
      <c r="H445" s="146" t="str" cm="1">
        <f t="array" aca="1" ref="H445" ca="1">IF(Assessment[[#This Row],[JOB TARGET]]="","Job Target Kosong",IF(COUNT(IF('Data Assessment'!$N445:$Z445-OFFSET(Standar!$B$2,MATCH(Assessment[[#This Row],[JOB TARGET
(EST)]],Standar[NAMA JABATAN],0)-1,1,1,13)&lt;0,1,""))&lt;=3,'9 Grid'!$B$4,IF(COUNT(IF('Data Assessment'!$N445:$Z445-OFFSET(Standar!$B$2,MATCH(Assessment[[#This Row],[JOB TARGET]],Standar[NAMA JABATAN],0)-1,1,1,13)&lt;0,1,""))&gt;=7,'9 Grid'!$B$6,'9 Grid'!$B$5)))</f>
        <v>Job Target Kosong</v>
      </c>
      <c r="I445" s="146" t="str">
        <f>IFERROR(IF(Data_Assessment[[#This Row],[IPP (3 YEARS AVERAGE)]]="","(IPP Belum Ada)",IF(Data_Assessment[[#This Row],[IPP (3 YEARS AVERAGE)]]&lt;2,'9 Grid'!$F$2,IF(Data_Assessment[[#This Row],[IPP (3 YEARS AVERAGE)]]&gt;=4,'9 Grid'!$D$2,'9 Grid'!$E$2))),"")</f>
        <v>Fully Competence Performance</v>
      </c>
      <c r="J445" s="146" t="str">
        <f ca="1">IFERROR(INDEX('9 Grid'!$D$4:$F$6,MATCH('Rekomendasi HAV'!H445,'9 Grid'!$B$4:$B$6,0),MATCH('Rekomendasi HAV'!I445,'9 Grid'!$D$2:$F$2,0)),"")</f>
        <v/>
      </c>
      <c r="K445" s="146" t="str">
        <f>IFERROR(INDEX('9 Grid'!$D$8:$F$8,1,MATCH('Rekomendasi HAV'!I445,'9 Grid'!$D$2:$F$2,0)),"")</f>
        <v>(ST) Within 12 - 18 month</v>
      </c>
      <c r="L445" s="146">
        <f>IF(ISNUMBER(SEARCH("EST",Assessment[[#This Row],[JOB TARGET]])),SUBSTITUTE(Assessment[[#This Row],[JOB TARGET]],"EST","DEV"),Assessment[[#This Row],[JOB TARGET]])</f>
        <v>0</v>
      </c>
      <c r="M445" s="146" t="str" cm="1">
        <f t="array" aca="1" ref="M445" ca="1">IF(Assessment[[#This Row],[JOB TARGET]]="","Job Target Kosong",IF(COUNT(IF('Data Assessment'!$N445:$Z445-OFFSET(Standar!$B$2,MATCH(Assessment[[#This Row],[JOB TARGET
(DEV)]],Standar[NAMA JABATAN],0)-1,1,1,13)&lt;0,1,""))&lt;=3,'9 Grid'!$B$4,IF(COUNT(IF('Data Assessment'!$N445:$Z445-OFFSET(Standar!$B$2,MATCH(Assessment[[#This Row],[JOB TARGET
(DEV)]],Standar[NAMA JABATAN],0)-1,1,1,13)&lt;0,1,""))&gt;=7,'9 Grid'!$B$6,'9 Grid'!$B$5)))</f>
        <v>Job Target Kosong</v>
      </c>
      <c r="N445" s="146" t="str">
        <f>IFERROR(IF(Data_Assessment[[#This Row],[IPP (3 YEARS AVERAGE)]]="","(IPP Belum Ada)",IF(Data_Assessment[[#This Row],[IPP (3 YEARS AVERAGE)]]&lt;2,'9 Grid'!$F$2,IF(Data_Assessment[[#This Row],[IPP (3 YEARS AVERAGE)]]&gt;=4,'9 Grid'!$D$2,'9 Grid'!$E$2))),"")</f>
        <v>Fully Competence Performance</v>
      </c>
      <c r="O445" s="146" t="str">
        <f ca="1">IFERROR(INDEX('9 Grid'!$D$4:$F$6,MATCH('Rekomendasi HAV'!M445,'9 Grid'!$B$4:$B$6,0),MATCH('Rekomendasi HAV'!N445,'9 Grid'!$D$2:$F$2,0)),"")</f>
        <v/>
      </c>
      <c r="P445" s="147" t="str">
        <f>IFERROR(INDEX('9 Grid'!$D$8:$F$8,1,MATCH('Rekomendasi HAV'!N445,'9 Grid'!$D$2:$F$2,0)),"")</f>
        <v>(ST) Within 12 - 18 month</v>
      </c>
    </row>
    <row r="446" spans="1:16" ht="28.5">
      <c r="A446" s="67">
        <v>445</v>
      </c>
      <c r="B446" s="68" t="str">
        <f>INDEX(Data_Assessment[],MATCH('Rekomendasi HAV'!$A446,Data_Assessment[[INDEX]:[INDEX]],0),MATCH('Rekomendasi HAV'!B$1,Data_Assessment[#Headers],0))</f>
        <v>Muliono</v>
      </c>
      <c r="C446" s="68" t="str">
        <f>INDEX(Data_Assessment[],MATCH('Rekomendasi HAV'!$A446,Data_Assessment[[INDEX]:[INDEX]],0),MATCH('Rekomendasi HAV'!C$1,Data_Assessment[#Headers],0))</f>
        <v>Sumatera Utara</v>
      </c>
      <c r="D446" s="68" t="str">
        <f>INDEX(Data_Assessment[],MATCH('Rekomendasi HAV'!$A446,Data_Assessment[[INDEX]:[INDEX]],0),MATCH('Rekomendasi HAV'!D$1,Data_Assessment[#Headers],0))</f>
        <v>LSIP - Rambong Sialang Estate</v>
      </c>
      <c r="E446" s="68">
        <f>INDEX(Data_Assessment[],MATCH('Rekomendasi HAV'!$B446,Data_Assessment[[NAME]:[NAME]],0),MATCH('Rekomendasi HAV'!E$1,Data_Assessment[#Headers],0))</f>
        <v>0</v>
      </c>
      <c r="F446" s="68"/>
      <c r="G446" s="68">
        <f>IF(ISNUMBER(SEARCH("DEV",Assessment[[#This Row],[JOB TARGET]])),SUBSTITUTE(Assessment[[#This Row],[JOB TARGET]],"DEV","EST"),Assessment[[#This Row],[JOB TARGET]])</f>
        <v>0</v>
      </c>
      <c r="H446" s="146" t="str" cm="1">
        <f t="array" aca="1" ref="H446" ca="1">IF(Assessment[[#This Row],[JOB TARGET]]="","Job Target Kosong",IF(COUNT(IF('Data Assessment'!$N446:$Z446-OFFSET(Standar!$B$2,MATCH(Assessment[[#This Row],[JOB TARGET
(EST)]],Standar[NAMA JABATAN],0)-1,1,1,13)&lt;0,1,""))&lt;=3,'9 Grid'!$B$4,IF(COUNT(IF('Data Assessment'!$N446:$Z446-OFFSET(Standar!$B$2,MATCH(Assessment[[#This Row],[JOB TARGET]],Standar[NAMA JABATAN],0)-1,1,1,13)&lt;0,1,""))&gt;=7,'9 Grid'!$B$6,'9 Grid'!$B$5)))</f>
        <v>Job Target Kosong</v>
      </c>
      <c r="I446" s="146" t="str">
        <f>IFERROR(IF(Data_Assessment[[#This Row],[IPP (3 YEARS AVERAGE)]]="","(IPP Belum Ada)",IF(Data_Assessment[[#This Row],[IPP (3 YEARS AVERAGE)]]&lt;2,'9 Grid'!$F$2,IF(Data_Assessment[[#This Row],[IPP (3 YEARS AVERAGE)]]&gt;=4,'9 Grid'!$D$2,'9 Grid'!$E$2))),"")</f>
        <v>Fully Competence Performance</v>
      </c>
      <c r="J446" s="146" t="str">
        <f ca="1">IFERROR(INDEX('9 Grid'!$D$4:$F$6,MATCH('Rekomendasi HAV'!H446,'9 Grid'!$B$4:$B$6,0),MATCH('Rekomendasi HAV'!I446,'9 Grid'!$D$2:$F$2,0)),"")</f>
        <v/>
      </c>
      <c r="K446" s="146" t="str">
        <f>IFERROR(INDEX('9 Grid'!$D$8:$F$8,1,MATCH('Rekomendasi HAV'!I446,'9 Grid'!$D$2:$F$2,0)),"")</f>
        <v>(ST) Within 12 - 18 month</v>
      </c>
      <c r="L446" s="146">
        <f>IF(ISNUMBER(SEARCH("EST",Assessment[[#This Row],[JOB TARGET]])),SUBSTITUTE(Assessment[[#This Row],[JOB TARGET]],"EST","DEV"),Assessment[[#This Row],[JOB TARGET]])</f>
        <v>0</v>
      </c>
      <c r="M446" s="146" t="str" cm="1">
        <f t="array" aca="1" ref="M446" ca="1">IF(Assessment[[#This Row],[JOB TARGET]]="","Job Target Kosong",IF(COUNT(IF('Data Assessment'!$N446:$Z446-OFFSET(Standar!$B$2,MATCH(Assessment[[#This Row],[JOB TARGET
(DEV)]],Standar[NAMA JABATAN],0)-1,1,1,13)&lt;0,1,""))&lt;=3,'9 Grid'!$B$4,IF(COUNT(IF('Data Assessment'!$N446:$Z446-OFFSET(Standar!$B$2,MATCH(Assessment[[#This Row],[JOB TARGET
(DEV)]],Standar[NAMA JABATAN],0)-1,1,1,13)&lt;0,1,""))&gt;=7,'9 Grid'!$B$6,'9 Grid'!$B$5)))</f>
        <v>Job Target Kosong</v>
      </c>
      <c r="N446" s="146" t="str">
        <f>IFERROR(IF(Data_Assessment[[#This Row],[IPP (3 YEARS AVERAGE)]]="","(IPP Belum Ada)",IF(Data_Assessment[[#This Row],[IPP (3 YEARS AVERAGE)]]&lt;2,'9 Grid'!$F$2,IF(Data_Assessment[[#This Row],[IPP (3 YEARS AVERAGE)]]&gt;=4,'9 Grid'!$D$2,'9 Grid'!$E$2))),"")</f>
        <v>Fully Competence Performance</v>
      </c>
      <c r="O446" s="146" t="str">
        <f ca="1">IFERROR(INDEX('9 Grid'!$D$4:$F$6,MATCH('Rekomendasi HAV'!M446,'9 Grid'!$B$4:$B$6,0),MATCH('Rekomendasi HAV'!N446,'9 Grid'!$D$2:$F$2,0)),"")</f>
        <v/>
      </c>
      <c r="P446" s="147" t="str">
        <f>IFERROR(INDEX('9 Grid'!$D$8:$F$8,1,MATCH('Rekomendasi HAV'!N446,'9 Grid'!$D$2:$F$2,0)),"")</f>
        <v>(ST) Within 12 - 18 month</v>
      </c>
    </row>
    <row r="447" spans="1:16" ht="14.25">
      <c r="A447" s="67">
        <v>446</v>
      </c>
      <c r="B447" s="68" t="str">
        <f>INDEX(Data_Assessment[],MATCH('Rekomendasi HAV'!$A447,Data_Assessment[[INDEX]:[INDEX]],0),MATCH('Rekomendasi HAV'!B$1,Data_Assessment[#Headers],0))</f>
        <v>Nandra Nettra</v>
      </c>
      <c r="C447" s="68" t="str">
        <f>INDEX(Data_Assessment[],MATCH('Rekomendasi HAV'!$A447,Data_Assessment[[INDEX]:[INDEX]],0),MATCH('Rekomendasi HAV'!C$1,Data_Assessment[#Headers],0))</f>
        <v>Jakarta</v>
      </c>
      <c r="D447" s="68" t="str">
        <f>INDEX(Data_Assessment[],MATCH('Rekomendasi HAV'!$A447,Data_Assessment[[INDEX]:[INDEX]],0),MATCH('Rekomendasi HAV'!D$1,Data_Assessment[#Headers],0))</f>
        <v>LSIP - HO Jakarta</v>
      </c>
      <c r="E447" s="68">
        <f>INDEX(Data_Assessment[],MATCH('Rekomendasi HAV'!$B447,Data_Assessment[[NAME]:[NAME]],0),MATCH('Rekomendasi HAV'!E$1,Data_Assessment[#Headers],0))</f>
        <v>0</v>
      </c>
      <c r="F447" s="68"/>
      <c r="G447" s="68">
        <f>IF(ISNUMBER(SEARCH("DEV",Assessment[[#This Row],[JOB TARGET]])),SUBSTITUTE(Assessment[[#This Row],[JOB TARGET]],"DEV","EST"),Assessment[[#This Row],[JOB TARGET]])</f>
        <v>0</v>
      </c>
      <c r="H447" s="146" t="str" cm="1">
        <f t="array" aca="1" ref="H447" ca="1">IF(Assessment[[#This Row],[JOB TARGET]]="","Job Target Kosong",IF(COUNT(IF('Data Assessment'!$N447:$Z447-OFFSET(Standar!$B$2,MATCH(Assessment[[#This Row],[JOB TARGET
(EST)]],Standar[NAMA JABATAN],0)-1,1,1,13)&lt;0,1,""))&lt;=3,'9 Grid'!$B$4,IF(COUNT(IF('Data Assessment'!$N447:$Z447-OFFSET(Standar!$B$2,MATCH(Assessment[[#This Row],[JOB TARGET]],Standar[NAMA JABATAN],0)-1,1,1,13)&lt;0,1,""))&gt;=7,'9 Grid'!$B$6,'9 Grid'!$B$5)))</f>
        <v>Job Target Kosong</v>
      </c>
      <c r="I447" s="146" t="str">
        <f>IFERROR(IF(Data_Assessment[[#This Row],[IPP (3 YEARS AVERAGE)]]="","(IPP Belum Ada)",IF(Data_Assessment[[#This Row],[IPP (3 YEARS AVERAGE)]]&lt;2,'9 Grid'!$F$2,IF(Data_Assessment[[#This Row],[IPP (3 YEARS AVERAGE)]]&gt;=4,'9 Grid'!$D$2,'9 Grid'!$E$2))),"")</f>
        <v>Exceptional Performance</v>
      </c>
      <c r="J447" s="146" t="str">
        <f ca="1">IFERROR(INDEX('9 Grid'!$D$4:$F$6,MATCH('Rekomendasi HAV'!H447,'9 Grid'!$B$4:$B$6,0),MATCH('Rekomendasi HAV'!I447,'9 Grid'!$D$2:$F$2,0)),"")</f>
        <v/>
      </c>
      <c r="K447" s="146" t="str">
        <f>IFERROR(INDEX('9 Grid'!$D$8:$F$8,1,MATCH('Rekomendasi HAV'!I447,'9 Grid'!$D$2:$F$2,0)),"")</f>
        <v>(I) Immediately</v>
      </c>
      <c r="L447" s="146">
        <f>IF(ISNUMBER(SEARCH("EST",Assessment[[#This Row],[JOB TARGET]])),SUBSTITUTE(Assessment[[#This Row],[JOB TARGET]],"EST","DEV"),Assessment[[#This Row],[JOB TARGET]])</f>
        <v>0</v>
      </c>
      <c r="M447" s="146" t="str" cm="1">
        <f t="array" aca="1" ref="M447" ca="1">IF(Assessment[[#This Row],[JOB TARGET]]="","Job Target Kosong",IF(COUNT(IF('Data Assessment'!$N447:$Z447-OFFSET(Standar!$B$2,MATCH(Assessment[[#This Row],[JOB TARGET
(DEV)]],Standar[NAMA JABATAN],0)-1,1,1,13)&lt;0,1,""))&lt;=3,'9 Grid'!$B$4,IF(COUNT(IF('Data Assessment'!$N447:$Z447-OFFSET(Standar!$B$2,MATCH(Assessment[[#This Row],[JOB TARGET
(DEV)]],Standar[NAMA JABATAN],0)-1,1,1,13)&lt;0,1,""))&gt;=7,'9 Grid'!$B$6,'9 Grid'!$B$5)))</f>
        <v>Job Target Kosong</v>
      </c>
      <c r="N447" s="146" t="str">
        <f>IFERROR(IF(Data_Assessment[[#This Row],[IPP (3 YEARS AVERAGE)]]="","(IPP Belum Ada)",IF(Data_Assessment[[#This Row],[IPP (3 YEARS AVERAGE)]]&lt;2,'9 Grid'!$F$2,IF(Data_Assessment[[#This Row],[IPP (3 YEARS AVERAGE)]]&gt;=4,'9 Grid'!$D$2,'9 Grid'!$E$2))),"")</f>
        <v>Exceptional Performance</v>
      </c>
      <c r="O447" s="146" t="str">
        <f ca="1">IFERROR(INDEX('9 Grid'!$D$4:$F$6,MATCH('Rekomendasi HAV'!M447,'9 Grid'!$B$4:$B$6,0),MATCH('Rekomendasi HAV'!N447,'9 Grid'!$D$2:$F$2,0)),"")</f>
        <v/>
      </c>
      <c r="P447" s="147" t="str">
        <f>IFERROR(INDEX('9 Grid'!$D$8:$F$8,1,MATCH('Rekomendasi HAV'!N447,'9 Grid'!$D$2:$F$2,0)),"")</f>
        <v>(I) Immediately</v>
      </c>
    </row>
    <row r="448" spans="1:16" ht="28.5">
      <c r="A448" s="67">
        <v>447</v>
      </c>
      <c r="B448" s="68" t="str">
        <f>INDEX(Data_Assessment[],MATCH('Rekomendasi HAV'!$A448,Data_Assessment[[INDEX]:[INDEX]],0),MATCH('Rekomendasi HAV'!B$1,Data_Assessment[#Headers],0))</f>
        <v>Irham Syaukani</v>
      </c>
      <c r="C448" s="68" t="str">
        <f>INDEX(Data_Assessment[],MATCH('Rekomendasi HAV'!$A448,Data_Assessment[[INDEX]:[INDEX]],0),MATCH('Rekomendasi HAV'!C$1,Data_Assessment[#Headers],0))</f>
        <v>Sumatera Utara</v>
      </c>
      <c r="D448" s="68" t="str">
        <f>INDEX(Data_Assessment[],MATCH('Rekomendasi HAV'!$A448,Data_Assessment[[INDEX]:[INDEX]],0),MATCH('Rekomendasi HAV'!D$1,Data_Assessment[#Headers],0))</f>
        <v>LSIP - Rambong Sialang Estate</v>
      </c>
      <c r="E448" s="68">
        <f>INDEX(Data_Assessment[],MATCH('Rekomendasi HAV'!$B448,Data_Assessment[[NAME]:[NAME]],0),MATCH('Rekomendasi HAV'!E$1,Data_Assessment[#Headers],0))</f>
        <v>0</v>
      </c>
      <c r="F448" s="68"/>
      <c r="G448" s="68">
        <f>IF(ISNUMBER(SEARCH("DEV",Assessment[[#This Row],[JOB TARGET]])),SUBSTITUTE(Assessment[[#This Row],[JOB TARGET]],"DEV","EST"),Assessment[[#This Row],[JOB TARGET]])</f>
        <v>0</v>
      </c>
      <c r="H448" s="146" t="str" cm="1">
        <f t="array" aca="1" ref="H448" ca="1">IF(Assessment[[#This Row],[JOB TARGET]]="","Job Target Kosong",IF(COUNT(IF('Data Assessment'!$N448:$Z448-OFFSET(Standar!$B$2,MATCH(Assessment[[#This Row],[JOB TARGET
(EST)]],Standar[NAMA JABATAN],0)-1,1,1,13)&lt;0,1,""))&lt;=3,'9 Grid'!$B$4,IF(COUNT(IF('Data Assessment'!$N448:$Z448-OFFSET(Standar!$B$2,MATCH(Assessment[[#This Row],[JOB TARGET]],Standar[NAMA JABATAN],0)-1,1,1,13)&lt;0,1,""))&gt;=7,'9 Grid'!$B$6,'9 Grid'!$B$5)))</f>
        <v>Job Target Kosong</v>
      </c>
      <c r="I448" s="146" t="str">
        <f>IFERROR(IF(Data_Assessment[[#This Row],[IPP (3 YEARS AVERAGE)]]="","(IPP Belum Ada)",IF(Data_Assessment[[#This Row],[IPP (3 YEARS AVERAGE)]]&lt;2,'9 Grid'!$F$2,IF(Data_Assessment[[#This Row],[IPP (3 YEARS AVERAGE)]]&gt;=4,'9 Grid'!$D$2,'9 Grid'!$E$2))),"")</f>
        <v>Fully Competence Performance</v>
      </c>
      <c r="J448" s="146" t="str">
        <f ca="1">IFERROR(INDEX('9 Grid'!$D$4:$F$6,MATCH('Rekomendasi HAV'!H448,'9 Grid'!$B$4:$B$6,0),MATCH('Rekomendasi HAV'!I448,'9 Grid'!$D$2:$F$2,0)),"")</f>
        <v/>
      </c>
      <c r="K448" s="146" t="str">
        <f>IFERROR(INDEX('9 Grid'!$D$8:$F$8,1,MATCH('Rekomendasi HAV'!I448,'9 Grid'!$D$2:$F$2,0)),"")</f>
        <v>(ST) Within 12 - 18 month</v>
      </c>
      <c r="L448" s="146">
        <f>IF(ISNUMBER(SEARCH("EST",Assessment[[#This Row],[JOB TARGET]])),SUBSTITUTE(Assessment[[#This Row],[JOB TARGET]],"EST","DEV"),Assessment[[#This Row],[JOB TARGET]])</f>
        <v>0</v>
      </c>
      <c r="M448" s="146" t="str" cm="1">
        <f t="array" aca="1" ref="M448" ca="1">IF(Assessment[[#This Row],[JOB TARGET]]="","Job Target Kosong",IF(COUNT(IF('Data Assessment'!$N448:$Z448-OFFSET(Standar!$B$2,MATCH(Assessment[[#This Row],[JOB TARGET
(DEV)]],Standar[NAMA JABATAN],0)-1,1,1,13)&lt;0,1,""))&lt;=3,'9 Grid'!$B$4,IF(COUNT(IF('Data Assessment'!$N448:$Z448-OFFSET(Standar!$B$2,MATCH(Assessment[[#This Row],[JOB TARGET
(DEV)]],Standar[NAMA JABATAN],0)-1,1,1,13)&lt;0,1,""))&gt;=7,'9 Grid'!$B$6,'9 Grid'!$B$5)))</f>
        <v>Job Target Kosong</v>
      </c>
      <c r="N448" s="146" t="str">
        <f>IFERROR(IF(Data_Assessment[[#This Row],[IPP (3 YEARS AVERAGE)]]="","(IPP Belum Ada)",IF(Data_Assessment[[#This Row],[IPP (3 YEARS AVERAGE)]]&lt;2,'9 Grid'!$F$2,IF(Data_Assessment[[#This Row],[IPP (3 YEARS AVERAGE)]]&gt;=4,'9 Grid'!$D$2,'9 Grid'!$E$2))),"")</f>
        <v>Fully Competence Performance</v>
      </c>
      <c r="O448" s="146" t="str">
        <f ca="1">IFERROR(INDEX('9 Grid'!$D$4:$F$6,MATCH('Rekomendasi HAV'!M448,'9 Grid'!$B$4:$B$6,0),MATCH('Rekomendasi HAV'!N448,'9 Grid'!$D$2:$F$2,0)),"")</f>
        <v/>
      </c>
      <c r="P448" s="147" t="str">
        <f>IFERROR(INDEX('9 Grid'!$D$8:$F$8,1,MATCH('Rekomendasi HAV'!N448,'9 Grid'!$D$2:$F$2,0)),"")</f>
        <v>(ST) Within 12 - 18 month</v>
      </c>
    </row>
    <row r="449" spans="1:16" ht="28.5">
      <c r="A449" s="67">
        <v>448</v>
      </c>
      <c r="B449" s="68" t="str">
        <f>INDEX(Data_Assessment[],MATCH('Rekomendasi HAV'!$A449,Data_Assessment[[INDEX]:[INDEX]],0),MATCH('Rekomendasi HAV'!B$1,Data_Assessment[#Headers],0))</f>
        <v>Herry Michael Saragih</v>
      </c>
      <c r="C449" s="68" t="str">
        <f>INDEX(Data_Assessment[],MATCH('Rekomendasi HAV'!$A449,Data_Assessment[[INDEX]:[INDEX]],0),MATCH('Rekomendasi HAV'!C$1,Data_Assessment[#Headers],0))</f>
        <v>Sumatera Utara</v>
      </c>
      <c r="D449" s="68" t="str">
        <f>INDEX(Data_Assessment[],MATCH('Rekomendasi HAV'!$A449,Data_Assessment[[INDEX]:[INDEX]],0),MATCH('Rekomendasi HAV'!D$1,Data_Assessment[#Headers],0))</f>
        <v>LSIP - Rambong Sialang Estate</v>
      </c>
      <c r="E449" s="68">
        <f>INDEX(Data_Assessment[],MATCH('Rekomendasi HAV'!$B449,Data_Assessment[[NAME]:[NAME]],0),MATCH('Rekomendasi HAV'!E$1,Data_Assessment[#Headers],0))</f>
        <v>0</v>
      </c>
      <c r="F449" s="68"/>
      <c r="G449" s="68">
        <f>IF(ISNUMBER(SEARCH("DEV",Assessment[[#This Row],[JOB TARGET]])),SUBSTITUTE(Assessment[[#This Row],[JOB TARGET]],"DEV","EST"),Assessment[[#This Row],[JOB TARGET]])</f>
        <v>0</v>
      </c>
      <c r="H449" s="146" t="str" cm="1">
        <f t="array" aca="1" ref="H449" ca="1">IF(Assessment[[#This Row],[JOB TARGET]]="","Job Target Kosong",IF(COUNT(IF('Data Assessment'!$N449:$Z449-OFFSET(Standar!$B$2,MATCH(Assessment[[#This Row],[JOB TARGET
(EST)]],Standar[NAMA JABATAN],0)-1,1,1,13)&lt;0,1,""))&lt;=3,'9 Grid'!$B$4,IF(COUNT(IF('Data Assessment'!$N449:$Z449-OFFSET(Standar!$B$2,MATCH(Assessment[[#This Row],[JOB TARGET]],Standar[NAMA JABATAN],0)-1,1,1,13)&lt;0,1,""))&gt;=7,'9 Grid'!$B$6,'9 Grid'!$B$5)))</f>
        <v>Job Target Kosong</v>
      </c>
      <c r="I449" s="146" t="str">
        <f>IFERROR(IF(Data_Assessment[[#This Row],[IPP (3 YEARS AVERAGE)]]="","(IPP Belum Ada)",IF(Data_Assessment[[#This Row],[IPP (3 YEARS AVERAGE)]]&lt;2,'9 Grid'!$F$2,IF(Data_Assessment[[#This Row],[IPP (3 YEARS AVERAGE)]]&gt;=4,'9 Grid'!$D$2,'9 Grid'!$E$2))),"")</f>
        <v>Fully Competence Performance</v>
      </c>
      <c r="J449" s="146" t="str">
        <f ca="1">IFERROR(INDEX('9 Grid'!$D$4:$F$6,MATCH('Rekomendasi HAV'!H449,'9 Grid'!$B$4:$B$6,0),MATCH('Rekomendasi HAV'!I449,'9 Grid'!$D$2:$F$2,0)),"")</f>
        <v/>
      </c>
      <c r="K449" s="146" t="str">
        <f>IFERROR(INDEX('9 Grid'!$D$8:$F$8,1,MATCH('Rekomendasi HAV'!I449,'9 Grid'!$D$2:$F$2,0)),"")</f>
        <v>(ST) Within 12 - 18 month</v>
      </c>
      <c r="L449" s="146">
        <f>IF(ISNUMBER(SEARCH("EST",Assessment[[#This Row],[JOB TARGET]])),SUBSTITUTE(Assessment[[#This Row],[JOB TARGET]],"EST","DEV"),Assessment[[#This Row],[JOB TARGET]])</f>
        <v>0</v>
      </c>
      <c r="M449" s="146" t="str" cm="1">
        <f t="array" aca="1" ref="M449" ca="1">IF(Assessment[[#This Row],[JOB TARGET]]="","Job Target Kosong",IF(COUNT(IF('Data Assessment'!$N449:$Z449-OFFSET(Standar!$B$2,MATCH(Assessment[[#This Row],[JOB TARGET
(DEV)]],Standar[NAMA JABATAN],0)-1,1,1,13)&lt;0,1,""))&lt;=3,'9 Grid'!$B$4,IF(COUNT(IF('Data Assessment'!$N449:$Z449-OFFSET(Standar!$B$2,MATCH(Assessment[[#This Row],[JOB TARGET
(DEV)]],Standar[NAMA JABATAN],0)-1,1,1,13)&lt;0,1,""))&gt;=7,'9 Grid'!$B$6,'9 Grid'!$B$5)))</f>
        <v>Job Target Kosong</v>
      </c>
      <c r="N449" s="146" t="str">
        <f>IFERROR(IF(Data_Assessment[[#This Row],[IPP (3 YEARS AVERAGE)]]="","(IPP Belum Ada)",IF(Data_Assessment[[#This Row],[IPP (3 YEARS AVERAGE)]]&lt;2,'9 Grid'!$F$2,IF(Data_Assessment[[#This Row],[IPP (3 YEARS AVERAGE)]]&gt;=4,'9 Grid'!$D$2,'9 Grid'!$E$2))),"")</f>
        <v>Fully Competence Performance</v>
      </c>
      <c r="O449" s="146" t="str">
        <f ca="1">IFERROR(INDEX('9 Grid'!$D$4:$F$6,MATCH('Rekomendasi HAV'!M449,'9 Grid'!$B$4:$B$6,0),MATCH('Rekomendasi HAV'!N449,'9 Grid'!$D$2:$F$2,0)),"")</f>
        <v/>
      </c>
      <c r="P449" s="147" t="str">
        <f>IFERROR(INDEX('9 Grid'!$D$8:$F$8,1,MATCH('Rekomendasi HAV'!N449,'9 Grid'!$D$2:$F$2,0)),"")</f>
        <v>(ST) Within 12 - 18 month</v>
      </c>
    </row>
    <row r="450" spans="1:16" ht="28.5">
      <c r="A450" s="67">
        <v>449</v>
      </c>
      <c r="B450" s="68" t="str">
        <f>INDEX(Data_Assessment[],MATCH('Rekomendasi HAV'!$A450,Data_Assessment[[INDEX]:[INDEX]],0),MATCH('Rekomendasi HAV'!B$1,Data_Assessment[#Headers],0))</f>
        <v>Jon Waldinson Pereddy Damanik</v>
      </c>
      <c r="C450" s="68" t="str">
        <f>INDEX(Data_Assessment[],MATCH('Rekomendasi HAV'!$A450,Data_Assessment[[INDEX]:[INDEX]],0),MATCH('Rekomendasi HAV'!C$1,Data_Assessment[#Headers],0))</f>
        <v>Sumatera Utara</v>
      </c>
      <c r="D450" s="68" t="str">
        <f>INDEX(Data_Assessment[],MATCH('Rekomendasi HAV'!$A450,Data_Assessment[[INDEX]:[INDEX]],0),MATCH('Rekomendasi HAV'!D$1,Data_Assessment[#Headers],0))</f>
        <v>LSIP - Sibulan Estate</v>
      </c>
      <c r="E450" s="68">
        <f>INDEX(Data_Assessment[],MATCH('Rekomendasi HAV'!$B450,Data_Assessment[[NAME]:[NAME]],0),MATCH('Rekomendasi HAV'!E$1,Data_Assessment[#Headers],0))</f>
        <v>0</v>
      </c>
      <c r="F450" s="68"/>
      <c r="G450" s="68">
        <f>IF(ISNUMBER(SEARCH("DEV",Assessment[[#This Row],[JOB TARGET]])),SUBSTITUTE(Assessment[[#This Row],[JOB TARGET]],"DEV","EST"),Assessment[[#This Row],[JOB TARGET]])</f>
        <v>0</v>
      </c>
      <c r="H450" s="146" t="str" cm="1">
        <f t="array" aca="1" ref="H450" ca="1">IF(Assessment[[#This Row],[JOB TARGET]]="","Job Target Kosong",IF(COUNT(IF('Data Assessment'!$N450:$Z450-OFFSET(Standar!$B$2,MATCH(Assessment[[#This Row],[JOB TARGET
(EST)]],Standar[NAMA JABATAN],0)-1,1,1,13)&lt;0,1,""))&lt;=3,'9 Grid'!$B$4,IF(COUNT(IF('Data Assessment'!$N450:$Z450-OFFSET(Standar!$B$2,MATCH(Assessment[[#This Row],[JOB TARGET]],Standar[NAMA JABATAN],0)-1,1,1,13)&lt;0,1,""))&gt;=7,'9 Grid'!$B$6,'9 Grid'!$B$5)))</f>
        <v>Job Target Kosong</v>
      </c>
      <c r="I450" s="146" t="str">
        <f>IFERROR(IF(Data_Assessment[[#This Row],[IPP (3 YEARS AVERAGE)]]="","(IPP Belum Ada)",IF(Data_Assessment[[#This Row],[IPP (3 YEARS AVERAGE)]]&lt;2,'9 Grid'!$F$2,IF(Data_Assessment[[#This Row],[IPP (3 YEARS AVERAGE)]]&gt;=4,'9 Grid'!$D$2,'9 Grid'!$E$2))),"")</f>
        <v>Fully Competence Performance</v>
      </c>
      <c r="J450" s="146" t="str">
        <f ca="1">IFERROR(INDEX('9 Grid'!$D$4:$F$6,MATCH('Rekomendasi HAV'!H450,'9 Grid'!$B$4:$B$6,0),MATCH('Rekomendasi HAV'!I450,'9 Grid'!$D$2:$F$2,0)),"")</f>
        <v/>
      </c>
      <c r="K450" s="146" t="str">
        <f>IFERROR(INDEX('9 Grid'!$D$8:$F$8,1,MATCH('Rekomendasi HAV'!I450,'9 Grid'!$D$2:$F$2,0)),"")</f>
        <v>(ST) Within 12 - 18 month</v>
      </c>
      <c r="L450" s="146">
        <f>IF(ISNUMBER(SEARCH("EST",Assessment[[#This Row],[JOB TARGET]])),SUBSTITUTE(Assessment[[#This Row],[JOB TARGET]],"EST","DEV"),Assessment[[#This Row],[JOB TARGET]])</f>
        <v>0</v>
      </c>
      <c r="M450" s="146" t="str" cm="1">
        <f t="array" aca="1" ref="M450" ca="1">IF(Assessment[[#This Row],[JOB TARGET]]="","Job Target Kosong",IF(COUNT(IF('Data Assessment'!$N450:$Z450-OFFSET(Standar!$B$2,MATCH(Assessment[[#This Row],[JOB TARGET
(DEV)]],Standar[NAMA JABATAN],0)-1,1,1,13)&lt;0,1,""))&lt;=3,'9 Grid'!$B$4,IF(COUNT(IF('Data Assessment'!$N450:$Z450-OFFSET(Standar!$B$2,MATCH(Assessment[[#This Row],[JOB TARGET
(DEV)]],Standar[NAMA JABATAN],0)-1,1,1,13)&lt;0,1,""))&gt;=7,'9 Grid'!$B$6,'9 Grid'!$B$5)))</f>
        <v>Job Target Kosong</v>
      </c>
      <c r="N450" s="146" t="str">
        <f>IFERROR(IF(Data_Assessment[[#This Row],[IPP (3 YEARS AVERAGE)]]="","(IPP Belum Ada)",IF(Data_Assessment[[#This Row],[IPP (3 YEARS AVERAGE)]]&lt;2,'9 Grid'!$F$2,IF(Data_Assessment[[#This Row],[IPP (3 YEARS AVERAGE)]]&gt;=4,'9 Grid'!$D$2,'9 Grid'!$E$2))),"")</f>
        <v>Fully Competence Performance</v>
      </c>
      <c r="O450" s="146" t="str">
        <f ca="1">IFERROR(INDEX('9 Grid'!$D$4:$F$6,MATCH('Rekomendasi HAV'!M450,'9 Grid'!$B$4:$B$6,0),MATCH('Rekomendasi HAV'!N450,'9 Grid'!$D$2:$F$2,0)),"")</f>
        <v/>
      </c>
      <c r="P450" s="147" t="str">
        <f>IFERROR(INDEX('9 Grid'!$D$8:$F$8,1,MATCH('Rekomendasi HAV'!N450,'9 Grid'!$D$2:$F$2,0)),"")</f>
        <v>(ST) Within 12 - 18 month</v>
      </c>
    </row>
    <row r="451" spans="1:16" ht="28.5">
      <c r="A451" s="67">
        <v>450</v>
      </c>
      <c r="B451" s="68" t="str">
        <f>INDEX(Data_Assessment[],MATCH('Rekomendasi HAV'!$A451,Data_Assessment[[INDEX]:[INDEX]],0),MATCH('Rekomendasi HAV'!B$1,Data_Assessment[#Headers],0))</f>
        <v>Ahmad Fadly, Ir.</v>
      </c>
      <c r="C451" s="68" t="str">
        <f>INDEX(Data_Assessment[],MATCH('Rekomendasi HAV'!$A451,Data_Assessment[[INDEX]:[INDEX]],0),MATCH('Rekomendasi HAV'!C$1,Data_Assessment[#Headers],0))</f>
        <v>Sumatera Utara</v>
      </c>
      <c r="D451" s="68" t="str">
        <f>INDEX(Data_Assessment[],MATCH('Rekomendasi HAV'!$A451,Data_Assessment[[INDEX]:[INDEX]],0),MATCH('Rekomendasi HAV'!D$1,Data_Assessment[#Headers],0))</f>
        <v>LSIP - Bah Bulian Estate</v>
      </c>
      <c r="E451" s="68">
        <f>INDEX(Data_Assessment[],MATCH('Rekomendasi HAV'!$B451,Data_Assessment[[NAME]:[NAME]],0),MATCH('Rekomendasi HAV'!E$1,Data_Assessment[#Headers],0))</f>
        <v>0</v>
      </c>
      <c r="F451" s="68"/>
      <c r="G451" s="68">
        <f>IF(ISNUMBER(SEARCH("DEV",Assessment[[#This Row],[JOB TARGET]])),SUBSTITUTE(Assessment[[#This Row],[JOB TARGET]],"DEV","EST"),Assessment[[#This Row],[JOB TARGET]])</f>
        <v>0</v>
      </c>
      <c r="H451" s="146" t="str" cm="1">
        <f t="array" aca="1" ref="H451" ca="1">IF(Assessment[[#This Row],[JOB TARGET]]="","Job Target Kosong",IF(COUNT(IF('Data Assessment'!$N451:$Z451-OFFSET(Standar!$B$2,MATCH(Assessment[[#This Row],[JOB TARGET
(EST)]],Standar[NAMA JABATAN],0)-1,1,1,13)&lt;0,1,""))&lt;=3,'9 Grid'!$B$4,IF(COUNT(IF('Data Assessment'!$N451:$Z451-OFFSET(Standar!$B$2,MATCH(Assessment[[#This Row],[JOB TARGET]],Standar[NAMA JABATAN],0)-1,1,1,13)&lt;0,1,""))&gt;=7,'9 Grid'!$B$6,'9 Grid'!$B$5)))</f>
        <v>Job Target Kosong</v>
      </c>
      <c r="I451" s="146" t="str">
        <f>IFERROR(IF(Data_Assessment[[#This Row],[IPP (3 YEARS AVERAGE)]]="","(IPP Belum Ada)",IF(Data_Assessment[[#This Row],[IPP (3 YEARS AVERAGE)]]&lt;2,'9 Grid'!$F$2,IF(Data_Assessment[[#This Row],[IPP (3 YEARS AVERAGE)]]&gt;=4,'9 Grid'!$D$2,'9 Grid'!$E$2))),"")</f>
        <v>Fully Competence Performance</v>
      </c>
      <c r="J451" s="146" t="str">
        <f ca="1">IFERROR(INDEX('9 Grid'!$D$4:$F$6,MATCH('Rekomendasi HAV'!H451,'9 Grid'!$B$4:$B$6,0),MATCH('Rekomendasi HAV'!I451,'9 Grid'!$D$2:$F$2,0)),"")</f>
        <v/>
      </c>
      <c r="K451" s="146" t="str">
        <f>IFERROR(INDEX('9 Grid'!$D$8:$F$8,1,MATCH('Rekomendasi HAV'!I451,'9 Grid'!$D$2:$F$2,0)),"")</f>
        <v>(ST) Within 12 - 18 month</v>
      </c>
      <c r="L451" s="146">
        <f>IF(ISNUMBER(SEARCH("EST",Assessment[[#This Row],[JOB TARGET]])),SUBSTITUTE(Assessment[[#This Row],[JOB TARGET]],"EST","DEV"),Assessment[[#This Row],[JOB TARGET]])</f>
        <v>0</v>
      </c>
      <c r="M451" s="146" t="str" cm="1">
        <f t="array" aca="1" ref="M451" ca="1">IF(Assessment[[#This Row],[JOB TARGET]]="","Job Target Kosong",IF(COUNT(IF('Data Assessment'!$N451:$Z451-OFFSET(Standar!$B$2,MATCH(Assessment[[#This Row],[JOB TARGET
(DEV)]],Standar[NAMA JABATAN],0)-1,1,1,13)&lt;0,1,""))&lt;=3,'9 Grid'!$B$4,IF(COUNT(IF('Data Assessment'!$N451:$Z451-OFFSET(Standar!$B$2,MATCH(Assessment[[#This Row],[JOB TARGET
(DEV)]],Standar[NAMA JABATAN],0)-1,1,1,13)&lt;0,1,""))&gt;=7,'9 Grid'!$B$6,'9 Grid'!$B$5)))</f>
        <v>Job Target Kosong</v>
      </c>
      <c r="N451" s="146" t="str">
        <f>IFERROR(IF(Data_Assessment[[#This Row],[IPP (3 YEARS AVERAGE)]]="","(IPP Belum Ada)",IF(Data_Assessment[[#This Row],[IPP (3 YEARS AVERAGE)]]&lt;2,'9 Grid'!$F$2,IF(Data_Assessment[[#This Row],[IPP (3 YEARS AVERAGE)]]&gt;=4,'9 Grid'!$D$2,'9 Grid'!$E$2))),"")</f>
        <v>Fully Competence Performance</v>
      </c>
      <c r="O451" s="146" t="str">
        <f ca="1">IFERROR(INDEX('9 Grid'!$D$4:$F$6,MATCH('Rekomendasi HAV'!M451,'9 Grid'!$B$4:$B$6,0),MATCH('Rekomendasi HAV'!N451,'9 Grid'!$D$2:$F$2,0)),"")</f>
        <v/>
      </c>
      <c r="P451" s="147" t="str">
        <f>IFERROR(INDEX('9 Grid'!$D$8:$F$8,1,MATCH('Rekomendasi HAV'!N451,'9 Grid'!$D$2:$F$2,0)),"")</f>
        <v>(ST) Within 12 - 18 month</v>
      </c>
    </row>
    <row r="452" spans="1:16" ht="14.25">
      <c r="A452" s="67">
        <v>451</v>
      </c>
      <c r="B452" s="68" t="str">
        <f>INDEX(Data_Assessment[],MATCH('Rekomendasi HAV'!$A452,Data_Assessment[[INDEX]:[INDEX]],0),MATCH('Rekomendasi HAV'!B$1,Data_Assessment[#Headers],0))</f>
        <v>Eco Hariyadi</v>
      </c>
      <c r="C452" s="68" t="str">
        <f>INDEX(Data_Assessment[],MATCH('Rekomendasi HAV'!$A452,Data_Assessment[[INDEX]:[INDEX]],0),MATCH('Rekomendasi HAV'!C$1,Data_Assessment[#Headers],0))</f>
        <v>Jakarta</v>
      </c>
      <c r="D452" s="68" t="str">
        <f>INDEX(Data_Assessment[],MATCH('Rekomendasi HAV'!$A452,Data_Assessment[[INDEX]:[INDEX]],0),MATCH('Rekomendasi HAV'!D$1,Data_Assessment[#Headers],0))</f>
        <v>LSIP - HO Jakarta</v>
      </c>
      <c r="E452" s="68">
        <f>INDEX(Data_Assessment[],MATCH('Rekomendasi HAV'!$B452,Data_Assessment[[NAME]:[NAME]],0),MATCH('Rekomendasi HAV'!E$1,Data_Assessment[#Headers],0))</f>
        <v>0</v>
      </c>
      <c r="F452" s="68"/>
      <c r="G452" s="68">
        <f>IF(ISNUMBER(SEARCH("DEV",Assessment[[#This Row],[JOB TARGET]])),SUBSTITUTE(Assessment[[#This Row],[JOB TARGET]],"DEV","EST"),Assessment[[#This Row],[JOB TARGET]])</f>
        <v>0</v>
      </c>
      <c r="H452" s="146" t="str" cm="1">
        <f t="array" aca="1" ref="H452" ca="1">IF(Assessment[[#This Row],[JOB TARGET]]="","Job Target Kosong",IF(COUNT(IF('Data Assessment'!$N452:$Z452-OFFSET(Standar!$B$2,MATCH(Assessment[[#This Row],[JOB TARGET
(EST)]],Standar[NAMA JABATAN],0)-1,1,1,13)&lt;0,1,""))&lt;=3,'9 Grid'!$B$4,IF(COUNT(IF('Data Assessment'!$N452:$Z452-OFFSET(Standar!$B$2,MATCH(Assessment[[#This Row],[JOB TARGET]],Standar[NAMA JABATAN],0)-1,1,1,13)&lt;0,1,""))&gt;=7,'9 Grid'!$B$6,'9 Grid'!$B$5)))</f>
        <v>Job Target Kosong</v>
      </c>
      <c r="I452" s="146" t="str">
        <f>IFERROR(IF(Data_Assessment[[#This Row],[IPP (3 YEARS AVERAGE)]]="","(IPP Belum Ada)",IF(Data_Assessment[[#This Row],[IPP (3 YEARS AVERAGE)]]&lt;2,'9 Grid'!$F$2,IF(Data_Assessment[[#This Row],[IPP (3 YEARS AVERAGE)]]&gt;=4,'9 Grid'!$D$2,'9 Grid'!$E$2))),"")</f>
        <v>Exceptional Performance</v>
      </c>
      <c r="J452" s="146" t="str">
        <f ca="1">IFERROR(INDEX('9 Grid'!$D$4:$F$6,MATCH('Rekomendasi HAV'!H452,'9 Grid'!$B$4:$B$6,0),MATCH('Rekomendasi HAV'!I452,'9 Grid'!$D$2:$F$2,0)),"")</f>
        <v/>
      </c>
      <c r="K452" s="146" t="str">
        <f>IFERROR(INDEX('9 Grid'!$D$8:$F$8,1,MATCH('Rekomendasi HAV'!I452,'9 Grid'!$D$2:$F$2,0)),"")</f>
        <v>(I) Immediately</v>
      </c>
      <c r="L452" s="146">
        <f>IF(ISNUMBER(SEARCH("EST",Assessment[[#This Row],[JOB TARGET]])),SUBSTITUTE(Assessment[[#This Row],[JOB TARGET]],"EST","DEV"),Assessment[[#This Row],[JOB TARGET]])</f>
        <v>0</v>
      </c>
      <c r="M452" s="146" t="str" cm="1">
        <f t="array" aca="1" ref="M452" ca="1">IF(Assessment[[#This Row],[JOB TARGET]]="","Job Target Kosong",IF(COUNT(IF('Data Assessment'!$N452:$Z452-OFFSET(Standar!$B$2,MATCH(Assessment[[#This Row],[JOB TARGET
(DEV)]],Standar[NAMA JABATAN],0)-1,1,1,13)&lt;0,1,""))&lt;=3,'9 Grid'!$B$4,IF(COUNT(IF('Data Assessment'!$N452:$Z452-OFFSET(Standar!$B$2,MATCH(Assessment[[#This Row],[JOB TARGET
(DEV)]],Standar[NAMA JABATAN],0)-1,1,1,13)&lt;0,1,""))&gt;=7,'9 Grid'!$B$6,'9 Grid'!$B$5)))</f>
        <v>Job Target Kosong</v>
      </c>
      <c r="N452" s="146" t="str">
        <f>IFERROR(IF(Data_Assessment[[#This Row],[IPP (3 YEARS AVERAGE)]]="","(IPP Belum Ada)",IF(Data_Assessment[[#This Row],[IPP (3 YEARS AVERAGE)]]&lt;2,'9 Grid'!$F$2,IF(Data_Assessment[[#This Row],[IPP (3 YEARS AVERAGE)]]&gt;=4,'9 Grid'!$D$2,'9 Grid'!$E$2))),"")</f>
        <v>Exceptional Performance</v>
      </c>
      <c r="O452" s="146" t="str">
        <f ca="1">IFERROR(INDEX('9 Grid'!$D$4:$F$6,MATCH('Rekomendasi HAV'!M452,'9 Grid'!$B$4:$B$6,0),MATCH('Rekomendasi HAV'!N452,'9 Grid'!$D$2:$F$2,0)),"")</f>
        <v/>
      </c>
      <c r="P452" s="147" t="str">
        <f>IFERROR(INDEX('9 Grid'!$D$8:$F$8,1,MATCH('Rekomendasi HAV'!N452,'9 Grid'!$D$2:$F$2,0)),"")</f>
        <v>(I) Immediately</v>
      </c>
    </row>
    <row r="453" spans="1:16" ht="28.5">
      <c r="A453" s="67">
        <v>452</v>
      </c>
      <c r="B453" s="68" t="str">
        <f>INDEX(Data_Assessment[],MATCH('Rekomendasi HAV'!$A453,Data_Assessment[[INDEX]:[INDEX]],0),MATCH('Rekomendasi HAV'!B$1,Data_Assessment[#Headers],0))</f>
        <v>Lambok Martinovel Sianturi</v>
      </c>
      <c r="C453" s="68" t="str">
        <f>INDEX(Data_Assessment[],MATCH('Rekomendasi HAV'!$A453,Data_Assessment[[INDEX]:[INDEX]],0),MATCH('Rekomendasi HAV'!C$1,Data_Assessment[#Headers],0))</f>
        <v>Sumatera Utara</v>
      </c>
      <c r="D453" s="68" t="str">
        <f>INDEX(Data_Assessment[],MATCH('Rekomendasi HAV'!$A453,Data_Assessment[[INDEX]:[INDEX]],0),MATCH('Rekomendasi HAV'!D$1,Data_Assessment[#Headers],0))</f>
        <v>LSIP - Bah Lias Estate</v>
      </c>
      <c r="E453" s="68">
        <f>INDEX(Data_Assessment[],MATCH('Rekomendasi HAV'!$B453,Data_Assessment[[NAME]:[NAME]],0),MATCH('Rekomendasi HAV'!E$1,Data_Assessment[#Headers],0))</f>
        <v>0</v>
      </c>
      <c r="F453" s="68"/>
      <c r="G453" s="68">
        <f>IF(ISNUMBER(SEARCH("DEV",Assessment[[#This Row],[JOB TARGET]])),SUBSTITUTE(Assessment[[#This Row],[JOB TARGET]],"DEV","EST"),Assessment[[#This Row],[JOB TARGET]])</f>
        <v>0</v>
      </c>
      <c r="H453" s="146" t="str" cm="1">
        <f t="array" aca="1" ref="H453" ca="1">IF(Assessment[[#This Row],[JOB TARGET]]="","Job Target Kosong",IF(COUNT(IF('Data Assessment'!$N453:$Z453-OFFSET(Standar!$B$2,MATCH(Assessment[[#This Row],[JOB TARGET
(EST)]],Standar[NAMA JABATAN],0)-1,1,1,13)&lt;0,1,""))&lt;=3,'9 Grid'!$B$4,IF(COUNT(IF('Data Assessment'!$N453:$Z453-OFFSET(Standar!$B$2,MATCH(Assessment[[#This Row],[JOB TARGET]],Standar[NAMA JABATAN],0)-1,1,1,13)&lt;0,1,""))&gt;=7,'9 Grid'!$B$6,'9 Grid'!$B$5)))</f>
        <v>Job Target Kosong</v>
      </c>
      <c r="I453" s="146" t="str">
        <f>IFERROR(IF(Data_Assessment[[#This Row],[IPP (3 YEARS AVERAGE)]]="","(IPP Belum Ada)",IF(Data_Assessment[[#This Row],[IPP (3 YEARS AVERAGE)]]&lt;2,'9 Grid'!$F$2,IF(Data_Assessment[[#This Row],[IPP (3 YEARS AVERAGE)]]&gt;=4,'9 Grid'!$D$2,'9 Grid'!$E$2))),"")</f>
        <v>Fully Competence Performance</v>
      </c>
      <c r="J453" s="146" t="str">
        <f ca="1">IFERROR(INDEX('9 Grid'!$D$4:$F$6,MATCH('Rekomendasi HAV'!H453,'9 Grid'!$B$4:$B$6,0),MATCH('Rekomendasi HAV'!I453,'9 Grid'!$D$2:$F$2,0)),"")</f>
        <v/>
      </c>
      <c r="K453" s="146" t="str">
        <f>IFERROR(INDEX('9 Grid'!$D$8:$F$8,1,MATCH('Rekomendasi HAV'!I453,'9 Grid'!$D$2:$F$2,0)),"")</f>
        <v>(ST) Within 12 - 18 month</v>
      </c>
      <c r="L453" s="146">
        <f>IF(ISNUMBER(SEARCH("EST",Assessment[[#This Row],[JOB TARGET]])),SUBSTITUTE(Assessment[[#This Row],[JOB TARGET]],"EST","DEV"),Assessment[[#This Row],[JOB TARGET]])</f>
        <v>0</v>
      </c>
      <c r="M453" s="146" t="str" cm="1">
        <f t="array" aca="1" ref="M453" ca="1">IF(Assessment[[#This Row],[JOB TARGET]]="","Job Target Kosong",IF(COUNT(IF('Data Assessment'!$N453:$Z453-OFFSET(Standar!$B$2,MATCH(Assessment[[#This Row],[JOB TARGET
(DEV)]],Standar[NAMA JABATAN],0)-1,1,1,13)&lt;0,1,""))&lt;=3,'9 Grid'!$B$4,IF(COUNT(IF('Data Assessment'!$N453:$Z453-OFFSET(Standar!$B$2,MATCH(Assessment[[#This Row],[JOB TARGET
(DEV)]],Standar[NAMA JABATAN],0)-1,1,1,13)&lt;0,1,""))&gt;=7,'9 Grid'!$B$6,'9 Grid'!$B$5)))</f>
        <v>Job Target Kosong</v>
      </c>
      <c r="N453" s="146" t="str">
        <f>IFERROR(IF(Data_Assessment[[#This Row],[IPP (3 YEARS AVERAGE)]]="","(IPP Belum Ada)",IF(Data_Assessment[[#This Row],[IPP (3 YEARS AVERAGE)]]&lt;2,'9 Grid'!$F$2,IF(Data_Assessment[[#This Row],[IPP (3 YEARS AVERAGE)]]&gt;=4,'9 Grid'!$D$2,'9 Grid'!$E$2))),"")</f>
        <v>Fully Competence Performance</v>
      </c>
      <c r="O453" s="146" t="str">
        <f ca="1">IFERROR(INDEX('9 Grid'!$D$4:$F$6,MATCH('Rekomendasi HAV'!M453,'9 Grid'!$B$4:$B$6,0),MATCH('Rekomendasi HAV'!N453,'9 Grid'!$D$2:$F$2,0)),"")</f>
        <v/>
      </c>
      <c r="P453" s="147" t="str">
        <f>IFERROR(INDEX('9 Grid'!$D$8:$F$8,1,MATCH('Rekomendasi HAV'!N453,'9 Grid'!$D$2:$F$2,0)),"")</f>
        <v>(ST) Within 12 - 18 month</v>
      </c>
    </row>
    <row r="454" spans="1:16" ht="28.5">
      <c r="A454" s="67">
        <v>453</v>
      </c>
      <c r="B454" s="68" t="str">
        <f>INDEX(Data_Assessment[],MATCH('Rekomendasi HAV'!$A454,Data_Assessment[[INDEX]:[INDEX]],0),MATCH('Rekomendasi HAV'!B$1,Data_Assessment[#Headers],0))</f>
        <v>Iqbal Koyoto</v>
      </c>
      <c r="C454" s="68" t="str">
        <f>INDEX(Data_Assessment[],MATCH('Rekomendasi HAV'!$A454,Data_Assessment[[INDEX]:[INDEX]],0),MATCH('Rekomendasi HAV'!C$1,Data_Assessment[#Headers],0))</f>
        <v>Sumatera Utara</v>
      </c>
      <c r="D454" s="68" t="str">
        <f>INDEX(Data_Assessment[],MATCH('Rekomendasi HAV'!$A454,Data_Assessment[[INDEX]:[INDEX]],0),MATCH('Rekomendasi HAV'!D$1,Data_Assessment[#Headers],0))</f>
        <v>LSIP - Bah Lias Estate</v>
      </c>
      <c r="E454" s="68">
        <f>INDEX(Data_Assessment[],MATCH('Rekomendasi HAV'!$B454,Data_Assessment[[NAME]:[NAME]],0),MATCH('Rekomendasi HAV'!E$1,Data_Assessment[#Headers],0))</f>
        <v>0</v>
      </c>
      <c r="F454" s="68"/>
      <c r="G454" s="68">
        <f>IF(ISNUMBER(SEARCH("DEV",Assessment[[#This Row],[JOB TARGET]])),SUBSTITUTE(Assessment[[#This Row],[JOB TARGET]],"DEV","EST"),Assessment[[#This Row],[JOB TARGET]])</f>
        <v>0</v>
      </c>
      <c r="H454" s="146" t="str" cm="1">
        <f t="array" aca="1" ref="H454" ca="1">IF(Assessment[[#This Row],[JOB TARGET]]="","Job Target Kosong",IF(COUNT(IF('Data Assessment'!$N454:$Z454-OFFSET(Standar!$B$2,MATCH(Assessment[[#This Row],[JOB TARGET
(EST)]],Standar[NAMA JABATAN],0)-1,1,1,13)&lt;0,1,""))&lt;=3,'9 Grid'!$B$4,IF(COUNT(IF('Data Assessment'!$N454:$Z454-OFFSET(Standar!$B$2,MATCH(Assessment[[#This Row],[JOB TARGET]],Standar[NAMA JABATAN],0)-1,1,1,13)&lt;0,1,""))&gt;=7,'9 Grid'!$B$6,'9 Grid'!$B$5)))</f>
        <v>Job Target Kosong</v>
      </c>
      <c r="I454" s="146" t="str">
        <f>IFERROR(IF(Data_Assessment[[#This Row],[IPP (3 YEARS AVERAGE)]]="","(IPP Belum Ada)",IF(Data_Assessment[[#This Row],[IPP (3 YEARS AVERAGE)]]&lt;2,'9 Grid'!$F$2,IF(Data_Assessment[[#This Row],[IPP (3 YEARS AVERAGE)]]&gt;=4,'9 Grid'!$D$2,'9 Grid'!$E$2))),"")</f>
        <v>Fully Competence Performance</v>
      </c>
      <c r="J454" s="146" t="str">
        <f ca="1">IFERROR(INDEX('9 Grid'!$D$4:$F$6,MATCH('Rekomendasi HAV'!H454,'9 Grid'!$B$4:$B$6,0),MATCH('Rekomendasi HAV'!I454,'9 Grid'!$D$2:$F$2,0)),"")</f>
        <v/>
      </c>
      <c r="K454" s="146" t="str">
        <f>IFERROR(INDEX('9 Grid'!$D$8:$F$8,1,MATCH('Rekomendasi HAV'!I454,'9 Grid'!$D$2:$F$2,0)),"")</f>
        <v>(ST) Within 12 - 18 month</v>
      </c>
      <c r="L454" s="146">
        <f>IF(ISNUMBER(SEARCH("EST",Assessment[[#This Row],[JOB TARGET]])),SUBSTITUTE(Assessment[[#This Row],[JOB TARGET]],"EST","DEV"),Assessment[[#This Row],[JOB TARGET]])</f>
        <v>0</v>
      </c>
      <c r="M454" s="146" t="str" cm="1">
        <f t="array" aca="1" ref="M454" ca="1">IF(Assessment[[#This Row],[JOB TARGET]]="","Job Target Kosong",IF(COUNT(IF('Data Assessment'!$N454:$Z454-OFFSET(Standar!$B$2,MATCH(Assessment[[#This Row],[JOB TARGET
(DEV)]],Standar[NAMA JABATAN],0)-1,1,1,13)&lt;0,1,""))&lt;=3,'9 Grid'!$B$4,IF(COUNT(IF('Data Assessment'!$N454:$Z454-OFFSET(Standar!$B$2,MATCH(Assessment[[#This Row],[JOB TARGET
(DEV)]],Standar[NAMA JABATAN],0)-1,1,1,13)&lt;0,1,""))&gt;=7,'9 Grid'!$B$6,'9 Grid'!$B$5)))</f>
        <v>Job Target Kosong</v>
      </c>
      <c r="N454" s="146" t="str">
        <f>IFERROR(IF(Data_Assessment[[#This Row],[IPP (3 YEARS AVERAGE)]]="","(IPP Belum Ada)",IF(Data_Assessment[[#This Row],[IPP (3 YEARS AVERAGE)]]&lt;2,'9 Grid'!$F$2,IF(Data_Assessment[[#This Row],[IPP (3 YEARS AVERAGE)]]&gt;=4,'9 Grid'!$D$2,'9 Grid'!$E$2))),"")</f>
        <v>Fully Competence Performance</v>
      </c>
      <c r="O454" s="146" t="str">
        <f ca="1">IFERROR(INDEX('9 Grid'!$D$4:$F$6,MATCH('Rekomendasi HAV'!M454,'9 Grid'!$B$4:$B$6,0),MATCH('Rekomendasi HAV'!N454,'9 Grid'!$D$2:$F$2,0)),"")</f>
        <v/>
      </c>
      <c r="P454" s="147" t="str">
        <f>IFERROR(INDEX('9 Grid'!$D$8:$F$8,1,MATCH('Rekomendasi HAV'!N454,'9 Grid'!$D$2:$F$2,0)),"")</f>
        <v>(ST) Within 12 - 18 month</v>
      </c>
    </row>
    <row r="455" spans="1:16" ht="14.25">
      <c r="A455" s="67">
        <v>454</v>
      </c>
      <c r="B455" s="68" t="str">
        <f>INDEX(Data_Assessment[],MATCH('Rekomendasi HAV'!$A455,Data_Assessment[[INDEX]:[INDEX]],0),MATCH('Rekomendasi HAV'!B$1,Data_Assessment[#Headers],0))</f>
        <v>Aswin Indra Utama</v>
      </c>
      <c r="C455" s="68" t="str">
        <f>INDEX(Data_Assessment[],MATCH('Rekomendasi HAV'!$A455,Data_Assessment[[INDEX]:[INDEX]],0),MATCH('Rekomendasi HAV'!C$1,Data_Assessment[#Headers],0))</f>
        <v>Sumatera Utara</v>
      </c>
      <c r="D455" s="68" t="str">
        <f>INDEX(Data_Assessment[],MATCH('Rekomendasi HAV'!$A455,Data_Assessment[[INDEX]:[INDEX]],0),MATCH('Rekomendasi HAV'!D$1,Data_Assessment[#Headers],0))</f>
        <v>LSIP - Sei Merah Estate</v>
      </c>
      <c r="E455" s="68">
        <f>INDEX(Data_Assessment[],MATCH('Rekomendasi HAV'!$B455,Data_Assessment[[NAME]:[NAME]],0),MATCH('Rekomendasi HAV'!E$1,Data_Assessment[#Headers],0))</f>
        <v>0</v>
      </c>
      <c r="F455" s="68"/>
      <c r="G455" s="68">
        <f>IF(ISNUMBER(SEARCH("DEV",Assessment[[#This Row],[JOB TARGET]])),SUBSTITUTE(Assessment[[#This Row],[JOB TARGET]],"DEV","EST"),Assessment[[#This Row],[JOB TARGET]])</f>
        <v>0</v>
      </c>
      <c r="H455" s="146" t="str" cm="1">
        <f t="array" aca="1" ref="H455" ca="1">IF(Assessment[[#This Row],[JOB TARGET]]="","Job Target Kosong",IF(COUNT(IF('Data Assessment'!$N455:$Z455-OFFSET(Standar!$B$2,MATCH(Assessment[[#This Row],[JOB TARGET
(EST)]],Standar[NAMA JABATAN],0)-1,1,1,13)&lt;0,1,""))&lt;=3,'9 Grid'!$B$4,IF(COUNT(IF('Data Assessment'!$N455:$Z455-OFFSET(Standar!$B$2,MATCH(Assessment[[#This Row],[JOB TARGET]],Standar[NAMA JABATAN],0)-1,1,1,13)&lt;0,1,""))&gt;=7,'9 Grid'!$B$6,'9 Grid'!$B$5)))</f>
        <v>Job Target Kosong</v>
      </c>
      <c r="I455" s="146" t="str">
        <f>IFERROR(IF(Data_Assessment[[#This Row],[IPP (3 YEARS AVERAGE)]]="","(IPP Belum Ada)",IF(Data_Assessment[[#This Row],[IPP (3 YEARS AVERAGE)]]&lt;2,'9 Grid'!$F$2,IF(Data_Assessment[[#This Row],[IPP (3 YEARS AVERAGE)]]&gt;=4,'9 Grid'!$D$2,'9 Grid'!$E$2))),"")</f>
        <v>Exceptional Performance</v>
      </c>
      <c r="J455" s="146" t="str">
        <f ca="1">IFERROR(INDEX('9 Grid'!$D$4:$F$6,MATCH('Rekomendasi HAV'!H455,'9 Grid'!$B$4:$B$6,0),MATCH('Rekomendasi HAV'!I455,'9 Grid'!$D$2:$F$2,0)),"")</f>
        <v/>
      </c>
      <c r="K455" s="146" t="str">
        <f>IFERROR(INDEX('9 Grid'!$D$8:$F$8,1,MATCH('Rekomendasi HAV'!I455,'9 Grid'!$D$2:$F$2,0)),"")</f>
        <v>(I) Immediately</v>
      </c>
      <c r="L455" s="146">
        <f>IF(ISNUMBER(SEARCH("EST",Assessment[[#This Row],[JOB TARGET]])),SUBSTITUTE(Assessment[[#This Row],[JOB TARGET]],"EST","DEV"),Assessment[[#This Row],[JOB TARGET]])</f>
        <v>0</v>
      </c>
      <c r="M455" s="146" t="str" cm="1">
        <f t="array" aca="1" ref="M455" ca="1">IF(Assessment[[#This Row],[JOB TARGET]]="","Job Target Kosong",IF(COUNT(IF('Data Assessment'!$N455:$Z455-OFFSET(Standar!$B$2,MATCH(Assessment[[#This Row],[JOB TARGET
(DEV)]],Standar[NAMA JABATAN],0)-1,1,1,13)&lt;0,1,""))&lt;=3,'9 Grid'!$B$4,IF(COUNT(IF('Data Assessment'!$N455:$Z455-OFFSET(Standar!$B$2,MATCH(Assessment[[#This Row],[JOB TARGET
(DEV)]],Standar[NAMA JABATAN],0)-1,1,1,13)&lt;0,1,""))&gt;=7,'9 Grid'!$B$6,'9 Grid'!$B$5)))</f>
        <v>Job Target Kosong</v>
      </c>
      <c r="N455" s="146" t="str">
        <f>IFERROR(IF(Data_Assessment[[#This Row],[IPP (3 YEARS AVERAGE)]]="","(IPP Belum Ada)",IF(Data_Assessment[[#This Row],[IPP (3 YEARS AVERAGE)]]&lt;2,'9 Grid'!$F$2,IF(Data_Assessment[[#This Row],[IPP (3 YEARS AVERAGE)]]&gt;=4,'9 Grid'!$D$2,'9 Grid'!$E$2))),"")</f>
        <v>Exceptional Performance</v>
      </c>
      <c r="O455" s="146" t="str">
        <f ca="1">IFERROR(INDEX('9 Grid'!$D$4:$F$6,MATCH('Rekomendasi HAV'!M455,'9 Grid'!$B$4:$B$6,0),MATCH('Rekomendasi HAV'!N455,'9 Grid'!$D$2:$F$2,0)),"")</f>
        <v/>
      </c>
      <c r="P455" s="147" t="str">
        <f>IFERROR(INDEX('9 Grid'!$D$8:$F$8,1,MATCH('Rekomendasi HAV'!N455,'9 Grid'!$D$2:$F$2,0)),"")</f>
        <v>(I) Immediately</v>
      </c>
    </row>
    <row r="456" spans="1:16" ht="14.25">
      <c r="A456" s="67">
        <v>455</v>
      </c>
      <c r="B456" s="68" t="str">
        <f>INDEX(Data_Assessment[],MATCH('Rekomendasi HAV'!$A456,Data_Assessment[[INDEX]:[INDEX]],0),MATCH('Rekomendasi HAV'!B$1,Data_Assessment[#Headers],0))</f>
        <v>Abadi Pramana Pelawi</v>
      </c>
      <c r="C456" s="68" t="str">
        <f>INDEX(Data_Assessment[],MATCH('Rekomendasi HAV'!$A456,Data_Assessment[[INDEX]:[INDEX]],0),MATCH('Rekomendasi HAV'!C$1,Data_Assessment[#Headers],0))</f>
        <v>Sumatera Utara</v>
      </c>
      <c r="D456" s="68" t="str">
        <f>INDEX(Data_Assessment[],MATCH('Rekomendasi HAV'!$A456,Data_Assessment[[INDEX]:[INDEX]],0),MATCH('Rekomendasi HAV'!D$1,Data_Assessment[#Headers],0))</f>
        <v>LSIP - Bah Lias Estate</v>
      </c>
      <c r="E456" s="68">
        <f>INDEX(Data_Assessment[],MATCH('Rekomendasi HAV'!$B456,Data_Assessment[[NAME]:[NAME]],0),MATCH('Rekomendasi HAV'!E$1,Data_Assessment[#Headers],0))</f>
        <v>0</v>
      </c>
      <c r="F456" s="68"/>
      <c r="G456" s="68">
        <f>IF(ISNUMBER(SEARCH("DEV",Assessment[[#This Row],[JOB TARGET]])),SUBSTITUTE(Assessment[[#This Row],[JOB TARGET]],"DEV","EST"),Assessment[[#This Row],[JOB TARGET]])</f>
        <v>0</v>
      </c>
      <c r="H456" s="146" t="str" cm="1">
        <f t="array" aca="1" ref="H456" ca="1">IF(Assessment[[#This Row],[JOB TARGET]]="","Job Target Kosong",IF(COUNT(IF('Data Assessment'!$N456:$Z456-OFFSET(Standar!$B$2,MATCH(Assessment[[#This Row],[JOB TARGET
(EST)]],Standar[NAMA JABATAN],0)-1,1,1,13)&lt;0,1,""))&lt;=3,'9 Grid'!$B$4,IF(COUNT(IF('Data Assessment'!$N456:$Z456-OFFSET(Standar!$B$2,MATCH(Assessment[[#This Row],[JOB TARGET]],Standar[NAMA JABATAN],0)-1,1,1,13)&lt;0,1,""))&gt;=7,'9 Grid'!$B$6,'9 Grid'!$B$5)))</f>
        <v>Job Target Kosong</v>
      </c>
      <c r="I456" s="146" t="str">
        <f>IFERROR(IF(Data_Assessment[[#This Row],[IPP (3 YEARS AVERAGE)]]="","(IPP Belum Ada)",IF(Data_Assessment[[#This Row],[IPP (3 YEARS AVERAGE)]]&lt;2,'9 Grid'!$F$2,IF(Data_Assessment[[#This Row],[IPP (3 YEARS AVERAGE)]]&gt;=4,'9 Grid'!$D$2,'9 Grid'!$E$2))),"")</f>
        <v>Exceptional Performance</v>
      </c>
      <c r="J456" s="146" t="str">
        <f ca="1">IFERROR(INDEX('9 Grid'!$D$4:$F$6,MATCH('Rekomendasi HAV'!H456,'9 Grid'!$B$4:$B$6,0),MATCH('Rekomendasi HAV'!I456,'9 Grid'!$D$2:$F$2,0)),"")</f>
        <v/>
      </c>
      <c r="K456" s="146" t="str">
        <f>IFERROR(INDEX('9 Grid'!$D$8:$F$8,1,MATCH('Rekomendasi HAV'!I456,'9 Grid'!$D$2:$F$2,0)),"")</f>
        <v>(I) Immediately</v>
      </c>
      <c r="L456" s="146">
        <f>IF(ISNUMBER(SEARCH("EST",Assessment[[#This Row],[JOB TARGET]])),SUBSTITUTE(Assessment[[#This Row],[JOB TARGET]],"EST","DEV"),Assessment[[#This Row],[JOB TARGET]])</f>
        <v>0</v>
      </c>
      <c r="M456" s="146" t="str" cm="1">
        <f t="array" aca="1" ref="M456" ca="1">IF(Assessment[[#This Row],[JOB TARGET]]="","Job Target Kosong",IF(COUNT(IF('Data Assessment'!$N456:$Z456-OFFSET(Standar!$B$2,MATCH(Assessment[[#This Row],[JOB TARGET
(DEV)]],Standar[NAMA JABATAN],0)-1,1,1,13)&lt;0,1,""))&lt;=3,'9 Grid'!$B$4,IF(COUNT(IF('Data Assessment'!$N456:$Z456-OFFSET(Standar!$B$2,MATCH(Assessment[[#This Row],[JOB TARGET
(DEV)]],Standar[NAMA JABATAN],0)-1,1,1,13)&lt;0,1,""))&gt;=7,'9 Grid'!$B$6,'9 Grid'!$B$5)))</f>
        <v>Job Target Kosong</v>
      </c>
      <c r="N456" s="146" t="str">
        <f>IFERROR(IF(Data_Assessment[[#This Row],[IPP (3 YEARS AVERAGE)]]="","(IPP Belum Ada)",IF(Data_Assessment[[#This Row],[IPP (3 YEARS AVERAGE)]]&lt;2,'9 Grid'!$F$2,IF(Data_Assessment[[#This Row],[IPP (3 YEARS AVERAGE)]]&gt;=4,'9 Grid'!$D$2,'9 Grid'!$E$2))),"")</f>
        <v>Exceptional Performance</v>
      </c>
      <c r="O456" s="146" t="str">
        <f ca="1">IFERROR(INDEX('9 Grid'!$D$4:$F$6,MATCH('Rekomendasi HAV'!M456,'9 Grid'!$B$4:$B$6,0),MATCH('Rekomendasi HAV'!N456,'9 Grid'!$D$2:$F$2,0)),"")</f>
        <v/>
      </c>
      <c r="P456" s="147" t="str">
        <f>IFERROR(INDEX('9 Grid'!$D$8:$F$8,1,MATCH('Rekomendasi HAV'!N456,'9 Grid'!$D$2:$F$2,0)),"")</f>
        <v>(I) Immediately</v>
      </c>
    </row>
    <row r="457" spans="1:16" ht="28.5">
      <c r="A457" s="67">
        <v>456</v>
      </c>
      <c r="B457" s="68" t="str">
        <f>INDEX(Data_Assessment[],MATCH('Rekomendasi HAV'!$A457,Data_Assessment[[INDEX]:[INDEX]],0),MATCH('Rekomendasi HAV'!B$1,Data_Assessment[#Headers],0))</f>
        <v>T. Affian Bachri, Ir.</v>
      </c>
      <c r="C457" s="68" t="str">
        <f>INDEX(Data_Assessment[],MATCH('Rekomendasi HAV'!$A457,Data_Assessment[[INDEX]:[INDEX]],0),MATCH('Rekomendasi HAV'!C$1,Data_Assessment[#Headers],0))</f>
        <v>Sumatera Utara</v>
      </c>
      <c r="D457" s="68" t="str">
        <f>INDEX(Data_Assessment[],MATCH('Rekomendasi HAV'!$A457,Data_Assessment[[INDEX]:[INDEX]],0),MATCH('Rekomendasi HAV'!D$1,Data_Assessment[#Headers],0))</f>
        <v>LSIP - Sei Merah Estate</v>
      </c>
      <c r="E457" s="68">
        <f>INDEX(Data_Assessment[],MATCH('Rekomendasi HAV'!$B457,Data_Assessment[[NAME]:[NAME]],0),MATCH('Rekomendasi HAV'!E$1,Data_Assessment[#Headers],0))</f>
        <v>0</v>
      </c>
      <c r="F457" s="68"/>
      <c r="G457" s="68">
        <f>IF(ISNUMBER(SEARCH("DEV",Assessment[[#This Row],[JOB TARGET]])),SUBSTITUTE(Assessment[[#This Row],[JOB TARGET]],"DEV","EST"),Assessment[[#This Row],[JOB TARGET]])</f>
        <v>0</v>
      </c>
      <c r="H457" s="146" t="str" cm="1">
        <f t="array" aca="1" ref="H457" ca="1">IF(Assessment[[#This Row],[JOB TARGET]]="","Job Target Kosong",IF(COUNT(IF('Data Assessment'!$N457:$Z457-OFFSET(Standar!$B$2,MATCH(Assessment[[#This Row],[JOB TARGET
(EST)]],Standar[NAMA JABATAN],0)-1,1,1,13)&lt;0,1,""))&lt;=3,'9 Grid'!$B$4,IF(COUNT(IF('Data Assessment'!$N457:$Z457-OFFSET(Standar!$B$2,MATCH(Assessment[[#This Row],[JOB TARGET]],Standar[NAMA JABATAN],0)-1,1,1,13)&lt;0,1,""))&gt;=7,'9 Grid'!$B$6,'9 Grid'!$B$5)))</f>
        <v>Job Target Kosong</v>
      </c>
      <c r="I457" s="146" t="str">
        <f>IFERROR(IF(Data_Assessment[[#This Row],[IPP (3 YEARS AVERAGE)]]="","(IPP Belum Ada)",IF(Data_Assessment[[#This Row],[IPP (3 YEARS AVERAGE)]]&lt;2,'9 Grid'!$F$2,IF(Data_Assessment[[#This Row],[IPP (3 YEARS AVERAGE)]]&gt;=4,'9 Grid'!$D$2,'9 Grid'!$E$2))),"")</f>
        <v>Fully Competence Performance</v>
      </c>
      <c r="J457" s="146" t="str">
        <f ca="1">IFERROR(INDEX('9 Grid'!$D$4:$F$6,MATCH('Rekomendasi HAV'!H457,'9 Grid'!$B$4:$B$6,0),MATCH('Rekomendasi HAV'!I457,'9 Grid'!$D$2:$F$2,0)),"")</f>
        <v/>
      </c>
      <c r="K457" s="146" t="str">
        <f>IFERROR(INDEX('9 Grid'!$D$8:$F$8,1,MATCH('Rekomendasi HAV'!I457,'9 Grid'!$D$2:$F$2,0)),"")</f>
        <v>(ST) Within 12 - 18 month</v>
      </c>
      <c r="L457" s="146">
        <f>IF(ISNUMBER(SEARCH("EST",Assessment[[#This Row],[JOB TARGET]])),SUBSTITUTE(Assessment[[#This Row],[JOB TARGET]],"EST","DEV"),Assessment[[#This Row],[JOB TARGET]])</f>
        <v>0</v>
      </c>
      <c r="M457" s="146" t="str" cm="1">
        <f t="array" aca="1" ref="M457" ca="1">IF(Assessment[[#This Row],[JOB TARGET]]="","Job Target Kosong",IF(COUNT(IF('Data Assessment'!$N457:$Z457-OFFSET(Standar!$B$2,MATCH(Assessment[[#This Row],[JOB TARGET
(DEV)]],Standar[NAMA JABATAN],0)-1,1,1,13)&lt;0,1,""))&lt;=3,'9 Grid'!$B$4,IF(COUNT(IF('Data Assessment'!$N457:$Z457-OFFSET(Standar!$B$2,MATCH(Assessment[[#This Row],[JOB TARGET
(DEV)]],Standar[NAMA JABATAN],0)-1,1,1,13)&lt;0,1,""))&gt;=7,'9 Grid'!$B$6,'9 Grid'!$B$5)))</f>
        <v>Job Target Kosong</v>
      </c>
      <c r="N457" s="146" t="str">
        <f>IFERROR(IF(Data_Assessment[[#This Row],[IPP (3 YEARS AVERAGE)]]="","(IPP Belum Ada)",IF(Data_Assessment[[#This Row],[IPP (3 YEARS AVERAGE)]]&lt;2,'9 Grid'!$F$2,IF(Data_Assessment[[#This Row],[IPP (3 YEARS AVERAGE)]]&gt;=4,'9 Grid'!$D$2,'9 Grid'!$E$2))),"")</f>
        <v>Fully Competence Performance</v>
      </c>
      <c r="O457" s="146" t="str">
        <f ca="1">IFERROR(INDEX('9 Grid'!$D$4:$F$6,MATCH('Rekomendasi HAV'!M457,'9 Grid'!$B$4:$B$6,0),MATCH('Rekomendasi HAV'!N457,'9 Grid'!$D$2:$F$2,0)),"")</f>
        <v/>
      </c>
      <c r="P457" s="147" t="str">
        <f>IFERROR(INDEX('9 Grid'!$D$8:$F$8,1,MATCH('Rekomendasi HAV'!N457,'9 Grid'!$D$2:$F$2,0)),"")</f>
        <v>(ST) Within 12 - 18 month</v>
      </c>
    </row>
    <row r="458" spans="1:16" ht="28.5">
      <c r="A458" s="67">
        <v>457</v>
      </c>
      <c r="B458" s="68" t="str">
        <f>INDEX(Data_Assessment[],MATCH('Rekomendasi HAV'!$A458,Data_Assessment[[INDEX]:[INDEX]],0),MATCH('Rekomendasi HAV'!B$1,Data_Assessment[#Headers],0))</f>
        <v>Chairil Anwar Ridwan, SP</v>
      </c>
      <c r="C458" s="68" t="str">
        <f>INDEX(Data_Assessment[],MATCH('Rekomendasi HAV'!$A458,Data_Assessment[[INDEX]:[INDEX]],0),MATCH('Rekomendasi HAV'!C$1,Data_Assessment[#Headers],0))</f>
        <v>Sumatera Utara</v>
      </c>
      <c r="D458" s="68" t="str">
        <f>INDEX(Data_Assessment[],MATCH('Rekomendasi HAV'!$A458,Data_Assessment[[INDEX]:[INDEX]],0),MATCH('Rekomendasi HAV'!D$1,Data_Assessment[#Headers],0))</f>
        <v>LSIP - Dolok Estate</v>
      </c>
      <c r="E458" s="68">
        <f>INDEX(Data_Assessment[],MATCH('Rekomendasi HAV'!$B458,Data_Assessment[[NAME]:[NAME]],0),MATCH('Rekomendasi HAV'!E$1,Data_Assessment[#Headers],0))</f>
        <v>0</v>
      </c>
      <c r="F458" s="68"/>
      <c r="G458" s="68">
        <f>IF(ISNUMBER(SEARCH("DEV",Assessment[[#This Row],[JOB TARGET]])),SUBSTITUTE(Assessment[[#This Row],[JOB TARGET]],"DEV","EST"),Assessment[[#This Row],[JOB TARGET]])</f>
        <v>0</v>
      </c>
      <c r="H458" s="146" t="str" cm="1">
        <f t="array" aca="1" ref="H458" ca="1">IF(Assessment[[#This Row],[JOB TARGET]]="","Job Target Kosong",IF(COUNT(IF('Data Assessment'!$N458:$Z458-OFFSET(Standar!$B$2,MATCH(Assessment[[#This Row],[JOB TARGET
(EST)]],Standar[NAMA JABATAN],0)-1,1,1,13)&lt;0,1,""))&lt;=3,'9 Grid'!$B$4,IF(COUNT(IF('Data Assessment'!$N458:$Z458-OFFSET(Standar!$B$2,MATCH(Assessment[[#This Row],[JOB TARGET]],Standar[NAMA JABATAN],0)-1,1,1,13)&lt;0,1,""))&gt;=7,'9 Grid'!$B$6,'9 Grid'!$B$5)))</f>
        <v>Job Target Kosong</v>
      </c>
      <c r="I458" s="146" t="str">
        <f>IFERROR(IF(Data_Assessment[[#This Row],[IPP (3 YEARS AVERAGE)]]="","(IPP Belum Ada)",IF(Data_Assessment[[#This Row],[IPP (3 YEARS AVERAGE)]]&lt;2,'9 Grid'!$F$2,IF(Data_Assessment[[#This Row],[IPP (3 YEARS AVERAGE)]]&gt;=4,'9 Grid'!$D$2,'9 Grid'!$E$2))),"")</f>
        <v>Fully Competence Performance</v>
      </c>
      <c r="J458" s="146" t="str">
        <f ca="1">IFERROR(INDEX('9 Grid'!$D$4:$F$6,MATCH('Rekomendasi HAV'!H458,'9 Grid'!$B$4:$B$6,0),MATCH('Rekomendasi HAV'!I458,'9 Grid'!$D$2:$F$2,0)),"")</f>
        <v/>
      </c>
      <c r="K458" s="146" t="str">
        <f>IFERROR(INDEX('9 Grid'!$D$8:$F$8,1,MATCH('Rekomendasi HAV'!I458,'9 Grid'!$D$2:$F$2,0)),"")</f>
        <v>(ST) Within 12 - 18 month</v>
      </c>
      <c r="L458" s="146">
        <f>IF(ISNUMBER(SEARCH("EST",Assessment[[#This Row],[JOB TARGET]])),SUBSTITUTE(Assessment[[#This Row],[JOB TARGET]],"EST","DEV"),Assessment[[#This Row],[JOB TARGET]])</f>
        <v>0</v>
      </c>
      <c r="M458" s="146" t="str" cm="1">
        <f t="array" aca="1" ref="M458" ca="1">IF(Assessment[[#This Row],[JOB TARGET]]="","Job Target Kosong",IF(COUNT(IF('Data Assessment'!$N458:$Z458-OFFSET(Standar!$B$2,MATCH(Assessment[[#This Row],[JOB TARGET
(DEV)]],Standar[NAMA JABATAN],0)-1,1,1,13)&lt;0,1,""))&lt;=3,'9 Grid'!$B$4,IF(COUNT(IF('Data Assessment'!$N458:$Z458-OFFSET(Standar!$B$2,MATCH(Assessment[[#This Row],[JOB TARGET
(DEV)]],Standar[NAMA JABATAN],0)-1,1,1,13)&lt;0,1,""))&gt;=7,'9 Grid'!$B$6,'9 Grid'!$B$5)))</f>
        <v>Job Target Kosong</v>
      </c>
      <c r="N458" s="146" t="str">
        <f>IFERROR(IF(Data_Assessment[[#This Row],[IPP (3 YEARS AVERAGE)]]="","(IPP Belum Ada)",IF(Data_Assessment[[#This Row],[IPP (3 YEARS AVERAGE)]]&lt;2,'9 Grid'!$F$2,IF(Data_Assessment[[#This Row],[IPP (3 YEARS AVERAGE)]]&gt;=4,'9 Grid'!$D$2,'9 Grid'!$E$2))),"")</f>
        <v>Fully Competence Performance</v>
      </c>
      <c r="O458" s="146" t="str">
        <f ca="1">IFERROR(INDEX('9 Grid'!$D$4:$F$6,MATCH('Rekomendasi HAV'!M458,'9 Grid'!$B$4:$B$6,0),MATCH('Rekomendasi HAV'!N458,'9 Grid'!$D$2:$F$2,0)),"")</f>
        <v/>
      </c>
      <c r="P458" s="147" t="str">
        <f>IFERROR(INDEX('9 Grid'!$D$8:$F$8,1,MATCH('Rekomendasi HAV'!N458,'9 Grid'!$D$2:$F$2,0)),"")</f>
        <v>(ST) Within 12 - 18 month</v>
      </c>
    </row>
    <row r="459" spans="1:16" ht="28.5">
      <c r="A459" s="67">
        <v>458</v>
      </c>
      <c r="B459" s="68" t="str">
        <f>INDEX(Data_Assessment[],MATCH('Rekomendasi HAV'!$A459,Data_Assessment[[INDEX]:[INDEX]],0),MATCH('Rekomendasi HAV'!B$1,Data_Assessment[#Headers],0))</f>
        <v>Aditia Rizki Doantha Purba</v>
      </c>
      <c r="C459" s="68" t="str">
        <f>INDEX(Data_Assessment[],MATCH('Rekomendasi HAV'!$A459,Data_Assessment[[INDEX]:[INDEX]],0),MATCH('Rekomendasi HAV'!C$1,Data_Assessment[#Headers],0))</f>
        <v>Sumatera Utara</v>
      </c>
      <c r="D459" s="68" t="str">
        <f>INDEX(Data_Assessment[],MATCH('Rekomendasi HAV'!$A459,Data_Assessment[[INDEX]:[INDEX]],0),MATCH('Rekomendasi HAV'!D$1,Data_Assessment[#Headers],0))</f>
        <v>LSIP - Dolok Estate</v>
      </c>
      <c r="E459" s="68">
        <f>INDEX(Data_Assessment[],MATCH('Rekomendasi HAV'!$B459,Data_Assessment[[NAME]:[NAME]],0),MATCH('Rekomendasi HAV'!E$1,Data_Assessment[#Headers],0))</f>
        <v>0</v>
      </c>
      <c r="F459" s="68"/>
      <c r="G459" s="68">
        <f>IF(ISNUMBER(SEARCH("DEV",Assessment[[#This Row],[JOB TARGET]])),SUBSTITUTE(Assessment[[#This Row],[JOB TARGET]],"DEV","EST"),Assessment[[#This Row],[JOB TARGET]])</f>
        <v>0</v>
      </c>
      <c r="H459" s="146" t="str" cm="1">
        <f t="array" aca="1" ref="H459" ca="1">IF(Assessment[[#This Row],[JOB TARGET]]="","Job Target Kosong",IF(COUNT(IF('Data Assessment'!$N459:$Z459-OFFSET(Standar!$B$2,MATCH(Assessment[[#This Row],[JOB TARGET
(EST)]],Standar[NAMA JABATAN],0)-1,1,1,13)&lt;0,1,""))&lt;=3,'9 Grid'!$B$4,IF(COUNT(IF('Data Assessment'!$N459:$Z459-OFFSET(Standar!$B$2,MATCH(Assessment[[#This Row],[JOB TARGET]],Standar[NAMA JABATAN],0)-1,1,1,13)&lt;0,1,""))&gt;=7,'9 Grid'!$B$6,'9 Grid'!$B$5)))</f>
        <v>Job Target Kosong</v>
      </c>
      <c r="I459" s="146" t="str">
        <f>IFERROR(IF(Data_Assessment[[#This Row],[IPP (3 YEARS AVERAGE)]]="","(IPP Belum Ada)",IF(Data_Assessment[[#This Row],[IPP (3 YEARS AVERAGE)]]&lt;2,'9 Grid'!$F$2,IF(Data_Assessment[[#This Row],[IPP (3 YEARS AVERAGE)]]&gt;=4,'9 Grid'!$D$2,'9 Grid'!$E$2))),"")</f>
        <v>Fully Competence Performance</v>
      </c>
      <c r="J459" s="146" t="str">
        <f ca="1">IFERROR(INDEX('9 Grid'!$D$4:$F$6,MATCH('Rekomendasi HAV'!H459,'9 Grid'!$B$4:$B$6,0),MATCH('Rekomendasi HAV'!I459,'9 Grid'!$D$2:$F$2,0)),"")</f>
        <v/>
      </c>
      <c r="K459" s="146" t="str">
        <f>IFERROR(INDEX('9 Grid'!$D$8:$F$8,1,MATCH('Rekomendasi HAV'!I459,'9 Grid'!$D$2:$F$2,0)),"")</f>
        <v>(ST) Within 12 - 18 month</v>
      </c>
      <c r="L459" s="146">
        <f>IF(ISNUMBER(SEARCH("EST",Assessment[[#This Row],[JOB TARGET]])),SUBSTITUTE(Assessment[[#This Row],[JOB TARGET]],"EST","DEV"),Assessment[[#This Row],[JOB TARGET]])</f>
        <v>0</v>
      </c>
      <c r="M459" s="146" t="str" cm="1">
        <f t="array" aca="1" ref="M459" ca="1">IF(Assessment[[#This Row],[JOB TARGET]]="","Job Target Kosong",IF(COUNT(IF('Data Assessment'!$N459:$Z459-OFFSET(Standar!$B$2,MATCH(Assessment[[#This Row],[JOB TARGET
(DEV)]],Standar[NAMA JABATAN],0)-1,1,1,13)&lt;0,1,""))&lt;=3,'9 Grid'!$B$4,IF(COUNT(IF('Data Assessment'!$N459:$Z459-OFFSET(Standar!$B$2,MATCH(Assessment[[#This Row],[JOB TARGET
(DEV)]],Standar[NAMA JABATAN],0)-1,1,1,13)&lt;0,1,""))&gt;=7,'9 Grid'!$B$6,'9 Grid'!$B$5)))</f>
        <v>Job Target Kosong</v>
      </c>
      <c r="N459" s="146" t="str">
        <f>IFERROR(IF(Data_Assessment[[#This Row],[IPP (3 YEARS AVERAGE)]]="","(IPP Belum Ada)",IF(Data_Assessment[[#This Row],[IPP (3 YEARS AVERAGE)]]&lt;2,'9 Grid'!$F$2,IF(Data_Assessment[[#This Row],[IPP (3 YEARS AVERAGE)]]&gt;=4,'9 Grid'!$D$2,'9 Grid'!$E$2))),"")</f>
        <v>Fully Competence Performance</v>
      </c>
      <c r="O459" s="146" t="str">
        <f ca="1">IFERROR(INDEX('9 Grid'!$D$4:$F$6,MATCH('Rekomendasi HAV'!M459,'9 Grid'!$B$4:$B$6,0),MATCH('Rekomendasi HAV'!N459,'9 Grid'!$D$2:$F$2,0)),"")</f>
        <v/>
      </c>
      <c r="P459" s="147" t="str">
        <f>IFERROR(INDEX('9 Grid'!$D$8:$F$8,1,MATCH('Rekomendasi HAV'!N459,'9 Grid'!$D$2:$F$2,0)),"")</f>
        <v>(ST) Within 12 - 18 month</v>
      </c>
    </row>
    <row r="460" spans="1:16" ht="28.5">
      <c r="A460" s="67">
        <v>459</v>
      </c>
      <c r="B460" s="68" t="str">
        <f>INDEX(Data_Assessment[],MATCH('Rekomendasi HAV'!$A460,Data_Assessment[[INDEX]:[INDEX]],0),MATCH('Rekomendasi HAV'!B$1,Data_Assessment[#Headers],0))</f>
        <v>M. Ali Osmar, Ir.</v>
      </c>
      <c r="C460" s="68" t="str">
        <f>INDEX(Data_Assessment[],MATCH('Rekomendasi HAV'!$A460,Data_Assessment[[INDEX]:[INDEX]],0),MATCH('Rekomendasi HAV'!C$1,Data_Assessment[#Headers],0))</f>
        <v>Sumatera Utara</v>
      </c>
      <c r="D460" s="68" t="str">
        <f>INDEX(Data_Assessment[],MATCH('Rekomendasi HAV'!$A460,Data_Assessment[[INDEX]:[INDEX]],0),MATCH('Rekomendasi HAV'!D$1,Data_Assessment[#Headers],0))</f>
        <v>LSIP - Dolok Estate</v>
      </c>
      <c r="E460" s="68">
        <f>INDEX(Data_Assessment[],MATCH('Rekomendasi HAV'!$B460,Data_Assessment[[NAME]:[NAME]],0),MATCH('Rekomendasi HAV'!E$1,Data_Assessment[#Headers],0))</f>
        <v>0</v>
      </c>
      <c r="F460" s="68"/>
      <c r="G460" s="68">
        <f>IF(ISNUMBER(SEARCH("DEV",Assessment[[#This Row],[JOB TARGET]])),SUBSTITUTE(Assessment[[#This Row],[JOB TARGET]],"DEV","EST"),Assessment[[#This Row],[JOB TARGET]])</f>
        <v>0</v>
      </c>
      <c r="H460" s="146" t="str" cm="1">
        <f t="array" aca="1" ref="H460" ca="1">IF(Assessment[[#This Row],[JOB TARGET]]="","Job Target Kosong",IF(COUNT(IF('Data Assessment'!$N460:$Z460-OFFSET(Standar!$B$2,MATCH(Assessment[[#This Row],[JOB TARGET
(EST)]],Standar[NAMA JABATAN],0)-1,1,1,13)&lt;0,1,""))&lt;=3,'9 Grid'!$B$4,IF(COUNT(IF('Data Assessment'!$N460:$Z460-OFFSET(Standar!$B$2,MATCH(Assessment[[#This Row],[JOB TARGET]],Standar[NAMA JABATAN],0)-1,1,1,13)&lt;0,1,""))&gt;=7,'9 Grid'!$B$6,'9 Grid'!$B$5)))</f>
        <v>Job Target Kosong</v>
      </c>
      <c r="I460" s="146" t="str">
        <f>IFERROR(IF(Data_Assessment[[#This Row],[IPP (3 YEARS AVERAGE)]]="","(IPP Belum Ada)",IF(Data_Assessment[[#This Row],[IPP (3 YEARS AVERAGE)]]&lt;2,'9 Grid'!$F$2,IF(Data_Assessment[[#This Row],[IPP (3 YEARS AVERAGE)]]&gt;=4,'9 Grid'!$D$2,'9 Grid'!$E$2))),"")</f>
        <v>Contributor</v>
      </c>
      <c r="J460" s="146" t="str">
        <f ca="1">IFERROR(INDEX('9 Grid'!$D$4:$F$6,MATCH('Rekomendasi HAV'!H460,'9 Grid'!$B$4:$B$6,0),MATCH('Rekomendasi HAV'!I460,'9 Grid'!$D$2:$F$2,0)),"")</f>
        <v/>
      </c>
      <c r="K460" s="146" t="str">
        <f>IFERROR(INDEX('9 Grid'!$D$8:$F$8,1,MATCH('Rekomendasi HAV'!I460,'9 Grid'!$D$2:$F$2,0)),"")</f>
        <v>(LT) More 2 - 3 year</v>
      </c>
      <c r="L460" s="146">
        <f>IF(ISNUMBER(SEARCH("EST",Assessment[[#This Row],[JOB TARGET]])),SUBSTITUTE(Assessment[[#This Row],[JOB TARGET]],"EST","DEV"),Assessment[[#This Row],[JOB TARGET]])</f>
        <v>0</v>
      </c>
      <c r="M460" s="146" t="str" cm="1">
        <f t="array" aca="1" ref="M460" ca="1">IF(Assessment[[#This Row],[JOB TARGET]]="","Job Target Kosong",IF(COUNT(IF('Data Assessment'!$N460:$Z460-OFFSET(Standar!$B$2,MATCH(Assessment[[#This Row],[JOB TARGET
(DEV)]],Standar[NAMA JABATAN],0)-1,1,1,13)&lt;0,1,""))&lt;=3,'9 Grid'!$B$4,IF(COUNT(IF('Data Assessment'!$N460:$Z460-OFFSET(Standar!$B$2,MATCH(Assessment[[#This Row],[JOB TARGET
(DEV)]],Standar[NAMA JABATAN],0)-1,1,1,13)&lt;0,1,""))&gt;=7,'9 Grid'!$B$6,'9 Grid'!$B$5)))</f>
        <v>Job Target Kosong</v>
      </c>
      <c r="N460" s="146" t="str">
        <f>IFERROR(IF(Data_Assessment[[#This Row],[IPP (3 YEARS AVERAGE)]]="","(IPP Belum Ada)",IF(Data_Assessment[[#This Row],[IPP (3 YEARS AVERAGE)]]&lt;2,'9 Grid'!$F$2,IF(Data_Assessment[[#This Row],[IPP (3 YEARS AVERAGE)]]&gt;=4,'9 Grid'!$D$2,'9 Grid'!$E$2))),"")</f>
        <v>Contributor</v>
      </c>
      <c r="O460" s="146" t="str">
        <f ca="1">IFERROR(INDEX('9 Grid'!$D$4:$F$6,MATCH('Rekomendasi HAV'!M460,'9 Grid'!$B$4:$B$6,0),MATCH('Rekomendasi HAV'!N460,'9 Grid'!$D$2:$F$2,0)),"")</f>
        <v/>
      </c>
      <c r="P460" s="147" t="str">
        <f>IFERROR(INDEX('9 Grid'!$D$8:$F$8,1,MATCH('Rekomendasi HAV'!N460,'9 Grid'!$D$2:$F$2,0)),"")</f>
        <v>(LT) More 2 - 3 year</v>
      </c>
    </row>
    <row r="461" spans="1:16" ht="28.5">
      <c r="A461" s="67">
        <v>460</v>
      </c>
      <c r="B461" s="68" t="str">
        <f>INDEX(Data_Assessment[],MATCH('Rekomendasi HAV'!$A461,Data_Assessment[[INDEX]:[INDEX]],0),MATCH('Rekomendasi HAV'!B$1,Data_Assessment[#Headers],0))</f>
        <v>M. Agustian Lesmana</v>
      </c>
      <c r="C461" s="68" t="str">
        <f>INDEX(Data_Assessment[],MATCH('Rekomendasi HAV'!$A461,Data_Assessment[[INDEX]:[INDEX]],0),MATCH('Rekomendasi HAV'!C$1,Data_Assessment[#Headers],0))</f>
        <v>Sumatera Utara</v>
      </c>
      <c r="D461" s="68" t="str">
        <f>INDEX(Data_Assessment[],MATCH('Rekomendasi HAV'!$A461,Data_Assessment[[INDEX]:[INDEX]],0),MATCH('Rekomendasi HAV'!D$1,Data_Assessment[#Headers],0))</f>
        <v>LSIP - RO Medan</v>
      </c>
      <c r="E461" s="68">
        <f>INDEX(Data_Assessment[],MATCH('Rekomendasi HAV'!$B461,Data_Assessment[[NAME]:[NAME]],0),MATCH('Rekomendasi HAV'!E$1,Data_Assessment[#Headers],0))</f>
        <v>0</v>
      </c>
      <c r="F461" s="68"/>
      <c r="G461" s="68">
        <f>IF(ISNUMBER(SEARCH("DEV",Assessment[[#This Row],[JOB TARGET]])),SUBSTITUTE(Assessment[[#This Row],[JOB TARGET]],"DEV","EST"),Assessment[[#This Row],[JOB TARGET]])</f>
        <v>0</v>
      </c>
      <c r="H461" s="146" t="str" cm="1">
        <f t="array" aca="1" ref="H461" ca="1">IF(Assessment[[#This Row],[JOB TARGET]]="","Job Target Kosong",IF(COUNT(IF('Data Assessment'!$N461:$Z461-OFFSET(Standar!$B$2,MATCH(Assessment[[#This Row],[JOB TARGET
(EST)]],Standar[NAMA JABATAN],0)-1,1,1,13)&lt;0,1,""))&lt;=3,'9 Grid'!$B$4,IF(COUNT(IF('Data Assessment'!$N461:$Z461-OFFSET(Standar!$B$2,MATCH(Assessment[[#This Row],[JOB TARGET]],Standar[NAMA JABATAN],0)-1,1,1,13)&lt;0,1,""))&gt;=7,'9 Grid'!$B$6,'9 Grid'!$B$5)))</f>
        <v>Job Target Kosong</v>
      </c>
      <c r="I461" s="146" t="str">
        <f>IFERROR(IF(Data_Assessment[[#This Row],[IPP (3 YEARS AVERAGE)]]="","(IPP Belum Ada)",IF(Data_Assessment[[#This Row],[IPP (3 YEARS AVERAGE)]]&lt;2,'9 Grid'!$F$2,IF(Data_Assessment[[#This Row],[IPP (3 YEARS AVERAGE)]]&gt;=4,'9 Grid'!$D$2,'9 Grid'!$E$2))),"")</f>
        <v>Fully Competence Performance</v>
      </c>
      <c r="J461" s="146" t="str">
        <f ca="1">IFERROR(INDEX('9 Grid'!$D$4:$F$6,MATCH('Rekomendasi HAV'!H461,'9 Grid'!$B$4:$B$6,0),MATCH('Rekomendasi HAV'!I461,'9 Grid'!$D$2:$F$2,0)),"")</f>
        <v/>
      </c>
      <c r="K461" s="146" t="str">
        <f>IFERROR(INDEX('9 Grid'!$D$8:$F$8,1,MATCH('Rekomendasi HAV'!I461,'9 Grid'!$D$2:$F$2,0)),"")</f>
        <v>(ST) Within 12 - 18 month</v>
      </c>
      <c r="L461" s="146">
        <f>IF(ISNUMBER(SEARCH("EST",Assessment[[#This Row],[JOB TARGET]])),SUBSTITUTE(Assessment[[#This Row],[JOB TARGET]],"EST","DEV"),Assessment[[#This Row],[JOB TARGET]])</f>
        <v>0</v>
      </c>
      <c r="M461" s="146" t="str" cm="1">
        <f t="array" aca="1" ref="M461" ca="1">IF(Assessment[[#This Row],[JOB TARGET]]="","Job Target Kosong",IF(COUNT(IF('Data Assessment'!$N461:$Z461-OFFSET(Standar!$B$2,MATCH(Assessment[[#This Row],[JOB TARGET
(DEV)]],Standar[NAMA JABATAN],0)-1,1,1,13)&lt;0,1,""))&lt;=3,'9 Grid'!$B$4,IF(COUNT(IF('Data Assessment'!$N461:$Z461-OFFSET(Standar!$B$2,MATCH(Assessment[[#This Row],[JOB TARGET
(DEV)]],Standar[NAMA JABATAN],0)-1,1,1,13)&lt;0,1,""))&gt;=7,'9 Grid'!$B$6,'9 Grid'!$B$5)))</f>
        <v>Job Target Kosong</v>
      </c>
      <c r="N461" s="146" t="str">
        <f>IFERROR(IF(Data_Assessment[[#This Row],[IPP (3 YEARS AVERAGE)]]="","(IPP Belum Ada)",IF(Data_Assessment[[#This Row],[IPP (3 YEARS AVERAGE)]]&lt;2,'9 Grid'!$F$2,IF(Data_Assessment[[#This Row],[IPP (3 YEARS AVERAGE)]]&gt;=4,'9 Grid'!$D$2,'9 Grid'!$E$2))),"")</f>
        <v>Fully Competence Performance</v>
      </c>
      <c r="O461" s="146" t="str">
        <f ca="1">IFERROR(INDEX('9 Grid'!$D$4:$F$6,MATCH('Rekomendasi HAV'!M461,'9 Grid'!$B$4:$B$6,0),MATCH('Rekomendasi HAV'!N461,'9 Grid'!$D$2:$F$2,0)),"")</f>
        <v/>
      </c>
      <c r="P461" s="147" t="str">
        <f>IFERROR(INDEX('9 Grid'!$D$8:$F$8,1,MATCH('Rekomendasi HAV'!N461,'9 Grid'!$D$2:$F$2,0)),"")</f>
        <v>(ST) Within 12 - 18 month</v>
      </c>
    </row>
    <row r="462" spans="1:16" ht="28.5">
      <c r="A462" s="67">
        <v>461</v>
      </c>
      <c r="B462" s="68" t="str">
        <f>INDEX(Data_Assessment[],MATCH('Rekomendasi HAV'!$A462,Data_Assessment[[INDEX]:[INDEX]],0),MATCH('Rekomendasi HAV'!B$1,Data_Assessment[#Headers],0))</f>
        <v>Aswin Adami, Ir.</v>
      </c>
      <c r="C462" s="68" t="str">
        <f>INDEX(Data_Assessment[],MATCH('Rekomendasi HAV'!$A462,Data_Assessment[[INDEX]:[INDEX]],0),MATCH('Rekomendasi HAV'!C$1,Data_Assessment[#Headers],0))</f>
        <v>Sumatera Utara</v>
      </c>
      <c r="D462" s="68" t="str">
        <f>INDEX(Data_Assessment[],MATCH('Rekomendasi HAV'!$A462,Data_Assessment[[INDEX]:[INDEX]],0),MATCH('Rekomendasi HAV'!D$1,Data_Assessment[#Headers],0))</f>
        <v>LSIP - Gunung Malayu Estate</v>
      </c>
      <c r="E462" s="68">
        <f>INDEX(Data_Assessment[],MATCH('Rekomendasi HAV'!$B462,Data_Assessment[[NAME]:[NAME]],0),MATCH('Rekomendasi HAV'!E$1,Data_Assessment[#Headers],0))</f>
        <v>0</v>
      </c>
      <c r="F462" s="68"/>
      <c r="G462" s="68">
        <f>IF(ISNUMBER(SEARCH("DEV",Assessment[[#This Row],[JOB TARGET]])),SUBSTITUTE(Assessment[[#This Row],[JOB TARGET]],"DEV","EST"),Assessment[[#This Row],[JOB TARGET]])</f>
        <v>0</v>
      </c>
      <c r="H462" s="146" t="str" cm="1">
        <f t="array" aca="1" ref="H462" ca="1">IF(Assessment[[#This Row],[JOB TARGET]]="","Job Target Kosong",IF(COUNT(IF('Data Assessment'!$N462:$Z462-OFFSET(Standar!$B$2,MATCH(Assessment[[#This Row],[JOB TARGET
(EST)]],Standar[NAMA JABATAN],0)-1,1,1,13)&lt;0,1,""))&lt;=3,'9 Grid'!$B$4,IF(COUNT(IF('Data Assessment'!$N462:$Z462-OFFSET(Standar!$B$2,MATCH(Assessment[[#This Row],[JOB TARGET]],Standar[NAMA JABATAN],0)-1,1,1,13)&lt;0,1,""))&gt;=7,'9 Grid'!$B$6,'9 Grid'!$B$5)))</f>
        <v>Job Target Kosong</v>
      </c>
      <c r="I462" s="146" t="str">
        <f>IFERROR(IF(Data_Assessment[[#This Row],[IPP (3 YEARS AVERAGE)]]="","(IPP Belum Ada)",IF(Data_Assessment[[#This Row],[IPP (3 YEARS AVERAGE)]]&lt;2,'9 Grid'!$F$2,IF(Data_Assessment[[#This Row],[IPP (3 YEARS AVERAGE)]]&gt;=4,'9 Grid'!$D$2,'9 Grid'!$E$2))),"")</f>
        <v>Fully Competence Performance</v>
      </c>
      <c r="J462" s="146" t="str">
        <f ca="1">IFERROR(INDEX('9 Grid'!$D$4:$F$6,MATCH('Rekomendasi HAV'!H462,'9 Grid'!$B$4:$B$6,0),MATCH('Rekomendasi HAV'!I462,'9 Grid'!$D$2:$F$2,0)),"")</f>
        <v/>
      </c>
      <c r="K462" s="146" t="str">
        <f>IFERROR(INDEX('9 Grid'!$D$8:$F$8,1,MATCH('Rekomendasi HAV'!I462,'9 Grid'!$D$2:$F$2,0)),"")</f>
        <v>(ST) Within 12 - 18 month</v>
      </c>
      <c r="L462" s="146">
        <f>IF(ISNUMBER(SEARCH("EST",Assessment[[#This Row],[JOB TARGET]])),SUBSTITUTE(Assessment[[#This Row],[JOB TARGET]],"EST","DEV"),Assessment[[#This Row],[JOB TARGET]])</f>
        <v>0</v>
      </c>
      <c r="M462" s="146" t="str" cm="1">
        <f t="array" aca="1" ref="M462" ca="1">IF(Assessment[[#This Row],[JOB TARGET]]="","Job Target Kosong",IF(COUNT(IF('Data Assessment'!$N462:$Z462-OFFSET(Standar!$B$2,MATCH(Assessment[[#This Row],[JOB TARGET
(DEV)]],Standar[NAMA JABATAN],0)-1,1,1,13)&lt;0,1,""))&lt;=3,'9 Grid'!$B$4,IF(COUNT(IF('Data Assessment'!$N462:$Z462-OFFSET(Standar!$B$2,MATCH(Assessment[[#This Row],[JOB TARGET
(DEV)]],Standar[NAMA JABATAN],0)-1,1,1,13)&lt;0,1,""))&gt;=7,'9 Grid'!$B$6,'9 Grid'!$B$5)))</f>
        <v>Job Target Kosong</v>
      </c>
      <c r="N462" s="146" t="str">
        <f>IFERROR(IF(Data_Assessment[[#This Row],[IPP (3 YEARS AVERAGE)]]="","(IPP Belum Ada)",IF(Data_Assessment[[#This Row],[IPP (3 YEARS AVERAGE)]]&lt;2,'9 Grid'!$F$2,IF(Data_Assessment[[#This Row],[IPP (3 YEARS AVERAGE)]]&gt;=4,'9 Grid'!$D$2,'9 Grid'!$E$2))),"")</f>
        <v>Fully Competence Performance</v>
      </c>
      <c r="O462" s="146" t="str">
        <f ca="1">IFERROR(INDEX('9 Grid'!$D$4:$F$6,MATCH('Rekomendasi HAV'!M462,'9 Grid'!$B$4:$B$6,0),MATCH('Rekomendasi HAV'!N462,'9 Grid'!$D$2:$F$2,0)),"")</f>
        <v/>
      </c>
      <c r="P462" s="147" t="str">
        <f>IFERROR(INDEX('9 Grid'!$D$8:$F$8,1,MATCH('Rekomendasi HAV'!N462,'9 Grid'!$D$2:$F$2,0)),"")</f>
        <v>(ST) Within 12 - 18 month</v>
      </c>
    </row>
    <row r="463" spans="1:16" ht="14.25">
      <c r="A463" s="67">
        <v>462</v>
      </c>
      <c r="B463" s="68" t="str">
        <f>INDEX(Data_Assessment[],MATCH('Rekomendasi HAV'!$A463,Data_Assessment[[INDEX]:[INDEX]],0),MATCH('Rekomendasi HAV'!B$1,Data_Assessment[#Headers],0))</f>
        <v>Budi Yansari N. Ir.</v>
      </c>
      <c r="C463" s="68" t="str">
        <f>INDEX(Data_Assessment[],MATCH('Rekomendasi HAV'!$A463,Data_Assessment[[INDEX]:[INDEX]],0),MATCH('Rekomendasi HAV'!C$1,Data_Assessment[#Headers],0))</f>
        <v>Sumatera Utara</v>
      </c>
      <c r="D463" s="68" t="str">
        <f>INDEX(Data_Assessment[],MATCH('Rekomendasi HAV'!$A463,Data_Assessment[[INDEX]:[INDEX]],0),MATCH('Rekomendasi HAV'!D$1,Data_Assessment[#Headers],0))</f>
        <v>LSIP - Turangie Estate</v>
      </c>
      <c r="E463" s="68">
        <f>INDEX(Data_Assessment[],MATCH('Rekomendasi HAV'!$B463,Data_Assessment[[NAME]:[NAME]],0),MATCH('Rekomendasi HAV'!E$1,Data_Assessment[#Headers],0))</f>
        <v>0</v>
      </c>
      <c r="F463" s="68"/>
      <c r="G463" s="68">
        <f>IF(ISNUMBER(SEARCH("DEV",Assessment[[#This Row],[JOB TARGET]])),SUBSTITUTE(Assessment[[#This Row],[JOB TARGET]],"DEV","EST"),Assessment[[#This Row],[JOB TARGET]])</f>
        <v>0</v>
      </c>
      <c r="H463" s="146" t="str" cm="1">
        <f t="array" aca="1" ref="H463" ca="1">IF(Assessment[[#This Row],[JOB TARGET]]="","Job Target Kosong",IF(COUNT(IF('Data Assessment'!$N463:$Z463-OFFSET(Standar!$B$2,MATCH(Assessment[[#This Row],[JOB TARGET
(EST)]],Standar[NAMA JABATAN],0)-1,1,1,13)&lt;0,1,""))&lt;=3,'9 Grid'!$B$4,IF(COUNT(IF('Data Assessment'!$N463:$Z463-OFFSET(Standar!$B$2,MATCH(Assessment[[#This Row],[JOB TARGET]],Standar[NAMA JABATAN],0)-1,1,1,13)&lt;0,1,""))&gt;=7,'9 Grid'!$B$6,'9 Grid'!$B$5)))</f>
        <v>Job Target Kosong</v>
      </c>
      <c r="I463" s="146" t="str">
        <f>IFERROR(IF(Data_Assessment[[#This Row],[IPP (3 YEARS AVERAGE)]]="","(IPP Belum Ada)",IF(Data_Assessment[[#This Row],[IPP (3 YEARS AVERAGE)]]&lt;2,'9 Grid'!$F$2,IF(Data_Assessment[[#This Row],[IPP (3 YEARS AVERAGE)]]&gt;=4,'9 Grid'!$D$2,'9 Grid'!$E$2))),"")</f>
        <v>Exceptional Performance</v>
      </c>
      <c r="J463" s="146" t="str">
        <f ca="1">IFERROR(INDEX('9 Grid'!$D$4:$F$6,MATCH('Rekomendasi HAV'!H463,'9 Grid'!$B$4:$B$6,0),MATCH('Rekomendasi HAV'!I463,'9 Grid'!$D$2:$F$2,0)),"")</f>
        <v/>
      </c>
      <c r="K463" s="146" t="str">
        <f>IFERROR(INDEX('9 Grid'!$D$8:$F$8,1,MATCH('Rekomendasi HAV'!I463,'9 Grid'!$D$2:$F$2,0)),"")</f>
        <v>(I) Immediately</v>
      </c>
      <c r="L463" s="146">
        <f>IF(ISNUMBER(SEARCH("EST",Assessment[[#This Row],[JOB TARGET]])),SUBSTITUTE(Assessment[[#This Row],[JOB TARGET]],"EST","DEV"),Assessment[[#This Row],[JOB TARGET]])</f>
        <v>0</v>
      </c>
      <c r="M463" s="146" t="str" cm="1">
        <f t="array" aca="1" ref="M463" ca="1">IF(Assessment[[#This Row],[JOB TARGET]]="","Job Target Kosong",IF(COUNT(IF('Data Assessment'!$N463:$Z463-OFFSET(Standar!$B$2,MATCH(Assessment[[#This Row],[JOB TARGET
(DEV)]],Standar[NAMA JABATAN],0)-1,1,1,13)&lt;0,1,""))&lt;=3,'9 Grid'!$B$4,IF(COUNT(IF('Data Assessment'!$N463:$Z463-OFFSET(Standar!$B$2,MATCH(Assessment[[#This Row],[JOB TARGET
(DEV)]],Standar[NAMA JABATAN],0)-1,1,1,13)&lt;0,1,""))&gt;=7,'9 Grid'!$B$6,'9 Grid'!$B$5)))</f>
        <v>Job Target Kosong</v>
      </c>
      <c r="N463" s="146" t="str">
        <f>IFERROR(IF(Data_Assessment[[#This Row],[IPP (3 YEARS AVERAGE)]]="","(IPP Belum Ada)",IF(Data_Assessment[[#This Row],[IPP (3 YEARS AVERAGE)]]&lt;2,'9 Grid'!$F$2,IF(Data_Assessment[[#This Row],[IPP (3 YEARS AVERAGE)]]&gt;=4,'9 Grid'!$D$2,'9 Grid'!$E$2))),"")</f>
        <v>Exceptional Performance</v>
      </c>
      <c r="O463" s="146" t="str">
        <f ca="1">IFERROR(INDEX('9 Grid'!$D$4:$F$6,MATCH('Rekomendasi HAV'!M463,'9 Grid'!$B$4:$B$6,0),MATCH('Rekomendasi HAV'!N463,'9 Grid'!$D$2:$F$2,0)),"")</f>
        <v/>
      </c>
      <c r="P463" s="147" t="str">
        <f>IFERROR(INDEX('9 Grid'!$D$8:$F$8,1,MATCH('Rekomendasi HAV'!N463,'9 Grid'!$D$2:$F$2,0)),"")</f>
        <v>(I) Immediately</v>
      </c>
    </row>
    <row r="464" spans="1:16" ht="14.25">
      <c r="A464" s="67">
        <v>463</v>
      </c>
      <c r="B464" s="68" t="str">
        <f>INDEX(Data_Assessment[],MATCH('Rekomendasi HAV'!$A464,Data_Assessment[[INDEX]:[INDEX]],0),MATCH('Rekomendasi HAV'!B$1,Data_Assessment[#Headers],0))</f>
        <v>Indra Hardian Matondang</v>
      </c>
      <c r="C464" s="68" t="str">
        <f>INDEX(Data_Assessment[],MATCH('Rekomendasi HAV'!$A464,Data_Assessment[[INDEX]:[INDEX]],0),MATCH('Rekomendasi HAV'!C$1,Data_Assessment[#Headers],0))</f>
        <v>Sumatera Utara</v>
      </c>
      <c r="D464" s="68" t="str">
        <f>INDEX(Data_Assessment[],MATCH('Rekomendasi HAV'!$A464,Data_Assessment[[INDEX]:[INDEX]],0),MATCH('Rekomendasi HAV'!D$1,Data_Assessment[#Headers],0))</f>
        <v>LSIP - Gunung Malayu Estate</v>
      </c>
      <c r="E464" s="68">
        <f>INDEX(Data_Assessment[],MATCH('Rekomendasi HAV'!$B464,Data_Assessment[[NAME]:[NAME]],0),MATCH('Rekomendasi HAV'!E$1,Data_Assessment[#Headers],0))</f>
        <v>0</v>
      </c>
      <c r="F464" s="68"/>
      <c r="G464" s="68">
        <f>IF(ISNUMBER(SEARCH("DEV",Assessment[[#This Row],[JOB TARGET]])),SUBSTITUTE(Assessment[[#This Row],[JOB TARGET]],"DEV","EST"),Assessment[[#This Row],[JOB TARGET]])</f>
        <v>0</v>
      </c>
      <c r="H464" s="146" t="str" cm="1">
        <f t="array" aca="1" ref="H464" ca="1">IF(Assessment[[#This Row],[JOB TARGET]]="","Job Target Kosong",IF(COUNT(IF('Data Assessment'!$N464:$Z464-OFFSET(Standar!$B$2,MATCH(Assessment[[#This Row],[JOB TARGET
(EST)]],Standar[NAMA JABATAN],0)-1,1,1,13)&lt;0,1,""))&lt;=3,'9 Grid'!$B$4,IF(COUNT(IF('Data Assessment'!$N464:$Z464-OFFSET(Standar!$B$2,MATCH(Assessment[[#This Row],[JOB TARGET]],Standar[NAMA JABATAN],0)-1,1,1,13)&lt;0,1,""))&gt;=7,'9 Grid'!$B$6,'9 Grid'!$B$5)))</f>
        <v>Job Target Kosong</v>
      </c>
      <c r="I464" s="146" t="str">
        <f>IFERROR(IF(Data_Assessment[[#This Row],[IPP (3 YEARS AVERAGE)]]="","(IPP Belum Ada)",IF(Data_Assessment[[#This Row],[IPP (3 YEARS AVERAGE)]]&lt;2,'9 Grid'!$F$2,IF(Data_Assessment[[#This Row],[IPP (3 YEARS AVERAGE)]]&gt;=4,'9 Grid'!$D$2,'9 Grid'!$E$2))),"")</f>
        <v>Exceptional Performance</v>
      </c>
      <c r="J464" s="146" t="str">
        <f ca="1">IFERROR(INDEX('9 Grid'!$D$4:$F$6,MATCH('Rekomendasi HAV'!H464,'9 Grid'!$B$4:$B$6,0),MATCH('Rekomendasi HAV'!I464,'9 Grid'!$D$2:$F$2,0)),"")</f>
        <v/>
      </c>
      <c r="K464" s="146" t="str">
        <f>IFERROR(INDEX('9 Grid'!$D$8:$F$8,1,MATCH('Rekomendasi HAV'!I464,'9 Grid'!$D$2:$F$2,0)),"")</f>
        <v>(I) Immediately</v>
      </c>
      <c r="L464" s="146">
        <f>IF(ISNUMBER(SEARCH("EST",Assessment[[#This Row],[JOB TARGET]])),SUBSTITUTE(Assessment[[#This Row],[JOB TARGET]],"EST","DEV"),Assessment[[#This Row],[JOB TARGET]])</f>
        <v>0</v>
      </c>
      <c r="M464" s="146" t="str" cm="1">
        <f t="array" aca="1" ref="M464" ca="1">IF(Assessment[[#This Row],[JOB TARGET]]="","Job Target Kosong",IF(COUNT(IF('Data Assessment'!$N464:$Z464-OFFSET(Standar!$B$2,MATCH(Assessment[[#This Row],[JOB TARGET
(DEV)]],Standar[NAMA JABATAN],0)-1,1,1,13)&lt;0,1,""))&lt;=3,'9 Grid'!$B$4,IF(COUNT(IF('Data Assessment'!$N464:$Z464-OFFSET(Standar!$B$2,MATCH(Assessment[[#This Row],[JOB TARGET
(DEV)]],Standar[NAMA JABATAN],0)-1,1,1,13)&lt;0,1,""))&gt;=7,'9 Grid'!$B$6,'9 Grid'!$B$5)))</f>
        <v>Job Target Kosong</v>
      </c>
      <c r="N464" s="146" t="str">
        <f>IFERROR(IF(Data_Assessment[[#This Row],[IPP (3 YEARS AVERAGE)]]="","(IPP Belum Ada)",IF(Data_Assessment[[#This Row],[IPP (3 YEARS AVERAGE)]]&lt;2,'9 Grid'!$F$2,IF(Data_Assessment[[#This Row],[IPP (3 YEARS AVERAGE)]]&gt;=4,'9 Grid'!$D$2,'9 Grid'!$E$2))),"")</f>
        <v>Exceptional Performance</v>
      </c>
      <c r="O464" s="146" t="str">
        <f ca="1">IFERROR(INDEX('9 Grid'!$D$4:$F$6,MATCH('Rekomendasi HAV'!M464,'9 Grid'!$B$4:$B$6,0),MATCH('Rekomendasi HAV'!N464,'9 Grid'!$D$2:$F$2,0)),"")</f>
        <v/>
      </c>
      <c r="P464" s="147" t="str">
        <f>IFERROR(INDEX('9 Grid'!$D$8:$F$8,1,MATCH('Rekomendasi HAV'!N464,'9 Grid'!$D$2:$F$2,0)),"")</f>
        <v>(I) Immediately</v>
      </c>
    </row>
    <row r="465" spans="1:16" ht="28.5">
      <c r="A465" s="67">
        <v>464</v>
      </c>
      <c r="B465" s="68" t="str">
        <f>INDEX(Data_Assessment[],MATCH('Rekomendasi HAV'!$A465,Data_Assessment[[INDEX]:[INDEX]],0),MATCH('Rekomendasi HAV'!B$1,Data_Assessment[#Headers],0))</f>
        <v>Ahmad Buhori, Ir.</v>
      </c>
      <c r="C465" s="68" t="str">
        <f>INDEX(Data_Assessment[],MATCH('Rekomendasi HAV'!$A465,Data_Assessment[[INDEX]:[INDEX]],0),MATCH('Rekomendasi HAV'!C$1,Data_Assessment[#Headers],0))</f>
        <v>Sumatera Utara</v>
      </c>
      <c r="D465" s="68" t="str">
        <f>INDEX(Data_Assessment[],MATCH('Rekomendasi HAV'!$A465,Data_Assessment[[INDEX]:[INDEX]],0),MATCH('Rekomendasi HAV'!D$1,Data_Assessment[#Headers],0))</f>
        <v>LSIP - Gunung Malayu Estate</v>
      </c>
      <c r="E465" s="68">
        <f>INDEX(Data_Assessment[],MATCH('Rekomendasi HAV'!$B465,Data_Assessment[[NAME]:[NAME]],0),MATCH('Rekomendasi HAV'!E$1,Data_Assessment[#Headers],0))</f>
        <v>0</v>
      </c>
      <c r="F465" s="68"/>
      <c r="G465" s="68">
        <f>IF(ISNUMBER(SEARCH("DEV",Assessment[[#This Row],[JOB TARGET]])),SUBSTITUTE(Assessment[[#This Row],[JOB TARGET]],"DEV","EST"),Assessment[[#This Row],[JOB TARGET]])</f>
        <v>0</v>
      </c>
      <c r="H465" s="146" t="str" cm="1">
        <f t="array" aca="1" ref="H465" ca="1">IF(Assessment[[#This Row],[JOB TARGET]]="","Job Target Kosong",IF(COUNT(IF('Data Assessment'!$N465:$Z465-OFFSET(Standar!$B$2,MATCH(Assessment[[#This Row],[JOB TARGET
(EST)]],Standar[NAMA JABATAN],0)-1,1,1,13)&lt;0,1,""))&lt;=3,'9 Grid'!$B$4,IF(COUNT(IF('Data Assessment'!$N465:$Z465-OFFSET(Standar!$B$2,MATCH(Assessment[[#This Row],[JOB TARGET]],Standar[NAMA JABATAN],0)-1,1,1,13)&lt;0,1,""))&gt;=7,'9 Grid'!$B$6,'9 Grid'!$B$5)))</f>
        <v>Job Target Kosong</v>
      </c>
      <c r="I465" s="146" t="str">
        <f>IFERROR(IF(Data_Assessment[[#This Row],[IPP (3 YEARS AVERAGE)]]="","(IPP Belum Ada)",IF(Data_Assessment[[#This Row],[IPP (3 YEARS AVERAGE)]]&lt;2,'9 Grid'!$F$2,IF(Data_Assessment[[#This Row],[IPP (3 YEARS AVERAGE)]]&gt;=4,'9 Grid'!$D$2,'9 Grid'!$E$2))),"")</f>
        <v>Fully Competence Performance</v>
      </c>
      <c r="J465" s="146" t="str">
        <f ca="1">IFERROR(INDEX('9 Grid'!$D$4:$F$6,MATCH('Rekomendasi HAV'!H465,'9 Grid'!$B$4:$B$6,0),MATCH('Rekomendasi HAV'!I465,'9 Grid'!$D$2:$F$2,0)),"")</f>
        <v/>
      </c>
      <c r="K465" s="146" t="str">
        <f>IFERROR(INDEX('9 Grid'!$D$8:$F$8,1,MATCH('Rekomendasi HAV'!I465,'9 Grid'!$D$2:$F$2,0)),"")</f>
        <v>(ST) Within 12 - 18 month</v>
      </c>
      <c r="L465" s="146">
        <f>IF(ISNUMBER(SEARCH("EST",Assessment[[#This Row],[JOB TARGET]])),SUBSTITUTE(Assessment[[#This Row],[JOB TARGET]],"EST","DEV"),Assessment[[#This Row],[JOB TARGET]])</f>
        <v>0</v>
      </c>
      <c r="M465" s="146" t="str" cm="1">
        <f t="array" aca="1" ref="M465" ca="1">IF(Assessment[[#This Row],[JOB TARGET]]="","Job Target Kosong",IF(COUNT(IF('Data Assessment'!$N465:$Z465-OFFSET(Standar!$B$2,MATCH(Assessment[[#This Row],[JOB TARGET
(DEV)]],Standar[NAMA JABATAN],0)-1,1,1,13)&lt;0,1,""))&lt;=3,'9 Grid'!$B$4,IF(COUNT(IF('Data Assessment'!$N465:$Z465-OFFSET(Standar!$B$2,MATCH(Assessment[[#This Row],[JOB TARGET
(DEV)]],Standar[NAMA JABATAN],0)-1,1,1,13)&lt;0,1,""))&gt;=7,'9 Grid'!$B$6,'9 Grid'!$B$5)))</f>
        <v>Job Target Kosong</v>
      </c>
      <c r="N465" s="146" t="str">
        <f>IFERROR(IF(Data_Assessment[[#This Row],[IPP (3 YEARS AVERAGE)]]="","(IPP Belum Ada)",IF(Data_Assessment[[#This Row],[IPP (3 YEARS AVERAGE)]]&lt;2,'9 Grid'!$F$2,IF(Data_Assessment[[#This Row],[IPP (3 YEARS AVERAGE)]]&gt;=4,'9 Grid'!$D$2,'9 Grid'!$E$2))),"")</f>
        <v>Fully Competence Performance</v>
      </c>
      <c r="O465" s="146" t="str">
        <f ca="1">IFERROR(INDEX('9 Grid'!$D$4:$F$6,MATCH('Rekomendasi HAV'!M465,'9 Grid'!$B$4:$B$6,0),MATCH('Rekomendasi HAV'!N465,'9 Grid'!$D$2:$F$2,0)),"")</f>
        <v/>
      </c>
      <c r="P465" s="147" t="str">
        <f>IFERROR(INDEX('9 Grid'!$D$8:$F$8,1,MATCH('Rekomendasi HAV'!N465,'9 Grid'!$D$2:$F$2,0)),"")</f>
        <v>(ST) Within 12 - 18 month</v>
      </c>
    </row>
    <row r="466" spans="1:16" ht="28.5">
      <c r="A466" s="67">
        <v>465</v>
      </c>
      <c r="B466" s="68" t="str">
        <f>INDEX(Data_Assessment[],MATCH('Rekomendasi HAV'!$A466,Data_Assessment[[INDEX]:[INDEX]],0),MATCH('Rekomendasi HAV'!B$1,Data_Assessment[#Headers],0))</f>
        <v>Ardiansyah</v>
      </c>
      <c r="C466" s="68" t="str">
        <f>INDEX(Data_Assessment[],MATCH('Rekomendasi HAV'!$A466,Data_Assessment[[INDEX]:[INDEX]],0),MATCH('Rekomendasi HAV'!C$1,Data_Assessment[#Headers],0))</f>
        <v>Sumatera Utara</v>
      </c>
      <c r="D466" s="68" t="str">
        <f>INDEX(Data_Assessment[],MATCH('Rekomendasi HAV'!$A466,Data_Assessment[[INDEX]:[INDEX]],0),MATCH('Rekomendasi HAV'!D$1,Data_Assessment[#Headers],0))</f>
        <v>LSIP - Turangie Estate</v>
      </c>
      <c r="E466" s="68">
        <f>INDEX(Data_Assessment[],MATCH('Rekomendasi HAV'!$B466,Data_Assessment[[NAME]:[NAME]],0),MATCH('Rekomendasi HAV'!E$1,Data_Assessment[#Headers],0))</f>
        <v>0</v>
      </c>
      <c r="F466" s="68"/>
      <c r="G466" s="68">
        <f>IF(ISNUMBER(SEARCH("DEV",Assessment[[#This Row],[JOB TARGET]])),SUBSTITUTE(Assessment[[#This Row],[JOB TARGET]],"DEV","EST"),Assessment[[#This Row],[JOB TARGET]])</f>
        <v>0</v>
      </c>
      <c r="H466" s="146" t="str" cm="1">
        <f t="array" aca="1" ref="H466" ca="1">IF(Assessment[[#This Row],[JOB TARGET]]="","Job Target Kosong",IF(COUNT(IF('Data Assessment'!$N466:$Z466-OFFSET(Standar!$B$2,MATCH(Assessment[[#This Row],[JOB TARGET
(EST)]],Standar[NAMA JABATAN],0)-1,1,1,13)&lt;0,1,""))&lt;=3,'9 Grid'!$B$4,IF(COUNT(IF('Data Assessment'!$N466:$Z466-OFFSET(Standar!$B$2,MATCH(Assessment[[#This Row],[JOB TARGET]],Standar[NAMA JABATAN],0)-1,1,1,13)&lt;0,1,""))&gt;=7,'9 Grid'!$B$6,'9 Grid'!$B$5)))</f>
        <v>Job Target Kosong</v>
      </c>
      <c r="I466" s="146" t="str">
        <f>IFERROR(IF(Data_Assessment[[#This Row],[IPP (3 YEARS AVERAGE)]]="","(IPP Belum Ada)",IF(Data_Assessment[[#This Row],[IPP (3 YEARS AVERAGE)]]&lt;2,'9 Grid'!$F$2,IF(Data_Assessment[[#This Row],[IPP (3 YEARS AVERAGE)]]&gt;=4,'9 Grid'!$D$2,'9 Grid'!$E$2))),"")</f>
        <v>Fully Competence Performance</v>
      </c>
      <c r="J466" s="146" t="str">
        <f ca="1">IFERROR(INDEX('9 Grid'!$D$4:$F$6,MATCH('Rekomendasi HAV'!H466,'9 Grid'!$B$4:$B$6,0),MATCH('Rekomendasi HAV'!I466,'9 Grid'!$D$2:$F$2,0)),"")</f>
        <v/>
      </c>
      <c r="K466" s="146" t="str">
        <f>IFERROR(INDEX('9 Grid'!$D$8:$F$8,1,MATCH('Rekomendasi HAV'!I466,'9 Grid'!$D$2:$F$2,0)),"")</f>
        <v>(ST) Within 12 - 18 month</v>
      </c>
      <c r="L466" s="146">
        <f>IF(ISNUMBER(SEARCH("EST",Assessment[[#This Row],[JOB TARGET]])),SUBSTITUTE(Assessment[[#This Row],[JOB TARGET]],"EST","DEV"),Assessment[[#This Row],[JOB TARGET]])</f>
        <v>0</v>
      </c>
      <c r="M466" s="146" t="str" cm="1">
        <f t="array" aca="1" ref="M466" ca="1">IF(Assessment[[#This Row],[JOB TARGET]]="","Job Target Kosong",IF(COUNT(IF('Data Assessment'!$N466:$Z466-OFFSET(Standar!$B$2,MATCH(Assessment[[#This Row],[JOB TARGET
(DEV)]],Standar[NAMA JABATAN],0)-1,1,1,13)&lt;0,1,""))&lt;=3,'9 Grid'!$B$4,IF(COUNT(IF('Data Assessment'!$N466:$Z466-OFFSET(Standar!$B$2,MATCH(Assessment[[#This Row],[JOB TARGET
(DEV)]],Standar[NAMA JABATAN],0)-1,1,1,13)&lt;0,1,""))&gt;=7,'9 Grid'!$B$6,'9 Grid'!$B$5)))</f>
        <v>Job Target Kosong</v>
      </c>
      <c r="N466" s="146" t="str">
        <f>IFERROR(IF(Data_Assessment[[#This Row],[IPP (3 YEARS AVERAGE)]]="","(IPP Belum Ada)",IF(Data_Assessment[[#This Row],[IPP (3 YEARS AVERAGE)]]&lt;2,'9 Grid'!$F$2,IF(Data_Assessment[[#This Row],[IPP (3 YEARS AVERAGE)]]&gt;=4,'9 Grid'!$D$2,'9 Grid'!$E$2))),"")</f>
        <v>Fully Competence Performance</v>
      </c>
      <c r="O466" s="146" t="str">
        <f ca="1">IFERROR(INDEX('9 Grid'!$D$4:$F$6,MATCH('Rekomendasi HAV'!M466,'9 Grid'!$B$4:$B$6,0),MATCH('Rekomendasi HAV'!N466,'9 Grid'!$D$2:$F$2,0)),"")</f>
        <v/>
      </c>
      <c r="P466" s="147" t="str">
        <f>IFERROR(INDEX('9 Grid'!$D$8:$F$8,1,MATCH('Rekomendasi HAV'!N466,'9 Grid'!$D$2:$F$2,0)),"")</f>
        <v>(ST) Within 12 - 18 month</v>
      </c>
    </row>
    <row r="467" spans="1:16" ht="28.5">
      <c r="A467" s="67">
        <v>466</v>
      </c>
      <c r="B467" s="68" t="str">
        <f>INDEX(Data_Assessment[],MATCH('Rekomendasi HAV'!$A467,Data_Assessment[[INDEX]:[INDEX]],0),MATCH('Rekomendasi HAV'!B$1,Data_Assessment[#Headers],0))</f>
        <v>Ahmad Husin</v>
      </c>
      <c r="C467" s="68" t="str">
        <f>INDEX(Data_Assessment[],MATCH('Rekomendasi HAV'!$A467,Data_Assessment[[INDEX]:[INDEX]],0),MATCH('Rekomendasi HAV'!C$1,Data_Assessment[#Headers],0))</f>
        <v>Sumatera Utara</v>
      </c>
      <c r="D467" s="68" t="str">
        <f>INDEX(Data_Assessment[],MATCH('Rekomendasi HAV'!$A467,Data_Assessment[[INDEX]:[INDEX]],0),MATCH('Rekomendasi HAV'!D$1,Data_Assessment[#Headers],0))</f>
        <v>LSIP - Gunung Malayu Estate</v>
      </c>
      <c r="E467" s="68">
        <f>INDEX(Data_Assessment[],MATCH('Rekomendasi HAV'!$B467,Data_Assessment[[NAME]:[NAME]],0),MATCH('Rekomendasi HAV'!E$1,Data_Assessment[#Headers],0))</f>
        <v>0</v>
      </c>
      <c r="F467" s="68"/>
      <c r="G467" s="68">
        <f>IF(ISNUMBER(SEARCH("DEV",Assessment[[#This Row],[JOB TARGET]])),SUBSTITUTE(Assessment[[#This Row],[JOB TARGET]],"DEV","EST"),Assessment[[#This Row],[JOB TARGET]])</f>
        <v>0</v>
      </c>
      <c r="H467" s="146" t="str" cm="1">
        <f t="array" aca="1" ref="H467" ca="1">IF(Assessment[[#This Row],[JOB TARGET]]="","Job Target Kosong",IF(COUNT(IF('Data Assessment'!$N467:$Z467-OFFSET(Standar!$B$2,MATCH(Assessment[[#This Row],[JOB TARGET
(EST)]],Standar[NAMA JABATAN],0)-1,1,1,13)&lt;0,1,""))&lt;=3,'9 Grid'!$B$4,IF(COUNT(IF('Data Assessment'!$N467:$Z467-OFFSET(Standar!$B$2,MATCH(Assessment[[#This Row],[JOB TARGET]],Standar[NAMA JABATAN],0)-1,1,1,13)&lt;0,1,""))&gt;=7,'9 Grid'!$B$6,'9 Grid'!$B$5)))</f>
        <v>Job Target Kosong</v>
      </c>
      <c r="I467" s="146" t="str">
        <f>IFERROR(IF(Data_Assessment[[#This Row],[IPP (3 YEARS AVERAGE)]]="","(IPP Belum Ada)",IF(Data_Assessment[[#This Row],[IPP (3 YEARS AVERAGE)]]&lt;2,'9 Grid'!$F$2,IF(Data_Assessment[[#This Row],[IPP (3 YEARS AVERAGE)]]&gt;=4,'9 Grid'!$D$2,'9 Grid'!$E$2))),"")</f>
        <v>Fully Competence Performance</v>
      </c>
      <c r="J467" s="146" t="str">
        <f ca="1">IFERROR(INDEX('9 Grid'!$D$4:$F$6,MATCH('Rekomendasi HAV'!H467,'9 Grid'!$B$4:$B$6,0),MATCH('Rekomendasi HAV'!I467,'9 Grid'!$D$2:$F$2,0)),"")</f>
        <v/>
      </c>
      <c r="K467" s="146" t="str">
        <f>IFERROR(INDEX('9 Grid'!$D$8:$F$8,1,MATCH('Rekomendasi HAV'!I467,'9 Grid'!$D$2:$F$2,0)),"")</f>
        <v>(ST) Within 12 - 18 month</v>
      </c>
      <c r="L467" s="146">
        <f>IF(ISNUMBER(SEARCH("EST",Assessment[[#This Row],[JOB TARGET]])),SUBSTITUTE(Assessment[[#This Row],[JOB TARGET]],"EST","DEV"),Assessment[[#This Row],[JOB TARGET]])</f>
        <v>0</v>
      </c>
      <c r="M467" s="146" t="str" cm="1">
        <f t="array" aca="1" ref="M467" ca="1">IF(Assessment[[#This Row],[JOB TARGET]]="","Job Target Kosong",IF(COUNT(IF('Data Assessment'!$N467:$Z467-OFFSET(Standar!$B$2,MATCH(Assessment[[#This Row],[JOB TARGET
(DEV)]],Standar[NAMA JABATAN],0)-1,1,1,13)&lt;0,1,""))&lt;=3,'9 Grid'!$B$4,IF(COUNT(IF('Data Assessment'!$N467:$Z467-OFFSET(Standar!$B$2,MATCH(Assessment[[#This Row],[JOB TARGET
(DEV)]],Standar[NAMA JABATAN],0)-1,1,1,13)&lt;0,1,""))&gt;=7,'9 Grid'!$B$6,'9 Grid'!$B$5)))</f>
        <v>Job Target Kosong</v>
      </c>
      <c r="N467" s="146" t="str">
        <f>IFERROR(IF(Data_Assessment[[#This Row],[IPP (3 YEARS AVERAGE)]]="","(IPP Belum Ada)",IF(Data_Assessment[[#This Row],[IPP (3 YEARS AVERAGE)]]&lt;2,'9 Grid'!$F$2,IF(Data_Assessment[[#This Row],[IPP (3 YEARS AVERAGE)]]&gt;=4,'9 Grid'!$D$2,'9 Grid'!$E$2))),"")</f>
        <v>Fully Competence Performance</v>
      </c>
      <c r="O467" s="146" t="str">
        <f ca="1">IFERROR(INDEX('9 Grid'!$D$4:$F$6,MATCH('Rekomendasi HAV'!M467,'9 Grid'!$B$4:$B$6,0),MATCH('Rekomendasi HAV'!N467,'9 Grid'!$D$2:$F$2,0)),"")</f>
        <v/>
      </c>
      <c r="P467" s="147" t="str">
        <f>IFERROR(INDEX('9 Grid'!$D$8:$F$8,1,MATCH('Rekomendasi HAV'!N467,'9 Grid'!$D$2:$F$2,0)),"")</f>
        <v>(ST) Within 12 - 18 month</v>
      </c>
    </row>
    <row r="468" spans="1:16" ht="28.5">
      <c r="A468" s="67">
        <v>467</v>
      </c>
      <c r="B468" s="68" t="str">
        <f>INDEX(Data_Assessment[],MATCH('Rekomendasi HAV'!$A468,Data_Assessment[[INDEX]:[INDEX]],0),MATCH('Rekomendasi HAV'!B$1,Data_Assessment[#Headers],0))</f>
        <v>Fernando Sirait</v>
      </c>
      <c r="C468" s="68" t="str">
        <f>INDEX(Data_Assessment[],MATCH('Rekomendasi HAV'!$A468,Data_Assessment[[INDEX]:[INDEX]],0),MATCH('Rekomendasi HAV'!C$1,Data_Assessment[#Headers],0))</f>
        <v>Sumatera Utara</v>
      </c>
      <c r="D468" s="68" t="str">
        <f>INDEX(Data_Assessment[],MATCH('Rekomendasi HAV'!$A468,Data_Assessment[[INDEX]:[INDEX]],0),MATCH('Rekomendasi HAV'!D$1,Data_Assessment[#Headers],0))</f>
        <v>LSIP - Gunung Malayu Estate</v>
      </c>
      <c r="E468" s="68">
        <f>INDEX(Data_Assessment[],MATCH('Rekomendasi HAV'!$B468,Data_Assessment[[NAME]:[NAME]],0),MATCH('Rekomendasi HAV'!E$1,Data_Assessment[#Headers],0))</f>
        <v>0</v>
      </c>
      <c r="F468" s="68"/>
      <c r="G468" s="68">
        <f>IF(ISNUMBER(SEARCH("DEV",Assessment[[#This Row],[JOB TARGET]])),SUBSTITUTE(Assessment[[#This Row],[JOB TARGET]],"DEV","EST"),Assessment[[#This Row],[JOB TARGET]])</f>
        <v>0</v>
      </c>
      <c r="H468" s="146" t="str" cm="1">
        <f t="array" aca="1" ref="H468" ca="1">IF(Assessment[[#This Row],[JOB TARGET]]="","Job Target Kosong",IF(COUNT(IF('Data Assessment'!$N468:$Z468-OFFSET(Standar!$B$2,MATCH(Assessment[[#This Row],[JOB TARGET
(EST)]],Standar[NAMA JABATAN],0)-1,1,1,13)&lt;0,1,""))&lt;=3,'9 Grid'!$B$4,IF(COUNT(IF('Data Assessment'!$N468:$Z468-OFFSET(Standar!$B$2,MATCH(Assessment[[#This Row],[JOB TARGET]],Standar[NAMA JABATAN],0)-1,1,1,13)&lt;0,1,""))&gt;=7,'9 Grid'!$B$6,'9 Grid'!$B$5)))</f>
        <v>Job Target Kosong</v>
      </c>
      <c r="I468" s="146" t="str">
        <f>IFERROR(IF(Data_Assessment[[#This Row],[IPP (3 YEARS AVERAGE)]]="","(IPP Belum Ada)",IF(Data_Assessment[[#This Row],[IPP (3 YEARS AVERAGE)]]&lt;2,'9 Grid'!$F$2,IF(Data_Assessment[[#This Row],[IPP (3 YEARS AVERAGE)]]&gt;=4,'9 Grid'!$D$2,'9 Grid'!$E$2))),"")</f>
        <v>Fully Competence Performance</v>
      </c>
      <c r="J468" s="146" t="str">
        <f ca="1">IFERROR(INDEX('9 Grid'!$D$4:$F$6,MATCH('Rekomendasi HAV'!H468,'9 Grid'!$B$4:$B$6,0),MATCH('Rekomendasi HAV'!I468,'9 Grid'!$D$2:$F$2,0)),"")</f>
        <v/>
      </c>
      <c r="K468" s="146" t="str">
        <f>IFERROR(INDEX('9 Grid'!$D$8:$F$8,1,MATCH('Rekomendasi HAV'!I468,'9 Grid'!$D$2:$F$2,0)),"")</f>
        <v>(ST) Within 12 - 18 month</v>
      </c>
      <c r="L468" s="146">
        <f>IF(ISNUMBER(SEARCH("EST",Assessment[[#This Row],[JOB TARGET]])),SUBSTITUTE(Assessment[[#This Row],[JOB TARGET]],"EST","DEV"),Assessment[[#This Row],[JOB TARGET]])</f>
        <v>0</v>
      </c>
      <c r="M468" s="146" t="str" cm="1">
        <f t="array" aca="1" ref="M468" ca="1">IF(Assessment[[#This Row],[JOB TARGET]]="","Job Target Kosong",IF(COUNT(IF('Data Assessment'!$N468:$Z468-OFFSET(Standar!$B$2,MATCH(Assessment[[#This Row],[JOB TARGET
(DEV)]],Standar[NAMA JABATAN],0)-1,1,1,13)&lt;0,1,""))&lt;=3,'9 Grid'!$B$4,IF(COUNT(IF('Data Assessment'!$N468:$Z468-OFFSET(Standar!$B$2,MATCH(Assessment[[#This Row],[JOB TARGET
(DEV)]],Standar[NAMA JABATAN],0)-1,1,1,13)&lt;0,1,""))&gt;=7,'9 Grid'!$B$6,'9 Grid'!$B$5)))</f>
        <v>Job Target Kosong</v>
      </c>
      <c r="N468" s="146" t="str">
        <f>IFERROR(IF(Data_Assessment[[#This Row],[IPP (3 YEARS AVERAGE)]]="","(IPP Belum Ada)",IF(Data_Assessment[[#This Row],[IPP (3 YEARS AVERAGE)]]&lt;2,'9 Grid'!$F$2,IF(Data_Assessment[[#This Row],[IPP (3 YEARS AVERAGE)]]&gt;=4,'9 Grid'!$D$2,'9 Grid'!$E$2))),"")</f>
        <v>Fully Competence Performance</v>
      </c>
      <c r="O468" s="146" t="str">
        <f ca="1">IFERROR(INDEX('9 Grid'!$D$4:$F$6,MATCH('Rekomendasi HAV'!M468,'9 Grid'!$B$4:$B$6,0),MATCH('Rekomendasi HAV'!N468,'9 Grid'!$D$2:$F$2,0)),"")</f>
        <v/>
      </c>
      <c r="P468" s="147" t="str">
        <f>IFERROR(INDEX('9 Grid'!$D$8:$F$8,1,MATCH('Rekomendasi HAV'!N468,'9 Grid'!$D$2:$F$2,0)),"")</f>
        <v>(ST) Within 12 - 18 month</v>
      </c>
    </row>
    <row r="469" spans="1:16" ht="28.5">
      <c r="A469" s="67">
        <v>468</v>
      </c>
      <c r="B469" s="68" t="str">
        <f>INDEX(Data_Assessment[],MATCH('Rekomendasi HAV'!$A469,Data_Assessment[[INDEX]:[INDEX]],0),MATCH('Rekomendasi HAV'!B$1,Data_Assessment[#Headers],0))</f>
        <v>Irhammuddin, Ir.</v>
      </c>
      <c r="C469" s="68" t="str">
        <f>INDEX(Data_Assessment[],MATCH('Rekomendasi HAV'!$A469,Data_Assessment[[INDEX]:[INDEX]],0),MATCH('Rekomendasi HAV'!C$1,Data_Assessment[#Headers],0))</f>
        <v>Sumatera Utara</v>
      </c>
      <c r="D469" s="68" t="str">
        <f>INDEX(Data_Assessment[],MATCH('Rekomendasi HAV'!$A469,Data_Assessment[[INDEX]:[INDEX]],0),MATCH('Rekomendasi HAV'!D$1,Data_Assessment[#Headers],0))</f>
        <v>LSIP - Sei Rumbiya Estate</v>
      </c>
      <c r="E469" s="68">
        <f>INDEX(Data_Assessment[],MATCH('Rekomendasi HAV'!$B469,Data_Assessment[[NAME]:[NAME]],0),MATCH('Rekomendasi HAV'!E$1,Data_Assessment[#Headers],0))</f>
        <v>0</v>
      </c>
      <c r="F469" s="68"/>
      <c r="G469" s="68">
        <f>IF(ISNUMBER(SEARCH("DEV",Assessment[[#This Row],[JOB TARGET]])),SUBSTITUTE(Assessment[[#This Row],[JOB TARGET]],"DEV","EST"),Assessment[[#This Row],[JOB TARGET]])</f>
        <v>0</v>
      </c>
      <c r="H469" s="146" t="str" cm="1">
        <f t="array" aca="1" ref="H469" ca="1">IF(Assessment[[#This Row],[JOB TARGET]]="","Job Target Kosong",IF(COUNT(IF('Data Assessment'!$N469:$Z469-OFFSET(Standar!$B$2,MATCH(Assessment[[#This Row],[JOB TARGET
(EST)]],Standar[NAMA JABATAN],0)-1,1,1,13)&lt;0,1,""))&lt;=3,'9 Grid'!$B$4,IF(COUNT(IF('Data Assessment'!$N469:$Z469-OFFSET(Standar!$B$2,MATCH(Assessment[[#This Row],[JOB TARGET]],Standar[NAMA JABATAN],0)-1,1,1,13)&lt;0,1,""))&gt;=7,'9 Grid'!$B$6,'9 Grid'!$B$5)))</f>
        <v>Job Target Kosong</v>
      </c>
      <c r="I469" s="146" t="str">
        <f>IFERROR(IF(Data_Assessment[[#This Row],[IPP (3 YEARS AVERAGE)]]="","(IPP Belum Ada)",IF(Data_Assessment[[#This Row],[IPP (3 YEARS AVERAGE)]]&lt;2,'9 Grid'!$F$2,IF(Data_Assessment[[#This Row],[IPP (3 YEARS AVERAGE)]]&gt;=4,'9 Grid'!$D$2,'9 Grid'!$E$2))),"")</f>
        <v>Fully Competence Performance</v>
      </c>
      <c r="J469" s="146" t="str">
        <f ca="1">IFERROR(INDEX('9 Grid'!$D$4:$F$6,MATCH('Rekomendasi HAV'!H469,'9 Grid'!$B$4:$B$6,0),MATCH('Rekomendasi HAV'!I469,'9 Grid'!$D$2:$F$2,0)),"")</f>
        <v/>
      </c>
      <c r="K469" s="146" t="str">
        <f>IFERROR(INDEX('9 Grid'!$D$8:$F$8,1,MATCH('Rekomendasi HAV'!I469,'9 Grid'!$D$2:$F$2,0)),"")</f>
        <v>(ST) Within 12 - 18 month</v>
      </c>
      <c r="L469" s="146">
        <f>IF(ISNUMBER(SEARCH("EST",Assessment[[#This Row],[JOB TARGET]])),SUBSTITUTE(Assessment[[#This Row],[JOB TARGET]],"EST","DEV"),Assessment[[#This Row],[JOB TARGET]])</f>
        <v>0</v>
      </c>
      <c r="M469" s="146" t="str" cm="1">
        <f t="array" aca="1" ref="M469" ca="1">IF(Assessment[[#This Row],[JOB TARGET]]="","Job Target Kosong",IF(COUNT(IF('Data Assessment'!$N469:$Z469-OFFSET(Standar!$B$2,MATCH(Assessment[[#This Row],[JOB TARGET
(DEV)]],Standar[NAMA JABATAN],0)-1,1,1,13)&lt;0,1,""))&lt;=3,'9 Grid'!$B$4,IF(COUNT(IF('Data Assessment'!$N469:$Z469-OFFSET(Standar!$B$2,MATCH(Assessment[[#This Row],[JOB TARGET
(DEV)]],Standar[NAMA JABATAN],0)-1,1,1,13)&lt;0,1,""))&gt;=7,'9 Grid'!$B$6,'9 Grid'!$B$5)))</f>
        <v>Job Target Kosong</v>
      </c>
      <c r="N469" s="146" t="str">
        <f>IFERROR(IF(Data_Assessment[[#This Row],[IPP (3 YEARS AVERAGE)]]="","(IPP Belum Ada)",IF(Data_Assessment[[#This Row],[IPP (3 YEARS AVERAGE)]]&lt;2,'9 Grid'!$F$2,IF(Data_Assessment[[#This Row],[IPP (3 YEARS AVERAGE)]]&gt;=4,'9 Grid'!$D$2,'9 Grid'!$E$2))),"")</f>
        <v>Fully Competence Performance</v>
      </c>
      <c r="O469" s="146" t="str">
        <f ca="1">IFERROR(INDEX('9 Grid'!$D$4:$F$6,MATCH('Rekomendasi HAV'!M469,'9 Grid'!$B$4:$B$6,0),MATCH('Rekomendasi HAV'!N469,'9 Grid'!$D$2:$F$2,0)),"")</f>
        <v/>
      </c>
      <c r="P469" s="147" t="str">
        <f>IFERROR(INDEX('9 Grid'!$D$8:$F$8,1,MATCH('Rekomendasi HAV'!N469,'9 Grid'!$D$2:$F$2,0)),"")</f>
        <v>(ST) Within 12 - 18 month</v>
      </c>
    </row>
    <row r="470" spans="1:16" ht="28.5">
      <c r="A470" s="67">
        <v>469</v>
      </c>
      <c r="B470" s="68" t="str">
        <f>INDEX(Data_Assessment[],MATCH('Rekomendasi HAV'!$A470,Data_Assessment[[INDEX]:[INDEX]],0),MATCH('Rekomendasi HAV'!B$1,Data_Assessment[#Headers],0))</f>
        <v>Primanta Sembiring</v>
      </c>
      <c r="C470" s="68" t="str">
        <f>INDEX(Data_Assessment[],MATCH('Rekomendasi HAV'!$A470,Data_Assessment[[INDEX]:[INDEX]],0),MATCH('Rekomendasi HAV'!C$1,Data_Assessment[#Headers],0))</f>
        <v>Sumatera Utara</v>
      </c>
      <c r="D470" s="68" t="str">
        <f>INDEX(Data_Assessment[],MATCH('Rekomendasi HAV'!$A470,Data_Assessment[[INDEX]:[INDEX]],0),MATCH('Rekomendasi HAV'!D$1,Data_Assessment[#Headers],0))</f>
        <v>LSIP - Sei Rumbiya Estate</v>
      </c>
      <c r="E470" s="68">
        <f>INDEX(Data_Assessment[],MATCH('Rekomendasi HAV'!$B470,Data_Assessment[[NAME]:[NAME]],0),MATCH('Rekomendasi HAV'!E$1,Data_Assessment[#Headers],0))</f>
        <v>0</v>
      </c>
      <c r="F470" s="68"/>
      <c r="G470" s="68">
        <f>IF(ISNUMBER(SEARCH("DEV",Assessment[[#This Row],[JOB TARGET]])),SUBSTITUTE(Assessment[[#This Row],[JOB TARGET]],"DEV","EST"),Assessment[[#This Row],[JOB TARGET]])</f>
        <v>0</v>
      </c>
      <c r="H470" s="146" t="str" cm="1">
        <f t="array" aca="1" ref="H470" ca="1">IF(Assessment[[#This Row],[JOB TARGET]]="","Job Target Kosong",IF(COUNT(IF('Data Assessment'!$N470:$Z470-OFFSET(Standar!$B$2,MATCH(Assessment[[#This Row],[JOB TARGET
(EST)]],Standar[NAMA JABATAN],0)-1,1,1,13)&lt;0,1,""))&lt;=3,'9 Grid'!$B$4,IF(COUNT(IF('Data Assessment'!$N470:$Z470-OFFSET(Standar!$B$2,MATCH(Assessment[[#This Row],[JOB TARGET]],Standar[NAMA JABATAN],0)-1,1,1,13)&lt;0,1,""))&gt;=7,'9 Grid'!$B$6,'9 Grid'!$B$5)))</f>
        <v>Job Target Kosong</v>
      </c>
      <c r="I470" s="146" t="str">
        <f>IFERROR(IF(Data_Assessment[[#This Row],[IPP (3 YEARS AVERAGE)]]="","(IPP Belum Ada)",IF(Data_Assessment[[#This Row],[IPP (3 YEARS AVERAGE)]]&lt;2,'9 Grid'!$F$2,IF(Data_Assessment[[#This Row],[IPP (3 YEARS AVERAGE)]]&gt;=4,'9 Grid'!$D$2,'9 Grid'!$E$2))),"")</f>
        <v>Fully Competence Performance</v>
      </c>
      <c r="J470" s="146" t="str">
        <f ca="1">IFERROR(INDEX('9 Grid'!$D$4:$F$6,MATCH('Rekomendasi HAV'!H470,'9 Grid'!$B$4:$B$6,0),MATCH('Rekomendasi HAV'!I470,'9 Grid'!$D$2:$F$2,0)),"")</f>
        <v/>
      </c>
      <c r="K470" s="146" t="str">
        <f>IFERROR(INDEX('9 Grid'!$D$8:$F$8,1,MATCH('Rekomendasi HAV'!I470,'9 Grid'!$D$2:$F$2,0)),"")</f>
        <v>(ST) Within 12 - 18 month</v>
      </c>
      <c r="L470" s="146">
        <f>IF(ISNUMBER(SEARCH("EST",Assessment[[#This Row],[JOB TARGET]])),SUBSTITUTE(Assessment[[#This Row],[JOB TARGET]],"EST","DEV"),Assessment[[#This Row],[JOB TARGET]])</f>
        <v>0</v>
      </c>
      <c r="M470" s="146" t="str" cm="1">
        <f t="array" aca="1" ref="M470" ca="1">IF(Assessment[[#This Row],[JOB TARGET]]="","Job Target Kosong",IF(COUNT(IF('Data Assessment'!$N470:$Z470-OFFSET(Standar!$B$2,MATCH(Assessment[[#This Row],[JOB TARGET
(DEV)]],Standar[NAMA JABATAN],0)-1,1,1,13)&lt;0,1,""))&lt;=3,'9 Grid'!$B$4,IF(COUNT(IF('Data Assessment'!$N470:$Z470-OFFSET(Standar!$B$2,MATCH(Assessment[[#This Row],[JOB TARGET
(DEV)]],Standar[NAMA JABATAN],0)-1,1,1,13)&lt;0,1,""))&gt;=7,'9 Grid'!$B$6,'9 Grid'!$B$5)))</f>
        <v>Job Target Kosong</v>
      </c>
      <c r="N470" s="146" t="str">
        <f>IFERROR(IF(Data_Assessment[[#This Row],[IPP (3 YEARS AVERAGE)]]="","(IPP Belum Ada)",IF(Data_Assessment[[#This Row],[IPP (3 YEARS AVERAGE)]]&lt;2,'9 Grid'!$F$2,IF(Data_Assessment[[#This Row],[IPP (3 YEARS AVERAGE)]]&gt;=4,'9 Grid'!$D$2,'9 Grid'!$E$2))),"")</f>
        <v>Fully Competence Performance</v>
      </c>
      <c r="O470" s="146" t="str">
        <f ca="1">IFERROR(INDEX('9 Grid'!$D$4:$F$6,MATCH('Rekomendasi HAV'!M470,'9 Grid'!$B$4:$B$6,0),MATCH('Rekomendasi HAV'!N470,'9 Grid'!$D$2:$F$2,0)),"")</f>
        <v/>
      </c>
      <c r="P470" s="147" t="str">
        <f>IFERROR(INDEX('9 Grid'!$D$8:$F$8,1,MATCH('Rekomendasi HAV'!N470,'9 Grid'!$D$2:$F$2,0)),"")</f>
        <v>(ST) Within 12 - 18 month</v>
      </c>
    </row>
    <row r="471" spans="1:16" ht="28.5">
      <c r="A471" s="67">
        <v>470</v>
      </c>
      <c r="B471" s="68" t="str">
        <f>INDEX(Data_Assessment[],MATCH('Rekomendasi HAV'!$A471,Data_Assessment[[INDEX]:[INDEX]],0),MATCH('Rekomendasi HAV'!B$1,Data_Assessment[#Headers],0))</f>
        <v>Agus Syahputra</v>
      </c>
      <c r="C471" s="68" t="str">
        <f>INDEX(Data_Assessment[],MATCH('Rekomendasi HAV'!$A471,Data_Assessment[[INDEX]:[INDEX]],0),MATCH('Rekomendasi HAV'!C$1,Data_Assessment[#Headers],0))</f>
        <v>Sumatera Utara</v>
      </c>
      <c r="D471" s="68" t="str">
        <f>INDEX(Data_Assessment[],MATCH('Rekomendasi HAV'!$A471,Data_Assessment[[INDEX]:[INDEX]],0),MATCH('Rekomendasi HAV'!D$1,Data_Assessment[#Headers],0))</f>
        <v>LSIP - Sei Rumbiya Estate</v>
      </c>
      <c r="E471" s="68">
        <f>INDEX(Data_Assessment[],MATCH('Rekomendasi HAV'!$B471,Data_Assessment[[NAME]:[NAME]],0),MATCH('Rekomendasi HAV'!E$1,Data_Assessment[#Headers],0))</f>
        <v>0</v>
      </c>
      <c r="F471" s="68"/>
      <c r="G471" s="68">
        <f>IF(ISNUMBER(SEARCH("DEV",Assessment[[#This Row],[JOB TARGET]])),SUBSTITUTE(Assessment[[#This Row],[JOB TARGET]],"DEV","EST"),Assessment[[#This Row],[JOB TARGET]])</f>
        <v>0</v>
      </c>
      <c r="H471" s="146" t="str" cm="1">
        <f t="array" aca="1" ref="H471" ca="1">IF(Assessment[[#This Row],[JOB TARGET]]="","Job Target Kosong",IF(COUNT(IF('Data Assessment'!$N471:$Z471-OFFSET(Standar!$B$2,MATCH(Assessment[[#This Row],[JOB TARGET
(EST)]],Standar[NAMA JABATAN],0)-1,1,1,13)&lt;0,1,""))&lt;=3,'9 Grid'!$B$4,IF(COUNT(IF('Data Assessment'!$N471:$Z471-OFFSET(Standar!$B$2,MATCH(Assessment[[#This Row],[JOB TARGET]],Standar[NAMA JABATAN],0)-1,1,1,13)&lt;0,1,""))&gt;=7,'9 Grid'!$B$6,'9 Grid'!$B$5)))</f>
        <v>Job Target Kosong</v>
      </c>
      <c r="I471" s="146" t="str">
        <f>IFERROR(IF(Data_Assessment[[#This Row],[IPP (3 YEARS AVERAGE)]]="","(IPP Belum Ada)",IF(Data_Assessment[[#This Row],[IPP (3 YEARS AVERAGE)]]&lt;2,'9 Grid'!$F$2,IF(Data_Assessment[[#This Row],[IPP (3 YEARS AVERAGE)]]&gt;=4,'9 Grid'!$D$2,'9 Grid'!$E$2))),"")</f>
        <v>Fully Competence Performance</v>
      </c>
      <c r="J471" s="146" t="str">
        <f ca="1">IFERROR(INDEX('9 Grid'!$D$4:$F$6,MATCH('Rekomendasi HAV'!H471,'9 Grid'!$B$4:$B$6,0),MATCH('Rekomendasi HAV'!I471,'9 Grid'!$D$2:$F$2,0)),"")</f>
        <v/>
      </c>
      <c r="K471" s="146" t="str">
        <f>IFERROR(INDEX('9 Grid'!$D$8:$F$8,1,MATCH('Rekomendasi HAV'!I471,'9 Grid'!$D$2:$F$2,0)),"")</f>
        <v>(ST) Within 12 - 18 month</v>
      </c>
      <c r="L471" s="146">
        <f>IF(ISNUMBER(SEARCH("EST",Assessment[[#This Row],[JOB TARGET]])),SUBSTITUTE(Assessment[[#This Row],[JOB TARGET]],"EST","DEV"),Assessment[[#This Row],[JOB TARGET]])</f>
        <v>0</v>
      </c>
      <c r="M471" s="146" t="str" cm="1">
        <f t="array" aca="1" ref="M471" ca="1">IF(Assessment[[#This Row],[JOB TARGET]]="","Job Target Kosong",IF(COUNT(IF('Data Assessment'!$N471:$Z471-OFFSET(Standar!$B$2,MATCH(Assessment[[#This Row],[JOB TARGET
(DEV)]],Standar[NAMA JABATAN],0)-1,1,1,13)&lt;0,1,""))&lt;=3,'9 Grid'!$B$4,IF(COUNT(IF('Data Assessment'!$N471:$Z471-OFFSET(Standar!$B$2,MATCH(Assessment[[#This Row],[JOB TARGET
(DEV)]],Standar[NAMA JABATAN],0)-1,1,1,13)&lt;0,1,""))&gt;=7,'9 Grid'!$B$6,'9 Grid'!$B$5)))</f>
        <v>Job Target Kosong</v>
      </c>
      <c r="N471" s="146" t="str">
        <f>IFERROR(IF(Data_Assessment[[#This Row],[IPP (3 YEARS AVERAGE)]]="","(IPP Belum Ada)",IF(Data_Assessment[[#This Row],[IPP (3 YEARS AVERAGE)]]&lt;2,'9 Grid'!$F$2,IF(Data_Assessment[[#This Row],[IPP (3 YEARS AVERAGE)]]&gt;=4,'9 Grid'!$D$2,'9 Grid'!$E$2))),"")</f>
        <v>Fully Competence Performance</v>
      </c>
      <c r="O471" s="146" t="str">
        <f ca="1">IFERROR(INDEX('9 Grid'!$D$4:$F$6,MATCH('Rekomendasi HAV'!M471,'9 Grid'!$B$4:$B$6,0),MATCH('Rekomendasi HAV'!N471,'9 Grid'!$D$2:$F$2,0)),"")</f>
        <v/>
      </c>
      <c r="P471" s="147" t="str">
        <f>IFERROR(INDEX('9 Grid'!$D$8:$F$8,1,MATCH('Rekomendasi HAV'!N471,'9 Grid'!$D$2:$F$2,0)),"")</f>
        <v>(ST) Within 12 - 18 month</v>
      </c>
    </row>
    <row r="472" spans="1:16" ht="28.5">
      <c r="A472" s="67">
        <v>471</v>
      </c>
      <c r="B472" s="68" t="str">
        <f>INDEX(Data_Assessment[],MATCH('Rekomendasi HAV'!$A472,Data_Assessment[[INDEX]:[INDEX]],0),MATCH('Rekomendasi HAV'!B$1,Data_Assessment[#Headers],0))</f>
        <v>Raj Suhendra, Ir.</v>
      </c>
      <c r="C472" s="68" t="str">
        <f>INDEX(Data_Assessment[],MATCH('Rekomendasi HAV'!$A472,Data_Assessment[[INDEX]:[INDEX]],0),MATCH('Rekomendasi HAV'!C$1,Data_Assessment[#Headers],0))</f>
        <v>Sulawesi Selatan</v>
      </c>
      <c r="D472" s="68" t="str">
        <f>INDEX(Data_Assessment[],MATCH('Rekomendasi HAV'!$A472,Data_Assessment[[INDEX]:[INDEX]],0),MATCH('Rekomendasi HAV'!D$1,Data_Assessment[#Headers],0))</f>
        <v>LSIP - PalangIsang Estate</v>
      </c>
      <c r="E472" s="68">
        <f>INDEX(Data_Assessment[],MATCH('Rekomendasi HAV'!$B472,Data_Assessment[[NAME]:[NAME]],0),MATCH('Rekomendasi HAV'!E$1,Data_Assessment[#Headers],0))</f>
        <v>0</v>
      </c>
      <c r="F472" s="68"/>
      <c r="G472" s="68">
        <f>IF(ISNUMBER(SEARCH("DEV",Assessment[[#This Row],[JOB TARGET]])),SUBSTITUTE(Assessment[[#This Row],[JOB TARGET]],"DEV","EST"),Assessment[[#This Row],[JOB TARGET]])</f>
        <v>0</v>
      </c>
      <c r="H472" s="146" t="str" cm="1">
        <f t="array" aca="1" ref="H472" ca="1">IF(Assessment[[#This Row],[JOB TARGET]]="","Job Target Kosong",IF(COUNT(IF('Data Assessment'!$N472:$Z472-OFFSET(Standar!$B$2,MATCH(Assessment[[#This Row],[JOB TARGET
(EST)]],Standar[NAMA JABATAN],0)-1,1,1,13)&lt;0,1,""))&lt;=3,'9 Grid'!$B$4,IF(COUNT(IF('Data Assessment'!$N472:$Z472-OFFSET(Standar!$B$2,MATCH(Assessment[[#This Row],[JOB TARGET]],Standar[NAMA JABATAN],0)-1,1,1,13)&lt;0,1,""))&gt;=7,'9 Grid'!$B$6,'9 Grid'!$B$5)))</f>
        <v>Job Target Kosong</v>
      </c>
      <c r="I472" s="146" t="str">
        <f>IFERROR(IF(Data_Assessment[[#This Row],[IPP (3 YEARS AVERAGE)]]="","(IPP Belum Ada)",IF(Data_Assessment[[#This Row],[IPP (3 YEARS AVERAGE)]]&lt;2,'9 Grid'!$F$2,IF(Data_Assessment[[#This Row],[IPP (3 YEARS AVERAGE)]]&gt;=4,'9 Grid'!$D$2,'9 Grid'!$E$2))),"")</f>
        <v>Fully Competence Performance</v>
      </c>
      <c r="J472" s="146" t="str">
        <f ca="1">IFERROR(INDEX('9 Grid'!$D$4:$F$6,MATCH('Rekomendasi HAV'!H472,'9 Grid'!$B$4:$B$6,0),MATCH('Rekomendasi HAV'!I472,'9 Grid'!$D$2:$F$2,0)),"")</f>
        <v/>
      </c>
      <c r="K472" s="146" t="str">
        <f>IFERROR(INDEX('9 Grid'!$D$8:$F$8,1,MATCH('Rekomendasi HAV'!I472,'9 Grid'!$D$2:$F$2,0)),"")</f>
        <v>(ST) Within 12 - 18 month</v>
      </c>
      <c r="L472" s="146">
        <f>IF(ISNUMBER(SEARCH("EST",Assessment[[#This Row],[JOB TARGET]])),SUBSTITUTE(Assessment[[#This Row],[JOB TARGET]],"EST","DEV"),Assessment[[#This Row],[JOB TARGET]])</f>
        <v>0</v>
      </c>
      <c r="M472" s="146" t="str" cm="1">
        <f t="array" aca="1" ref="M472" ca="1">IF(Assessment[[#This Row],[JOB TARGET]]="","Job Target Kosong",IF(COUNT(IF('Data Assessment'!$N472:$Z472-OFFSET(Standar!$B$2,MATCH(Assessment[[#This Row],[JOB TARGET
(DEV)]],Standar[NAMA JABATAN],0)-1,1,1,13)&lt;0,1,""))&lt;=3,'9 Grid'!$B$4,IF(COUNT(IF('Data Assessment'!$N472:$Z472-OFFSET(Standar!$B$2,MATCH(Assessment[[#This Row],[JOB TARGET
(DEV)]],Standar[NAMA JABATAN],0)-1,1,1,13)&lt;0,1,""))&gt;=7,'9 Grid'!$B$6,'9 Grid'!$B$5)))</f>
        <v>Job Target Kosong</v>
      </c>
      <c r="N472" s="146" t="str">
        <f>IFERROR(IF(Data_Assessment[[#This Row],[IPP (3 YEARS AVERAGE)]]="","(IPP Belum Ada)",IF(Data_Assessment[[#This Row],[IPP (3 YEARS AVERAGE)]]&lt;2,'9 Grid'!$F$2,IF(Data_Assessment[[#This Row],[IPP (3 YEARS AVERAGE)]]&gt;=4,'9 Grid'!$D$2,'9 Grid'!$E$2))),"")</f>
        <v>Fully Competence Performance</v>
      </c>
      <c r="O472" s="146" t="str">
        <f ca="1">IFERROR(INDEX('9 Grid'!$D$4:$F$6,MATCH('Rekomendasi HAV'!M472,'9 Grid'!$B$4:$B$6,0),MATCH('Rekomendasi HAV'!N472,'9 Grid'!$D$2:$F$2,0)),"")</f>
        <v/>
      </c>
      <c r="P472" s="147" t="str">
        <f>IFERROR(INDEX('9 Grid'!$D$8:$F$8,1,MATCH('Rekomendasi HAV'!N472,'9 Grid'!$D$2:$F$2,0)),"")</f>
        <v>(ST) Within 12 - 18 month</v>
      </c>
    </row>
    <row r="473" spans="1:16" ht="28.5">
      <c r="A473" s="67">
        <v>472</v>
      </c>
      <c r="B473" s="68" t="str">
        <f>INDEX(Data_Assessment[],MATCH('Rekomendasi HAV'!$A473,Data_Assessment[[INDEX]:[INDEX]],0),MATCH('Rekomendasi HAV'!B$1,Data_Assessment[#Headers],0))</f>
        <v>Ari Susilo Sijabat</v>
      </c>
      <c r="C473" s="68" t="str">
        <f>INDEX(Data_Assessment[],MATCH('Rekomendasi HAV'!$A473,Data_Assessment[[INDEX]:[INDEX]],0),MATCH('Rekomendasi HAV'!C$1,Data_Assessment[#Headers],0))</f>
        <v>Sumatera Utara</v>
      </c>
      <c r="D473" s="68" t="str">
        <f>INDEX(Data_Assessment[],MATCH('Rekomendasi HAV'!$A473,Data_Assessment[[INDEX]:[INDEX]],0),MATCH('Rekomendasi HAV'!D$1,Data_Assessment[#Headers],0))</f>
        <v>LSIP - Sei Merah Estate</v>
      </c>
      <c r="E473" s="68">
        <f>INDEX(Data_Assessment[],MATCH('Rekomendasi HAV'!$B473,Data_Assessment[[NAME]:[NAME]],0),MATCH('Rekomendasi HAV'!E$1,Data_Assessment[#Headers],0))</f>
        <v>0</v>
      </c>
      <c r="F473" s="68"/>
      <c r="G473" s="68">
        <f>IF(ISNUMBER(SEARCH("DEV",Assessment[[#This Row],[JOB TARGET]])),SUBSTITUTE(Assessment[[#This Row],[JOB TARGET]],"DEV","EST"),Assessment[[#This Row],[JOB TARGET]])</f>
        <v>0</v>
      </c>
      <c r="H473" s="146" t="str" cm="1">
        <f t="array" aca="1" ref="H473" ca="1">IF(Assessment[[#This Row],[JOB TARGET]]="","Job Target Kosong",IF(COUNT(IF('Data Assessment'!$N473:$Z473-OFFSET(Standar!$B$2,MATCH(Assessment[[#This Row],[JOB TARGET
(EST)]],Standar[NAMA JABATAN],0)-1,1,1,13)&lt;0,1,""))&lt;=3,'9 Grid'!$B$4,IF(COUNT(IF('Data Assessment'!$N473:$Z473-OFFSET(Standar!$B$2,MATCH(Assessment[[#This Row],[JOB TARGET]],Standar[NAMA JABATAN],0)-1,1,1,13)&lt;0,1,""))&gt;=7,'9 Grid'!$B$6,'9 Grid'!$B$5)))</f>
        <v>Job Target Kosong</v>
      </c>
      <c r="I473" s="146" t="str">
        <f>IFERROR(IF(Data_Assessment[[#This Row],[IPP (3 YEARS AVERAGE)]]="","(IPP Belum Ada)",IF(Data_Assessment[[#This Row],[IPP (3 YEARS AVERAGE)]]&lt;2,'9 Grid'!$F$2,IF(Data_Assessment[[#This Row],[IPP (3 YEARS AVERAGE)]]&gt;=4,'9 Grid'!$D$2,'9 Grid'!$E$2))),"")</f>
        <v>Fully Competence Performance</v>
      </c>
      <c r="J473" s="146" t="str">
        <f ca="1">IFERROR(INDEX('9 Grid'!$D$4:$F$6,MATCH('Rekomendasi HAV'!H473,'9 Grid'!$B$4:$B$6,0),MATCH('Rekomendasi HAV'!I473,'9 Grid'!$D$2:$F$2,0)),"")</f>
        <v/>
      </c>
      <c r="K473" s="146" t="str">
        <f>IFERROR(INDEX('9 Grid'!$D$8:$F$8,1,MATCH('Rekomendasi HAV'!I473,'9 Grid'!$D$2:$F$2,0)),"")</f>
        <v>(ST) Within 12 - 18 month</v>
      </c>
      <c r="L473" s="146">
        <f>IF(ISNUMBER(SEARCH("EST",Assessment[[#This Row],[JOB TARGET]])),SUBSTITUTE(Assessment[[#This Row],[JOB TARGET]],"EST","DEV"),Assessment[[#This Row],[JOB TARGET]])</f>
        <v>0</v>
      </c>
      <c r="M473" s="146" t="str" cm="1">
        <f t="array" aca="1" ref="M473" ca="1">IF(Assessment[[#This Row],[JOB TARGET]]="","Job Target Kosong",IF(COUNT(IF('Data Assessment'!$N473:$Z473-OFFSET(Standar!$B$2,MATCH(Assessment[[#This Row],[JOB TARGET
(DEV)]],Standar[NAMA JABATAN],0)-1,1,1,13)&lt;0,1,""))&lt;=3,'9 Grid'!$B$4,IF(COUNT(IF('Data Assessment'!$N473:$Z473-OFFSET(Standar!$B$2,MATCH(Assessment[[#This Row],[JOB TARGET
(DEV)]],Standar[NAMA JABATAN],0)-1,1,1,13)&lt;0,1,""))&gt;=7,'9 Grid'!$B$6,'9 Grid'!$B$5)))</f>
        <v>Job Target Kosong</v>
      </c>
      <c r="N473" s="146" t="str">
        <f>IFERROR(IF(Data_Assessment[[#This Row],[IPP (3 YEARS AVERAGE)]]="","(IPP Belum Ada)",IF(Data_Assessment[[#This Row],[IPP (3 YEARS AVERAGE)]]&lt;2,'9 Grid'!$F$2,IF(Data_Assessment[[#This Row],[IPP (3 YEARS AVERAGE)]]&gt;=4,'9 Grid'!$D$2,'9 Grid'!$E$2))),"")</f>
        <v>Fully Competence Performance</v>
      </c>
      <c r="O473" s="146" t="str">
        <f ca="1">IFERROR(INDEX('9 Grid'!$D$4:$F$6,MATCH('Rekomendasi HAV'!M473,'9 Grid'!$B$4:$B$6,0),MATCH('Rekomendasi HAV'!N473,'9 Grid'!$D$2:$F$2,0)),"")</f>
        <v/>
      </c>
      <c r="P473" s="147" t="str">
        <f>IFERROR(INDEX('9 Grid'!$D$8:$F$8,1,MATCH('Rekomendasi HAV'!N473,'9 Grid'!$D$2:$F$2,0)),"")</f>
        <v>(ST) Within 12 - 18 month</v>
      </c>
    </row>
    <row r="474" spans="1:16" ht="28.5">
      <c r="A474" s="67">
        <v>473</v>
      </c>
      <c r="B474" s="68" t="str">
        <f>INDEX(Data_Assessment[],MATCH('Rekomendasi HAV'!$A474,Data_Assessment[[INDEX]:[INDEX]],0),MATCH('Rekomendasi HAV'!B$1,Data_Assessment[#Headers],0))</f>
        <v>Parulian Siahaan</v>
      </c>
      <c r="C474" s="68" t="str">
        <f>INDEX(Data_Assessment[],MATCH('Rekomendasi HAV'!$A474,Data_Assessment[[INDEX]:[INDEX]],0),MATCH('Rekomendasi HAV'!C$1,Data_Assessment[#Headers],0))</f>
        <v>Kalimantan Timur</v>
      </c>
      <c r="D474" s="68" t="str">
        <f>INDEX(Data_Assessment[],MATCH('Rekomendasi HAV'!$A474,Data_Assessment[[INDEX]:[INDEX]],0),MATCH('Rekomendasi HAV'!D$1,Data_Assessment[#Headers],0))</f>
        <v>LSIP - Pahu Makmur Estate</v>
      </c>
      <c r="E474" s="68">
        <f>INDEX(Data_Assessment[],MATCH('Rekomendasi HAV'!$B474,Data_Assessment[[NAME]:[NAME]],0),MATCH('Rekomendasi HAV'!E$1,Data_Assessment[#Headers],0))</f>
        <v>0</v>
      </c>
      <c r="F474" s="68"/>
      <c r="G474" s="68">
        <f>IF(ISNUMBER(SEARCH("DEV",Assessment[[#This Row],[JOB TARGET]])),SUBSTITUTE(Assessment[[#This Row],[JOB TARGET]],"DEV","EST"),Assessment[[#This Row],[JOB TARGET]])</f>
        <v>0</v>
      </c>
      <c r="H474" s="146" t="str" cm="1">
        <f t="array" aca="1" ref="H474" ca="1">IF(Assessment[[#This Row],[JOB TARGET]]="","Job Target Kosong",IF(COUNT(IF('Data Assessment'!$N474:$Z474-OFFSET(Standar!$B$2,MATCH(Assessment[[#This Row],[JOB TARGET
(EST)]],Standar[NAMA JABATAN],0)-1,1,1,13)&lt;0,1,""))&lt;=3,'9 Grid'!$B$4,IF(COUNT(IF('Data Assessment'!$N474:$Z474-OFFSET(Standar!$B$2,MATCH(Assessment[[#This Row],[JOB TARGET]],Standar[NAMA JABATAN],0)-1,1,1,13)&lt;0,1,""))&gt;=7,'9 Grid'!$B$6,'9 Grid'!$B$5)))</f>
        <v>Job Target Kosong</v>
      </c>
      <c r="I474" s="146" t="str">
        <f>IFERROR(IF(Data_Assessment[[#This Row],[IPP (3 YEARS AVERAGE)]]="","(IPP Belum Ada)",IF(Data_Assessment[[#This Row],[IPP (3 YEARS AVERAGE)]]&lt;2,'9 Grid'!$F$2,IF(Data_Assessment[[#This Row],[IPP (3 YEARS AVERAGE)]]&gt;=4,'9 Grid'!$D$2,'9 Grid'!$E$2))),"")</f>
        <v>Fully Competence Performance</v>
      </c>
      <c r="J474" s="146" t="str">
        <f ca="1">IFERROR(INDEX('9 Grid'!$D$4:$F$6,MATCH('Rekomendasi HAV'!H474,'9 Grid'!$B$4:$B$6,0),MATCH('Rekomendasi HAV'!I474,'9 Grid'!$D$2:$F$2,0)),"")</f>
        <v/>
      </c>
      <c r="K474" s="146" t="str">
        <f>IFERROR(INDEX('9 Grid'!$D$8:$F$8,1,MATCH('Rekomendasi HAV'!I474,'9 Grid'!$D$2:$F$2,0)),"")</f>
        <v>(ST) Within 12 - 18 month</v>
      </c>
      <c r="L474" s="146">
        <f>IF(ISNUMBER(SEARCH("EST",Assessment[[#This Row],[JOB TARGET]])),SUBSTITUTE(Assessment[[#This Row],[JOB TARGET]],"EST","DEV"),Assessment[[#This Row],[JOB TARGET]])</f>
        <v>0</v>
      </c>
      <c r="M474" s="146" t="str" cm="1">
        <f t="array" aca="1" ref="M474" ca="1">IF(Assessment[[#This Row],[JOB TARGET]]="","Job Target Kosong",IF(COUNT(IF('Data Assessment'!$N474:$Z474-OFFSET(Standar!$B$2,MATCH(Assessment[[#This Row],[JOB TARGET
(DEV)]],Standar[NAMA JABATAN],0)-1,1,1,13)&lt;0,1,""))&lt;=3,'9 Grid'!$B$4,IF(COUNT(IF('Data Assessment'!$N474:$Z474-OFFSET(Standar!$B$2,MATCH(Assessment[[#This Row],[JOB TARGET
(DEV)]],Standar[NAMA JABATAN],0)-1,1,1,13)&lt;0,1,""))&gt;=7,'9 Grid'!$B$6,'9 Grid'!$B$5)))</f>
        <v>Job Target Kosong</v>
      </c>
      <c r="N474" s="146" t="str">
        <f>IFERROR(IF(Data_Assessment[[#This Row],[IPP (3 YEARS AVERAGE)]]="","(IPP Belum Ada)",IF(Data_Assessment[[#This Row],[IPP (3 YEARS AVERAGE)]]&lt;2,'9 Grid'!$F$2,IF(Data_Assessment[[#This Row],[IPP (3 YEARS AVERAGE)]]&gt;=4,'9 Grid'!$D$2,'9 Grid'!$E$2))),"")</f>
        <v>Fully Competence Performance</v>
      </c>
      <c r="O474" s="146" t="str">
        <f ca="1">IFERROR(INDEX('9 Grid'!$D$4:$F$6,MATCH('Rekomendasi HAV'!M474,'9 Grid'!$B$4:$B$6,0),MATCH('Rekomendasi HAV'!N474,'9 Grid'!$D$2:$F$2,0)),"")</f>
        <v/>
      </c>
      <c r="P474" s="147" t="str">
        <f>IFERROR(INDEX('9 Grid'!$D$8:$F$8,1,MATCH('Rekomendasi HAV'!N474,'9 Grid'!$D$2:$F$2,0)),"")</f>
        <v>(ST) Within 12 - 18 month</v>
      </c>
    </row>
    <row r="475" spans="1:16" ht="28.5">
      <c r="A475" s="67">
        <v>474</v>
      </c>
      <c r="B475" s="68" t="str">
        <f>INDEX(Data_Assessment[],MATCH('Rekomendasi HAV'!$A475,Data_Assessment[[INDEX]:[INDEX]],0),MATCH('Rekomendasi HAV'!B$1,Data_Assessment[#Headers],0))</f>
        <v>Zulkifli Nizam, Ir.</v>
      </c>
      <c r="C475" s="68" t="str">
        <f>INDEX(Data_Assessment[],MATCH('Rekomendasi HAV'!$A475,Data_Assessment[[INDEX]:[INDEX]],0),MATCH('Rekomendasi HAV'!C$1,Data_Assessment[#Headers],0))</f>
        <v>Kalimantan Timur</v>
      </c>
      <c r="D475" s="68" t="str">
        <f>INDEX(Data_Assessment[],MATCH('Rekomendasi HAV'!$A475,Data_Assessment[[INDEX]:[INDEX]],0),MATCH('Rekomendasi HAV'!D$1,Data_Assessment[#Headers],0))</f>
        <v>LSIP - Pahu Makmur Estate</v>
      </c>
      <c r="E475" s="68">
        <f>INDEX(Data_Assessment[],MATCH('Rekomendasi HAV'!$B475,Data_Assessment[[NAME]:[NAME]],0),MATCH('Rekomendasi HAV'!E$1,Data_Assessment[#Headers],0))</f>
        <v>0</v>
      </c>
      <c r="F475" s="68"/>
      <c r="G475" s="68">
        <f>IF(ISNUMBER(SEARCH("DEV",Assessment[[#This Row],[JOB TARGET]])),SUBSTITUTE(Assessment[[#This Row],[JOB TARGET]],"DEV","EST"),Assessment[[#This Row],[JOB TARGET]])</f>
        <v>0</v>
      </c>
      <c r="H475" s="146" t="str" cm="1">
        <f t="array" aca="1" ref="H475" ca="1">IF(Assessment[[#This Row],[JOB TARGET]]="","Job Target Kosong",IF(COUNT(IF('Data Assessment'!$N475:$Z475-OFFSET(Standar!$B$2,MATCH(Assessment[[#This Row],[JOB TARGET
(EST)]],Standar[NAMA JABATAN],0)-1,1,1,13)&lt;0,1,""))&lt;=3,'9 Grid'!$B$4,IF(COUNT(IF('Data Assessment'!$N475:$Z475-OFFSET(Standar!$B$2,MATCH(Assessment[[#This Row],[JOB TARGET]],Standar[NAMA JABATAN],0)-1,1,1,13)&lt;0,1,""))&gt;=7,'9 Grid'!$B$6,'9 Grid'!$B$5)))</f>
        <v>Job Target Kosong</v>
      </c>
      <c r="I475" s="146" t="str">
        <f>IFERROR(IF(Data_Assessment[[#This Row],[IPP (3 YEARS AVERAGE)]]="","(IPP Belum Ada)",IF(Data_Assessment[[#This Row],[IPP (3 YEARS AVERAGE)]]&lt;2,'9 Grid'!$F$2,IF(Data_Assessment[[#This Row],[IPP (3 YEARS AVERAGE)]]&gt;=4,'9 Grid'!$D$2,'9 Grid'!$E$2))),"")</f>
        <v>Fully Competence Performance</v>
      </c>
      <c r="J475" s="146" t="str">
        <f ca="1">IFERROR(INDEX('9 Grid'!$D$4:$F$6,MATCH('Rekomendasi HAV'!H475,'9 Grid'!$B$4:$B$6,0),MATCH('Rekomendasi HAV'!I475,'9 Grid'!$D$2:$F$2,0)),"")</f>
        <v/>
      </c>
      <c r="K475" s="146" t="str">
        <f>IFERROR(INDEX('9 Grid'!$D$8:$F$8,1,MATCH('Rekomendasi HAV'!I475,'9 Grid'!$D$2:$F$2,0)),"")</f>
        <v>(ST) Within 12 - 18 month</v>
      </c>
      <c r="L475" s="146">
        <f>IF(ISNUMBER(SEARCH("EST",Assessment[[#This Row],[JOB TARGET]])),SUBSTITUTE(Assessment[[#This Row],[JOB TARGET]],"EST","DEV"),Assessment[[#This Row],[JOB TARGET]])</f>
        <v>0</v>
      </c>
      <c r="M475" s="146" t="str" cm="1">
        <f t="array" aca="1" ref="M475" ca="1">IF(Assessment[[#This Row],[JOB TARGET]]="","Job Target Kosong",IF(COUNT(IF('Data Assessment'!$N475:$Z475-OFFSET(Standar!$B$2,MATCH(Assessment[[#This Row],[JOB TARGET
(DEV)]],Standar[NAMA JABATAN],0)-1,1,1,13)&lt;0,1,""))&lt;=3,'9 Grid'!$B$4,IF(COUNT(IF('Data Assessment'!$N475:$Z475-OFFSET(Standar!$B$2,MATCH(Assessment[[#This Row],[JOB TARGET
(DEV)]],Standar[NAMA JABATAN],0)-1,1,1,13)&lt;0,1,""))&gt;=7,'9 Grid'!$B$6,'9 Grid'!$B$5)))</f>
        <v>Job Target Kosong</v>
      </c>
      <c r="N475" s="146" t="str">
        <f>IFERROR(IF(Data_Assessment[[#This Row],[IPP (3 YEARS AVERAGE)]]="","(IPP Belum Ada)",IF(Data_Assessment[[#This Row],[IPP (3 YEARS AVERAGE)]]&lt;2,'9 Grid'!$F$2,IF(Data_Assessment[[#This Row],[IPP (3 YEARS AVERAGE)]]&gt;=4,'9 Grid'!$D$2,'9 Grid'!$E$2))),"")</f>
        <v>Fully Competence Performance</v>
      </c>
      <c r="O475" s="146" t="str">
        <f ca="1">IFERROR(INDEX('9 Grid'!$D$4:$F$6,MATCH('Rekomendasi HAV'!M475,'9 Grid'!$B$4:$B$6,0),MATCH('Rekomendasi HAV'!N475,'9 Grid'!$D$2:$F$2,0)),"")</f>
        <v/>
      </c>
      <c r="P475" s="147" t="str">
        <f>IFERROR(INDEX('9 Grid'!$D$8:$F$8,1,MATCH('Rekomendasi HAV'!N475,'9 Grid'!$D$2:$F$2,0)),"")</f>
        <v>(ST) Within 12 - 18 month</v>
      </c>
    </row>
    <row r="476" spans="1:16" ht="28.5">
      <c r="A476" s="67">
        <v>475</v>
      </c>
      <c r="B476" s="68" t="str">
        <f>INDEX(Data_Assessment[],MATCH('Rekomendasi HAV'!$A476,Data_Assessment[[INDEX]:[INDEX]],0),MATCH('Rekomendasi HAV'!B$1,Data_Assessment[#Headers],0))</f>
        <v>Sukardi</v>
      </c>
      <c r="C476" s="68" t="str">
        <f>INDEX(Data_Assessment[],MATCH('Rekomendasi HAV'!$A476,Data_Assessment[[INDEX]:[INDEX]],0),MATCH('Rekomendasi HAV'!C$1,Data_Assessment[#Headers],0))</f>
        <v>Kalimantan Timur</v>
      </c>
      <c r="D476" s="68" t="str">
        <f>INDEX(Data_Assessment[],MATCH('Rekomendasi HAV'!$A476,Data_Assessment[[INDEX]:[INDEX]],0),MATCH('Rekomendasi HAV'!D$1,Data_Assessment[#Headers],0))</f>
        <v>LSIP - Pahu Makmur Estate</v>
      </c>
      <c r="E476" s="68">
        <f>INDEX(Data_Assessment[],MATCH('Rekomendasi HAV'!$B476,Data_Assessment[[NAME]:[NAME]],0),MATCH('Rekomendasi HAV'!E$1,Data_Assessment[#Headers],0))</f>
        <v>0</v>
      </c>
      <c r="F476" s="68"/>
      <c r="G476" s="68">
        <f>IF(ISNUMBER(SEARCH("DEV",Assessment[[#This Row],[JOB TARGET]])),SUBSTITUTE(Assessment[[#This Row],[JOB TARGET]],"DEV","EST"),Assessment[[#This Row],[JOB TARGET]])</f>
        <v>0</v>
      </c>
      <c r="H476" s="146" t="str" cm="1">
        <f t="array" aca="1" ref="H476" ca="1">IF(Assessment[[#This Row],[JOB TARGET]]="","Job Target Kosong",IF(COUNT(IF('Data Assessment'!$N476:$Z476-OFFSET(Standar!$B$2,MATCH(Assessment[[#This Row],[JOB TARGET
(EST)]],Standar[NAMA JABATAN],0)-1,1,1,13)&lt;0,1,""))&lt;=3,'9 Grid'!$B$4,IF(COUNT(IF('Data Assessment'!$N476:$Z476-OFFSET(Standar!$B$2,MATCH(Assessment[[#This Row],[JOB TARGET]],Standar[NAMA JABATAN],0)-1,1,1,13)&lt;0,1,""))&gt;=7,'9 Grid'!$B$6,'9 Grid'!$B$5)))</f>
        <v>Job Target Kosong</v>
      </c>
      <c r="I476" s="146" t="str">
        <f>IFERROR(IF(Data_Assessment[[#This Row],[IPP (3 YEARS AVERAGE)]]="","(IPP Belum Ada)",IF(Data_Assessment[[#This Row],[IPP (3 YEARS AVERAGE)]]&lt;2,'9 Grid'!$F$2,IF(Data_Assessment[[#This Row],[IPP (3 YEARS AVERAGE)]]&gt;=4,'9 Grid'!$D$2,'9 Grid'!$E$2))),"")</f>
        <v>Fully Competence Performance</v>
      </c>
      <c r="J476" s="146" t="str">
        <f ca="1">IFERROR(INDEX('9 Grid'!$D$4:$F$6,MATCH('Rekomendasi HAV'!H476,'9 Grid'!$B$4:$B$6,0),MATCH('Rekomendasi HAV'!I476,'9 Grid'!$D$2:$F$2,0)),"")</f>
        <v/>
      </c>
      <c r="K476" s="146" t="str">
        <f>IFERROR(INDEX('9 Grid'!$D$8:$F$8,1,MATCH('Rekomendasi HAV'!I476,'9 Grid'!$D$2:$F$2,0)),"")</f>
        <v>(ST) Within 12 - 18 month</v>
      </c>
      <c r="L476" s="146">
        <f>IF(ISNUMBER(SEARCH("EST",Assessment[[#This Row],[JOB TARGET]])),SUBSTITUTE(Assessment[[#This Row],[JOB TARGET]],"EST","DEV"),Assessment[[#This Row],[JOB TARGET]])</f>
        <v>0</v>
      </c>
      <c r="M476" s="146" t="str" cm="1">
        <f t="array" aca="1" ref="M476" ca="1">IF(Assessment[[#This Row],[JOB TARGET]]="","Job Target Kosong",IF(COUNT(IF('Data Assessment'!$N476:$Z476-OFFSET(Standar!$B$2,MATCH(Assessment[[#This Row],[JOB TARGET
(DEV)]],Standar[NAMA JABATAN],0)-1,1,1,13)&lt;0,1,""))&lt;=3,'9 Grid'!$B$4,IF(COUNT(IF('Data Assessment'!$N476:$Z476-OFFSET(Standar!$B$2,MATCH(Assessment[[#This Row],[JOB TARGET
(DEV)]],Standar[NAMA JABATAN],0)-1,1,1,13)&lt;0,1,""))&gt;=7,'9 Grid'!$B$6,'9 Grid'!$B$5)))</f>
        <v>Job Target Kosong</v>
      </c>
      <c r="N476" s="146" t="str">
        <f>IFERROR(IF(Data_Assessment[[#This Row],[IPP (3 YEARS AVERAGE)]]="","(IPP Belum Ada)",IF(Data_Assessment[[#This Row],[IPP (3 YEARS AVERAGE)]]&lt;2,'9 Grid'!$F$2,IF(Data_Assessment[[#This Row],[IPP (3 YEARS AVERAGE)]]&gt;=4,'9 Grid'!$D$2,'9 Grid'!$E$2))),"")</f>
        <v>Fully Competence Performance</v>
      </c>
      <c r="O476" s="146" t="str">
        <f ca="1">IFERROR(INDEX('9 Grid'!$D$4:$F$6,MATCH('Rekomendasi HAV'!M476,'9 Grid'!$B$4:$B$6,0),MATCH('Rekomendasi HAV'!N476,'9 Grid'!$D$2:$F$2,0)),"")</f>
        <v/>
      </c>
      <c r="P476" s="147" t="str">
        <f>IFERROR(INDEX('9 Grid'!$D$8:$F$8,1,MATCH('Rekomendasi HAV'!N476,'9 Grid'!$D$2:$F$2,0)),"")</f>
        <v>(ST) Within 12 - 18 month</v>
      </c>
    </row>
    <row r="477" spans="1:16" ht="28.5">
      <c r="A477" s="67">
        <v>476</v>
      </c>
      <c r="B477" s="68" t="str">
        <f>INDEX(Data_Assessment[],MATCH('Rekomendasi HAV'!$A477,Data_Assessment[[INDEX]:[INDEX]],0),MATCH('Rekomendasi HAV'!B$1,Data_Assessment[#Headers],0))</f>
        <v>Nazmiardi, Ir.</v>
      </c>
      <c r="C477" s="68" t="str">
        <f>INDEX(Data_Assessment[],MATCH('Rekomendasi HAV'!$A477,Data_Assessment[[INDEX]:[INDEX]],0),MATCH('Rekomendasi HAV'!C$1,Data_Assessment[#Headers],0))</f>
        <v>Kalimantan Timur</v>
      </c>
      <c r="D477" s="68" t="str">
        <f>INDEX(Data_Assessment[],MATCH('Rekomendasi HAV'!$A477,Data_Assessment[[INDEX]:[INDEX]],0),MATCH('Rekomendasi HAV'!D$1,Data_Assessment[#Headers],0))</f>
        <v>LSIP - Pahu Makmur Estate</v>
      </c>
      <c r="E477" s="68">
        <f>INDEX(Data_Assessment[],MATCH('Rekomendasi HAV'!$B477,Data_Assessment[[NAME]:[NAME]],0),MATCH('Rekomendasi HAV'!E$1,Data_Assessment[#Headers],0))</f>
        <v>0</v>
      </c>
      <c r="F477" s="68"/>
      <c r="G477" s="68">
        <f>IF(ISNUMBER(SEARCH("DEV",Assessment[[#This Row],[JOB TARGET]])),SUBSTITUTE(Assessment[[#This Row],[JOB TARGET]],"DEV","EST"),Assessment[[#This Row],[JOB TARGET]])</f>
        <v>0</v>
      </c>
      <c r="H477" s="146" t="str" cm="1">
        <f t="array" aca="1" ref="H477" ca="1">IF(Assessment[[#This Row],[JOB TARGET]]="","Job Target Kosong",IF(COUNT(IF('Data Assessment'!$N477:$Z477-OFFSET(Standar!$B$2,MATCH(Assessment[[#This Row],[JOB TARGET
(EST)]],Standar[NAMA JABATAN],0)-1,1,1,13)&lt;0,1,""))&lt;=3,'9 Grid'!$B$4,IF(COUNT(IF('Data Assessment'!$N477:$Z477-OFFSET(Standar!$B$2,MATCH(Assessment[[#This Row],[JOB TARGET]],Standar[NAMA JABATAN],0)-1,1,1,13)&lt;0,1,""))&gt;=7,'9 Grid'!$B$6,'9 Grid'!$B$5)))</f>
        <v>Job Target Kosong</v>
      </c>
      <c r="I477" s="146" t="str">
        <f>IFERROR(IF(Data_Assessment[[#This Row],[IPP (3 YEARS AVERAGE)]]="","(IPP Belum Ada)",IF(Data_Assessment[[#This Row],[IPP (3 YEARS AVERAGE)]]&lt;2,'9 Grid'!$F$2,IF(Data_Assessment[[#This Row],[IPP (3 YEARS AVERAGE)]]&gt;=4,'9 Grid'!$D$2,'9 Grid'!$E$2))),"")</f>
        <v>Fully Competence Performance</v>
      </c>
      <c r="J477" s="146" t="str">
        <f ca="1">IFERROR(INDEX('9 Grid'!$D$4:$F$6,MATCH('Rekomendasi HAV'!H477,'9 Grid'!$B$4:$B$6,0),MATCH('Rekomendasi HAV'!I477,'9 Grid'!$D$2:$F$2,0)),"")</f>
        <v/>
      </c>
      <c r="K477" s="146" t="str">
        <f>IFERROR(INDEX('9 Grid'!$D$8:$F$8,1,MATCH('Rekomendasi HAV'!I477,'9 Grid'!$D$2:$F$2,0)),"")</f>
        <v>(ST) Within 12 - 18 month</v>
      </c>
      <c r="L477" s="146">
        <f>IF(ISNUMBER(SEARCH("EST",Assessment[[#This Row],[JOB TARGET]])),SUBSTITUTE(Assessment[[#This Row],[JOB TARGET]],"EST","DEV"),Assessment[[#This Row],[JOB TARGET]])</f>
        <v>0</v>
      </c>
      <c r="M477" s="146" t="str" cm="1">
        <f t="array" aca="1" ref="M477" ca="1">IF(Assessment[[#This Row],[JOB TARGET]]="","Job Target Kosong",IF(COUNT(IF('Data Assessment'!$N477:$Z477-OFFSET(Standar!$B$2,MATCH(Assessment[[#This Row],[JOB TARGET
(DEV)]],Standar[NAMA JABATAN],0)-1,1,1,13)&lt;0,1,""))&lt;=3,'9 Grid'!$B$4,IF(COUNT(IF('Data Assessment'!$N477:$Z477-OFFSET(Standar!$B$2,MATCH(Assessment[[#This Row],[JOB TARGET
(DEV)]],Standar[NAMA JABATAN],0)-1,1,1,13)&lt;0,1,""))&gt;=7,'9 Grid'!$B$6,'9 Grid'!$B$5)))</f>
        <v>Job Target Kosong</v>
      </c>
      <c r="N477" s="146" t="str">
        <f>IFERROR(IF(Data_Assessment[[#This Row],[IPP (3 YEARS AVERAGE)]]="","(IPP Belum Ada)",IF(Data_Assessment[[#This Row],[IPP (3 YEARS AVERAGE)]]&lt;2,'9 Grid'!$F$2,IF(Data_Assessment[[#This Row],[IPP (3 YEARS AVERAGE)]]&gt;=4,'9 Grid'!$D$2,'9 Grid'!$E$2))),"")</f>
        <v>Fully Competence Performance</v>
      </c>
      <c r="O477" s="146" t="str">
        <f ca="1">IFERROR(INDEX('9 Grid'!$D$4:$F$6,MATCH('Rekomendasi HAV'!M477,'9 Grid'!$B$4:$B$6,0),MATCH('Rekomendasi HAV'!N477,'9 Grid'!$D$2:$F$2,0)),"")</f>
        <v/>
      </c>
      <c r="P477" s="147" t="str">
        <f>IFERROR(INDEX('9 Grid'!$D$8:$F$8,1,MATCH('Rekomendasi HAV'!N477,'9 Grid'!$D$2:$F$2,0)),"")</f>
        <v>(ST) Within 12 - 18 month</v>
      </c>
    </row>
    <row r="478" spans="1:16" ht="14.25">
      <c r="A478" s="67">
        <v>477</v>
      </c>
      <c r="B478" s="68" t="str">
        <f>INDEX(Data_Assessment[],MATCH('Rekomendasi HAV'!$A478,Data_Assessment[[INDEX]:[INDEX]],0),MATCH('Rekomendasi HAV'!B$1,Data_Assessment[#Headers],0))</f>
        <v>Karin Anggita Sari</v>
      </c>
      <c r="C478" s="68" t="str">
        <f>INDEX(Data_Assessment[],MATCH('Rekomendasi HAV'!$A478,Data_Assessment[[INDEX]:[INDEX]],0),MATCH('Rekomendasi HAV'!C$1,Data_Assessment[#Headers],0))</f>
        <v>Sumatera Utara</v>
      </c>
      <c r="D478" s="68" t="str">
        <f>INDEX(Data_Assessment[],MATCH('Rekomendasi HAV'!$A478,Data_Assessment[[INDEX]:[INDEX]],0),MATCH('Rekomendasi HAV'!D$1,Data_Assessment[#Headers],0))</f>
        <v>LSIP - Pulo Rambong Estate</v>
      </c>
      <c r="E478" s="68">
        <f>INDEX(Data_Assessment[],MATCH('Rekomendasi HAV'!$B478,Data_Assessment[[NAME]:[NAME]],0),MATCH('Rekomendasi HAV'!E$1,Data_Assessment[#Headers],0))</f>
        <v>0</v>
      </c>
      <c r="F478" s="68"/>
      <c r="G478" s="68">
        <f>IF(ISNUMBER(SEARCH("DEV",Assessment[[#This Row],[JOB TARGET]])),SUBSTITUTE(Assessment[[#This Row],[JOB TARGET]],"DEV","EST"),Assessment[[#This Row],[JOB TARGET]])</f>
        <v>0</v>
      </c>
      <c r="H478" s="146" t="str" cm="1">
        <f t="array" aca="1" ref="H478" ca="1">IF(Assessment[[#This Row],[JOB TARGET]]="","Job Target Kosong",IF(COUNT(IF('Data Assessment'!$N478:$Z478-OFFSET(Standar!$B$2,MATCH(Assessment[[#This Row],[JOB TARGET
(EST)]],Standar[NAMA JABATAN],0)-1,1,1,13)&lt;0,1,""))&lt;=3,'9 Grid'!$B$4,IF(COUNT(IF('Data Assessment'!$N478:$Z478-OFFSET(Standar!$B$2,MATCH(Assessment[[#This Row],[JOB TARGET]],Standar[NAMA JABATAN],0)-1,1,1,13)&lt;0,1,""))&gt;=7,'9 Grid'!$B$6,'9 Grid'!$B$5)))</f>
        <v>Job Target Kosong</v>
      </c>
      <c r="I478" s="146" t="str">
        <f>IFERROR(IF(Data_Assessment[[#This Row],[IPP (3 YEARS AVERAGE)]]="","(IPP Belum Ada)",IF(Data_Assessment[[#This Row],[IPP (3 YEARS AVERAGE)]]&lt;2,'9 Grid'!$F$2,IF(Data_Assessment[[#This Row],[IPP (3 YEARS AVERAGE)]]&gt;=4,'9 Grid'!$D$2,'9 Grid'!$E$2))),"")</f>
        <v>Exceptional Performance</v>
      </c>
      <c r="J478" s="146" t="str">
        <f ca="1">IFERROR(INDEX('9 Grid'!$D$4:$F$6,MATCH('Rekomendasi HAV'!H478,'9 Grid'!$B$4:$B$6,0),MATCH('Rekomendasi HAV'!I478,'9 Grid'!$D$2:$F$2,0)),"")</f>
        <v/>
      </c>
      <c r="K478" s="146" t="str">
        <f>IFERROR(INDEX('9 Grid'!$D$8:$F$8,1,MATCH('Rekomendasi HAV'!I478,'9 Grid'!$D$2:$F$2,0)),"")</f>
        <v>(I) Immediately</v>
      </c>
      <c r="L478" s="146">
        <f>IF(ISNUMBER(SEARCH("EST",Assessment[[#This Row],[JOB TARGET]])),SUBSTITUTE(Assessment[[#This Row],[JOB TARGET]],"EST","DEV"),Assessment[[#This Row],[JOB TARGET]])</f>
        <v>0</v>
      </c>
      <c r="M478" s="146" t="str" cm="1">
        <f t="array" aca="1" ref="M478" ca="1">IF(Assessment[[#This Row],[JOB TARGET]]="","Job Target Kosong",IF(COUNT(IF('Data Assessment'!$N478:$Z478-OFFSET(Standar!$B$2,MATCH(Assessment[[#This Row],[JOB TARGET
(DEV)]],Standar[NAMA JABATAN],0)-1,1,1,13)&lt;0,1,""))&lt;=3,'9 Grid'!$B$4,IF(COUNT(IF('Data Assessment'!$N478:$Z478-OFFSET(Standar!$B$2,MATCH(Assessment[[#This Row],[JOB TARGET
(DEV)]],Standar[NAMA JABATAN],0)-1,1,1,13)&lt;0,1,""))&gt;=7,'9 Grid'!$B$6,'9 Grid'!$B$5)))</f>
        <v>Job Target Kosong</v>
      </c>
      <c r="N478" s="146" t="str">
        <f>IFERROR(IF(Data_Assessment[[#This Row],[IPP (3 YEARS AVERAGE)]]="","(IPP Belum Ada)",IF(Data_Assessment[[#This Row],[IPP (3 YEARS AVERAGE)]]&lt;2,'9 Grid'!$F$2,IF(Data_Assessment[[#This Row],[IPP (3 YEARS AVERAGE)]]&gt;=4,'9 Grid'!$D$2,'9 Grid'!$E$2))),"")</f>
        <v>Exceptional Performance</v>
      </c>
      <c r="O478" s="146" t="str">
        <f ca="1">IFERROR(INDEX('9 Grid'!$D$4:$F$6,MATCH('Rekomendasi HAV'!M478,'9 Grid'!$B$4:$B$6,0),MATCH('Rekomendasi HAV'!N478,'9 Grid'!$D$2:$F$2,0)),"")</f>
        <v/>
      </c>
      <c r="P478" s="147" t="str">
        <f>IFERROR(INDEX('9 Grid'!$D$8:$F$8,1,MATCH('Rekomendasi HAV'!N478,'9 Grid'!$D$2:$F$2,0)),"")</f>
        <v>(I) Immediately</v>
      </c>
    </row>
    <row r="479" spans="1:16" ht="28.5">
      <c r="A479" s="67">
        <v>478</v>
      </c>
      <c r="B479" s="68" t="str">
        <f>INDEX(Data_Assessment[],MATCH('Rekomendasi HAV'!$A479,Data_Assessment[[INDEX]:[INDEX]],0),MATCH('Rekomendasi HAV'!B$1,Data_Assessment[#Headers],0))</f>
        <v>Limsep Tarigan</v>
      </c>
      <c r="C479" s="68" t="str">
        <f>INDEX(Data_Assessment[],MATCH('Rekomendasi HAV'!$A479,Data_Assessment[[INDEX]:[INDEX]],0),MATCH('Rekomendasi HAV'!C$1,Data_Assessment[#Headers],0))</f>
        <v>Kalimantan Timur</v>
      </c>
      <c r="D479" s="68" t="str">
        <f>INDEX(Data_Assessment[],MATCH('Rekomendasi HAV'!$A479,Data_Assessment[[INDEX]:[INDEX]],0),MATCH('Rekomendasi HAV'!D$1,Data_Assessment[#Headers],0))</f>
        <v>LSIP - Issuy Makmur Estate</v>
      </c>
      <c r="E479" s="68">
        <f>INDEX(Data_Assessment[],MATCH('Rekomendasi HAV'!$B479,Data_Assessment[[NAME]:[NAME]],0),MATCH('Rekomendasi HAV'!E$1,Data_Assessment[#Headers],0))</f>
        <v>0</v>
      </c>
      <c r="F479" s="68"/>
      <c r="G479" s="68">
        <f>IF(ISNUMBER(SEARCH("DEV",Assessment[[#This Row],[JOB TARGET]])),SUBSTITUTE(Assessment[[#This Row],[JOB TARGET]],"DEV","EST"),Assessment[[#This Row],[JOB TARGET]])</f>
        <v>0</v>
      </c>
      <c r="H479" s="146" t="str" cm="1">
        <f t="array" aca="1" ref="H479" ca="1">IF(Assessment[[#This Row],[JOB TARGET]]="","Job Target Kosong",IF(COUNT(IF('Data Assessment'!$N479:$Z479-OFFSET(Standar!$B$2,MATCH(Assessment[[#This Row],[JOB TARGET
(EST)]],Standar[NAMA JABATAN],0)-1,1,1,13)&lt;0,1,""))&lt;=3,'9 Grid'!$B$4,IF(COUNT(IF('Data Assessment'!$N479:$Z479-OFFSET(Standar!$B$2,MATCH(Assessment[[#This Row],[JOB TARGET]],Standar[NAMA JABATAN],0)-1,1,1,13)&lt;0,1,""))&gt;=7,'9 Grid'!$B$6,'9 Grid'!$B$5)))</f>
        <v>Job Target Kosong</v>
      </c>
      <c r="I479" s="146" t="str">
        <f>IFERROR(IF(Data_Assessment[[#This Row],[IPP (3 YEARS AVERAGE)]]="","(IPP Belum Ada)",IF(Data_Assessment[[#This Row],[IPP (3 YEARS AVERAGE)]]&lt;2,'9 Grid'!$F$2,IF(Data_Assessment[[#This Row],[IPP (3 YEARS AVERAGE)]]&gt;=4,'9 Grid'!$D$2,'9 Grid'!$E$2))),"")</f>
        <v>Fully Competence Performance</v>
      </c>
      <c r="J479" s="146" t="str">
        <f ca="1">IFERROR(INDEX('9 Grid'!$D$4:$F$6,MATCH('Rekomendasi HAV'!H479,'9 Grid'!$B$4:$B$6,0),MATCH('Rekomendasi HAV'!I479,'9 Grid'!$D$2:$F$2,0)),"")</f>
        <v/>
      </c>
      <c r="K479" s="146" t="str">
        <f>IFERROR(INDEX('9 Grid'!$D$8:$F$8,1,MATCH('Rekomendasi HAV'!I479,'9 Grid'!$D$2:$F$2,0)),"")</f>
        <v>(ST) Within 12 - 18 month</v>
      </c>
      <c r="L479" s="146">
        <f>IF(ISNUMBER(SEARCH("EST",Assessment[[#This Row],[JOB TARGET]])),SUBSTITUTE(Assessment[[#This Row],[JOB TARGET]],"EST","DEV"),Assessment[[#This Row],[JOB TARGET]])</f>
        <v>0</v>
      </c>
      <c r="M479" s="146" t="str" cm="1">
        <f t="array" aca="1" ref="M479" ca="1">IF(Assessment[[#This Row],[JOB TARGET]]="","Job Target Kosong",IF(COUNT(IF('Data Assessment'!$N479:$Z479-OFFSET(Standar!$B$2,MATCH(Assessment[[#This Row],[JOB TARGET
(DEV)]],Standar[NAMA JABATAN],0)-1,1,1,13)&lt;0,1,""))&lt;=3,'9 Grid'!$B$4,IF(COUNT(IF('Data Assessment'!$N479:$Z479-OFFSET(Standar!$B$2,MATCH(Assessment[[#This Row],[JOB TARGET
(DEV)]],Standar[NAMA JABATAN],0)-1,1,1,13)&lt;0,1,""))&gt;=7,'9 Grid'!$B$6,'9 Grid'!$B$5)))</f>
        <v>Job Target Kosong</v>
      </c>
      <c r="N479" s="146" t="str">
        <f>IFERROR(IF(Data_Assessment[[#This Row],[IPP (3 YEARS AVERAGE)]]="","(IPP Belum Ada)",IF(Data_Assessment[[#This Row],[IPP (3 YEARS AVERAGE)]]&lt;2,'9 Grid'!$F$2,IF(Data_Assessment[[#This Row],[IPP (3 YEARS AVERAGE)]]&gt;=4,'9 Grid'!$D$2,'9 Grid'!$E$2))),"")</f>
        <v>Fully Competence Performance</v>
      </c>
      <c r="O479" s="146" t="str">
        <f ca="1">IFERROR(INDEX('9 Grid'!$D$4:$F$6,MATCH('Rekomendasi HAV'!M479,'9 Grid'!$B$4:$B$6,0),MATCH('Rekomendasi HAV'!N479,'9 Grid'!$D$2:$F$2,0)),"")</f>
        <v/>
      </c>
      <c r="P479" s="147" t="str">
        <f>IFERROR(INDEX('9 Grid'!$D$8:$F$8,1,MATCH('Rekomendasi HAV'!N479,'9 Grid'!$D$2:$F$2,0)),"")</f>
        <v>(ST) Within 12 - 18 month</v>
      </c>
    </row>
    <row r="480" spans="1:16" ht="28.5">
      <c r="A480" s="67">
        <v>479</v>
      </c>
      <c r="B480" s="68" t="str">
        <f>INDEX(Data_Assessment[],MATCH('Rekomendasi HAV'!$A480,Data_Assessment[[INDEX]:[INDEX]],0),MATCH('Rekomendasi HAV'!B$1,Data_Assessment[#Headers],0))</f>
        <v>Nazari, Ir.</v>
      </c>
      <c r="C480" s="68" t="str">
        <f>INDEX(Data_Assessment[],MATCH('Rekomendasi HAV'!$A480,Data_Assessment[[INDEX]:[INDEX]],0),MATCH('Rekomendasi HAV'!C$1,Data_Assessment[#Headers],0))</f>
        <v>Sumatera Utara</v>
      </c>
      <c r="D480" s="68" t="str">
        <f>INDEX(Data_Assessment[],MATCH('Rekomendasi HAV'!$A480,Data_Assessment[[INDEX]:[INDEX]],0),MATCH('Rekomendasi HAV'!D$1,Data_Assessment[#Headers],0))</f>
        <v>LSIP - Pulo Rambong Estate</v>
      </c>
      <c r="E480" s="68">
        <f>INDEX(Data_Assessment[],MATCH('Rekomendasi HAV'!$B480,Data_Assessment[[NAME]:[NAME]],0),MATCH('Rekomendasi HAV'!E$1,Data_Assessment[#Headers],0))</f>
        <v>0</v>
      </c>
      <c r="F480" s="68"/>
      <c r="G480" s="68">
        <f>IF(ISNUMBER(SEARCH("DEV",Assessment[[#This Row],[JOB TARGET]])),SUBSTITUTE(Assessment[[#This Row],[JOB TARGET]],"DEV","EST"),Assessment[[#This Row],[JOB TARGET]])</f>
        <v>0</v>
      </c>
      <c r="H480" s="146" t="str" cm="1">
        <f t="array" aca="1" ref="H480" ca="1">IF(Assessment[[#This Row],[JOB TARGET]]="","Job Target Kosong",IF(COUNT(IF('Data Assessment'!$N480:$Z480-OFFSET(Standar!$B$2,MATCH(Assessment[[#This Row],[JOB TARGET
(EST)]],Standar[NAMA JABATAN],0)-1,1,1,13)&lt;0,1,""))&lt;=3,'9 Grid'!$B$4,IF(COUNT(IF('Data Assessment'!$N480:$Z480-OFFSET(Standar!$B$2,MATCH(Assessment[[#This Row],[JOB TARGET]],Standar[NAMA JABATAN],0)-1,1,1,13)&lt;0,1,""))&gt;=7,'9 Grid'!$B$6,'9 Grid'!$B$5)))</f>
        <v>Job Target Kosong</v>
      </c>
      <c r="I480" s="146" t="str">
        <f>IFERROR(IF(Data_Assessment[[#This Row],[IPP (3 YEARS AVERAGE)]]="","(IPP Belum Ada)",IF(Data_Assessment[[#This Row],[IPP (3 YEARS AVERAGE)]]&lt;2,'9 Grid'!$F$2,IF(Data_Assessment[[#This Row],[IPP (3 YEARS AVERAGE)]]&gt;=4,'9 Grid'!$D$2,'9 Grid'!$E$2))),"")</f>
        <v>Fully Competence Performance</v>
      </c>
      <c r="J480" s="146" t="str">
        <f ca="1">IFERROR(INDEX('9 Grid'!$D$4:$F$6,MATCH('Rekomendasi HAV'!H480,'9 Grid'!$B$4:$B$6,0),MATCH('Rekomendasi HAV'!I480,'9 Grid'!$D$2:$F$2,0)),"")</f>
        <v/>
      </c>
      <c r="K480" s="146" t="str">
        <f>IFERROR(INDEX('9 Grid'!$D$8:$F$8,1,MATCH('Rekomendasi HAV'!I480,'9 Grid'!$D$2:$F$2,0)),"")</f>
        <v>(ST) Within 12 - 18 month</v>
      </c>
      <c r="L480" s="146">
        <f>IF(ISNUMBER(SEARCH("EST",Assessment[[#This Row],[JOB TARGET]])),SUBSTITUTE(Assessment[[#This Row],[JOB TARGET]],"EST","DEV"),Assessment[[#This Row],[JOB TARGET]])</f>
        <v>0</v>
      </c>
      <c r="M480" s="146" t="str" cm="1">
        <f t="array" aca="1" ref="M480" ca="1">IF(Assessment[[#This Row],[JOB TARGET]]="","Job Target Kosong",IF(COUNT(IF('Data Assessment'!$N480:$Z480-OFFSET(Standar!$B$2,MATCH(Assessment[[#This Row],[JOB TARGET
(DEV)]],Standar[NAMA JABATAN],0)-1,1,1,13)&lt;0,1,""))&lt;=3,'9 Grid'!$B$4,IF(COUNT(IF('Data Assessment'!$N480:$Z480-OFFSET(Standar!$B$2,MATCH(Assessment[[#This Row],[JOB TARGET
(DEV)]],Standar[NAMA JABATAN],0)-1,1,1,13)&lt;0,1,""))&gt;=7,'9 Grid'!$B$6,'9 Grid'!$B$5)))</f>
        <v>Job Target Kosong</v>
      </c>
      <c r="N480" s="146" t="str">
        <f>IFERROR(IF(Data_Assessment[[#This Row],[IPP (3 YEARS AVERAGE)]]="","(IPP Belum Ada)",IF(Data_Assessment[[#This Row],[IPP (3 YEARS AVERAGE)]]&lt;2,'9 Grid'!$F$2,IF(Data_Assessment[[#This Row],[IPP (3 YEARS AVERAGE)]]&gt;=4,'9 Grid'!$D$2,'9 Grid'!$E$2))),"")</f>
        <v>Fully Competence Performance</v>
      </c>
      <c r="O480" s="146" t="str">
        <f ca="1">IFERROR(INDEX('9 Grid'!$D$4:$F$6,MATCH('Rekomendasi HAV'!M480,'9 Grid'!$B$4:$B$6,0),MATCH('Rekomendasi HAV'!N480,'9 Grid'!$D$2:$F$2,0)),"")</f>
        <v/>
      </c>
      <c r="P480" s="147" t="str">
        <f>IFERROR(INDEX('9 Grid'!$D$8:$F$8,1,MATCH('Rekomendasi HAV'!N480,'9 Grid'!$D$2:$F$2,0)),"")</f>
        <v>(ST) Within 12 - 18 month</v>
      </c>
    </row>
    <row r="481" spans="1:16" ht="28.5">
      <c r="A481" s="67">
        <v>480</v>
      </c>
      <c r="B481" s="68" t="str">
        <f>INDEX(Data_Assessment[],MATCH('Rekomendasi HAV'!$A481,Data_Assessment[[INDEX]:[INDEX]],0),MATCH('Rekomendasi HAV'!B$1,Data_Assessment[#Headers],0))</f>
        <v>Ali Imron, Ir.</v>
      </c>
      <c r="C481" s="68" t="str">
        <f>INDEX(Data_Assessment[],MATCH('Rekomendasi HAV'!$A481,Data_Assessment[[INDEX]:[INDEX]],0),MATCH('Rekomendasi HAV'!C$1,Data_Assessment[#Headers],0))</f>
        <v>Kalimantan Timur</v>
      </c>
      <c r="D481" s="68" t="str">
        <f>INDEX(Data_Assessment[],MATCH('Rekomendasi HAV'!$A481,Data_Assessment[[INDEX]:[INDEX]],0),MATCH('Rekomendasi HAV'!D$1,Data_Assessment[#Headers],0))</f>
        <v>LSIP - Issuy Makmur Estate</v>
      </c>
      <c r="E481" s="68">
        <f>INDEX(Data_Assessment[],MATCH('Rekomendasi HAV'!$B481,Data_Assessment[[NAME]:[NAME]],0),MATCH('Rekomendasi HAV'!E$1,Data_Assessment[#Headers],0))</f>
        <v>0</v>
      </c>
      <c r="F481" s="68"/>
      <c r="G481" s="68">
        <f>IF(ISNUMBER(SEARCH("DEV",Assessment[[#This Row],[JOB TARGET]])),SUBSTITUTE(Assessment[[#This Row],[JOB TARGET]],"DEV","EST"),Assessment[[#This Row],[JOB TARGET]])</f>
        <v>0</v>
      </c>
      <c r="H481" s="146" t="str" cm="1">
        <f t="array" aca="1" ref="H481" ca="1">IF(Assessment[[#This Row],[JOB TARGET]]="","Job Target Kosong",IF(COUNT(IF('Data Assessment'!$N481:$Z481-OFFSET(Standar!$B$2,MATCH(Assessment[[#This Row],[JOB TARGET
(EST)]],Standar[NAMA JABATAN],0)-1,1,1,13)&lt;0,1,""))&lt;=3,'9 Grid'!$B$4,IF(COUNT(IF('Data Assessment'!$N481:$Z481-OFFSET(Standar!$B$2,MATCH(Assessment[[#This Row],[JOB TARGET]],Standar[NAMA JABATAN],0)-1,1,1,13)&lt;0,1,""))&gt;=7,'9 Grid'!$B$6,'9 Grid'!$B$5)))</f>
        <v>Job Target Kosong</v>
      </c>
      <c r="I481" s="146" t="str">
        <f>IFERROR(IF(Data_Assessment[[#This Row],[IPP (3 YEARS AVERAGE)]]="","(IPP Belum Ada)",IF(Data_Assessment[[#This Row],[IPP (3 YEARS AVERAGE)]]&lt;2,'9 Grid'!$F$2,IF(Data_Assessment[[#This Row],[IPP (3 YEARS AVERAGE)]]&gt;=4,'9 Grid'!$D$2,'9 Grid'!$E$2))),"")</f>
        <v>Fully Competence Performance</v>
      </c>
      <c r="J481" s="146" t="str">
        <f ca="1">IFERROR(INDEX('9 Grid'!$D$4:$F$6,MATCH('Rekomendasi HAV'!H481,'9 Grid'!$B$4:$B$6,0),MATCH('Rekomendasi HAV'!I481,'9 Grid'!$D$2:$F$2,0)),"")</f>
        <v/>
      </c>
      <c r="K481" s="146" t="str">
        <f>IFERROR(INDEX('9 Grid'!$D$8:$F$8,1,MATCH('Rekomendasi HAV'!I481,'9 Grid'!$D$2:$F$2,0)),"")</f>
        <v>(ST) Within 12 - 18 month</v>
      </c>
      <c r="L481" s="146">
        <f>IF(ISNUMBER(SEARCH("EST",Assessment[[#This Row],[JOB TARGET]])),SUBSTITUTE(Assessment[[#This Row],[JOB TARGET]],"EST","DEV"),Assessment[[#This Row],[JOB TARGET]])</f>
        <v>0</v>
      </c>
      <c r="M481" s="146" t="str" cm="1">
        <f t="array" aca="1" ref="M481" ca="1">IF(Assessment[[#This Row],[JOB TARGET]]="","Job Target Kosong",IF(COUNT(IF('Data Assessment'!$N481:$Z481-OFFSET(Standar!$B$2,MATCH(Assessment[[#This Row],[JOB TARGET
(DEV)]],Standar[NAMA JABATAN],0)-1,1,1,13)&lt;0,1,""))&lt;=3,'9 Grid'!$B$4,IF(COUNT(IF('Data Assessment'!$N481:$Z481-OFFSET(Standar!$B$2,MATCH(Assessment[[#This Row],[JOB TARGET
(DEV)]],Standar[NAMA JABATAN],0)-1,1,1,13)&lt;0,1,""))&gt;=7,'9 Grid'!$B$6,'9 Grid'!$B$5)))</f>
        <v>Job Target Kosong</v>
      </c>
      <c r="N481" s="146" t="str">
        <f>IFERROR(IF(Data_Assessment[[#This Row],[IPP (3 YEARS AVERAGE)]]="","(IPP Belum Ada)",IF(Data_Assessment[[#This Row],[IPP (3 YEARS AVERAGE)]]&lt;2,'9 Grid'!$F$2,IF(Data_Assessment[[#This Row],[IPP (3 YEARS AVERAGE)]]&gt;=4,'9 Grid'!$D$2,'9 Grid'!$E$2))),"")</f>
        <v>Fully Competence Performance</v>
      </c>
      <c r="O481" s="146" t="str">
        <f ca="1">IFERROR(INDEX('9 Grid'!$D$4:$F$6,MATCH('Rekomendasi HAV'!M481,'9 Grid'!$B$4:$B$6,0),MATCH('Rekomendasi HAV'!N481,'9 Grid'!$D$2:$F$2,0)),"")</f>
        <v/>
      </c>
      <c r="P481" s="147" t="str">
        <f>IFERROR(INDEX('9 Grid'!$D$8:$F$8,1,MATCH('Rekomendasi HAV'!N481,'9 Grid'!$D$2:$F$2,0)),"")</f>
        <v>(ST) Within 12 - 18 month</v>
      </c>
    </row>
    <row r="482" spans="1:16" ht="14.25">
      <c r="A482" s="67">
        <v>481</v>
      </c>
      <c r="B482" s="68" t="str">
        <f>INDEX(Data_Assessment[],MATCH('Rekomendasi HAV'!$A482,Data_Assessment[[INDEX]:[INDEX]],0),MATCH('Rekomendasi HAV'!B$1,Data_Assessment[#Headers],0))</f>
        <v>Bekti Peni Herianto, Ir.</v>
      </c>
      <c r="C482" s="68" t="str">
        <f>INDEX(Data_Assessment[],MATCH('Rekomendasi HAV'!$A482,Data_Assessment[[INDEX]:[INDEX]],0),MATCH('Rekomendasi HAV'!C$1,Data_Assessment[#Headers],0))</f>
        <v>Kalimantan Timur</v>
      </c>
      <c r="D482" s="68" t="str">
        <f>INDEX(Data_Assessment[],MATCH('Rekomendasi HAV'!$A482,Data_Assessment[[INDEX]:[INDEX]],0),MATCH('Rekomendasi HAV'!D$1,Data_Assessment[#Headers],0))</f>
        <v>LSIP - Kedang Makmur Estate</v>
      </c>
      <c r="E482" s="68">
        <f>INDEX(Data_Assessment[],MATCH('Rekomendasi HAV'!$B482,Data_Assessment[[NAME]:[NAME]],0),MATCH('Rekomendasi HAV'!E$1,Data_Assessment[#Headers],0))</f>
        <v>0</v>
      </c>
      <c r="F482" s="68"/>
      <c r="G482" s="68">
        <f>IF(ISNUMBER(SEARCH("DEV",Assessment[[#This Row],[JOB TARGET]])),SUBSTITUTE(Assessment[[#This Row],[JOB TARGET]],"DEV","EST"),Assessment[[#This Row],[JOB TARGET]])</f>
        <v>0</v>
      </c>
      <c r="H482" s="146" t="str" cm="1">
        <f t="array" aca="1" ref="H482" ca="1">IF(Assessment[[#This Row],[JOB TARGET]]="","Job Target Kosong",IF(COUNT(IF('Data Assessment'!$N482:$Z482-OFFSET(Standar!$B$2,MATCH(Assessment[[#This Row],[JOB TARGET
(EST)]],Standar[NAMA JABATAN],0)-1,1,1,13)&lt;0,1,""))&lt;=3,'9 Grid'!$B$4,IF(COUNT(IF('Data Assessment'!$N482:$Z482-OFFSET(Standar!$B$2,MATCH(Assessment[[#This Row],[JOB TARGET]],Standar[NAMA JABATAN],0)-1,1,1,13)&lt;0,1,""))&gt;=7,'9 Grid'!$B$6,'9 Grid'!$B$5)))</f>
        <v>Job Target Kosong</v>
      </c>
      <c r="I482" s="146" t="str">
        <f>IFERROR(IF(Data_Assessment[[#This Row],[IPP (3 YEARS AVERAGE)]]="","(IPP Belum Ada)",IF(Data_Assessment[[#This Row],[IPP (3 YEARS AVERAGE)]]&lt;2,'9 Grid'!$F$2,IF(Data_Assessment[[#This Row],[IPP (3 YEARS AVERAGE)]]&gt;=4,'9 Grid'!$D$2,'9 Grid'!$E$2))),"")</f>
        <v>Exceptional Performance</v>
      </c>
      <c r="J482" s="146" t="str">
        <f ca="1">IFERROR(INDEX('9 Grid'!$D$4:$F$6,MATCH('Rekomendasi HAV'!H482,'9 Grid'!$B$4:$B$6,0),MATCH('Rekomendasi HAV'!I482,'9 Grid'!$D$2:$F$2,0)),"")</f>
        <v/>
      </c>
      <c r="K482" s="146" t="str">
        <f>IFERROR(INDEX('9 Grid'!$D$8:$F$8,1,MATCH('Rekomendasi HAV'!I482,'9 Grid'!$D$2:$F$2,0)),"")</f>
        <v>(I) Immediately</v>
      </c>
      <c r="L482" s="146">
        <f>IF(ISNUMBER(SEARCH("EST",Assessment[[#This Row],[JOB TARGET]])),SUBSTITUTE(Assessment[[#This Row],[JOB TARGET]],"EST","DEV"),Assessment[[#This Row],[JOB TARGET]])</f>
        <v>0</v>
      </c>
      <c r="M482" s="146" t="str" cm="1">
        <f t="array" aca="1" ref="M482" ca="1">IF(Assessment[[#This Row],[JOB TARGET]]="","Job Target Kosong",IF(COUNT(IF('Data Assessment'!$N482:$Z482-OFFSET(Standar!$B$2,MATCH(Assessment[[#This Row],[JOB TARGET
(DEV)]],Standar[NAMA JABATAN],0)-1,1,1,13)&lt;0,1,""))&lt;=3,'9 Grid'!$B$4,IF(COUNT(IF('Data Assessment'!$N482:$Z482-OFFSET(Standar!$B$2,MATCH(Assessment[[#This Row],[JOB TARGET
(DEV)]],Standar[NAMA JABATAN],0)-1,1,1,13)&lt;0,1,""))&gt;=7,'9 Grid'!$B$6,'9 Grid'!$B$5)))</f>
        <v>Job Target Kosong</v>
      </c>
      <c r="N482" s="146" t="str">
        <f>IFERROR(IF(Data_Assessment[[#This Row],[IPP (3 YEARS AVERAGE)]]="","(IPP Belum Ada)",IF(Data_Assessment[[#This Row],[IPP (3 YEARS AVERAGE)]]&lt;2,'9 Grid'!$F$2,IF(Data_Assessment[[#This Row],[IPP (3 YEARS AVERAGE)]]&gt;=4,'9 Grid'!$D$2,'9 Grid'!$E$2))),"")</f>
        <v>Exceptional Performance</v>
      </c>
      <c r="O482" s="146" t="str">
        <f ca="1">IFERROR(INDEX('9 Grid'!$D$4:$F$6,MATCH('Rekomendasi HAV'!M482,'9 Grid'!$B$4:$B$6,0),MATCH('Rekomendasi HAV'!N482,'9 Grid'!$D$2:$F$2,0)),"")</f>
        <v/>
      </c>
      <c r="P482" s="147" t="str">
        <f>IFERROR(INDEX('9 Grid'!$D$8:$F$8,1,MATCH('Rekomendasi HAV'!N482,'9 Grid'!$D$2:$F$2,0)),"")</f>
        <v>(I) Immediately</v>
      </c>
    </row>
    <row r="483" spans="1:16" ht="14.25">
      <c r="A483" s="67">
        <v>482</v>
      </c>
      <c r="B483" s="68" t="str">
        <f>INDEX(Data_Assessment[],MATCH('Rekomendasi HAV'!$A483,Data_Assessment[[INDEX]:[INDEX]],0),MATCH('Rekomendasi HAV'!B$1,Data_Assessment[#Headers],0))</f>
        <v>Hendra Kesuma, SP</v>
      </c>
      <c r="C483" s="68" t="str">
        <f>INDEX(Data_Assessment[],MATCH('Rekomendasi HAV'!$A483,Data_Assessment[[INDEX]:[INDEX]],0),MATCH('Rekomendasi HAV'!C$1,Data_Assessment[#Headers],0))</f>
        <v>Kalimantan Timur</v>
      </c>
      <c r="D483" s="68" t="str">
        <f>INDEX(Data_Assessment[],MATCH('Rekomendasi HAV'!$A483,Data_Assessment[[INDEX]:[INDEX]],0),MATCH('Rekomendasi HAV'!D$1,Data_Assessment[#Headers],0))</f>
        <v>LSIP - Kedang Makmur Estate</v>
      </c>
      <c r="E483" s="68">
        <f>INDEX(Data_Assessment[],MATCH('Rekomendasi HAV'!$B483,Data_Assessment[[NAME]:[NAME]],0),MATCH('Rekomendasi HAV'!E$1,Data_Assessment[#Headers],0))</f>
        <v>0</v>
      </c>
      <c r="F483" s="68"/>
      <c r="G483" s="68">
        <f>IF(ISNUMBER(SEARCH("DEV",Assessment[[#This Row],[JOB TARGET]])),SUBSTITUTE(Assessment[[#This Row],[JOB TARGET]],"DEV","EST"),Assessment[[#This Row],[JOB TARGET]])</f>
        <v>0</v>
      </c>
      <c r="H483" s="146" t="str" cm="1">
        <f t="array" aca="1" ref="H483" ca="1">IF(Assessment[[#This Row],[JOB TARGET]]="","Job Target Kosong",IF(COUNT(IF('Data Assessment'!$N483:$Z483-OFFSET(Standar!$B$2,MATCH(Assessment[[#This Row],[JOB TARGET
(EST)]],Standar[NAMA JABATAN],0)-1,1,1,13)&lt;0,1,""))&lt;=3,'9 Grid'!$B$4,IF(COUNT(IF('Data Assessment'!$N483:$Z483-OFFSET(Standar!$B$2,MATCH(Assessment[[#This Row],[JOB TARGET]],Standar[NAMA JABATAN],0)-1,1,1,13)&lt;0,1,""))&gt;=7,'9 Grid'!$B$6,'9 Grid'!$B$5)))</f>
        <v>Job Target Kosong</v>
      </c>
      <c r="I483" s="146" t="str">
        <f>IFERROR(IF(Data_Assessment[[#This Row],[IPP (3 YEARS AVERAGE)]]="","(IPP Belum Ada)",IF(Data_Assessment[[#This Row],[IPP (3 YEARS AVERAGE)]]&lt;2,'9 Grid'!$F$2,IF(Data_Assessment[[#This Row],[IPP (3 YEARS AVERAGE)]]&gt;=4,'9 Grid'!$D$2,'9 Grid'!$E$2))),"")</f>
        <v>Exceptional Performance</v>
      </c>
      <c r="J483" s="146" t="str">
        <f ca="1">IFERROR(INDEX('9 Grid'!$D$4:$F$6,MATCH('Rekomendasi HAV'!H483,'9 Grid'!$B$4:$B$6,0),MATCH('Rekomendasi HAV'!I483,'9 Grid'!$D$2:$F$2,0)),"")</f>
        <v/>
      </c>
      <c r="K483" s="146" t="str">
        <f>IFERROR(INDEX('9 Grid'!$D$8:$F$8,1,MATCH('Rekomendasi HAV'!I483,'9 Grid'!$D$2:$F$2,0)),"")</f>
        <v>(I) Immediately</v>
      </c>
      <c r="L483" s="146">
        <f>IF(ISNUMBER(SEARCH("EST",Assessment[[#This Row],[JOB TARGET]])),SUBSTITUTE(Assessment[[#This Row],[JOB TARGET]],"EST","DEV"),Assessment[[#This Row],[JOB TARGET]])</f>
        <v>0</v>
      </c>
      <c r="M483" s="146" t="str" cm="1">
        <f t="array" aca="1" ref="M483" ca="1">IF(Assessment[[#This Row],[JOB TARGET]]="","Job Target Kosong",IF(COUNT(IF('Data Assessment'!$N483:$Z483-OFFSET(Standar!$B$2,MATCH(Assessment[[#This Row],[JOB TARGET
(DEV)]],Standar[NAMA JABATAN],0)-1,1,1,13)&lt;0,1,""))&lt;=3,'9 Grid'!$B$4,IF(COUNT(IF('Data Assessment'!$N483:$Z483-OFFSET(Standar!$B$2,MATCH(Assessment[[#This Row],[JOB TARGET
(DEV)]],Standar[NAMA JABATAN],0)-1,1,1,13)&lt;0,1,""))&gt;=7,'9 Grid'!$B$6,'9 Grid'!$B$5)))</f>
        <v>Job Target Kosong</v>
      </c>
      <c r="N483" s="146" t="str">
        <f>IFERROR(IF(Data_Assessment[[#This Row],[IPP (3 YEARS AVERAGE)]]="","(IPP Belum Ada)",IF(Data_Assessment[[#This Row],[IPP (3 YEARS AVERAGE)]]&lt;2,'9 Grid'!$F$2,IF(Data_Assessment[[#This Row],[IPP (3 YEARS AVERAGE)]]&gt;=4,'9 Grid'!$D$2,'9 Grid'!$E$2))),"")</f>
        <v>Exceptional Performance</v>
      </c>
      <c r="O483" s="146" t="str">
        <f ca="1">IFERROR(INDEX('9 Grid'!$D$4:$F$6,MATCH('Rekomendasi HAV'!M483,'9 Grid'!$B$4:$B$6,0),MATCH('Rekomendasi HAV'!N483,'9 Grid'!$D$2:$F$2,0)),"")</f>
        <v/>
      </c>
      <c r="P483" s="147" t="str">
        <f>IFERROR(INDEX('9 Grid'!$D$8:$F$8,1,MATCH('Rekomendasi HAV'!N483,'9 Grid'!$D$2:$F$2,0)),"")</f>
        <v>(I) Immediately</v>
      </c>
    </row>
    <row r="484" spans="1:16" ht="14.25">
      <c r="A484" s="67">
        <v>483</v>
      </c>
      <c r="B484" s="68" t="str">
        <f>INDEX(Data_Assessment[],MATCH('Rekomendasi HAV'!$A484,Data_Assessment[[INDEX]:[INDEX]],0),MATCH('Rekomendasi HAV'!B$1,Data_Assessment[#Headers],0))</f>
        <v>Hendrik Hariyadi</v>
      </c>
      <c r="C484" s="68" t="str">
        <f>INDEX(Data_Assessment[],MATCH('Rekomendasi HAV'!$A484,Data_Assessment[[INDEX]:[INDEX]],0),MATCH('Rekomendasi HAV'!C$1,Data_Assessment[#Headers],0))</f>
        <v>Kalimantan Timur</v>
      </c>
      <c r="D484" s="68" t="str">
        <f>INDEX(Data_Assessment[],MATCH('Rekomendasi HAV'!$A484,Data_Assessment[[INDEX]:[INDEX]],0),MATCH('Rekomendasi HAV'!D$1,Data_Assessment[#Headers],0))</f>
        <v>LSIP - Jelau Makmur Estate</v>
      </c>
      <c r="E484" s="68">
        <f>INDEX(Data_Assessment[],MATCH('Rekomendasi HAV'!$B484,Data_Assessment[[NAME]:[NAME]],0),MATCH('Rekomendasi HAV'!E$1,Data_Assessment[#Headers],0))</f>
        <v>0</v>
      </c>
      <c r="F484" s="68"/>
      <c r="G484" s="68">
        <f>IF(ISNUMBER(SEARCH("DEV",Assessment[[#This Row],[JOB TARGET]])),SUBSTITUTE(Assessment[[#This Row],[JOB TARGET]],"DEV","EST"),Assessment[[#This Row],[JOB TARGET]])</f>
        <v>0</v>
      </c>
      <c r="H484" s="146" t="str" cm="1">
        <f t="array" aca="1" ref="H484" ca="1">IF(Assessment[[#This Row],[JOB TARGET]]="","Job Target Kosong",IF(COUNT(IF('Data Assessment'!$N484:$Z484-OFFSET(Standar!$B$2,MATCH(Assessment[[#This Row],[JOB TARGET
(EST)]],Standar[NAMA JABATAN],0)-1,1,1,13)&lt;0,1,""))&lt;=3,'9 Grid'!$B$4,IF(COUNT(IF('Data Assessment'!$N484:$Z484-OFFSET(Standar!$B$2,MATCH(Assessment[[#This Row],[JOB TARGET]],Standar[NAMA JABATAN],0)-1,1,1,13)&lt;0,1,""))&gt;=7,'9 Grid'!$B$6,'9 Grid'!$B$5)))</f>
        <v>Job Target Kosong</v>
      </c>
      <c r="I484" s="146" t="str">
        <f>IFERROR(IF(Data_Assessment[[#This Row],[IPP (3 YEARS AVERAGE)]]="","(IPP Belum Ada)",IF(Data_Assessment[[#This Row],[IPP (3 YEARS AVERAGE)]]&lt;2,'9 Grid'!$F$2,IF(Data_Assessment[[#This Row],[IPP (3 YEARS AVERAGE)]]&gt;=4,'9 Grid'!$D$2,'9 Grid'!$E$2))),"")</f>
        <v>Exceptional Performance</v>
      </c>
      <c r="J484" s="146" t="str">
        <f ca="1">IFERROR(INDEX('9 Grid'!$D$4:$F$6,MATCH('Rekomendasi HAV'!H484,'9 Grid'!$B$4:$B$6,0),MATCH('Rekomendasi HAV'!I484,'9 Grid'!$D$2:$F$2,0)),"")</f>
        <v/>
      </c>
      <c r="K484" s="146" t="str">
        <f>IFERROR(INDEX('9 Grid'!$D$8:$F$8,1,MATCH('Rekomendasi HAV'!I484,'9 Grid'!$D$2:$F$2,0)),"")</f>
        <v>(I) Immediately</v>
      </c>
      <c r="L484" s="146">
        <f>IF(ISNUMBER(SEARCH("EST",Assessment[[#This Row],[JOB TARGET]])),SUBSTITUTE(Assessment[[#This Row],[JOB TARGET]],"EST","DEV"),Assessment[[#This Row],[JOB TARGET]])</f>
        <v>0</v>
      </c>
      <c r="M484" s="146" t="str" cm="1">
        <f t="array" aca="1" ref="M484" ca="1">IF(Assessment[[#This Row],[JOB TARGET]]="","Job Target Kosong",IF(COUNT(IF('Data Assessment'!$N484:$Z484-OFFSET(Standar!$B$2,MATCH(Assessment[[#This Row],[JOB TARGET
(DEV)]],Standar[NAMA JABATAN],0)-1,1,1,13)&lt;0,1,""))&lt;=3,'9 Grid'!$B$4,IF(COUNT(IF('Data Assessment'!$N484:$Z484-OFFSET(Standar!$B$2,MATCH(Assessment[[#This Row],[JOB TARGET
(DEV)]],Standar[NAMA JABATAN],0)-1,1,1,13)&lt;0,1,""))&gt;=7,'9 Grid'!$B$6,'9 Grid'!$B$5)))</f>
        <v>Job Target Kosong</v>
      </c>
      <c r="N484" s="146" t="str">
        <f>IFERROR(IF(Data_Assessment[[#This Row],[IPP (3 YEARS AVERAGE)]]="","(IPP Belum Ada)",IF(Data_Assessment[[#This Row],[IPP (3 YEARS AVERAGE)]]&lt;2,'9 Grid'!$F$2,IF(Data_Assessment[[#This Row],[IPP (3 YEARS AVERAGE)]]&gt;=4,'9 Grid'!$D$2,'9 Grid'!$E$2))),"")</f>
        <v>Exceptional Performance</v>
      </c>
      <c r="O484" s="146" t="str">
        <f ca="1">IFERROR(INDEX('9 Grid'!$D$4:$F$6,MATCH('Rekomendasi HAV'!M484,'9 Grid'!$B$4:$B$6,0),MATCH('Rekomendasi HAV'!N484,'9 Grid'!$D$2:$F$2,0)),"")</f>
        <v/>
      </c>
      <c r="P484" s="147" t="str">
        <f>IFERROR(INDEX('9 Grid'!$D$8:$F$8,1,MATCH('Rekomendasi HAV'!N484,'9 Grid'!$D$2:$F$2,0)),"")</f>
        <v>(I) Immediately</v>
      </c>
    </row>
    <row r="485" spans="1:16" ht="28.5">
      <c r="A485" s="67">
        <v>484</v>
      </c>
      <c r="B485" s="68" t="str">
        <f>INDEX(Data_Assessment[],MATCH('Rekomendasi HAV'!$A485,Data_Assessment[[INDEX]:[INDEX]],0),MATCH('Rekomendasi HAV'!B$1,Data_Assessment[#Headers],0))</f>
        <v>Lamarius Sitompul, Ir.</v>
      </c>
      <c r="C485" s="68" t="str">
        <f>INDEX(Data_Assessment[],MATCH('Rekomendasi HAV'!$A485,Data_Assessment[[INDEX]:[INDEX]],0),MATCH('Rekomendasi HAV'!C$1,Data_Assessment[#Headers],0))</f>
        <v>Kalimantan Timur</v>
      </c>
      <c r="D485" s="68" t="str">
        <f>INDEX(Data_Assessment[],MATCH('Rekomendasi HAV'!$A485,Data_Assessment[[INDEX]:[INDEX]],0),MATCH('Rekomendasi HAV'!D$1,Data_Assessment[#Headers],0))</f>
        <v>LSIP - Tanjung Makmur Estate</v>
      </c>
      <c r="E485" s="68">
        <f>INDEX(Data_Assessment[],MATCH('Rekomendasi HAV'!$B485,Data_Assessment[[NAME]:[NAME]],0),MATCH('Rekomendasi HAV'!E$1,Data_Assessment[#Headers],0))</f>
        <v>0</v>
      </c>
      <c r="F485" s="68"/>
      <c r="G485" s="68">
        <f>IF(ISNUMBER(SEARCH("DEV",Assessment[[#This Row],[JOB TARGET]])),SUBSTITUTE(Assessment[[#This Row],[JOB TARGET]],"DEV","EST"),Assessment[[#This Row],[JOB TARGET]])</f>
        <v>0</v>
      </c>
      <c r="H485" s="146" t="str" cm="1">
        <f t="array" aca="1" ref="H485" ca="1">IF(Assessment[[#This Row],[JOB TARGET]]="","Job Target Kosong",IF(COUNT(IF('Data Assessment'!$N485:$Z485-OFFSET(Standar!$B$2,MATCH(Assessment[[#This Row],[JOB TARGET
(EST)]],Standar[NAMA JABATAN],0)-1,1,1,13)&lt;0,1,""))&lt;=3,'9 Grid'!$B$4,IF(COUNT(IF('Data Assessment'!$N485:$Z485-OFFSET(Standar!$B$2,MATCH(Assessment[[#This Row],[JOB TARGET]],Standar[NAMA JABATAN],0)-1,1,1,13)&lt;0,1,""))&gt;=7,'9 Grid'!$B$6,'9 Grid'!$B$5)))</f>
        <v>Job Target Kosong</v>
      </c>
      <c r="I485" s="146" t="str">
        <f>IFERROR(IF(Data_Assessment[[#This Row],[IPP (3 YEARS AVERAGE)]]="","(IPP Belum Ada)",IF(Data_Assessment[[#This Row],[IPP (3 YEARS AVERAGE)]]&lt;2,'9 Grid'!$F$2,IF(Data_Assessment[[#This Row],[IPP (3 YEARS AVERAGE)]]&gt;=4,'9 Grid'!$D$2,'9 Grid'!$E$2))),"")</f>
        <v>Fully Competence Performance</v>
      </c>
      <c r="J485" s="146" t="str">
        <f ca="1">IFERROR(INDEX('9 Grid'!$D$4:$F$6,MATCH('Rekomendasi HAV'!H485,'9 Grid'!$B$4:$B$6,0),MATCH('Rekomendasi HAV'!I485,'9 Grid'!$D$2:$F$2,0)),"")</f>
        <v/>
      </c>
      <c r="K485" s="146" t="str">
        <f>IFERROR(INDEX('9 Grid'!$D$8:$F$8,1,MATCH('Rekomendasi HAV'!I485,'9 Grid'!$D$2:$F$2,0)),"")</f>
        <v>(ST) Within 12 - 18 month</v>
      </c>
      <c r="L485" s="146">
        <f>IF(ISNUMBER(SEARCH("EST",Assessment[[#This Row],[JOB TARGET]])),SUBSTITUTE(Assessment[[#This Row],[JOB TARGET]],"EST","DEV"),Assessment[[#This Row],[JOB TARGET]])</f>
        <v>0</v>
      </c>
      <c r="M485" s="146" t="str" cm="1">
        <f t="array" aca="1" ref="M485" ca="1">IF(Assessment[[#This Row],[JOB TARGET]]="","Job Target Kosong",IF(COUNT(IF('Data Assessment'!$N485:$Z485-OFFSET(Standar!$B$2,MATCH(Assessment[[#This Row],[JOB TARGET
(DEV)]],Standar[NAMA JABATAN],0)-1,1,1,13)&lt;0,1,""))&lt;=3,'9 Grid'!$B$4,IF(COUNT(IF('Data Assessment'!$N485:$Z485-OFFSET(Standar!$B$2,MATCH(Assessment[[#This Row],[JOB TARGET
(DEV)]],Standar[NAMA JABATAN],0)-1,1,1,13)&lt;0,1,""))&gt;=7,'9 Grid'!$B$6,'9 Grid'!$B$5)))</f>
        <v>Job Target Kosong</v>
      </c>
      <c r="N485" s="146" t="str">
        <f>IFERROR(IF(Data_Assessment[[#This Row],[IPP (3 YEARS AVERAGE)]]="","(IPP Belum Ada)",IF(Data_Assessment[[#This Row],[IPP (3 YEARS AVERAGE)]]&lt;2,'9 Grid'!$F$2,IF(Data_Assessment[[#This Row],[IPP (3 YEARS AVERAGE)]]&gt;=4,'9 Grid'!$D$2,'9 Grid'!$E$2))),"")</f>
        <v>Fully Competence Performance</v>
      </c>
      <c r="O485" s="146" t="str">
        <f ca="1">IFERROR(INDEX('9 Grid'!$D$4:$F$6,MATCH('Rekomendasi HAV'!M485,'9 Grid'!$B$4:$B$6,0),MATCH('Rekomendasi HAV'!N485,'9 Grid'!$D$2:$F$2,0)),"")</f>
        <v/>
      </c>
      <c r="P485" s="147" t="str">
        <f>IFERROR(INDEX('9 Grid'!$D$8:$F$8,1,MATCH('Rekomendasi HAV'!N485,'9 Grid'!$D$2:$F$2,0)),"")</f>
        <v>(ST) Within 12 - 18 month</v>
      </c>
    </row>
    <row r="486" spans="1:16" ht="28.5">
      <c r="A486" s="67">
        <v>485</v>
      </c>
      <c r="B486" s="68" t="str">
        <f>INDEX(Data_Assessment[],MATCH('Rekomendasi HAV'!$A486,Data_Assessment[[INDEX]:[INDEX]],0),MATCH('Rekomendasi HAV'!B$1,Data_Assessment[#Headers],0))</f>
        <v>Miko Rayendra, Ir.</v>
      </c>
      <c r="C486" s="68" t="str">
        <f>INDEX(Data_Assessment[],MATCH('Rekomendasi HAV'!$A486,Data_Assessment[[INDEX]:[INDEX]],0),MATCH('Rekomendasi HAV'!C$1,Data_Assessment[#Headers],0))</f>
        <v>Sumatera Utara</v>
      </c>
      <c r="D486" s="68" t="str">
        <f>INDEX(Data_Assessment[],MATCH('Rekomendasi HAV'!$A486,Data_Assessment[[INDEX]:[INDEX]],0),MATCH('Rekomendasi HAV'!D$1,Data_Assessment[#Headers],0))</f>
        <v>LSIP - Bungara Estate</v>
      </c>
      <c r="E486" s="68">
        <f>INDEX(Data_Assessment[],MATCH('Rekomendasi HAV'!$B486,Data_Assessment[[NAME]:[NAME]],0),MATCH('Rekomendasi HAV'!E$1,Data_Assessment[#Headers],0))</f>
        <v>0</v>
      </c>
      <c r="F486" s="68"/>
      <c r="G486" s="68">
        <f>IF(ISNUMBER(SEARCH("DEV",Assessment[[#This Row],[JOB TARGET]])),SUBSTITUTE(Assessment[[#This Row],[JOB TARGET]],"DEV","EST"),Assessment[[#This Row],[JOB TARGET]])</f>
        <v>0</v>
      </c>
      <c r="H486" s="146" t="str" cm="1">
        <f t="array" aca="1" ref="H486" ca="1">IF(Assessment[[#This Row],[JOB TARGET]]="","Job Target Kosong",IF(COUNT(IF('Data Assessment'!$N486:$Z486-OFFSET(Standar!$B$2,MATCH(Assessment[[#This Row],[JOB TARGET
(EST)]],Standar[NAMA JABATAN],0)-1,1,1,13)&lt;0,1,""))&lt;=3,'9 Grid'!$B$4,IF(COUNT(IF('Data Assessment'!$N486:$Z486-OFFSET(Standar!$B$2,MATCH(Assessment[[#This Row],[JOB TARGET]],Standar[NAMA JABATAN],0)-1,1,1,13)&lt;0,1,""))&gt;=7,'9 Grid'!$B$6,'9 Grid'!$B$5)))</f>
        <v>Job Target Kosong</v>
      </c>
      <c r="I486" s="146" t="str">
        <f>IFERROR(IF(Data_Assessment[[#This Row],[IPP (3 YEARS AVERAGE)]]="","(IPP Belum Ada)",IF(Data_Assessment[[#This Row],[IPP (3 YEARS AVERAGE)]]&lt;2,'9 Grid'!$F$2,IF(Data_Assessment[[#This Row],[IPP (3 YEARS AVERAGE)]]&gt;=4,'9 Grid'!$D$2,'9 Grid'!$E$2))),"")</f>
        <v>Fully Competence Performance</v>
      </c>
      <c r="J486" s="146" t="str">
        <f ca="1">IFERROR(INDEX('9 Grid'!$D$4:$F$6,MATCH('Rekomendasi HAV'!H486,'9 Grid'!$B$4:$B$6,0),MATCH('Rekomendasi HAV'!I486,'9 Grid'!$D$2:$F$2,0)),"")</f>
        <v/>
      </c>
      <c r="K486" s="146" t="str">
        <f>IFERROR(INDEX('9 Grid'!$D$8:$F$8,1,MATCH('Rekomendasi HAV'!I486,'9 Grid'!$D$2:$F$2,0)),"")</f>
        <v>(ST) Within 12 - 18 month</v>
      </c>
      <c r="L486" s="146">
        <f>IF(ISNUMBER(SEARCH("EST",Assessment[[#This Row],[JOB TARGET]])),SUBSTITUTE(Assessment[[#This Row],[JOB TARGET]],"EST","DEV"),Assessment[[#This Row],[JOB TARGET]])</f>
        <v>0</v>
      </c>
      <c r="M486" s="146" t="str" cm="1">
        <f t="array" aca="1" ref="M486" ca="1">IF(Assessment[[#This Row],[JOB TARGET]]="","Job Target Kosong",IF(COUNT(IF('Data Assessment'!$N486:$Z486-OFFSET(Standar!$B$2,MATCH(Assessment[[#This Row],[JOB TARGET
(DEV)]],Standar[NAMA JABATAN],0)-1,1,1,13)&lt;0,1,""))&lt;=3,'9 Grid'!$B$4,IF(COUNT(IF('Data Assessment'!$N486:$Z486-OFFSET(Standar!$B$2,MATCH(Assessment[[#This Row],[JOB TARGET
(DEV)]],Standar[NAMA JABATAN],0)-1,1,1,13)&lt;0,1,""))&gt;=7,'9 Grid'!$B$6,'9 Grid'!$B$5)))</f>
        <v>Job Target Kosong</v>
      </c>
      <c r="N486" s="146" t="str">
        <f>IFERROR(IF(Data_Assessment[[#This Row],[IPP (3 YEARS AVERAGE)]]="","(IPP Belum Ada)",IF(Data_Assessment[[#This Row],[IPP (3 YEARS AVERAGE)]]&lt;2,'9 Grid'!$F$2,IF(Data_Assessment[[#This Row],[IPP (3 YEARS AVERAGE)]]&gt;=4,'9 Grid'!$D$2,'9 Grid'!$E$2))),"")</f>
        <v>Fully Competence Performance</v>
      </c>
      <c r="O486" s="146" t="str">
        <f ca="1">IFERROR(INDEX('9 Grid'!$D$4:$F$6,MATCH('Rekomendasi HAV'!M486,'9 Grid'!$B$4:$B$6,0),MATCH('Rekomendasi HAV'!N486,'9 Grid'!$D$2:$F$2,0)),"")</f>
        <v/>
      </c>
      <c r="P486" s="147" t="str">
        <f>IFERROR(INDEX('9 Grid'!$D$8:$F$8,1,MATCH('Rekomendasi HAV'!N486,'9 Grid'!$D$2:$F$2,0)),"")</f>
        <v>(ST) Within 12 - 18 month</v>
      </c>
    </row>
    <row r="487" spans="1:16" ht="28.5">
      <c r="A487" s="67">
        <v>486</v>
      </c>
      <c r="B487" s="68" t="str">
        <f>INDEX(Data_Assessment[],MATCH('Rekomendasi HAV'!$A487,Data_Assessment[[INDEX]:[INDEX]],0),MATCH('Rekomendasi HAV'!B$1,Data_Assessment[#Headers],0))</f>
        <v>Frantus Tamba, Ir.</v>
      </c>
      <c r="C487" s="68" t="str">
        <f>INDEX(Data_Assessment[],MATCH('Rekomendasi HAV'!$A487,Data_Assessment[[INDEX]:[INDEX]],0),MATCH('Rekomendasi HAV'!C$1,Data_Assessment[#Headers],0))</f>
        <v>Kalimantan Timur</v>
      </c>
      <c r="D487" s="68" t="str">
        <f>INDEX(Data_Assessment[],MATCH('Rekomendasi HAV'!$A487,Data_Assessment[[INDEX]:[INDEX]],0),MATCH('Rekomendasi HAV'!D$1,Data_Assessment[#Headers],0))</f>
        <v>LSIP - Tanjung Makmur Estate</v>
      </c>
      <c r="E487" s="68">
        <f>INDEX(Data_Assessment[],MATCH('Rekomendasi HAV'!$B487,Data_Assessment[[NAME]:[NAME]],0),MATCH('Rekomendasi HAV'!E$1,Data_Assessment[#Headers],0))</f>
        <v>0</v>
      </c>
      <c r="F487" s="68"/>
      <c r="G487" s="68">
        <f>IF(ISNUMBER(SEARCH("DEV",Assessment[[#This Row],[JOB TARGET]])),SUBSTITUTE(Assessment[[#This Row],[JOB TARGET]],"DEV","EST"),Assessment[[#This Row],[JOB TARGET]])</f>
        <v>0</v>
      </c>
      <c r="H487" s="146" t="str" cm="1">
        <f t="array" aca="1" ref="H487" ca="1">IF(Assessment[[#This Row],[JOB TARGET]]="","Job Target Kosong",IF(COUNT(IF('Data Assessment'!$N487:$Z487-OFFSET(Standar!$B$2,MATCH(Assessment[[#This Row],[JOB TARGET
(EST)]],Standar[NAMA JABATAN],0)-1,1,1,13)&lt;0,1,""))&lt;=3,'9 Grid'!$B$4,IF(COUNT(IF('Data Assessment'!$N487:$Z487-OFFSET(Standar!$B$2,MATCH(Assessment[[#This Row],[JOB TARGET]],Standar[NAMA JABATAN],0)-1,1,1,13)&lt;0,1,""))&gt;=7,'9 Grid'!$B$6,'9 Grid'!$B$5)))</f>
        <v>Job Target Kosong</v>
      </c>
      <c r="I487" s="146" t="str">
        <f>IFERROR(IF(Data_Assessment[[#This Row],[IPP (3 YEARS AVERAGE)]]="","(IPP Belum Ada)",IF(Data_Assessment[[#This Row],[IPP (3 YEARS AVERAGE)]]&lt;2,'9 Grid'!$F$2,IF(Data_Assessment[[#This Row],[IPP (3 YEARS AVERAGE)]]&gt;=4,'9 Grid'!$D$2,'9 Grid'!$E$2))),"")</f>
        <v>Fully Competence Performance</v>
      </c>
      <c r="J487" s="146" t="str">
        <f ca="1">IFERROR(INDEX('9 Grid'!$D$4:$F$6,MATCH('Rekomendasi HAV'!H487,'9 Grid'!$B$4:$B$6,0),MATCH('Rekomendasi HAV'!I487,'9 Grid'!$D$2:$F$2,0)),"")</f>
        <v/>
      </c>
      <c r="K487" s="146" t="str">
        <f>IFERROR(INDEX('9 Grid'!$D$8:$F$8,1,MATCH('Rekomendasi HAV'!I487,'9 Grid'!$D$2:$F$2,0)),"")</f>
        <v>(ST) Within 12 - 18 month</v>
      </c>
      <c r="L487" s="146">
        <f>IF(ISNUMBER(SEARCH("EST",Assessment[[#This Row],[JOB TARGET]])),SUBSTITUTE(Assessment[[#This Row],[JOB TARGET]],"EST","DEV"),Assessment[[#This Row],[JOB TARGET]])</f>
        <v>0</v>
      </c>
      <c r="M487" s="146" t="str" cm="1">
        <f t="array" aca="1" ref="M487" ca="1">IF(Assessment[[#This Row],[JOB TARGET]]="","Job Target Kosong",IF(COUNT(IF('Data Assessment'!$N487:$Z487-OFFSET(Standar!$B$2,MATCH(Assessment[[#This Row],[JOB TARGET
(DEV)]],Standar[NAMA JABATAN],0)-1,1,1,13)&lt;0,1,""))&lt;=3,'9 Grid'!$B$4,IF(COUNT(IF('Data Assessment'!$N487:$Z487-OFFSET(Standar!$B$2,MATCH(Assessment[[#This Row],[JOB TARGET
(DEV)]],Standar[NAMA JABATAN],0)-1,1,1,13)&lt;0,1,""))&gt;=7,'9 Grid'!$B$6,'9 Grid'!$B$5)))</f>
        <v>Job Target Kosong</v>
      </c>
      <c r="N487" s="146" t="str">
        <f>IFERROR(IF(Data_Assessment[[#This Row],[IPP (3 YEARS AVERAGE)]]="","(IPP Belum Ada)",IF(Data_Assessment[[#This Row],[IPP (3 YEARS AVERAGE)]]&lt;2,'9 Grid'!$F$2,IF(Data_Assessment[[#This Row],[IPP (3 YEARS AVERAGE)]]&gt;=4,'9 Grid'!$D$2,'9 Grid'!$E$2))),"")</f>
        <v>Fully Competence Performance</v>
      </c>
      <c r="O487" s="146" t="str">
        <f ca="1">IFERROR(INDEX('9 Grid'!$D$4:$F$6,MATCH('Rekomendasi HAV'!M487,'9 Grid'!$B$4:$B$6,0),MATCH('Rekomendasi HAV'!N487,'9 Grid'!$D$2:$F$2,0)),"")</f>
        <v/>
      </c>
      <c r="P487" s="147" t="str">
        <f>IFERROR(INDEX('9 Grid'!$D$8:$F$8,1,MATCH('Rekomendasi HAV'!N487,'9 Grid'!$D$2:$F$2,0)),"")</f>
        <v>(ST) Within 12 - 18 month</v>
      </c>
    </row>
    <row r="488" spans="1:16" ht="14.25">
      <c r="A488" s="67">
        <v>487</v>
      </c>
      <c r="B488" s="68" t="str">
        <f>INDEX(Data_Assessment[],MATCH('Rekomendasi HAV'!$A488,Data_Assessment[[INDEX]:[INDEX]],0),MATCH('Rekomendasi HAV'!B$1,Data_Assessment[#Headers],0))</f>
        <v>Suroto, Ir.</v>
      </c>
      <c r="C488" s="68" t="str">
        <f>INDEX(Data_Assessment[],MATCH('Rekomendasi HAV'!$A488,Data_Assessment[[INDEX]:[INDEX]],0),MATCH('Rekomendasi HAV'!C$1,Data_Assessment[#Headers],0))</f>
        <v>Sumatera Selatan</v>
      </c>
      <c r="D488" s="68" t="str">
        <f>INDEX(Data_Assessment[],MATCH('Rekomendasi HAV'!$A488,Data_Assessment[[INDEX]:[INDEX]],0),MATCH('Rekomendasi HAV'!D$1,Data_Assessment[#Headers],0))</f>
        <v>LSIP - Sei Lakitan Estate</v>
      </c>
      <c r="E488" s="68">
        <f>INDEX(Data_Assessment[],MATCH('Rekomendasi HAV'!$B488,Data_Assessment[[NAME]:[NAME]],0),MATCH('Rekomendasi HAV'!E$1,Data_Assessment[#Headers],0))</f>
        <v>0</v>
      </c>
      <c r="F488" s="68"/>
      <c r="G488" s="68">
        <f>IF(ISNUMBER(SEARCH("DEV",Assessment[[#This Row],[JOB TARGET]])),SUBSTITUTE(Assessment[[#This Row],[JOB TARGET]],"DEV","EST"),Assessment[[#This Row],[JOB TARGET]])</f>
        <v>0</v>
      </c>
      <c r="H488" s="146" t="str" cm="1">
        <f t="array" aca="1" ref="H488" ca="1">IF(Assessment[[#This Row],[JOB TARGET]]="","Job Target Kosong",IF(COUNT(IF('Data Assessment'!$N488:$Z488-OFFSET(Standar!$B$2,MATCH(Assessment[[#This Row],[JOB TARGET
(EST)]],Standar[NAMA JABATAN],0)-1,1,1,13)&lt;0,1,""))&lt;=3,'9 Grid'!$B$4,IF(COUNT(IF('Data Assessment'!$N488:$Z488-OFFSET(Standar!$B$2,MATCH(Assessment[[#This Row],[JOB TARGET]],Standar[NAMA JABATAN],0)-1,1,1,13)&lt;0,1,""))&gt;=7,'9 Grid'!$B$6,'9 Grid'!$B$5)))</f>
        <v>Job Target Kosong</v>
      </c>
      <c r="I488" s="146" t="str">
        <f>IFERROR(IF(Data_Assessment[[#This Row],[IPP (3 YEARS AVERAGE)]]="","(IPP Belum Ada)",IF(Data_Assessment[[#This Row],[IPP (3 YEARS AVERAGE)]]&lt;2,'9 Grid'!$F$2,IF(Data_Assessment[[#This Row],[IPP (3 YEARS AVERAGE)]]&gt;=4,'9 Grid'!$D$2,'9 Grid'!$E$2))),"")</f>
        <v>Exceptional Performance</v>
      </c>
      <c r="J488" s="146" t="str">
        <f ca="1">IFERROR(INDEX('9 Grid'!$D$4:$F$6,MATCH('Rekomendasi HAV'!H488,'9 Grid'!$B$4:$B$6,0),MATCH('Rekomendasi HAV'!I488,'9 Grid'!$D$2:$F$2,0)),"")</f>
        <v/>
      </c>
      <c r="K488" s="146" t="str">
        <f>IFERROR(INDEX('9 Grid'!$D$8:$F$8,1,MATCH('Rekomendasi HAV'!I488,'9 Grid'!$D$2:$F$2,0)),"")</f>
        <v>(I) Immediately</v>
      </c>
      <c r="L488" s="146">
        <f>IF(ISNUMBER(SEARCH("EST",Assessment[[#This Row],[JOB TARGET]])),SUBSTITUTE(Assessment[[#This Row],[JOB TARGET]],"EST","DEV"),Assessment[[#This Row],[JOB TARGET]])</f>
        <v>0</v>
      </c>
      <c r="M488" s="146" t="str" cm="1">
        <f t="array" aca="1" ref="M488" ca="1">IF(Assessment[[#This Row],[JOB TARGET]]="","Job Target Kosong",IF(COUNT(IF('Data Assessment'!$N488:$Z488-OFFSET(Standar!$B$2,MATCH(Assessment[[#This Row],[JOB TARGET
(DEV)]],Standar[NAMA JABATAN],0)-1,1,1,13)&lt;0,1,""))&lt;=3,'9 Grid'!$B$4,IF(COUNT(IF('Data Assessment'!$N488:$Z488-OFFSET(Standar!$B$2,MATCH(Assessment[[#This Row],[JOB TARGET
(DEV)]],Standar[NAMA JABATAN],0)-1,1,1,13)&lt;0,1,""))&gt;=7,'9 Grid'!$B$6,'9 Grid'!$B$5)))</f>
        <v>Job Target Kosong</v>
      </c>
      <c r="N488" s="146" t="str">
        <f>IFERROR(IF(Data_Assessment[[#This Row],[IPP (3 YEARS AVERAGE)]]="","(IPP Belum Ada)",IF(Data_Assessment[[#This Row],[IPP (3 YEARS AVERAGE)]]&lt;2,'9 Grid'!$F$2,IF(Data_Assessment[[#This Row],[IPP (3 YEARS AVERAGE)]]&gt;=4,'9 Grid'!$D$2,'9 Grid'!$E$2))),"")</f>
        <v>Exceptional Performance</v>
      </c>
      <c r="O488" s="146" t="str">
        <f ca="1">IFERROR(INDEX('9 Grid'!$D$4:$F$6,MATCH('Rekomendasi HAV'!M488,'9 Grid'!$B$4:$B$6,0),MATCH('Rekomendasi HAV'!N488,'9 Grid'!$D$2:$F$2,0)),"")</f>
        <v/>
      </c>
      <c r="P488" s="147" t="str">
        <f>IFERROR(INDEX('9 Grid'!$D$8:$F$8,1,MATCH('Rekomendasi HAV'!N488,'9 Grid'!$D$2:$F$2,0)),"")</f>
        <v>(I) Immediately</v>
      </c>
    </row>
    <row r="489" spans="1:16" ht="28.5">
      <c r="A489" s="67">
        <v>488</v>
      </c>
      <c r="B489" s="68" t="str">
        <f>INDEX(Data_Assessment[],MATCH('Rekomendasi HAV'!$A489,Data_Assessment[[INDEX]:[INDEX]],0),MATCH('Rekomendasi HAV'!B$1,Data_Assessment[#Headers],0))</f>
        <v>Badai Tropik, Ir.</v>
      </c>
      <c r="C489" s="68" t="str">
        <f>INDEX(Data_Assessment[],MATCH('Rekomendasi HAV'!$A489,Data_Assessment[[INDEX]:[INDEX]],0),MATCH('Rekomendasi HAV'!C$1,Data_Assessment[#Headers],0))</f>
        <v>Sumatera Selatan</v>
      </c>
      <c r="D489" s="68" t="str">
        <f>INDEX(Data_Assessment[],MATCH('Rekomendasi HAV'!$A489,Data_Assessment[[INDEX]:[INDEX]],0),MATCH('Rekomendasi HAV'!D$1,Data_Assessment[#Headers],0))</f>
        <v>LSIP - Sei Lakitan Estate</v>
      </c>
      <c r="E489" s="68">
        <f>INDEX(Data_Assessment[],MATCH('Rekomendasi HAV'!$B489,Data_Assessment[[NAME]:[NAME]],0),MATCH('Rekomendasi HAV'!E$1,Data_Assessment[#Headers],0))</f>
        <v>0</v>
      </c>
      <c r="F489" s="68"/>
      <c r="G489" s="68">
        <f>IF(ISNUMBER(SEARCH("DEV",Assessment[[#This Row],[JOB TARGET]])),SUBSTITUTE(Assessment[[#This Row],[JOB TARGET]],"DEV","EST"),Assessment[[#This Row],[JOB TARGET]])</f>
        <v>0</v>
      </c>
      <c r="H489" s="146" t="str" cm="1">
        <f t="array" aca="1" ref="H489" ca="1">IF(Assessment[[#This Row],[JOB TARGET]]="","Job Target Kosong",IF(COUNT(IF('Data Assessment'!$N489:$Z489-OFFSET(Standar!$B$2,MATCH(Assessment[[#This Row],[JOB TARGET
(EST)]],Standar[NAMA JABATAN],0)-1,1,1,13)&lt;0,1,""))&lt;=3,'9 Grid'!$B$4,IF(COUNT(IF('Data Assessment'!$N489:$Z489-OFFSET(Standar!$B$2,MATCH(Assessment[[#This Row],[JOB TARGET]],Standar[NAMA JABATAN],0)-1,1,1,13)&lt;0,1,""))&gt;=7,'9 Grid'!$B$6,'9 Grid'!$B$5)))</f>
        <v>Job Target Kosong</v>
      </c>
      <c r="I489" s="146" t="str">
        <f>IFERROR(IF(Data_Assessment[[#This Row],[IPP (3 YEARS AVERAGE)]]="","(IPP Belum Ada)",IF(Data_Assessment[[#This Row],[IPP (3 YEARS AVERAGE)]]&lt;2,'9 Grid'!$F$2,IF(Data_Assessment[[#This Row],[IPP (3 YEARS AVERAGE)]]&gt;=4,'9 Grid'!$D$2,'9 Grid'!$E$2))),"")</f>
        <v>Fully Competence Performance</v>
      </c>
      <c r="J489" s="146" t="str">
        <f ca="1">IFERROR(INDEX('9 Grid'!$D$4:$F$6,MATCH('Rekomendasi HAV'!H489,'9 Grid'!$B$4:$B$6,0),MATCH('Rekomendasi HAV'!I489,'9 Grid'!$D$2:$F$2,0)),"")</f>
        <v/>
      </c>
      <c r="K489" s="146" t="str">
        <f>IFERROR(INDEX('9 Grid'!$D$8:$F$8,1,MATCH('Rekomendasi HAV'!I489,'9 Grid'!$D$2:$F$2,0)),"")</f>
        <v>(ST) Within 12 - 18 month</v>
      </c>
      <c r="L489" s="146">
        <f>IF(ISNUMBER(SEARCH("EST",Assessment[[#This Row],[JOB TARGET]])),SUBSTITUTE(Assessment[[#This Row],[JOB TARGET]],"EST","DEV"),Assessment[[#This Row],[JOB TARGET]])</f>
        <v>0</v>
      </c>
      <c r="M489" s="146" t="str" cm="1">
        <f t="array" aca="1" ref="M489" ca="1">IF(Assessment[[#This Row],[JOB TARGET]]="","Job Target Kosong",IF(COUNT(IF('Data Assessment'!$N489:$Z489-OFFSET(Standar!$B$2,MATCH(Assessment[[#This Row],[JOB TARGET
(DEV)]],Standar[NAMA JABATAN],0)-1,1,1,13)&lt;0,1,""))&lt;=3,'9 Grid'!$B$4,IF(COUNT(IF('Data Assessment'!$N489:$Z489-OFFSET(Standar!$B$2,MATCH(Assessment[[#This Row],[JOB TARGET
(DEV)]],Standar[NAMA JABATAN],0)-1,1,1,13)&lt;0,1,""))&gt;=7,'9 Grid'!$B$6,'9 Grid'!$B$5)))</f>
        <v>Job Target Kosong</v>
      </c>
      <c r="N489" s="146" t="str">
        <f>IFERROR(IF(Data_Assessment[[#This Row],[IPP (3 YEARS AVERAGE)]]="","(IPP Belum Ada)",IF(Data_Assessment[[#This Row],[IPP (3 YEARS AVERAGE)]]&lt;2,'9 Grid'!$F$2,IF(Data_Assessment[[#This Row],[IPP (3 YEARS AVERAGE)]]&gt;=4,'9 Grid'!$D$2,'9 Grid'!$E$2))),"")</f>
        <v>Fully Competence Performance</v>
      </c>
      <c r="O489" s="146" t="str">
        <f ca="1">IFERROR(INDEX('9 Grid'!$D$4:$F$6,MATCH('Rekomendasi HAV'!M489,'9 Grid'!$B$4:$B$6,0),MATCH('Rekomendasi HAV'!N489,'9 Grid'!$D$2:$F$2,0)),"")</f>
        <v/>
      </c>
      <c r="P489" s="147" t="str">
        <f>IFERROR(INDEX('9 Grid'!$D$8:$F$8,1,MATCH('Rekomendasi HAV'!N489,'9 Grid'!$D$2:$F$2,0)),"")</f>
        <v>(ST) Within 12 - 18 month</v>
      </c>
    </row>
    <row r="490" spans="1:16" ht="28.5">
      <c r="A490" s="67">
        <v>489</v>
      </c>
      <c r="B490" s="68" t="str">
        <f>INDEX(Data_Assessment[],MATCH('Rekomendasi HAV'!$A490,Data_Assessment[[INDEX]:[INDEX]],0),MATCH('Rekomendasi HAV'!B$1,Data_Assessment[#Headers],0))</f>
        <v>Edy Syahputra, Ir.</v>
      </c>
      <c r="C490" s="68" t="str">
        <f>INDEX(Data_Assessment[],MATCH('Rekomendasi HAV'!$A490,Data_Assessment[[INDEX]:[INDEX]],0),MATCH('Rekomendasi HAV'!C$1,Data_Assessment[#Headers],0))</f>
        <v>Sumatera Selatan</v>
      </c>
      <c r="D490" s="68" t="str">
        <f>INDEX(Data_Assessment[],MATCH('Rekomendasi HAV'!$A490,Data_Assessment[[INDEX]:[INDEX]],0),MATCH('Rekomendasi HAV'!D$1,Data_Assessment[#Headers],0))</f>
        <v>LSIP - Riam Indah Estate</v>
      </c>
      <c r="E490" s="68">
        <f>INDEX(Data_Assessment[],MATCH('Rekomendasi HAV'!$B490,Data_Assessment[[NAME]:[NAME]],0),MATCH('Rekomendasi HAV'!E$1,Data_Assessment[#Headers],0))</f>
        <v>0</v>
      </c>
      <c r="F490" s="68"/>
      <c r="G490" s="68">
        <f>IF(ISNUMBER(SEARCH("DEV",Assessment[[#This Row],[JOB TARGET]])),SUBSTITUTE(Assessment[[#This Row],[JOB TARGET]],"DEV","EST"),Assessment[[#This Row],[JOB TARGET]])</f>
        <v>0</v>
      </c>
      <c r="H490" s="146" t="str" cm="1">
        <f t="array" aca="1" ref="H490" ca="1">IF(Assessment[[#This Row],[JOB TARGET]]="","Job Target Kosong",IF(COUNT(IF('Data Assessment'!$N490:$Z490-OFFSET(Standar!$B$2,MATCH(Assessment[[#This Row],[JOB TARGET
(EST)]],Standar[NAMA JABATAN],0)-1,1,1,13)&lt;0,1,""))&lt;=3,'9 Grid'!$B$4,IF(COUNT(IF('Data Assessment'!$N490:$Z490-OFFSET(Standar!$B$2,MATCH(Assessment[[#This Row],[JOB TARGET]],Standar[NAMA JABATAN],0)-1,1,1,13)&lt;0,1,""))&gt;=7,'9 Grid'!$B$6,'9 Grid'!$B$5)))</f>
        <v>Job Target Kosong</v>
      </c>
      <c r="I490" s="146" t="str">
        <f>IFERROR(IF(Data_Assessment[[#This Row],[IPP (3 YEARS AVERAGE)]]="","(IPP Belum Ada)",IF(Data_Assessment[[#This Row],[IPP (3 YEARS AVERAGE)]]&lt;2,'9 Grid'!$F$2,IF(Data_Assessment[[#This Row],[IPP (3 YEARS AVERAGE)]]&gt;=4,'9 Grid'!$D$2,'9 Grid'!$E$2))),"")</f>
        <v>Fully Competence Performance</v>
      </c>
      <c r="J490" s="146" t="str">
        <f ca="1">IFERROR(INDEX('9 Grid'!$D$4:$F$6,MATCH('Rekomendasi HAV'!H490,'9 Grid'!$B$4:$B$6,0),MATCH('Rekomendasi HAV'!I490,'9 Grid'!$D$2:$F$2,0)),"")</f>
        <v/>
      </c>
      <c r="K490" s="146" t="str">
        <f>IFERROR(INDEX('9 Grid'!$D$8:$F$8,1,MATCH('Rekomendasi HAV'!I490,'9 Grid'!$D$2:$F$2,0)),"")</f>
        <v>(ST) Within 12 - 18 month</v>
      </c>
      <c r="L490" s="146">
        <f>IF(ISNUMBER(SEARCH("EST",Assessment[[#This Row],[JOB TARGET]])),SUBSTITUTE(Assessment[[#This Row],[JOB TARGET]],"EST","DEV"),Assessment[[#This Row],[JOB TARGET]])</f>
        <v>0</v>
      </c>
      <c r="M490" s="146" t="str" cm="1">
        <f t="array" aca="1" ref="M490" ca="1">IF(Assessment[[#This Row],[JOB TARGET]]="","Job Target Kosong",IF(COUNT(IF('Data Assessment'!$N490:$Z490-OFFSET(Standar!$B$2,MATCH(Assessment[[#This Row],[JOB TARGET
(DEV)]],Standar[NAMA JABATAN],0)-1,1,1,13)&lt;0,1,""))&lt;=3,'9 Grid'!$B$4,IF(COUNT(IF('Data Assessment'!$N490:$Z490-OFFSET(Standar!$B$2,MATCH(Assessment[[#This Row],[JOB TARGET
(DEV)]],Standar[NAMA JABATAN],0)-1,1,1,13)&lt;0,1,""))&gt;=7,'9 Grid'!$B$6,'9 Grid'!$B$5)))</f>
        <v>Job Target Kosong</v>
      </c>
      <c r="N490" s="146" t="str">
        <f>IFERROR(IF(Data_Assessment[[#This Row],[IPP (3 YEARS AVERAGE)]]="","(IPP Belum Ada)",IF(Data_Assessment[[#This Row],[IPP (3 YEARS AVERAGE)]]&lt;2,'9 Grid'!$F$2,IF(Data_Assessment[[#This Row],[IPP (3 YEARS AVERAGE)]]&gt;=4,'9 Grid'!$D$2,'9 Grid'!$E$2))),"")</f>
        <v>Fully Competence Performance</v>
      </c>
      <c r="O490" s="146" t="str">
        <f ca="1">IFERROR(INDEX('9 Grid'!$D$4:$F$6,MATCH('Rekomendasi HAV'!M490,'9 Grid'!$B$4:$B$6,0),MATCH('Rekomendasi HAV'!N490,'9 Grid'!$D$2:$F$2,0)),"")</f>
        <v/>
      </c>
      <c r="P490" s="147" t="str">
        <f>IFERROR(INDEX('9 Grid'!$D$8:$F$8,1,MATCH('Rekomendasi HAV'!N490,'9 Grid'!$D$2:$F$2,0)),"")</f>
        <v>(ST) Within 12 - 18 month</v>
      </c>
    </row>
    <row r="491" spans="1:16" ht="28.5">
      <c r="A491" s="67">
        <v>490</v>
      </c>
      <c r="B491" s="68" t="str">
        <f>INDEX(Data_Assessment[],MATCH('Rekomendasi HAV'!$A491,Data_Assessment[[INDEX]:[INDEX]],0),MATCH('Rekomendasi HAV'!B$1,Data_Assessment[#Headers],0))</f>
        <v>Feri Atmaja</v>
      </c>
      <c r="C491" s="68" t="str">
        <f>INDEX(Data_Assessment[],MATCH('Rekomendasi HAV'!$A491,Data_Assessment[[INDEX]:[INDEX]],0),MATCH('Rekomendasi HAV'!C$1,Data_Assessment[#Headers],0))</f>
        <v>Sumatera Utara</v>
      </c>
      <c r="D491" s="68" t="str">
        <f>INDEX(Data_Assessment[],MATCH('Rekomendasi HAV'!$A491,Data_Assessment[[INDEX]:[INDEX]],0),MATCH('Rekomendasi HAV'!D$1,Data_Assessment[#Headers],0))</f>
        <v>LSIP - Bungara Estate</v>
      </c>
      <c r="E491" s="68">
        <f>INDEX(Data_Assessment[],MATCH('Rekomendasi HAV'!$B491,Data_Assessment[[NAME]:[NAME]],0),MATCH('Rekomendasi HAV'!E$1,Data_Assessment[#Headers],0))</f>
        <v>0</v>
      </c>
      <c r="F491" s="68"/>
      <c r="G491" s="68">
        <f>IF(ISNUMBER(SEARCH("DEV",Assessment[[#This Row],[JOB TARGET]])),SUBSTITUTE(Assessment[[#This Row],[JOB TARGET]],"DEV","EST"),Assessment[[#This Row],[JOB TARGET]])</f>
        <v>0</v>
      </c>
      <c r="H491" s="146" t="str" cm="1">
        <f t="array" aca="1" ref="H491" ca="1">IF(Assessment[[#This Row],[JOB TARGET]]="","Job Target Kosong",IF(COUNT(IF('Data Assessment'!$N491:$Z491-OFFSET(Standar!$B$2,MATCH(Assessment[[#This Row],[JOB TARGET
(EST)]],Standar[NAMA JABATAN],0)-1,1,1,13)&lt;0,1,""))&lt;=3,'9 Grid'!$B$4,IF(COUNT(IF('Data Assessment'!$N491:$Z491-OFFSET(Standar!$B$2,MATCH(Assessment[[#This Row],[JOB TARGET]],Standar[NAMA JABATAN],0)-1,1,1,13)&lt;0,1,""))&gt;=7,'9 Grid'!$B$6,'9 Grid'!$B$5)))</f>
        <v>Job Target Kosong</v>
      </c>
      <c r="I491" s="146" t="str">
        <f>IFERROR(IF(Data_Assessment[[#This Row],[IPP (3 YEARS AVERAGE)]]="","(IPP Belum Ada)",IF(Data_Assessment[[#This Row],[IPP (3 YEARS AVERAGE)]]&lt;2,'9 Grid'!$F$2,IF(Data_Assessment[[#This Row],[IPP (3 YEARS AVERAGE)]]&gt;=4,'9 Grid'!$D$2,'9 Grid'!$E$2))),"")</f>
        <v>Fully Competence Performance</v>
      </c>
      <c r="J491" s="146" t="str">
        <f ca="1">IFERROR(INDEX('9 Grid'!$D$4:$F$6,MATCH('Rekomendasi HAV'!H491,'9 Grid'!$B$4:$B$6,0),MATCH('Rekomendasi HAV'!I491,'9 Grid'!$D$2:$F$2,0)),"")</f>
        <v/>
      </c>
      <c r="K491" s="146" t="str">
        <f>IFERROR(INDEX('9 Grid'!$D$8:$F$8,1,MATCH('Rekomendasi HAV'!I491,'9 Grid'!$D$2:$F$2,0)),"")</f>
        <v>(ST) Within 12 - 18 month</v>
      </c>
      <c r="L491" s="146">
        <f>IF(ISNUMBER(SEARCH("EST",Assessment[[#This Row],[JOB TARGET]])),SUBSTITUTE(Assessment[[#This Row],[JOB TARGET]],"EST","DEV"),Assessment[[#This Row],[JOB TARGET]])</f>
        <v>0</v>
      </c>
      <c r="M491" s="146" t="str" cm="1">
        <f t="array" aca="1" ref="M491" ca="1">IF(Assessment[[#This Row],[JOB TARGET]]="","Job Target Kosong",IF(COUNT(IF('Data Assessment'!$N491:$Z491-OFFSET(Standar!$B$2,MATCH(Assessment[[#This Row],[JOB TARGET
(DEV)]],Standar[NAMA JABATAN],0)-1,1,1,13)&lt;0,1,""))&lt;=3,'9 Grid'!$B$4,IF(COUNT(IF('Data Assessment'!$N491:$Z491-OFFSET(Standar!$B$2,MATCH(Assessment[[#This Row],[JOB TARGET
(DEV)]],Standar[NAMA JABATAN],0)-1,1,1,13)&lt;0,1,""))&gt;=7,'9 Grid'!$B$6,'9 Grid'!$B$5)))</f>
        <v>Job Target Kosong</v>
      </c>
      <c r="N491" s="146" t="str">
        <f>IFERROR(IF(Data_Assessment[[#This Row],[IPP (3 YEARS AVERAGE)]]="","(IPP Belum Ada)",IF(Data_Assessment[[#This Row],[IPP (3 YEARS AVERAGE)]]&lt;2,'9 Grid'!$F$2,IF(Data_Assessment[[#This Row],[IPP (3 YEARS AVERAGE)]]&gt;=4,'9 Grid'!$D$2,'9 Grid'!$E$2))),"")</f>
        <v>Fully Competence Performance</v>
      </c>
      <c r="O491" s="146" t="str">
        <f ca="1">IFERROR(INDEX('9 Grid'!$D$4:$F$6,MATCH('Rekomendasi HAV'!M491,'9 Grid'!$B$4:$B$6,0),MATCH('Rekomendasi HAV'!N491,'9 Grid'!$D$2:$F$2,0)),"")</f>
        <v/>
      </c>
      <c r="P491" s="147" t="str">
        <f>IFERROR(INDEX('9 Grid'!$D$8:$F$8,1,MATCH('Rekomendasi HAV'!N491,'9 Grid'!$D$2:$F$2,0)),"")</f>
        <v>(ST) Within 12 - 18 month</v>
      </c>
    </row>
    <row r="492" spans="1:16" ht="28.5">
      <c r="A492" s="67">
        <v>491</v>
      </c>
      <c r="B492" s="68" t="str">
        <f>INDEX(Data_Assessment[],MATCH('Rekomendasi HAV'!$A492,Data_Assessment[[INDEX]:[INDEX]],0),MATCH('Rekomendasi HAV'!B$1,Data_Assessment[#Headers],0))</f>
        <v>Selamat Karya Budi Saragih</v>
      </c>
      <c r="C492" s="68" t="str">
        <f>INDEX(Data_Assessment[],MATCH('Rekomendasi HAV'!$A492,Data_Assessment[[INDEX]:[INDEX]],0),MATCH('Rekomendasi HAV'!C$1,Data_Assessment[#Headers],0))</f>
        <v>Sumatera Selatan</v>
      </c>
      <c r="D492" s="68" t="str">
        <f>INDEX(Data_Assessment[],MATCH('Rekomendasi HAV'!$A492,Data_Assessment[[INDEX]:[INDEX]],0),MATCH('Rekomendasi HAV'!D$1,Data_Assessment[#Headers],0))</f>
        <v>LSIP - Riam Indah Estate</v>
      </c>
      <c r="E492" s="68">
        <f>INDEX(Data_Assessment[],MATCH('Rekomendasi HAV'!$B492,Data_Assessment[[NAME]:[NAME]],0),MATCH('Rekomendasi HAV'!E$1,Data_Assessment[#Headers],0))</f>
        <v>0</v>
      </c>
      <c r="F492" s="68"/>
      <c r="G492" s="68">
        <f>IF(ISNUMBER(SEARCH("DEV",Assessment[[#This Row],[JOB TARGET]])),SUBSTITUTE(Assessment[[#This Row],[JOB TARGET]],"DEV","EST"),Assessment[[#This Row],[JOB TARGET]])</f>
        <v>0</v>
      </c>
      <c r="H492" s="146" t="str" cm="1">
        <f t="array" aca="1" ref="H492" ca="1">IF(Assessment[[#This Row],[JOB TARGET]]="","Job Target Kosong",IF(COUNT(IF('Data Assessment'!$N492:$Z492-OFFSET(Standar!$B$2,MATCH(Assessment[[#This Row],[JOB TARGET
(EST)]],Standar[NAMA JABATAN],0)-1,1,1,13)&lt;0,1,""))&lt;=3,'9 Grid'!$B$4,IF(COUNT(IF('Data Assessment'!$N492:$Z492-OFFSET(Standar!$B$2,MATCH(Assessment[[#This Row],[JOB TARGET]],Standar[NAMA JABATAN],0)-1,1,1,13)&lt;0,1,""))&gt;=7,'9 Grid'!$B$6,'9 Grid'!$B$5)))</f>
        <v>Job Target Kosong</v>
      </c>
      <c r="I492" s="146" t="str">
        <f>IFERROR(IF(Data_Assessment[[#This Row],[IPP (3 YEARS AVERAGE)]]="","(IPP Belum Ada)",IF(Data_Assessment[[#This Row],[IPP (3 YEARS AVERAGE)]]&lt;2,'9 Grid'!$F$2,IF(Data_Assessment[[#This Row],[IPP (3 YEARS AVERAGE)]]&gt;=4,'9 Grid'!$D$2,'9 Grid'!$E$2))),"")</f>
        <v>Fully Competence Performance</v>
      </c>
      <c r="J492" s="146" t="str">
        <f ca="1">IFERROR(INDEX('9 Grid'!$D$4:$F$6,MATCH('Rekomendasi HAV'!H492,'9 Grid'!$B$4:$B$6,0),MATCH('Rekomendasi HAV'!I492,'9 Grid'!$D$2:$F$2,0)),"")</f>
        <v/>
      </c>
      <c r="K492" s="146" t="str">
        <f>IFERROR(INDEX('9 Grid'!$D$8:$F$8,1,MATCH('Rekomendasi HAV'!I492,'9 Grid'!$D$2:$F$2,0)),"")</f>
        <v>(ST) Within 12 - 18 month</v>
      </c>
      <c r="L492" s="146">
        <f>IF(ISNUMBER(SEARCH("EST",Assessment[[#This Row],[JOB TARGET]])),SUBSTITUTE(Assessment[[#This Row],[JOB TARGET]],"EST","DEV"),Assessment[[#This Row],[JOB TARGET]])</f>
        <v>0</v>
      </c>
      <c r="M492" s="146" t="str" cm="1">
        <f t="array" aca="1" ref="M492" ca="1">IF(Assessment[[#This Row],[JOB TARGET]]="","Job Target Kosong",IF(COUNT(IF('Data Assessment'!$N492:$Z492-OFFSET(Standar!$B$2,MATCH(Assessment[[#This Row],[JOB TARGET
(DEV)]],Standar[NAMA JABATAN],0)-1,1,1,13)&lt;0,1,""))&lt;=3,'9 Grid'!$B$4,IF(COUNT(IF('Data Assessment'!$N492:$Z492-OFFSET(Standar!$B$2,MATCH(Assessment[[#This Row],[JOB TARGET
(DEV)]],Standar[NAMA JABATAN],0)-1,1,1,13)&lt;0,1,""))&gt;=7,'9 Grid'!$B$6,'9 Grid'!$B$5)))</f>
        <v>Job Target Kosong</v>
      </c>
      <c r="N492" s="146" t="str">
        <f>IFERROR(IF(Data_Assessment[[#This Row],[IPP (3 YEARS AVERAGE)]]="","(IPP Belum Ada)",IF(Data_Assessment[[#This Row],[IPP (3 YEARS AVERAGE)]]&lt;2,'9 Grid'!$F$2,IF(Data_Assessment[[#This Row],[IPP (3 YEARS AVERAGE)]]&gt;=4,'9 Grid'!$D$2,'9 Grid'!$E$2))),"")</f>
        <v>Fully Competence Performance</v>
      </c>
      <c r="O492" s="146" t="str">
        <f ca="1">IFERROR(INDEX('9 Grid'!$D$4:$F$6,MATCH('Rekomendasi HAV'!M492,'9 Grid'!$B$4:$B$6,0),MATCH('Rekomendasi HAV'!N492,'9 Grid'!$D$2:$F$2,0)),"")</f>
        <v/>
      </c>
      <c r="P492" s="147" t="str">
        <f>IFERROR(INDEX('9 Grid'!$D$8:$F$8,1,MATCH('Rekomendasi HAV'!N492,'9 Grid'!$D$2:$F$2,0)),"")</f>
        <v>(ST) Within 12 - 18 month</v>
      </c>
    </row>
    <row r="493" spans="1:16" ht="14.25">
      <c r="A493" s="67">
        <v>492</v>
      </c>
      <c r="B493" s="68" t="str">
        <f>INDEX(Data_Assessment[],MATCH('Rekomendasi HAV'!$A493,Data_Assessment[[INDEX]:[INDEX]],0),MATCH('Rekomendasi HAV'!B$1,Data_Assessment[#Headers],0))</f>
        <v>Parlaungan Hasibuan, Ir.</v>
      </c>
      <c r="C493" s="68" t="str">
        <f>INDEX(Data_Assessment[],MATCH('Rekomendasi HAV'!$A493,Data_Assessment[[INDEX]:[INDEX]],0),MATCH('Rekomendasi HAV'!C$1,Data_Assessment[#Headers],0))</f>
        <v>Sumatera Selatan</v>
      </c>
      <c r="D493" s="68" t="str">
        <f>INDEX(Data_Assessment[],MATCH('Rekomendasi HAV'!$A493,Data_Assessment[[INDEX]:[INDEX]],0),MATCH('Rekomendasi HAV'!D$1,Data_Assessment[#Headers],0))</f>
        <v>LSIP - Sei Gemang Estate</v>
      </c>
      <c r="E493" s="68">
        <f>INDEX(Data_Assessment[],MATCH('Rekomendasi HAV'!$B493,Data_Assessment[[NAME]:[NAME]],0),MATCH('Rekomendasi HAV'!E$1,Data_Assessment[#Headers],0))</f>
        <v>0</v>
      </c>
      <c r="F493" s="68"/>
      <c r="G493" s="68">
        <f>IF(ISNUMBER(SEARCH("DEV",Assessment[[#This Row],[JOB TARGET]])),SUBSTITUTE(Assessment[[#This Row],[JOB TARGET]],"DEV","EST"),Assessment[[#This Row],[JOB TARGET]])</f>
        <v>0</v>
      </c>
      <c r="H493" s="146" t="str" cm="1">
        <f t="array" aca="1" ref="H493" ca="1">IF(Assessment[[#This Row],[JOB TARGET]]="","Job Target Kosong",IF(COUNT(IF('Data Assessment'!$N493:$Z493-OFFSET(Standar!$B$2,MATCH(Assessment[[#This Row],[JOB TARGET
(EST)]],Standar[NAMA JABATAN],0)-1,1,1,13)&lt;0,1,""))&lt;=3,'9 Grid'!$B$4,IF(COUNT(IF('Data Assessment'!$N493:$Z493-OFFSET(Standar!$B$2,MATCH(Assessment[[#This Row],[JOB TARGET]],Standar[NAMA JABATAN],0)-1,1,1,13)&lt;0,1,""))&gt;=7,'9 Grid'!$B$6,'9 Grid'!$B$5)))</f>
        <v>Job Target Kosong</v>
      </c>
      <c r="I493" s="146" t="str">
        <f>IFERROR(IF(Data_Assessment[[#This Row],[IPP (3 YEARS AVERAGE)]]="","(IPP Belum Ada)",IF(Data_Assessment[[#This Row],[IPP (3 YEARS AVERAGE)]]&lt;2,'9 Grid'!$F$2,IF(Data_Assessment[[#This Row],[IPP (3 YEARS AVERAGE)]]&gt;=4,'9 Grid'!$D$2,'9 Grid'!$E$2))),"")</f>
        <v>Exceptional Performance</v>
      </c>
      <c r="J493" s="146" t="str">
        <f ca="1">IFERROR(INDEX('9 Grid'!$D$4:$F$6,MATCH('Rekomendasi HAV'!H493,'9 Grid'!$B$4:$B$6,0),MATCH('Rekomendasi HAV'!I493,'9 Grid'!$D$2:$F$2,0)),"")</f>
        <v/>
      </c>
      <c r="K493" s="146" t="str">
        <f>IFERROR(INDEX('9 Grid'!$D$8:$F$8,1,MATCH('Rekomendasi HAV'!I493,'9 Grid'!$D$2:$F$2,0)),"")</f>
        <v>(I) Immediately</v>
      </c>
      <c r="L493" s="146">
        <f>IF(ISNUMBER(SEARCH("EST",Assessment[[#This Row],[JOB TARGET]])),SUBSTITUTE(Assessment[[#This Row],[JOB TARGET]],"EST","DEV"),Assessment[[#This Row],[JOB TARGET]])</f>
        <v>0</v>
      </c>
      <c r="M493" s="146" t="str" cm="1">
        <f t="array" aca="1" ref="M493" ca="1">IF(Assessment[[#This Row],[JOB TARGET]]="","Job Target Kosong",IF(COUNT(IF('Data Assessment'!$N493:$Z493-OFFSET(Standar!$B$2,MATCH(Assessment[[#This Row],[JOB TARGET
(DEV)]],Standar[NAMA JABATAN],0)-1,1,1,13)&lt;0,1,""))&lt;=3,'9 Grid'!$B$4,IF(COUNT(IF('Data Assessment'!$N493:$Z493-OFFSET(Standar!$B$2,MATCH(Assessment[[#This Row],[JOB TARGET
(DEV)]],Standar[NAMA JABATAN],0)-1,1,1,13)&lt;0,1,""))&gt;=7,'9 Grid'!$B$6,'9 Grid'!$B$5)))</f>
        <v>Job Target Kosong</v>
      </c>
      <c r="N493" s="146" t="str">
        <f>IFERROR(IF(Data_Assessment[[#This Row],[IPP (3 YEARS AVERAGE)]]="","(IPP Belum Ada)",IF(Data_Assessment[[#This Row],[IPP (3 YEARS AVERAGE)]]&lt;2,'9 Grid'!$F$2,IF(Data_Assessment[[#This Row],[IPP (3 YEARS AVERAGE)]]&gt;=4,'9 Grid'!$D$2,'9 Grid'!$E$2))),"")</f>
        <v>Exceptional Performance</v>
      </c>
      <c r="O493" s="146" t="str">
        <f ca="1">IFERROR(INDEX('9 Grid'!$D$4:$F$6,MATCH('Rekomendasi HAV'!M493,'9 Grid'!$B$4:$B$6,0),MATCH('Rekomendasi HAV'!N493,'9 Grid'!$D$2:$F$2,0)),"")</f>
        <v/>
      </c>
      <c r="P493" s="147" t="str">
        <f>IFERROR(INDEX('9 Grid'!$D$8:$F$8,1,MATCH('Rekomendasi HAV'!N493,'9 Grid'!$D$2:$F$2,0)),"")</f>
        <v>(I) Immediately</v>
      </c>
    </row>
    <row r="494" spans="1:16" ht="28.5">
      <c r="A494" s="67">
        <v>493</v>
      </c>
      <c r="B494" s="68" t="str">
        <f>INDEX(Data_Assessment[],MATCH('Rekomendasi HAV'!$A494,Data_Assessment[[INDEX]:[INDEX]],0),MATCH('Rekomendasi HAV'!B$1,Data_Assessment[#Headers],0))</f>
        <v>Sepdi Sinaga, SP</v>
      </c>
      <c r="C494" s="68" t="str">
        <f>INDEX(Data_Assessment[],MATCH('Rekomendasi HAV'!$A494,Data_Assessment[[INDEX]:[INDEX]],0),MATCH('Rekomendasi HAV'!C$1,Data_Assessment[#Headers],0))</f>
        <v>Sumatera Selatan</v>
      </c>
      <c r="D494" s="68" t="str">
        <f>INDEX(Data_Assessment[],MATCH('Rekomendasi HAV'!$A494,Data_Assessment[[INDEX]:[INDEX]],0),MATCH('Rekomendasi HAV'!D$1,Data_Assessment[#Headers],0))</f>
        <v>LSIP - Sei Gemang Estate</v>
      </c>
      <c r="E494" s="68">
        <f>INDEX(Data_Assessment[],MATCH('Rekomendasi HAV'!$B494,Data_Assessment[[NAME]:[NAME]],0),MATCH('Rekomendasi HAV'!E$1,Data_Assessment[#Headers],0))</f>
        <v>0</v>
      </c>
      <c r="F494" s="68"/>
      <c r="G494" s="68">
        <f>IF(ISNUMBER(SEARCH("DEV",Assessment[[#This Row],[JOB TARGET]])),SUBSTITUTE(Assessment[[#This Row],[JOB TARGET]],"DEV","EST"),Assessment[[#This Row],[JOB TARGET]])</f>
        <v>0</v>
      </c>
      <c r="H494" s="146" t="str" cm="1">
        <f t="array" aca="1" ref="H494" ca="1">IF(Assessment[[#This Row],[JOB TARGET]]="","Job Target Kosong",IF(COUNT(IF('Data Assessment'!$N494:$Z494-OFFSET(Standar!$B$2,MATCH(Assessment[[#This Row],[JOB TARGET
(EST)]],Standar[NAMA JABATAN],0)-1,1,1,13)&lt;0,1,""))&lt;=3,'9 Grid'!$B$4,IF(COUNT(IF('Data Assessment'!$N494:$Z494-OFFSET(Standar!$B$2,MATCH(Assessment[[#This Row],[JOB TARGET]],Standar[NAMA JABATAN],0)-1,1,1,13)&lt;0,1,""))&gt;=7,'9 Grid'!$B$6,'9 Grid'!$B$5)))</f>
        <v>Job Target Kosong</v>
      </c>
      <c r="I494" s="146" t="str">
        <f>IFERROR(IF(Data_Assessment[[#This Row],[IPP (3 YEARS AVERAGE)]]="","(IPP Belum Ada)",IF(Data_Assessment[[#This Row],[IPP (3 YEARS AVERAGE)]]&lt;2,'9 Grid'!$F$2,IF(Data_Assessment[[#This Row],[IPP (3 YEARS AVERAGE)]]&gt;=4,'9 Grid'!$D$2,'9 Grid'!$E$2))),"")</f>
        <v>Fully Competence Performance</v>
      </c>
      <c r="J494" s="146" t="str">
        <f ca="1">IFERROR(INDEX('9 Grid'!$D$4:$F$6,MATCH('Rekomendasi HAV'!H494,'9 Grid'!$B$4:$B$6,0),MATCH('Rekomendasi HAV'!I494,'9 Grid'!$D$2:$F$2,0)),"")</f>
        <v/>
      </c>
      <c r="K494" s="146" t="str">
        <f>IFERROR(INDEX('9 Grid'!$D$8:$F$8,1,MATCH('Rekomendasi HAV'!I494,'9 Grid'!$D$2:$F$2,0)),"")</f>
        <v>(ST) Within 12 - 18 month</v>
      </c>
      <c r="L494" s="146">
        <f>IF(ISNUMBER(SEARCH("EST",Assessment[[#This Row],[JOB TARGET]])),SUBSTITUTE(Assessment[[#This Row],[JOB TARGET]],"EST","DEV"),Assessment[[#This Row],[JOB TARGET]])</f>
        <v>0</v>
      </c>
      <c r="M494" s="146" t="str" cm="1">
        <f t="array" aca="1" ref="M494" ca="1">IF(Assessment[[#This Row],[JOB TARGET]]="","Job Target Kosong",IF(COUNT(IF('Data Assessment'!$N494:$Z494-OFFSET(Standar!$B$2,MATCH(Assessment[[#This Row],[JOB TARGET
(DEV)]],Standar[NAMA JABATAN],0)-1,1,1,13)&lt;0,1,""))&lt;=3,'9 Grid'!$B$4,IF(COUNT(IF('Data Assessment'!$N494:$Z494-OFFSET(Standar!$B$2,MATCH(Assessment[[#This Row],[JOB TARGET
(DEV)]],Standar[NAMA JABATAN],0)-1,1,1,13)&lt;0,1,""))&gt;=7,'9 Grid'!$B$6,'9 Grid'!$B$5)))</f>
        <v>Job Target Kosong</v>
      </c>
      <c r="N494" s="146" t="str">
        <f>IFERROR(IF(Data_Assessment[[#This Row],[IPP (3 YEARS AVERAGE)]]="","(IPP Belum Ada)",IF(Data_Assessment[[#This Row],[IPP (3 YEARS AVERAGE)]]&lt;2,'9 Grid'!$F$2,IF(Data_Assessment[[#This Row],[IPP (3 YEARS AVERAGE)]]&gt;=4,'9 Grid'!$D$2,'9 Grid'!$E$2))),"")</f>
        <v>Fully Competence Performance</v>
      </c>
      <c r="O494" s="146" t="str">
        <f ca="1">IFERROR(INDEX('9 Grid'!$D$4:$F$6,MATCH('Rekomendasi HAV'!M494,'9 Grid'!$B$4:$B$6,0),MATCH('Rekomendasi HAV'!N494,'9 Grid'!$D$2:$F$2,0)),"")</f>
        <v/>
      </c>
      <c r="P494" s="147" t="str">
        <f>IFERROR(INDEX('9 Grid'!$D$8:$F$8,1,MATCH('Rekomendasi HAV'!N494,'9 Grid'!$D$2:$F$2,0)),"")</f>
        <v>(ST) Within 12 - 18 month</v>
      </c>
    </row>
    <row r="495" spans="1:16" ht="28.5">
      <c r="A495" s="67">
        <v>494</v>
      </c>
      <c r="B495" s="68" t="str">
        <f>INDEX(Data_Assessment[],MATCH('Rekomendasi HAV'!$A495,Data_Assessment[[INDEX]:[INDEX]],0),MATCH('Rekomendasi HAV'!B$1,Data_Assessment[#Headers],0))</f>
        <v>Haposan Siagian</v>
      </c>
      <c r="C495" s="68" t="str">
        <f>INDEX(Data_Assessment[],MATCH('Rekomendasi HAV'!$A495,Data_Assessment[[INDEX]:[INDEX]],0),MATCH('Rekomendasi HAV'!C$1,Data_Assessment[#Headers],0))</f>
        <v>Sumatera Selatan</v>
      </c>
      <c r="D495" s="68" t="str">
        <f>INDEX(Data_Assessment[],MATCH('Rekomendasi HAV'!$A495,Data_Assessment[[INDEX]:[INDEX]],0),MATCH('Rekomendasi HAV'!D$1,Data_Assessment[#Headers],0))</f>
        <v>LSIP - Gunung Bais Estate</v>
      </c>
      <c r="E495" s="68">
        <f>INDEX(Data_Assessment[],MATCH('Rekomendasi HAV'!$B495,Data_Assessment[[NAME]:[NAME]],0),MATCH('Rekomendasi HAV'!E$1,Data_Assessment[#Headers],0))</f>
        <v>0</v>
      </c>
      <c r="F495" s="68"/>
      <c r="G495" s="68">
        <f>IF(ISNUMBER(SEARCH("DEV",Assessment[[#This Row],[JOB TARGET]])),SUBSTITUTE(Assessment[[#This Row],[JOB TARGET]],"DEV","EST"),Assessment[[#This Row],[JOB TARGET]])</f>
        <v>0</v>
      </c>
      <c r="H495" s="146" t="str" cm="1">
        <f t="array" aca="1" ref="H495" ca="1">IF(Assessment[[#This Row],[JOB TARGET]]="","Job Target Kosong",IF(COUNT(IF('Data Assessment'!$N495:$Z495-OFFSET(Standar!$B$2,MATCH(Assessment[[#This Row],[JOB TARGET
(EST)]],Standar[NAMA JABATAN],0)-1,1,1,13)&lt;0,1,""))&lt;=3,'9 Grid'!$B$4,IF(COUNT(IF('Data Assessment'!$N495:$Z495-OFFSET(Standar!$B$2,MATCH(Assessment[[#This Row],[JOB TARGET]],Standar[NAMA JABATAN],0)-1,1,1,13)&lt;0,1,""))&gt;=7,'9 Grid'!$B$6,'9 Grid'!$B$5)))</f>
        <v>Job Target Kosong</v>
      </c>
      <c r="I495" s="146" t="str">
        <f>IFERROR(IF(Data_Assessment[[#This Row],[IPP (3 YEARS AVERAGE)]]="","(IPP Belum Ada)",IF(Data_Assessment[[#This Row],[IPP (3 YEARS AVERAGE)]]&lt;2,'9 Grid'!$F$2,IF(Data_Assessment[[#This Row],[IPP (3 YEARS AVERAGE)]]&gt;=4,'9 Grid'!$D$2,'9 Grid'!$E$2))),"")</f>
        <v>Fully Competence Performance</v>
      </c>
      <c r="J495" s="146" t="str">
        <f ca="1">IFERROR(INDEX('9 Grid'!$D$4:$F$6,MATCH('Rekomendasi HAV'!H495,'9 Grid'!$B$4:$B$6,0),MATCH('Rekomendasi HAV'!I495,'9 Grid'!$D$2:$F$2,0)),"")</f>
        <v/>
      </c>
      <c r="K495" s="146" t="str">
        <f>IFERROR(INDEX('9 Grid'!$D$8:$F$8,1,MATCH('Rekomendasi HAV'!I495,'9 Grid'!$D$2:$F$2,0)),"")</f>
        <v>(ST) Within 12 - 18 month</v>
      </c>
      <c r="L495" s="146">
        <f>IF(ISNUMBER(SEARCH("EST",Assessment[[#This Row],[JOB TARGET]])),SUBSTITUTE(Assessment[[#This Row],[JOB TARGET]],"EST","DEV"),Assessment[[#This Row],[JOB TARGET]])</f>
        <v>0</v>
      </c>
      <c r="M495" s="146" t="str" cm="1">
        <f t="array" aca="1" ref="M495" ca="1">IF(Assessment[[#This Row],[JOB TARGET]]="","Job Target Kosong",IF(COUNT(IF('Data Assessment'!$N495:$Z495-OFFSET(Standar!$B$2,MATCH(Assessment[[#This Row],[JOB TARGET
(DEV)]],Standar[NAMA JABATAN],0)-1,1,1,13)&lt;0,1,""))&lt;=3,'9 Grid'!$B$4,IF(COUNT(IF('Data Assessment'!$N495:$Z495-OFFSET(Standar!$B$2,MATCH(Assessment[[#This Row],[JOB TARGET
(DEV)]],Standar[NAMA JABATAN],0)-1,1,1,13)&lt;0,1,""))&gt;=7,'9 Grid'!$B$6,'9 Grid'!$B$5)))</f>
        <v>Job Target Kosong</v>
      </c>
      <c r="N495" s="146" t="str">
        <f>IFERROR(IF(Data_Assessment[[#This Row],[IPP (3 YEARS AVERAGE)]]="","(IPP Belum Ada)",IF(Data_Assessment[[#This Row],[IPP (3 YEARS AVERAGE)]]&lt;2,'9 Grid'!$F$2,IF(Data_Assessment[[#This Row],[IPP (3 YEARS AVERAGE)]]&gt;=4,'9 Grid'!$D$2,'9 Grid'!$E$2))),"")</f>
        <v>Fully Competence Performance</v>
      </c>
      <c r="O495" s="146" t="str">
        <f ca="1">IFERROR(INDEX('9 Grid'!$D$4:$F$6,MATCH('Rekomendasi HAV'!M495,'9 Grid'!$B$4:$B$6,0),MATCH('Rekomendasi HAV'!N495,'9 Grid'!$D$2:$F$2,0)),"")</f>
        <v/>
      </c>
      <c r="P495" s="147" t="str">
        <f>IFERROR(INDEX('9 Grid'!$D$8:$F$8,1,MATCH('Rekomendasi HAV'!N495,'9 Grid'!$D$2:$F$2,0)),"")</f>
        <v>(ST) Within 12 - 18 month</v>
      </c>
    </row>
    <row r="496" spans="1:16" ht="28.5">
      <c r="A496" s="67">
        <v>495</v>
      </c>
      <c r="B496" s="68" t="str">
        <f>INDEX(Data_Assessment[],MATCH('Rekomendasi HAV'!$A496,Data_Assessment[[INDEX]:[INDEX]],0),MATCH('Rekomendasi HAV'!B$1,Data_Assessment[#Headers],0))</f>
        <v>Maman Surachman, Ir.</v>
      </c>
      <c r="C496" s="68" t="str">
        <f>INDEX(Data_Assessment[],MATCH('Rekomendasi HAV'!$A496,Data_Assessment[[INDEX]:[INDEX]],0),MATCH('Rekomendasi HAV'!C$1,Data_Assessment[#Headers],0))</f>
        <v>Sumatera Selatan</v>
      </c>
      <c r="D496" s="68" t="str">
        <f>INDEX(Data_Assessment[],MATCH('Rekomendasi HAV'!$A496,Data_Assessment[[INDEX]:[INDEX]],0),MATCH('Rekomendasi HAV'!D$1,Data_Assessment[#Headers],0))</f>
        <v>LSIP - Gunung Bais Estate</v>
      </c>
      <c r="E496" s="68">
        <f>INDEX(Data_Assessment[],MATCH('Rekomendasi HAV'!$B496,Data_Assessment[[NAME]:[NAME]],0),MATCH('Rekomendasi HAV'!E$1,Data_Assessment[#Headers],0))</f>
        <v>0</v>
      </c>
      <c r="F496" s="68"/>
      <c r="G496" s="68">
        <f>IF(ISNUMBER(SEARCH("DEV",Assessment[[#This Row],[JOB TARGET]])),SUBSTITUTE(Assessment[[#This Row],[JOB TARGET]],"DEV","EST"),Assessment[[#This Row],[JOB TARGET]])</f>
        <v>0</v>
      </c>
      <c r="H496" s="146" t="str" cm="1">
        <f t="array" aca="1" ref="H496" ca="1">IF(Assessment[[#This Row],[JOB TARGET]]="","Job Target Kosong",IF(COUNT(IF('Data Assessment'!$N496:$Z496-OFFSET(Standar!$B$2,MATCH(Assessment[[#This Row],[JOB TARGET
(EST)]],Standar[NAMA JABATAN],0)-1,1,1,13)&lt;0,1,""))&lt;=3,'9 Grid'!$B$4,IF(COUNT(IF('Data Assessment'!$N496:$Z496-OFFSET(Standar!$B$2,MATCH(Assessment[[#This Row],[JOB TARGET]],Standar[NAMA JABATAN],0)-1,1,1,13)&lt;0,1,""))&gt;=7,'9 Grid'!$B$6,'9 Grid'!$B$5)))</f>
        <v>Job Target Kosong</v>
      </c>
      <c r="I496" s="146" t="str">
        <f>IFERROR(IF(Data_Assessment[[#This Row],[IPP (3 YEARS AVERAGE)]]="","(IPP Belum Ada)",IF(Data_Assessment[[#This Row],[IPP (3 YEARS AVERAGE)]]&lt;2,'9 Grid'!$F$2,IF(Data_Assessment[[#This Row],[IPP (3 YEARS AVERAGE)]]&gt;=4,'9 Grid'!$D$2,'9 Grid'!$E$2))),"")</f>
        <v>Fully Competence Performance</v>
      </c>
      <c r="J496" s="146" t="str">
        <f ca="1">IFERROR(INDEX('9 Grid'!$D$4:$F$6,MATCH('Rekomendasi HAV'!H496,'9 Grid'!$B$4:$B$6,0),MATCH('Rekomendasi HAV'!I496,'9 Grid'!$D$2:$F$2,0)),"")</f>
        <v/>
      </c>
      <c r="K496" s="146" t="str">
        <f>IFERROR(INDEX('9 Grid'!$D$8:$F$8,1,MATCH('Rekomendasi HAV'!I496,'9 Grid'!$D$2:$F$2,0)),"")</f>
        <v>(ST) Within 12 - 18 month</v>
      </c>
      <c r="L496" s="146">
        <f>IF(ISNUMBER(SEARCH("EST",Assessment[[#This Row],[JOB TARGET]])),SUBSTITUTE(Assessment[[#This Row],[JOB TARGET]],"EST","DEV"),Assessment[[#This Row],[JOB TARGET]])</f>
        <v>0</v>
      </c>
      <c r="M496" s="146" t="str" cm="1">
        <f t="array" aca="1" ref="M496" ca="1">IF(Assessment[[#This Row],[JOB TARGET]]="","Job Target Kosong",IF(COUNT(IF('Data Assessment'!$N496:$Z496-OFFSET(Standar!$B$2,MATCH(Assessment[[#This Row],[JOB TARGET
(DEV)]],Standar[NAMA JABATAN],0)-1,1,1,13)&lt;0,1,""))&lt;=3,'9 Grid'!$B$4,IF(COUNT(IF('Data Assessment'!$N496:$Z496-OFFSET(Standar!$B$2,MATCH(Assessment[[#This Row],[JOB TARGET
(DEV)]],Standar[NAMA JABATAN],0)-1,1,1,13)&lt;0,1,""))&gt;=7,'9 Grid'!$B$6,'9 Grid'!$B$5)))</f>
        <v>Job Target Kosong</v>
      </c>
      <c r="N496" s="146" t="str">
        <f>IFERROR(IF(Data_Assessment[[#This Row],[IPP (3 YEARS AVERAGE)]]="","(IPP Belum Ada)",IF(Data_Assessment[[#This Row],[IPP (3 YEARS AVERAGE)]]&lt;2,'9 Grid'!$F$2,IF(Data_Assessment[[#This Row],[IPP (3 YEARS AVERAGE)]]&gt;=4,'9 Grid'!$D$2,'9 Grid'!$E$2))),"")</f>
        <v>Fully Competence Performance</v>
      </c>
      <c r="O496" s="146" t="str">
        <f ca="1">IFERROR(INDEX('9 Grid'!$D$4:$F$6,MATCH('Rekomendasi HAV'!M496,'9 Grid'!$B$4:$B$6,0),MATCH('Rekomendasi HAV'!N496,'9 Grid'!$D$2:$F$2,0)),"")</f>
        <v/>
      </c>
      <c r="P496" s="147" t="str">
        <f>IFERROR(INDEX('9 Grid'!$D$8:$F$8,1,MATCH('Rekomendasi HAV'!N496,'9 Grid'!$D$2:$F$2,0)),"")</f>
        <v>(ST) Within 12 - 18 month</v>
      </c>
    </row>
    <row r="497" spans="1:16" ht="14.25">
      <c r="A497" s="67">
        <v>496</v>
      </c>
      <c r="B497" s="68" t="str">
        <f>INDEX(Data_Assessment[],MATCH('Rekomendasi HAV'!$A497,Data_Assessment[[INDEX]:[INDEX]],0),MATCH('Rekomendasi HAV'!B$1,Data_Assessment[#Headers],0))</f>
        <v>Sopan Tarigan</v>
      </c>
      <c r="C497" s="68" t="str">
        <f>INDEX(Data_Assessment[],MATCH('Rekomendasi HAV'!$A497,Data_Assessment[[INDEX]:[INDEX]],0),MATCH('Rekomendasi HAV'!C$1,Data_Assessment[#Headers],0))</f>
        <v>Sumatera Utara</v>
      </c>
      <c r="D497" s="68" t="str">
        <f>INDEX(Data_Assessment[],MATCH('Rekomendasi HAV'!$A497,Data_Assessment[[INDEX]:[INDEX]],0),MATCH('Rekomendasi HAV'!D$1,Data_Assessment[#Headers],0))</f>
        <v>LSIP - Begerpang Estate</v>
      </c>
      <c r="E497" s="68">
        <f>INDEX(Data_Assessment[],MATCH('Rekomendasi HAV'!$B497,Data_Assessment[[NAME]:[NAME]],0),MATCH('Rekomendasi HAV'!E$1,Data_Assessment[#Headers],0))</f>
        <v>0</v>
      </c>
      <c r="F497" s="68"/>
      <c r="G497" s="68">
        <f>IF(ISNUMBER(SEARCH("DEV",Assessment[[#This Row],[JOB TARGET]])),SUBSTITUTE(Assessment[[#This Row],[JOB TARGET]],"DEV","EST"),Assessment[[#This Row],[JOB TARGET]])</f>
        <v>0</v>
      </c>
      <c r="H497" s="146" t="str" cm="1">
        <f t="array" aca="1" ref="H497" ca="1">IF(Assessment[[#This Row],[JOB TARGET]]="","Job Target Kosong",IF(COUNT(IF('Data Assessment'!$N497:$Z497-OFFSET(Standar!$B$2,MATCH(Assessment[[#This Row],[JOB TARGET
(EST)]],Standar[NAMA JABATAN],0)-1,1,1,13)&lt;0,1,""))&lt;=3,'9 Grid'!$B$4,IF(COUNT(IF('Data Assessment'!$N497:$Z497-OFFSET(Standar!$B$2,MATCH(Assessment[[#This Row],[JOB TARGET]],Standar[NAMA JABATAN],0)-1,1,1,13)&lt;0,1,""))&gt;=7,'9 Grid'!$B$6,'9 Grid'!$B$5)))</f>
        <v>Job Target Kosong</v>
      </c>
      <c r="I497" s="146" t="str">
        <f>IFERROR(IF(Data_Assessment[[#This Row],[IPP (3 YEARS AVERAGE)]]="","(IPP Belum Ada)",IF(Data_Assessment[[#This Row],[IPP (3 YEARS AVERAGE)]]&lt;2,'9 Grid'!$F$2,IF(Data_Assessment[[#This Row],[IPP (3 YEARS AVERAGE)]]&gt;=4,'9 Grid'!$D$2,'9 Grid'!$E$2))),"")</f>
        <v>Exceptional Performance</v>
      </c>
      <c r="J497" s="146" t="str">
        <f ca="1">IFERROR(INDEX('9 Grid'!$D$4:$F$6,MATCH('Rekomendasi HAV'!H497,'9 Grid'!$B$4:$B$6,0),MATCH('Rekomendasi HAV'!I497,'9 Grid'!$D$2:$F$2,0)),"")</f>
        <v/>
      </c>
      <c r="K497" s="146" t="str">
        <f>IFERROR(INDEX('9 Grid'!$D$8:$F$8,1,MATCH('Rekomendasi HAV'!I497,'9 Grid'!$D$2:$F$2,0)),"")</f>
        <v>(I) Immediately</v>
      </c>
      <c r="L497" s="146">
        <f>IF(ISNUMBER(SEARCH("EST",Assessment[[#This Row],[JOB TARGET]])),SUBSTITUTE(Assessment[[#This Row],[JOB TARGET]],"EST","DEV"),Assessment[[#This Row],[JOB TARGET]])</f>
        <v>0</v>
      </c>
      <c r="M497" s="146" t="str" cm="1">
        <f t="array" aca="1" ref="M497" ca="1">IF(Assessment[[#This Row],[JOB TARGET]]="","Job Target Kosong",IF(COUNT(IF('Data Assessment'!$N497:$Z497-OFFSET(Standar!$B$2,MATCH(Assessment[[#This Row],[JOB TARGET
(DEV)]],Standar[NAMA JABATAN],0)-1,1,1,13)&lt;0,1,""))&lt;=3,'9 Grid'!$B$4,IF(COUNT(IF('Data Assessment'!$N497:$Z497-OFFSET(Standar!$B$2,MATCH(Assessment[[#This Row],[JOB TARGET
(DEV)]],Standar[NAMA JABATAN],0)-1,1,1,13)&lt;0,1,""))&gt;=7,'9 Grid'!$B$6,'9 Grid'!$B$5)))</f>
        <v>Job Target Kosong</v>
      </c>
      <c r="N497" s="146" t="str">
        <f>IFERROR(IF(Data_Assessment[[#This Row],[IPP (3 YEARS AVERAGE)]]="","(IPP Belum Ada)",IF(Data_Assessment[[#This Row],[IPP (3 YEARS AVERAGE)]]&lt;2,'9 Grid'!$F$2,IF(Data_Assessment[[#This Row],[IPP (3 YEARS AVERAGE)]]&gt;=4,'9 Grid'!$D$2,'9 Grid'!$E$2))),"")</f>
        <v>Exceptional Performance</v>
      </c>
      <c r="O497" s="146" t="str">
        <f ca="1">IFERROR(INDEX('9 Grid'!$D$4:$F$6,MATCH('Rekomendasi HAV'!M497,'9 Grid'!$B$4:$B$6,0),MATCH('Rekomendasi HAV'!N497,'9 Grid'!$D$2:$F$2,0)),"")</f>
        <v/>
      </c>
      <c r="P497" s="147" t="str">
        <f>IFERROR(INDEX('9 Grid'!$D$8:$F$8,1,MATCH('Rekomendasi HAV'!N497,'9 Grid'!$D$2:$F$2,0)),"")</f>
        <v>(I) Immediately</v>
      </c>
    </row>
    <row r="498" spans="1:16" ht="14.25">
      <c r="A498" s="67">
        <v>497</v>
      </c>
      <c r="B498" s="68" t="str">
        <f>INDEX(Data_Assessment[],MATCH('Rekomendasi HAV'!$A498,Data_Assessment[[INDEX]:[INDEX]],0),MATCH('Rekomendasi HAV'!B$1,Data_Assessment[#Headers],0))</f>
        <v>Anzary Nur Azis, Ir</v>
      </c>
      <c r="C498" s="68" t="str">
        <f>INDEX(Data_Assessment[],MATCH('Rekomendasi HAV'!$A498,Data_Assessment[[INDEX]:[INDEX]],0),MATCH('Rekomendasi HAV'!C$1,Data_Assessment[#Headers],0))</f>
        <v>Sumatera Selatan</v>
      </c>
      <c r="D498" s="68" t="str">
        <f>INDEX(Data_Assessment[],MATCH('Rekomendasi HAV'!$A498,Data_Assessment[[INDEX]:[INDEX]],0),MATCH('Rekomendasi HAV'!D$1,Data_Assessment[#Headers],0))</f>
        <v>TAS - Pring Permai Estate</v>
      </c>
      <c r="E498" s="68">
        <f>INDEX(Data_Assessment[],MATCH('Rekomendasi HAV'!$B498,Data_Assessment[[NAME]:[NAME]],0),MATCH('Rekomendasi HAV'!E$1,Data_Assessment[#Headers],0))</f>
        <v>0</v>
      </c>
      <c r="F498" s="68"/>
      <c r="G498" s="68">
        <f>IF(ISNUMBER(SEARCH("DEV",Assessment[[#This Row],[JOB TARGET]])),SUBSTITUTE(Assessment[[#This Row],[JOB TARGET]],"DEV","EST"),Assessment[[#This Row],[JOB TARGET]])</f>
        <v>0</v>
      </c>
      <c r="H498" s="146" t="str" cm="1">
        <f t="array" aca="1" ref="H498" ca="1">IF(Assessment[[#This Row],[JOB TARGET]]="","Job Target Kosong",IF(COUNT(IF('Data Assessment'!$N498:$Z498-OFFSET(Standar!$B$2,MATCH(Assessment[[#This Row],[JOB TARGET
(EST)]],Standar[NAMA JABATAN],0)-1,1,1,13)&lt;0,1,""))&lt;=3,'9 Grid'!$B$4,IF(COUNT(IF('Data Assessment'!$N498:$Z498-OFFSET(Standar!$B$2,MATCH(Assessment[[#This Row],[JOB TARGET]],Standar[NAMA JABATAN],0)-1,1,1,13)&lt;0,1,""))&gt;=7,'9 Grid'!$B$6,'9 Grid'!$B$5)))</f>
        <v>Job Target Kosong</v>
      </c>
      <c r="I498" s="146" t="str">
        <f>IFERROR(IF(Data_Assessment[[#This Row],[IPP (3 YEARS AVERAGE)]]="","(IPP Belum Ada)",IF(Data_Assessment[[#This Row],[IPP (3 YEARS AVERAGE)]]&lt;2,'9 Grid'!$F$2,IF(Data_Assessment[[#This Row],[IPP (3 YEARS AVERAGE)]]&gt;=4,'9 Grid'!$D$2,'9 Grid'!$E$2))),"")</f>
        <v>Exceptional Performance</v>
      </c>
      <c r="J498" s="146" t="str">
        <f ca="1">IFERROR(INDEX('9 Grid'!$D$4:$F$6,MATCH('Rekomendasi HAV'!H498,'9 Grid'!$B$4:$B$6,0),MATCH('Rekomendasi HAV'!I498,'9 Grid'!$D$2:$F$2,0)),"")</f>
        <v/>
      </c>
      <c r="K498" s="146" t="str">
        <f>IFERROR(INDEX('9 Grid'!$D$8:$F$8,1,MATCH('Rekomendasi HAV'!I498,'9 Grid'!$D$2:$F$2,0)),"")</f>
        <v>(I) Immediately</v>
      </c>
      <c r="L498" s="146">
        <f>IF(ISNUMBER(SEARCH("EST",Assessment[[#This Row],[JOB TARGET]])),SUBSTITUTE(Assessment[[#This Row],[JOB TARGET]],"EST","DEV"),Assessment[[#This Row],[JOB TARGET]])</f>
        <v>0</v>
      </c>
      <c r="M498" s="146" t="str" cm="1">
        <f t="array" aca="1" ref="M498" ca="1">IF(Assessment[[#This Row],[JOB TARGET]]="","Job Target Kosong",IF(COUNT(IF('Data Assessment'!$N498:$Z498-OFFSET(Standar!$B$2,MATCH(Assessment[[#This Row],[JOB TARGET
(DEV)]],Standar[NAMA JABATAN],0)-1,1,1,13)&lt;0,1,""))&lt;=3,'9 Grid'!$B$4,IF(COUNT(IF('Data Assessment'!$N498:$Z498-OFFSET(Standar!$B$2,MATCH(Assessment[[#This Row],[JOB TARGET
(DEV)]],Standar[NAMA JABATAN],0)-1,1,1,13)&lt;0,1,""))&gt;=7,'9 Grid'!$B$6,'9 Grid'!$B$5)))</f>
        <v>Job Target Kosong</v>
      </c>
      <c r="N498" s="146" t="str">
        <f>IFERROR(IF(Data_Assessment[[#This Row],[IPP (3 YEARS AVERAGE)]]="","(IPP Belum Ada)",IF(Data_Assessment[[#This Row],[IPP (3 YEARS AVERAGE)]]&lt;2,'9 Grid'!$F$2,IF(Data_Assessment[[#This Row],[IPP (3 YEARS AVERAGE)]]&gt;=4,'9 Grid'!$D$2,'9 Grid'!$E$2))),"")</f>
        <v>Exceptional Performance</v>
      </c>
      <c r="O498" s="146" t="str">
        <f ca="1">IFERROR(INDEX('9 Grid'!$D$4:$F$6,MATCH('Rekomendasi HAV'!M498,'9 Grid'!$B$4:$B$6,0),MATCH('Rekomendasi HAV'!N498,'9 Grid'!$D$2:$F$2,0)),"")</f>
        <v/>
      </c>
      <c r="P498" s="147" t="str">
        <f>IFERROR(INDEX('9 Grid'!$D$8:$F$8,1,MATCH('Rekomendasi HAV'!N498,'9 Grid'!$D$2:$F$2,0)),"")</f>
        <v>(I) Immediately</v>
      </c>
    </row>
    <row r="499" spans="1:16" ht="28.5">
      <c r="A499" s="67">
        <v>498</v>
      </c>
      <c r="B499" s="68" t="str">
        <f>INDEX(Data_Assessment[],MATCH('Rekomendasi HAV'!$A499,Data_Assessment[[INDEX]:[INDEX]],0),MATCH('Rekomendasi HAV'!B$1,Data_Assessment[#Headers],0))</f>
        <v>Syaiful Bahri, Ir.</v>
      </c>
      <c r="C499" s="68" t="str">
        <f>INDEX(Data_Assessment[],MATCH('Rekomendasi HAV'!$A499,Data_Assessment[[INDEX]:[INDEX]],0),MATCH('Rekomendasi HAV'!C$1,Data_Assessment[#Headers],0))</f>
        <v>Sumatera Selatan</v>
      </c>
      <c r="D499" s="68" t="str">
        <f>INDEX(Data_Assessment[],MATCH('Rekomendasi HAV'!$A499,Data_Assessment[[INDEX]:[INDEX]],0),MATCH('Rekomendasi HAV'!D$1,Data_Assessment[#Headers],0))</f>
        <v>LSIP - Mentari Kulim Estate</v>
      </c>
      <c r="E499" s="68">
        <f>INDEX(Data_Assessment[],MATCH('Rekomendasi HAV'!$B499,Data_Assessment[[NAME]:[NAME]],0),MATCH('Rekomendasi HAV'!E$1,Data_Assessment[#Headers],0))</f>
        <v>0</v>
      </c>
      <c r="F499" s="68"/>
      <c r="G499" s="68">
        <f>IF(ISNUMBER(SEARCH("DEV",Assessment[[#This Row],[JOB TARGET]])),SUBSTITUTE(Assessment[[#This Row],[JOB TARGET]],"DEV","EST"),Assessment[[#This Row],[JOB TARGET]])</f>
        <v>0</v>
      </c>
      <c r="H499" s="146" t="str" cm="1">
        <f t="array" aca="1" ref="H499" ca="1">IF(Assessment[[#This Row],[JOB TARGET]]="","Job Target Kosong",IF(COUNT(IF('Data Assessment'!$N499:$Z499-OFFSET(Standar!$B$2,MATCH(Assessment[[#This Row],[JOB TARGET
(EST)]],Standar[NAMA JABATAN],0)-1,1,1,13)&lt;0,1,""))&lt;=3,'9 Grid'!$B$4,IF(COUNT(IF('Data Assessment'!$N499:$Z499-OFFSET(Standar!$B$2,MATCH(Assessment[[#This Row],[JOB TARGET]],Standar[NAMA JABATAN],0)-1,1,1,13)&lt;0,1,""))&gt;=7,'9 Grid'!$B$6,'9 Grid'!$B$5)))</f>
        <v>Job Target Kosong</v>
      </c>
      <c r="I499" s="146" t="str">
        <f>IFERROR(IF(Data_Assessment[[#This Row],[IPP (3 YEARS AVERAGE)]]="","(IPP Belum Ada)",IF(Data_Assessment[[#This Row],[IPP (3 YEARS AVERAGE)]]&lt;2,'9 Grid'!$F$2,IF(Data_Assessment[[#This Row],[IPP (3 YEARS AVERAGE)]]&gt;=4,'9 Grid'!$D$2,'9 Grid'!$E$2))),"")</f>
        <v>Fully Competence Performance</v>
      </c>
      <c r="J499" s="146" t="str">
        <f ca="1">IFERROR(INDEX('9 Grid'!$D$4:$F$6,MATCH('Rekomendasi HAV'!H499,'9 Grid'!$B$4:$B$6,0),MATCH('Rekomendasi HAV'!I499,'9 Grid'!$D$2:$F$2,0)),"")</f>
        <v/>
      </c>
      <c r="K499" s="146" t="str">
        <f>IFERROR(INDEX('9 Grid'!$D$8:$F$8,1,MATCH('Rekomendasi HAV'!I499,'9 Grid'!$D$2:$F$2,0)),"")</f>
        <v>(ST) Within 12 - 18 month</v>
      </c>
      <c r="L499" s="146">
        <f>IF(ISNUMBER(SEARCH("EST",Assessment[[#This Row],[JOB TARGET]])),SUBSTITUTE(Assessment[[#This Row],[JOB TARGET]],"EST","DEV"),Assessment[[#This Row],[JOB TARGET]])</f>
        <v>0</v>
      </c>
      <c r="M499" s="146" t="str" cm="1">
        <f t="array" aca="1" ref="M499" ca="1">IF(Assessment[[#This Row],[JOB TARGET]]="","Job Target Kosong",IF(COUNT(IF('Data Assessment'!$N499:$Z499-OFFSET(Standar!$B$2,MATCH(Assessment[[#This Row],[JOB TARGET
(DEV)]],Standar[NAMA JABATAN],0)-1,1,1,13)&lt;0,1,""))&lt;=3,'9 Grid'!$B$4,IF(COUNT(IF('Data Assessment'!$N499:$Z499-OFFSET(Standar!$B$2,MATCH(Assessment[[#This Row],[JOB TARGET
(DEV)]],Standar[NAMA JABATAN],0)-1,1,1,13)&lt;0,1,""))&gt;=7,'9 Grid'!$B$6,'9 Grid'!$B$5)))</f>
        <v>Job Target Kosong</v>
      </c>
      <c r="N499" s="146" t="str">
        <f>IFERROR(IF(Data_Assessment[[#This Row],[IPP (3 YEARS AVERAGE)]]="","(IPP Belum Ada)",IF(Data_Assessment[[#This Row],[IPP (3 YEARS AVERAGE)]]&lt;2,'9 Grid'!$F$2,IF(Data_Assessment[[#This Row],[IPP (3 YEARS AVERAGE)]]&gt;=4,'9 Grid'!$D$2,'9 Grid'!$E$2))),"")</f>
        <v>Fully Competence Performance</v>
      </c>
      <c r="O499" s="146" t="str">
        <f ca="1">IFERROR(INDEX('9 Grid'!$D$4:$F$6,MATCH('Rekomendasi HAV'!M499,'9 Grid'!$B$4:$B$6,0),MATCH('Rekomendasi HAV'!N499,'9 Grid'!$D$2:$F$2,0)),"")</f>
        <v/>
      </c>
      <c r="P499" s="147" t="str">
        <f>IFERROR(INDEX('9 Grid'!$D$8:$F$8,1,MATCH('Rekomendasi HAV'!N499,'9 Grid'!$D$2:$F$2,0)),"")</f>
        <v>(ST) Within 12 - 18 month</v>
      </c>
    </row>
    <row r="500" spans="1:16" ht="14.25">
      <c r="A500" s="67">
        <v>499</v>
      </c>
      <c r="B500" s="68" t="str">
        <f>INDEX(Data_Assessment[],MATCH('Rekomendasi HAV'!$A500,Data_Assessment[[INDEX]:[INDEX]],0),MATCH('Rekomendasi HAV'!B$1,Data_Assessment[#Headers],0))</f>
        <v>Sujoko Hardianto</v>
      </c>
      <c r="C500" s="68" t="str">
        <f>INDEX(Data_Assessment[],MATCH('Rekomendasi HAV'!$A500,Data_Assessment[[INDEX]:[INDEX]],0),MATCH('Rekomendasi HAV'!C$1,Data_Assessment[#Headers],0))</f>
        <v>Sumatera Utara</v>
      </c>
      <c r="D500" s="68" t="str">
        <f>INDEX(Data_Assessment[],MATCH('Rekomendasi HAV'!$A500,Data_Assessment[[INDEX]:[INDEX]],0),MATCH('Rekomendasi HAV'!D$1,Data_Assessment[#Headers],0))</f>
        <v>LSIP - Begerpang Estate</v>
      </c>
      <c r="E500" s="68">
        <f>INDEX(Data_Assessment[],MATCH('Rekomendasi HAV'!$B500,Data_Assessment[[NAME]:[NAME]],0),MATCH('Rekomendasi HAV'!E$1,Data_Assessment[#Headers],0))</f>
        <v>0</v>
      </c>
      <c r="F500" s="68"/>
      <c r="G500" s="68">
        <f>IF(ISNUMBER(SEARCH("DEV",Assessment[[#This Row],[JOB TARGET]])),SUBSTITUTE(Assessment[[#This Row],[JOB TARGET]],"DEV","EST"),Assessment[[#This Row],[JOB TARGET]])</f>
        <v>0</v>
      </c>
      <c r="H500" s="146" t="str" cm="1">
        <f t="array" aca="1" ref="H500" ca="1">IF(Assessment[[#This Row],[JOB TARGET]]="","Job Target Kosong",IF(COUNT(IF('Data Assessment'!$N500:$Z500-OFFSET(Standar!$B$2,MATCH(Assessment[[#This Row],[JOB TARGET
(EST)]],Standar[NAMA JABATAN],0)-1,1,1,13)&lt;0,1,""))&lt;=3,'9 Grid'!$B$4,IF(COUNT(IF('Data Assessment'!$N500:$Z500-OFFSET(Standar!$B$2,MATCH(Assessment[[#This Row],[JOB TARGET]],Standar[NAMA JABATAN],0)-1,1,1,13)&lt;0,1,""))&gt;=7,'9 Grid'!$B$6,'9 Grid'!$B$5)))</f>
        <v>Job Target Kosong</v>
      </c>
      <c r="I500" s="146" t="str">
        <f>IFERROR(IF(Data_Assessment[[#This Row],[IPP (3 YEARS AVERAGE)]]="","(IPP Belum Ada)",IF(Data_Assessment[[#This Row],[IPP (3 YEARS AVERAGE)]]&lt;2,'9 Grid'!$F$2,IF(Data_Assessment[[#This Row],[IPP (3 YEARS AVERAGE)]]&gt;=4,'9 Grid'!$D$2,'9 Grid'!$E$2))),"")</f>
        <v>Exceptional Performance</v>
      </c>
      <c r="J500" s="146" t="str">
        <f ca="1">IFERROR(INDEX('9 Grid'!$D$4:$F$6,MATCH('Rekomendasi HAV'!H500,'9 Grid'!$B$4:$B$6,0),MATCH('Rekomendasi HAV'!I500,'9 Grid'!$D$2:$F$2,0)),"")</f>
        <v/>
      </c>
      <c r="K500" s="146" t="str">
        <f>IFERROR(INDEX('9 Grid'!$D$8:$F$8,1,MATCH('Rekomendasi HAV'!I500,'9 Grid'!$D$2:$F$2,0)),"")</f>
        <v>(I) Immediately</v>
      </c>
      <c r="L500" s="146">
        <f>IF(ISNUMBER(SEARCH("EST",Assessment[[#This Row],[JOB TARGET]])),SUBSTITUTE(Assessment[[#This Row],[JOB TARGET]],"EST","DEV"),Assessment[[#This Row],[JOB TARGET]])</f>
        <v>0</v>
      </c>
      <c r="M500" s="146" t="str" cm="1">
        <f t="array" aca="1" ref="M500" ca="1">IF(Assessment[[#This Row],[JOB TARGET]]="","Job Target Kosong",IF(COUNT(IF('Data Assessment'!$N500:$Z500-OFFSET(Standar!$B$2,MATCH(Assessment[[#This Row],[JOB TARGET
(DEV)]],Standar[NAMA JABATAN],0)-1,1,1,13)&lt;0,1,""))&lt;=3,'9 Grid'!$B$4,IF(COUNT(IF('Data Assessment'!$N500:$Z500-OFFSET(Standar!$B$2,MATCH(Assessment[[#This Row],[JOB TARGET
(DEV)]],Standar[NAMA JABATAN],0)-1,1,1,13)&lt;0,1,""))&gt;=7,'9 Grid'!$B$6,'9 Grid'!$B$5)))</f>
        <v>Job Target Kosong</v>
      </c>
      <c r="N500" s="146" t="str">
        <f>IFERROR(IF(Data_Assessment[[#This Row],[IPP (3 YEARS AVERAGE)]]="","(IPP Belum Ada)",IF(Data_Assessment[[#This Row],[IPP (3 YEARS AVERAGE)]]&lt;2,'9 Grid'!$F$2,IF(Data_Assessment[[#This Row],[IPP (3 YEARS AVERAGE)]]&gt;=4,'9 Grid'!$D$2,'9 Grid'!$E$2))),"")</f>
        <v>Exceptional Performance</v>
      </c>
      <c r="O500" s="146" t="str">
        <f ca="1">IFERROR(INDEX('9 Grid'!$D$4:$F$6,MATCH('Rekomendasi HAV'!M500,'9 Grid'!$B$4:$B$6,0),MATCH('Rekomendasi HAV'!N500,'9 Grid'!$D$2:$F$2,0)),"")</f>
        <v/>
      </c>
      <c r="P500" s="147" t="str">
        <f>IFERROR(INDEX('9 Grid'!$D$8:$F$8,1,MATCH('Rekomendasi HAV'!N500,'9 Grid'!$D$2:$F$2,0)),"")</f>
        <v>(I) Immediately</v>
      </c>
    </row>
    <row r="501" spans="1:16" ht="14.25">
      <c r="A501" s="67">
        <v>500</v>
      </c>
      <c r="B501" s="68" t="str">
        <f>INDEX(Data_Assessment[],MATCH('Rekomendasi HAV'!$A501,Data_Assessment[[INDEX]:[INDEX]],0),MATCH('Rekomendasi HAV'!B$1,Data_Assessment[#Headers],0))</f>
        <v>Oktario Alfriandi S.</v>
      </c>
      <c r="C501" s="68" t="str">
        <f>INDEX(Data_Assessment[],MATCH('Rekomendasi HAV'!$A501,Data_Assessment[[INDEX]:[INDEX]],0),MATCH('Rekomendasi HAV'!C$1,Data_Assessment[#Headers],0))</f>
        <v>Sumatera Selatan</v>
      </c>
      <c r="D501" s="68" t="str">
        <f>INDEX(Data_Assessment[],MATCH('Rekomendasi HAV'!$A501,Data_Assessment[[INDEX]:[INDEX]],0),MATCH('Rekomendasi HAV'!D$1,Data_Assessment[#Headers],0))</f>
        <v>LSIP - Mentari Kulim Estate</v>
      </c>
      <c r="E501" s="68">
        <f>INDEX(Data_Assessment[],MATCH('Rekomendasi HAV'!$B501,Data_Assessment[[NAME]:[NAME]],0),MATCH('Rekomendasi HAV'!E$1,Data_Assessment[#Headers],0))</f>
        <v>0</v>
      </c>
      <c r="F501" s="68"/>
      <c r="G501" s="68">
        <f>IF(ISNUMBER(SEARCH("DEV",Assessment[[#This Row],[JOB TARGET]])),SUBSTITUTE(Assessment[[#This Row],[JOB TARGET]],"DEV","EST"),Assessment[[#This Row],[JOB TARGET]])</f>
        <v>0</v>
      </c>
      <c r="H501" s="146" t="str" cm="1">
        <f t="array" aca="1" ref="H501" ca="1">IF(Assessment[[#This Row],[JOB TARGET]]="","Job Target Kosong",IF(COUNT(IF('Data Assessment'!$N501:$Z501-OFFSET(Standar!$B$2,MATCH(Assessment[[#This Row],[JOB TARGET
(EST)]],Standar[NAMA JABATAN],0)-1,1,1,13)&lt;0,1,""))&lt;=3,'9 Grid'!$B$4,IF(COUNT(IF('Data Assessment'!$N501:$Z501-OFFSET(Standar!$B$2,MATCH(Assessment[[#This Row],[JOB TARGET]],Standar[NAMA JABATAN],0)-1,1,1,13)&lt;0,1,""))&gt;=7,'9 Grid'!$B$6,'9 Grid'!$B$5)))</f>
        <v>Job Target Kosong</v>
      </c>
      <c r="I501" s="146" t="str">
        <f>IFERROR(IF(Data_Assessment[[#This Row],[IPP (3 YEARS AVERAGE)]]="","(IPP Belum Ada)",IF(Data_Assessment[[#This Row],[IPP (3 YEARS AVERAGE)]]&lt;2,'9 Grid'!$F$2,IF(Data_Assessment[[#This Row],[IPP (3 YEARS AVERAGE)]]&gt;=4,'9 Grid'!$D$2,'9 Grid'!$E$2))),"")</f>
        <v>Exceptional Performance</v>
      </c>
      <c r="J501" s="146" t="str">
        <f ca="1">IFERROR(INDEX('9 Grid'!$D$4:$F$6,MATCH('Rekomendasi HAV'!H501,'9 Grid'!$B$4:$B$6,0),MATCH('Rekomendasi HAV'!I501,'9 Grid'!$D$2:$F$2,0)),"")</f>
        <v/>
      </c>
      <c r="K501" s="146" t="str">
        <f>IFERROR(INDEX('9 Grid'!$D$8:$F$8,1,MATCH('Rekomendasi HAV'!I501,'9 Grid'!$D$2:$F$2,0)),"")</f>
        <v>(I) Immediately</v>
      </c>
      <c r="L501" s="146">
        <f>IF(ISNUMBER(SEARCH("EST",Assessment[[#This Row],[JOB TARGET]])),SUBSTITUTE(Assessment[[#This Row],[JOB TARGET]],"EST","DEV"),Assessment[[#This Row],[JOB TARGET]])</f>
        <v>0</v>
      </c>
      <c r="M501" s="146" t="str" cm="1">
        <f t="array" aca="1" ref="M501" ca="1">IF(Assessment[[#This Row],[JOB TARGET]]="","Job Target Kosong",IF(COUNT(IF('Data Assessment'!$N501:$Z501-OFFSET(Standar!$B$2,MATCH(Assessment[[#This Row],[JOB TARGET
(DEV)]],Standar[NAMA JABATAN],0)-1,1,1,13)&lt;0,1,""))&lt;=3,'9 Grid'!$B$4,IF(COUNT(IF('Data Assessment'!$N501:$Z501-OFFSET(Standar!$B$2,MATCH(Assessment[[#This Row],[JOB TARGET
(DEV)]],Standar[NAMA JABATAN],0)-1,1,1,13)&lt;0,1,""))&gt;=7,'9 Grid'!$B$6,'9 Grid'!$B$5)))</f>
        <v>Job Target Kosong</v>
      </c>
      <c r="N501" s="146" t="str">
        <f>IFERROR(IF(Data_Assessment[[#This Row],[IPP (3 YEARS AVERAGE)]]="","(IPP Belum Ada)",IF(Data_Assessment[[#This Row],[IPP (3 YEARS AVERAGE)]]&lt;2,'9 Grid'!$F$2,IF(Data_Assessment[[#This Row],[IPP (3 YEARS AVERAGE)]]&gt;=4,'9 Grid'!$D$2,'9 Grid'!$E$2))),"")</f>
        <v>Exceptional Performance</v>
      </c>
      <c r="O501" s="146" t="str">
        <f ca="1">IFERROR(INDEX('9 Grid'!$D$4:$F$6,MATCH('Rekomendasi HAV'!M501,'9 Grid'!$B$4:$B$6,0),MATCH('Rekomendasi HAV'!N501,'9 Grid'!$D$2:$F$2,0)),"")</f>
        <v/>
      </c>
      <c r="P501" s="147" t="str">
        <f>IFERROR(INDEX('9 Grid'!$D$8:$F$8,1,MATCH('Rekomendasi HAV'!N501,'9 Grid'!$D$2:$F$2,0)),"")</f>
        <v>(I) Immediately</v>
      </c>
    </row>
    <row r="502" spans="1:16" ht="28.5">
      <c r="A502" s="67">
        <v>501</v>
      </c>
      <c r="B502" s="68" t="str">
        <f>INDEX(Data_Assessment[],MATCH('Rekomendasi HAV'!$A502,Data_Assessment[[INDEX]:[INDEX]],0),MATCH('Rekomendasi HAV'!B$1,Data_Assessment[#Headers],0))</f>
        <v>Suharsih, Ir.</v>
      </c>
      <c r="C502" s="68" t="str">
        <f>INDEX(Data_Assessment[],MATCH('Rekomendasi HAV'!$A502,Data_Assessment[[INDEX]:[INDEX]],0),MATCH('Rekomendasi HAV'!C$1,Data_Assessment[#Headers],0))</f>
        <v>Sumatera Selatan</v>
      </c>
      <c r="D502" s="68" t="str">
        <f>INDEX(Data_Assessment[],MATCH('Rekomendasi HAV'!$A502,Data_Assessment[[INDEX]:[INDEX]],0),MATCH('Rekomendasi HAV'!D$1,Data_Assessment[#Headers],0))</f>
        <v>LSIP - Ketapat Bening Estate</v>
      </c>
      <c r="E502" s="68">
        <f>INDEX(Data_Assessment[],MATCH('Rekomendasi HAV'!$B502,Data_Assessment[[NAME]:[NAME]],0),MATCH('Rekomendasi HAV'!E$1,Data_Assessment[#Headers],0))</f>
        <v>0</v>
      </c>
      <c r="F502" s="68"/>
      <c r="G502" s="68">
        <f>IF(ISNUMBER(SEARCH("DEV",Assessment[[#This Row],[JOB TARGET]])),SUBSTITUTE(Assessment[[#This Row],[JOB TARGET]],"DEV","EST"),Assessment[[#This Row],[JOB TARGET]])</f>
        <v>0</v>
      </c>
      <c r="H502" s="146" t="str" cm="1">
        <f t="array" aca="1" ref="H502" ca="1">IF(Assessment[[#This Row],[JOB TARGET]]="","Job Target Kosong",IF(COUNT(IF('Data Assessment'!$N502:$Z502-OFFSET(Standar!$B$2,MATCH(Assessment[[#This Row],[JOB TARGET
(EST)]],Standar[NAMA JABATAN],0)-1,1,1,13)&lt;0,1,""))&lt;=3,'9 Grid'!$B$4,IF(COUNT(IF('Data Assessment'!$N502:$Z502-OFFSET(Standar!$B$2,MATCH(Assessment[[#This Row],[JOB TARGET]],Standar[NAMA JABATAN],0)-1,1,1,13)&lt;0,1,""))&gt;=7,'9 Grid'!$B$6,'9 Grid'!$B$5)))</f>
        <v>Job Target Kosong</v>
      </c>
      <c r="I502" s="146" t="str">
        <f>IFERROR(IF(Data_Assessment[[#This Row],[IPP (3 YEARS AVERAGE)]]="","(IPP Belum Ada)",IF(Data_Assessment[[#This Row],[IPP (3 YEARS AVERAGE)]]&lt;2,'9 Grid'!$F$2,IF(Data_Assessment[[#This Row],[IPP (3 YEARS AVERAGE)]]&gt;=4,'9 Grid'!$D$2,'9 Grid'!$E$2))),"")</f>
        <v>Fully Competence Performance</v>
      </c>
      <c r="J502" s="146" t="str">
        <f ca="1">IFERROR(INDEX('9 Grid'!$D$4:$F$6,MATCH('Rekomendasi HAV'!H502,'9 Grid'!$B$4:$B$6,0),MATCH('Rekomendasi HAV'!I502,'9 Grid'!$D$2:$F$2,0)),"")</f>
        <v/>
      </c>
      <c r="K502" s="146" t="str">
        <f>IFERROR(INDEX('9 Grid'!$D$8:$F$8,1,MATCH('Rekomendasi HAV'!I502,'9 Grid'!$D$2:$F$2,0)),"")</f>
        <v>(ST) Within 12 - 18 month</v>
      </c>
      <c r="L502" s="146">
        <f>IF(ISNUMBER(SEARCH("EST",Assessment[[#This Row],[JOB TARGET]])),SUBSTITUTE(Assessment[[#This Row],[JOB TARGET]],"EST","DEV"),Assessment[[#This Row],[JOB TARGET]])</f>
        <v>0</v>
      </c>
      <c r="M502" s="146" t="str" cm="1">
        <f t="array" aca="1" ref="M502" ca="1">IF(Assessment[[#This Row],[JOB TARGET]]="","Job Target Kosong",IF(COUNT(IF('Data Assessment'!$N502:$Z502-OFFSET(Standar!$B$2,MATCH(Assessment[[#This Row],[JOB TARGET
(DEV)]],Standar[NAMA JABATAN],0)-1,1,1,13)&lt;0,1,""))&lt;=3,'9 Grid'!$B$4,IF(COUNT(IF('Data Assessment'!$N502:$Z502-OFFSET(Standar!$B$2,MATCH(Assessment[[#This Row],[JOB TARGET
(DEV)]],Standar[NAMA JABATAN],0)-1,1,1,13)&lt;0,1,""))&gt;=7,'9 Grid'!$B$6,'9 Grid'!$B$5)))</f>
        <v>Job Target Kosong</v>
      </c>
      <c r="N502" s="146" t="str">
        <f>IFERROR(IF(Data_Assessment[[#This Row],[IPP (3 YEARS AVERAGE)]]="","(IPP Belum Ada)",IF(Data_Assessment[[#This Row],[IPP (3 YEARS AVERAGE)]]&lt;2,'9 Grid'!$F$2,IF(Data_Assessment[[#This Row],[IPP (3 YEARS AVERAGE)]]&gt;=4,'9 Grid'!$D$2,'9 Grid'!$E$2))),"")</f>
        <v>Fully Competence Performance</v>
      </c>
      <c r="O502" s="146" t="str">
        <f ca="1">IFERROR(INDEX('9 Grid'!$D$4:$F$6,MATCH('Rekomendasi HAV'!M502,'9 Grid'!$B$4:$B$6,0),MATCH('Rekomendasi HAV'!N502,'9 Grid'!$D$2:$F$2,0)),"")</f>
        <v/>
      </c>
      <c r="P502" s="147" t="str">
        <f>IFERROR(INDEX('9 Grid'!$D$8:$F$8,1,MATCH('Rekomendasi HAV'!N502,'9 Grid'!$D$2:$F$2,0)),"")</f>
        <v>(ST) Within 12 - 18 month</v>
      </c>
    </row>
    <row r="503" spans="1:16" ht="28.5">
      <c r="A503" s="67">
        <v>502</v>
      </c>
      <c r="B503" s="68" t="str">
        <f>INDEX(Data_Assessment[],MATCH('Rekomendasi HAV'!$A503,Data_Assessment[[INDEX]:[INDEX]],0),MATCH('Rekomendasi HAV'!B$1,Data_Assessment[#Headers],0))</f>
        <v>Andre Daniel Nababan</v>
      </c>
      <c r="C503" s="68" t="str">
        <f>INDEX(Data_Assessment[],MATCH('Rekomendasi HAV'!$A503,Data_Assessment[[INDEX]:[INDEX]],0),MATCH('Rekomendasi HAV'!C$1,Data_Assessment[#Headers],0))</f>
        <v>Sumatera Selatan</v>
      </c>
      <c r="D503" s="68" t="str">
        <f>INDEX(Data_Assessment[],MATCH('Rekomendasi HAV'!$A503,Data_Assessment[[INDEX]:[INDEX]],0),MATCH('Rekomendasi HAV'!D$1,Data_Assessment[#Headers],0))</f>
        <v>LSIP - Ketapat Bening Estate</v>
      </c>
      <c r="E503" s="68">
        <f>INDEX(Data_Assessment[],MATCH('Rekomendasi HAV'!$B503,Data_Assessment[[NAME]:[NAME]],0),MATCH('Rekomendasi HAV'!E$1,Data_Assessment[#Headers],0))</f>
        <v>0</v>
      </c>
      <c r="F503" s="68"/>
      <c r="G503" s="68">
        <f>IF(ISNUMBER(SEARCH("DEV",Assessment[[#This Row],[JOB TARGET]])),SUBSTITUTE(Assessment[[#This Row],[JOB TARGET]],"DEV","EST"),Assessment[[#This Row],[JOB TARGET]])</f>
        <v>0</v>
      </c>
      <c r="H503" s="146" t="str" cm="1">
        <f t="array" aca="1" ref="H503" ca="1">IF(Assessment[[#This Row],[JOB TARGET]]="","Job Target Kosong",IF(COUNT(IF('Data Assessment'!$N503:$Z503-OFFSET(Standar!$B$2,MATCH(Assessment[[#This Row],[JOB TARGET
(EST)]],Standar[NAMA JABATAN],0)-1,1,1,13)&lt;0,1,""))&lt;=3,'9 Grid'!$B$4,IF(COUNT(IF('Data Assessment'!$N503:$Z503-OFFSET(Standar!$B$2,MATCH(Assessment[[#This Row],[JOB TARGET]],Standar[NAMA JABATAN],0)-1,1,1,13)&lt;0,1,""))&gt;=7,'9 Grid'!$B$6,'9 Grid'!$B$5)))</f>
        <v>Job Target Kosong</v>
      </c>
      <c r="I503" s="146" t="str">
        <f>IFERROR(IF(Data_Assessment[[#This Row],[IPP (3 YEARS AVERAGE)]]="","(IPP Belum Ada)",IF(Data_Assessment[[#This Row],[IPP (3 YEARS AVERAGE)]]&lt;2,'9 Grid'!$F$2,IF(Data_Assessment[[#This Row],[IPP (3 YEARS AVERAGE)]]&gt;=4,'9 Grid'!$D$2,'9 Grid'!$E$2))),"")</f>
        <v>Fully Competence Performance</v>
      </c>
      <c r="J503" s="146" t="str">
        <f ca="1">IFERROR(INDEX('9 Grid'!$D$4:$F$6,MATCH('Rekomendasi HAV'!H503,'9 Grid'!$B$4:$B$6,0),MATCH('Rekomendasi HAV'!I503,'9 Grid'!$D$2:$F$2,0)),"")</f>
        <v/>
      </c>
      <c r="K503" s="146" t="str">
        <f>IFERROR(INDEX('9 Grid'!$D$8:$F$8,1,MATCH('Rekomendasi HAV'!I503,'9 Grid'!$D$2:$F$2,0)),"")</f>
        <v>(ST) Within 12 - 18 month</v>
      </c>
      <c r="L503" s="146">
        <f>IF(ISNUMBER(SEARCH("EST",Assessment[[#This Row],[JOB TARGET]])),SUBSTITUTE(Assessment[[#This Row],[JOB TARGET]],"EST","DEV"),Assessment[[#This Row],[JOB TARGET]])</f>
        <v>0</v>
      </c>
      <c r="M503" s="146" t="str" cm="1">
        <f t="array" aca="1" ref="M503" ca="1">IF(Assessment[[#This Row],[JOB TARGET]]="","Job Target Kosong",IF(COUNT(IF('Data Assessment'!$N503:$Z503-OFFSET(Standar!$B$2,MATCH(Assessment[[#This Row],[JOB TARGET
(DEV)]],Standar[NAMA JABATAN],0)-1,1,1,13)&lt;0,1,""))&lt;=3,'9 Grid'!$B$4,IF(COUNT(IF('Data Assessment'!$N503:$Z503-OFFSET(Standar!$B$2,MATCH(Assessment[[#This Row],[JOB TARGET
(DEV)]],Standar[NAMA JABATAN],0)-1,1,1,13)&lt;0,1,""))&gt;=7,'9 Grid'!$B$6,'9 Grid'!$B$5)))</f>
        <v>Job Target Kosong</v>
      </c>
      <c r="N503" s="146" t="str">
        <f>IFERROR(IF(Data_Assessment[[#This Row],[IPP (3 YEARS AVERAGE)]]="","(IPP Belum Ada)",IF(Data_Assessment[[#This Row],[IPP (3 YEARS AVERAGE)]]&lt;2,'9 Grid'!$F$2,IF(Data_Assessment[[#This Row],[IPP (3 YEARS AVERAGE)]]&gt;=4,'9 Grid'!$D$2,'9 Grid'!$E$2))),"")</f>
        <v>Fully Competence Performance</v>
      </c>
      <c r="O503" s="146" t="str">
        <f ca="1">IFERROR(INDEX('9 Grid'!$D$4:$F$6,MATCH('Rekomendasi HAV'!M503,'9 Grid'!$B$4:$B$6,0),MATCH('Rekomendasi HAV'!N503,'9 Grid'!$D$2:$F$2,0)),"")</f>
        <v/>
      </c>
      <c r="P503" s="147" t="str">
        <f>IFERROR(INDEX('9 Grid'!$D$8:$F$8,1,MATCH('Rekomendasi HAV'!N503,'9 Grid'!$D$2:$F$2,0)),"")</f>
        <v>(ST) Within 12 - 18 month</v>
      </c>
    </row>
    <row r="504" spans="1:16" ht="28.5">
      <c r="A504" s="67">
        <v>503</v>
      </c>
      <c r="B504" s="68" t="str">
        <f>INDEX(Data_Assessment[],MATCH('Rekomendasi HAV'!$A504,Data_Assessment[[INDEX]:[INDEX]],0),MATCH('Rekomendasi HAV'!B$1,Data_Assessment[#Headers],0))</f>
        <v>Dheandry Pratama Usman</v>
      </c>
      <c r="C504" s="68" t="str">
        <f>INDEX(Data_Assessment[],MATCH('Rekomendasi HAV'!$A504,Data_Assessment[[INDEX]:[INDEX]],0),MATCH('Rekomendasi HAV'!C$1,Data_Assessment[#Headers],0))</f>
        <v>Sumatera Selatan</v>
      </c>
      <c r="D504" s="68" t="str">
        <f>INDEX(Data_Assessment[],MATCH('Rekomendasi HAV'!$A504,Data_Assessment[[INDEX]:[INDEX]],0),MATCH('Rekomendasi HAV'!D$1,Data_Assessment[#Headers],0))</f>
        <v>LSIP - Ketapat Bening Estate</v>
      </c>
      <c r="E504" s="68">
        <f>INDEX(Data_Assessment[],MATCH('Rekomendasi HAV'!$B504,Data_Assessment[[NAME]:[NAME]],0),MATCH('Rekomendasi HAV'!E$1,Data_Assessment[#Headers],0))</f>
        <v>0</v>
      </c>
      <c r="F504" s="68"/>
      <c r="G504" s="68">
        <f>IF(ISNUMBER(SEARCH("DEV",Assessment[[#This Row],[JOB TARGET]])),SUBSTITUTE(Assessment[[#This Row],[JOB TARGET]],"DEV","EST"),Assessment[[#This Row],[JOB TARGET]])</f>
        <v>0</v>
      </c>
      <c r="H504" s="146" t="str" cm="1">
        <f t="array" aca="1" ref="H504" ca="1">IF(Assessment[[#This Row],[JOB TARGET]]="","Job Target Kosong",IF(COUNT(IF('Data Assessment'!$N504:$Z504-OFFSET(Standar!$B$2,MATCH(Assessment[[#This Row],[JOB TARGET
(EST)]],Standar[NAMA JABATAN],0)-1,1,1,13)&lt;0,1,""))&lt;=3,'9 Grid'!$B$4,IF(COUNT(IF('Data Assessment'!$N504:$Z504-OFFSET(Standar!$B$2,MATCH(Assessment[[#This Row],[JOB TARGET]],Standar[NAMA JABATAN],0)-1,1,1,13)&lt;0,1,""))&gt;=7,'9 Grid'!$B$6,'9 Grid'!$B$5)))</f>
        <v>Job Target Kosong</v>
      </c>
      <c r="I504" s="146" t="str">
        <f>IFERROR(IF(Data_Assessment[[#This Row],[IPP (3 YEARS AVERAGE)]]="","(IPP Belum Ada)",IF(Data_Assessment[[#This Row],[IPP (3 YEARS AVERAGE)]]&lt;2,'9 Grid'!$F$2,IF(Data_Assessment[[#This Row],[IPP (3 YEARS AVERAGE)]]&gt;=4,'9 Grid'!$D$2,'9 Grid'!$E$2))),"")</f>
        <v>Fully Competence Performance</v>
      </c>
      <c r="J504" s="146" t="str">
        <f ca="1">IFERROR(INDEX('9 Grid'!$D$4:$F$6,MATCH('Rekomendasi HAV'!H504,'9 Grid'!$B$4:$B$6,0),MATCH('Rekomendasi HAV'!I504,'9 Grid'!$D$2:$F$2,0)),"")</f>
        <v/>
      </c>
      <c r="K504" s="146" t="str">
        <f>IFERROR(INDEX('9 Grid'!$D$8:$F$8,1,MATCH('Rekomendasi HAV'!I504,'9 Grid'!$D$2:$F$2,0)),"")</f>
        <v>(ST) Within 12 - 18 month</v>
      </c>
      <c r="L504" s="146">
        <f>IF(ISNUMBER(SEARCH("EST",Assessment[[#This Row],[JOB TARGET]])),SUBSTITUTE(Assessment[[#This Row],[JOB TARGET]],"EST","DEV"),Assessment[[#This Row],[JOB TARGET]])</f>
        <v>0</v>
      </c>
      <c r="M504" s="146" t="str" cm="1">
        <f t="array" aca="1" ref="M504" ca="1">IF(Assessment[[#This Row],[JOB TARGET]]="","Job Target Kosong",IF(COUNT(IF('Data Assessment'!$N504:$Z504-OFFSET(Standar!$B$2,MATCH(Assessment[[#This Row],[JOB TARGET
(DEV)]],Standar[NAMA JABATAN],0)-1,1,1,13)&lt;0,1,""))&lt;=3,'9 Grid'!$B$4,IF(COUNT(IF('Data Assessment'!$N504:$Z504-OFFSET(Standar!$B$2,MATCH(Assessment[[#This Row],[JOB TARGET
(DEV)]],Standar[NAMA JABATAN],0)-1,1,1,13)&lt;0,1,""))&gt;=7,'9 Grid'!$B$6,'9 Grid'!$B$5)))</f>
        <v>Job Target Kosong</v>
      </c>
      <c r="N504" s="146" t="str">
        <f>IFERROR(IF(Data_Assessment[[#This Row],[IPP (3 YEARS AVERAGE)]]="","(IPP Belum Ada)",IF(Data_Assessment[[#This Row],[IPP (3 YEARS AVERAGE)]]&lt;2,'9 Grid'!$F$2,IF(Data_Assessment[[#This Row],[IPP (3 YEARS AVERAGE)]]&gt;=4,'9 Grid'!$D$2,'9 Grid'!$E$2))),"")</f>
        <v>Fully Competence Performance</v>
      </c>
      <c r="O504" s="146" t="str">
        <f ca="1">IFERROR(INDEX('9 Grid'!$D$4:$F$6,MATCH('Rekomendasi HAV'!M504,'9 Grid'!$B$4:$B$6,0),MATCH('Rekomendasi HAV'!N504,'9 Grid'!$D$2:$F$2,0)),"")</f>
        <v/>
      </c>
      <c r="P504" s="147" t="str">
        <f>IFERROR(INDEX('9 Grid'!$D$8:$F$8,1,MATCH('Rekomendasi HAV'!N504,'9 Grid'!$D$2:$F$2,0)),"")</f>
        <v>(ST) Within 12 - 18 month</v>
      </c>
    </row>
    <row r="505" spans="1:16" ht="14.25">
      <c r="A505" s="67">
        <v>504</v>
      </c>
      <c r="B505" s="68" t="str">
        <f>INDEX(Data_Assessment[],MATCH('Rekomendasi HAV'!$A505,Data_Assessment[[INDEX]:[INDEX]],0),MATCH('Rekomendasi HAV'!B$1,Data_Assessment[#Headers],0))</f>
        <v>Bambang Widyantoro, Ir.</v>
      </c>
      <c r="C505" s="68" t="str">
        <f>INDEX(Data_Assessment[],MATCH('Rekomendasi HAV'!$A505,Data_Assessment[[INDEX]:[INDEX]],0),MATCH('Rekomendasi HAV'!C$1,Data_Assessment[#Headers],0))</f>
        <v>Sumatera Selatan</v>
      </c>
      <c r="D505" s="68" t="str">
        <f>INDEX(Data_Assessment[],MATCH('Rekomendasi HAV'!$A505,Data_Assessment[[INDEX]:[INDEX]],0),MATCH('Rekomendasi HAV'!D$1,Data_Assessment[#Headers],0))</f>
        <v>LSIP - Sei Kepayang Estate</v>
      </c>
      <c r="E505" s="68">
        <f>INDEX(Data_Assessment[],MATCH('Rekomendasi HAV'!$B505,Data_Assessment[[NAME]:[NAME]],0),MATCH('Rekomendasi HAV'!E$1,Data_Assessment[#Headers],0))</f>
        <v>0</v>
      </c>
      <c r="F505" s="68"/>
      <c r="G505" s="68">
        <f>IF(ISNUMBER(SEARCH("DEV",Assessment[[#This Row],[JOB TARGET]])),SUBSTITUTE(Assessment[[#This Row],[JOB TARGET]],"DEV","EST"),Assessment[[#This Row],[JOB TARGET]])</f>
        <v>0</v>
      </c>
      <c r="H505" s="146" t="str" cm="1">
        <f t="array" aca="1" ref="H505" ca="1">IF(Assessment[[#This Row],[JOB TARGET]]="","Job Target Kosong",IF(COUNT(IF('Data Assessment'!$N505:$Z505-OFFSET(Standar!$B$2,MATCH(Assessment[[#This Row],[JOB TARGET
(EST)]],Standar[NAMA JABATAN],0)-1,1,1,13)&lt;0,1,""))&lt;=3,'9 Grid'!$B$4,IF(COUNT(IF('Data Assessment'!$N505:$Z505-OFFSET(Standar!$B$2,MATCH(Assessment[[#This Row],[JOB TARGET]],Standar[NAMA JABATAN],0)-1,1,1,13)&lt;0,1,""))&gt;=7,'9 Grid'!$B$6,'9 Grid'!$B$5)))</f>
        <v>Job Target Kosong</v>
      </c>
      <c r="I505" s="146" t="str">
        <f>IFERROR(IF(Data_Assessment[[#This Row],[IPP (3 YEARS AVERAGE)]]="","(IPP Belum Ada)",IF(Data_Assessment[[#This Row],[IPP (3 YEARS AVERAGE)]]&lt;2,'9 Grid'!$F$2,IF(Data_Assessment[[#This Row],[IPP (3 YEARS AVERAGE)]]&gt;=4,'9 Grid'!$D$2,'9 Grid'!$E$2))),"")</f>
        <v>Exceptional Performance</v>
      </c>
      <c r="J505" s="146" t="str">
        <f ca="1">IFERROR(INDEX('9 Grid'!$D$4:$F$6,MATCH('Rekomendasi HAV'!H505,'9 Grid'!$B$4:$B$6,0),MATCH('Rekomendasi HAV'!I505,'9 Grid'!$D$2:$F$2,0)),"")</f>
        <v/>
      </c>
      <c r="K505" s="146" t="str">
        <f>IFERROR(INDEX('9 Grid'!$D$8:$F$8,1,MATCH('Rekomendasi HAV'!I505,'9 Grid'!$D$2:$F$2,0)),"")</f>
        <v>(I) Immediately</v>
      </c>
      <c r="L505" s="146">
        <f>IF(ISNUMBER(SEARCH("EST",Assessment[[#This Row],[JOB TARGET]])),SUBSTITUTE(Assessment[[#This Row],[JOB TARGET]],"EST","DEV"),Assessment[[#This Row],[JOB TARGET]])</f>
        <v>0</v>
      </c>
      <c r="M505" s="146" t="str" cm="1">
        <f t="array" aca="1" ref="M505" ca="1">IF(Assessment[[#This Row],[JOB TARGET]]="","Job Target Kosong",IF(COUNT(IF('Data Assessment'!$N505:$Z505-OFFSET(Standar!$B$2,MATCH(Assessment[[#This Row],[JOB TARGET
(DEV)]],Standar[NAMA JABATAN],0)-1,1,1,13)&lt;0,1,""))&lt;=3,'9 Grid'!$B$4,IF(COUNT(IF('Data Assessment'!$N505:$Z505-OFFSET(Standar!$B$2,MATCH(Assessment[[#This Row],[JOB TARGET
(DEV)]],Standar[NAMA JABATAN],0)-1,1,1,13)&lt;0,1,""))&gt;=7,'9 Grid'!$B$6,'9 Grid'!$B$5)))</f>
        <v>Job Target Kosong</v>
      </c>
      <c r="N505" s="146" t="str">
        <f>IFERROR(IF(Data_Assessment[[#This Row],[IPP (3 YEARS AVERAGE)]]="","(IPP Belum Ada)",IF(Data_Assessment[[#This Row],[IPP (3 YEARS AVERAGE)]]&lt;2,'9 Grid'!$F$2,IF(Data_Assessment[[#This Row],[IPP (3 YEARS AVERAGE)]]&gt;=4,'9 Grid'!$D$2,'9 Grid'!$E$2))),"")</f>
        <v>Exceptional Performance</v>
      </c>
      <c r="O505" s="146" t="str">
        <f ca="1">IFERROR(INDEX('9 Grid'!$D$4:$F$6,MATCH('Rekomendasi HAV'!M505,'9 Grid'!$B$4:$B$6,0),MATCH('Rekomendasi HAV'!N505,'9 Grid'!$D$2:$F$2,0)),"")</f>
        <v/>
      </c>
      <c r="P505" s="147" t="str">
        <f>IFERROR(INDEX('9 Grid'!$D$8:$F$8,1,MATCH('Rekomendasi HAV'!N505,'9 Grid'!$D$2:$F$2,0)),"")</f>
        <v>(I) Immediately</v>
      </c>
    </row>
    <row r="506" spans="1:16" ht="28.5">
      <c r="A506" s="67">
        <v>505</v>
      </c>
      <c r="B506" s="68" t="str">
        <f>INDEX(Data_Assessment[],MATCH('Rekomendasi HAV'!$A506,Data_Assessment[[INDEX]:[INDEX]],0),MATCH('Rekomendasi HAV'!B$1,Data_Assessment[#Headers],0))</f>
        <v>Marwan Ritonga, Ir.</v>
      </c>
      <c r="C506" s="68" t="str">
        <f>INDEX(Data_Assessment[],MATCH('Rekomendasi HAV'!$A506,Data_Assessment[[INDEX]:[INDEX]],0),MATCH('Rekomendasi HAV'!C$1,Data_Assessment[#Headers],0))</f>
        <v>Sumatera Selatan</v>
      </c>
      <c r="D506" s="68" t="str">
        <f>INDEX(Data_Assessment[],MATCH('Rekomendasi HAV'!$A506,Data_Assessment[[INDEX]:[INDEX]],0),MATCH('Rekomendasi HAV'!D$1,Data_Assessment[#Headers],0))</f>
        <v>LSIP - Sei Kepayang Estate</v>
      </c>
      <c r="E506" s="68">
        <f>INDEX(Data_Assessment[],MATCH('Rekomendasi HAV'!$B506,Data_Assessment[[NAME]:[NAME]],0),MATCH('Rekomendasi HAV'!E$1,Data_Assessment[#Headers],0))</f>
        <v>0</v>
      </c>
      <c r="F506" s="68"/>
      <c r="G506" s="68">
        <f>IF(ISNUMBER(SEARCH("DEV",Assessment[[#This Row],[JOB TARGET]])),SUBSTITUTE(Assessment[[#This Row],[JOB TARGET]],"DEV","EST"),Assessment[[#This Row],[JOB TARGET]])</f>
        <v>0</v>
      </c>
      <c r="H506" s="146" t="str" cm="1">
        <f t="array" aca="1" ref="H506" ca="1">IF(Assessment[[#This Row],[JOB TARGET]]="","Job Target Kosong",IF(COUNT(IF('Data Assessment'!$N506:$Z506-OFFSET(Standar!$B$2,MATCH(Assessment[[#This Row],[JOB TARGET
(EST)]],Standar[NAMA JABATAN],0)-1,1,1,13)&lt;0,1,""))&lt;=3,'9 Grid'!$B$4,IF(COUNT(IF('Data Assessment'!$N506:$Z506-OFFSET(Standar!$B$2,MATCH(Assessment[[#This Row],[JOB TARGET]],Standar[NAMA JABATAN],0)-1,1,1,13)&lt;0,1,""))&gt;=7,'9 Grid'!$B$6,'9 Grid'!$B$5)))</f>
        <v>Job Target Kosong</v>
      </c>
      <c r="I506" s="146" t="str">
        <f>IFERROR(IF(Data_Assessment[[#This Row],[IPP (3 YEARS AVERAGE)]]="","(IPP Belum Ada)",IF(Data_Assessment[[#This Row],[IPP (3 YEARS AVERAGE)]]&lt;2,'9 Grid'!$F$2,IF(Data_Assessment[[#This Row],[IPP (3 YEARS AVERAGE)]]&gt;=4,'9 Grid'!$D$2,'9 Grid'!$E$2))),"")</f>
        <v>Fully Competence Performance</v>
      </c>
      <c r="J506" s="146" t="str">
        <f ca="1">IFERROR(INDEX('9 Grid'!$D$4:$F$6,MATCH('Rekomendasi HAV'!H506,'9 Grid'!$B$4:$B$6,0),MATCH('Rekomendasi HAV'!I506,'9 Grid'!$D$2:$F$2,0)),"")</f>
        <v/>
      </c>
      <c r="K506" s="146" t="str">
        <f>IFERROR(INDEX('9 Grid'!$D$8:$F$8,1,MATCH('Rekomendasi HAV'!I506,'9 Grid'!$D$2:$F$2,0)),"")</f>
        <v>(ST) Within 12 - 18 month</v>
      </c>
      <c r="L506" s="146">
        <f>IF(ISNUMBER(SEARCH("EST",Assessment[[#This Row],[JOB TARGET]])),SUBSTITUTE(Assessment[[#This Row],[JOB TARGET]],"EST","DEV"),Assessment[[#This Row],[JOB TARGET]])</f>
        <v>0</v>
      </c>
      <c r="M506" s="146" t="str" cm="1">
        <f t="array" aca="1" ref="M506" ca="1">IF(Assessment[[#This Row],[JOB TARGET]]="","Job Target Kosong",IF(COUNT(IF('Data Assessment'!$N506:$Z506-OFFSET(Standar!$B$2,MATCH(Assessment[[#This Row],[JOB TARGET
(DEV)]],Standar[NAMA JABATAN],0)-1,1,1,13)&lt;0,1,""))&lt;=3,'9 Grid'!$B$4,IF(COUNT(IF('Data Assessment'!$N506:$Z506-OFFSET(Standar!$B$2,MATCH(Assessment[[#This Row],[JOB TARGET
(DEV)]],Standar[NAMA JABATAN],0)-1,1,1,13)&lt;0,1,""))&gt;=7,'9 Grid'!$B$6,'9 Grid'!$B$5)))</f>
        <v>Job Target Kosong</v>
      </c>
      <c r="N506" s="146" t="str">
        <f>IFERROR(IF(Data_Assessment[[#This Row],[IPP (3 YEARS AVERAGE)]]="","(IPP Belum Ada)",IF(Data_Assessment[[#This Row],[IPP (3 YEARS AVERAGE)]]&lt;2,'9 Grid'!$F$2,IF(Data_Assessment[[#This Row],[IPP (3 YEARS AVERAGE)]]&gt;=4,'9 Grid'!$D$2,'9 Grid'!$E$2))),"")</f>
        <v>Fully Competence Performance</v>
      </c>
      <c r="O506" s="146" t="str">
        <f ca="1">IFERROR(INDEX('9 Grid'!$D$4:$F$6,MATCH('Rekomendasi HAV'!M506,'9 Grid'!$B$4:$B$6,0),MATCH('Rekomendasi HAV'!N506,'9 Grid'!$D$2:$F$2,0)),"")</f>
        <v/>
      </c>
      <c r="P506" s="147" t="str">
        <f>IFERROR(INDEX('9 Grid'!$D$8:$F$8,1,MATCH('Rekomendasi HAV'!N506,'9 Grid'!$D$2:$F$2,0)),"")</f>
        <v>(ST) Within 12 - 18 month</v>
      </c>
    </row>
    <row r="507" spans="1:16" ht="14.25">
      <c r="A507" s="67">
        <v>506</v>
      </c>
      <c r="B507" s="68" t="str">
        <f>INDEX(Data_Assessment[],MATCH('Rekomendasi HAV'!$A507,Data_Assessment[[INDEX]:[INDEX]],0),MATCH('Rekomendasi HAV'!B$1,Data_Assessment[#Headers],0))</f>
        <v>Rudian Sabili</v>
      </c>
      <c r="C507" s="68" t="str">
        <f>INDEX(Data_Assessment[],MATCH('Rekomendasi HAV'!$A507,Data_Assessment[[INDEX]:[INDEX]],0),MATCH('Rekomendasi HAV'!C$1,Data_Assessment[#Headers],0))</f>
        <v>Sumatera Selatan</v>
      </c>
      <c r="D507" s="68" t="str">
        <f>INDEX(Data_Assessment[],MATCH('Rekomendasi HAV'!$A507,Data_Assessment[[INDEX]:[INDEX]],0),MATCH('Rekomendasi HAV'!D$1,Data_Assessment[#Headers],0))</f>
        <v>LSIP - Sei Kepayang Estate</v>
      </c>
      <c r="E507" s="68">
        <f>INDEX(Data_Assessment[],MATCH('Rekomendasi HAV'!$B507,Data_Assessment[[NAME]:[NAME]],0),MATCH('Rekomendasi HAV'!E$1,Data_Assessment[#Headers],0))</f>
        <v>0</v>
      </c>
      <c r="F507" s="68"/>
      <c r="G507" s="68">
        <f>IF(ISNUMBER(SEARCH("DEV",Assessment[[#This Row],[JOB TARGET]])),SUBSTITUTE(Assessment[[#This Row],[JOB TARGET]],"DEV","EST"),Assessment[[#This Row],[JOB TARGET]])</f>
        <v>0</v>
      </c>
      <c r="H507" s="146" t="str" cm="1">
        <f t="array" aca="1" ref="H507" ca="1">IF(Assessment[[#This Row],[JOB TARGET]]="","Job Target Kosong",IF(COUNT(IF('Data Assessment'!$N507:$Z507-OFFSET(Standar!$B$2,MATCH(Assessment[[#This Row],[JOB TARGET
(EST)]],Standar[NAMA JABATAN],0)-1,1,1,13)&lt;0,1,""))&lt;=3,'9 Grid'!$B$4,IF(COUNT(IF('Data Assessment'!$N507:$Z507-OFFSET(Standar!$B$2,MATCH(Assessment[[#This Row],[JOB TARGET]],Standar[NAMA JABATAN],0)-1,1,1,13)&lt;0,1,""))&gt;=7,'9 Grid'!$B$6,'9 Grid'!$B$5)))</f>
        <v>Job Target Kosong</v>
      </c>
      <c r="I507" s="146" t="str">
        <f>IFERROR(IF(Data_Assessment[[#This Row],[IPP (3 YEARS AVERAGE)]]="","(IPP Belum Ada)",IF(Data_Assessment[[#This Row],[IPP (3 YEARS AVERAGE)]]&lt;2,'9 Grid'!$F$2,IF(Data_Assessment[[#This Row],[IPP (3 YEARS AVERAGE)]]&gt;=4,'9 Grid'!$D$2,'9 Grid'!$E$2))),"")</f>
        <v>Exceptional Performance</v>
      </c>
      <c r="J507" s="146" t="str">
        <f ca="1">IFERROR(INDEX('9 Grid'!$D$4:$F$6,MATCH('Rekomendasi HAV'!H507,'9 Grid'!$B$4:$B$6,0),MATCH('Rekomendasi HAV'!I507,'9 Grid'!$D$2:$F$2,0)),"")</f>
        <v/>
      </c>
      <c r="K507" s="146" t="str">
        <f>IFERROR(INDEX('9 Grid'!$D$8:$F$8,1,MATCH('Rekomendasi HAV'!I507,'9 Grid'!$D$2:$F$2,0)),"")</f>
        <v>(I) Immediately</v>
      </c>
      <c r="L507" s="146">
        <f>IF(ISNUMBER(SEARCH("EST",Assessment[[#This Row],[JOB TARGET]])),SUBSTITUTE(Assessment[[#This Row],[JOB TARGET]],"EST","DEV"),Assessment[[#This Row],[JOB TARGET]])</f>
        <v>0</v>
      </c>
      <c r="M507" s="146" t="str" cm="1">
        <f t="array" aca="1" ref="M507" ca="1">IF(Assessment[[#This Row],[JOB TARGET]]="","Job Target Kosong",IF(COUNT(IF('Data Assessment'!$N507:$Z507-OFFSET(Standar!$B$2,MATCH(Assessment[[#This Row],[JOB TARGET
(DEV)]],Standar[NAMA JABATAN],0)-1,1,1,13)&lt;0,1,""))&lt;=3,'9 Grid'!$B$4,IF(COUNT(IF('Data Assessment'!$N507:$Z507-OFFSET(Standar!$B$2,MATCH(Assessment[[#This Row],[JOB TARGET
(DEV)]],Standar[NAMA JABATAN],0)-1,1,1,13)&lt;0,1,""))&gt;=7,'9 Grid'!$B$6,'9 Grid'!$B$5)))</f>
        <v>Job Target Kosong</v>
      </c>
      <c r="N507" s="146" t="str">
        <f>IFERROR(IF(Data_Assessment[[#This Row],[IPP (3 YEARS AVERAGE)]]="","(IPP Belum Ada)",IF(Data_Assessment[[#This Row],[IPP (3 YEARS AVERAGE)]]&lt;2,'9 Grid'!$F$2,IF(Data_Assessment[[#This Row],[IPP (3 YEARS AVERAGE)]]&gt;=4,'9 Grid'!$D$2,'9 Grid'!$E$2))),"")</f>
        <v>Exceptional Performance</v>
      </c>
      <c r="O507" s="146" t="str">
        <f ca="1">IFERROR(INDEX('9 Grid'!$D$4:$F$6,MATCH('Rekomendasi HAV'!M507,'9 Grid'!$B$4:$B$6,0),MATCH('Rekomendasi HAV'!N507,'9 Grid'!$D$2:$F$2,0)),"")</f>
        <v/>
      </c>
      <c r="P507" s="147" t="str">
        <f>IFERROR(INDEX('9 Grid'!$D$8:$F$8,1,MATCH('Rekomendasi HAV'!N507,'9 Grid'!$D$2:$F$2,0)),"")</f>
        <v>(I) Immediately</v>
      </c>
    </row>
    <row r="508" spans="1:16" ht="14.25">
      <c r="A508" s="67">
        <v>507</v>
      </c>
      <c r="B508" s="68" t="str">
        <f>INDEX(Data_Assessment[],MATCH('Rekomendasi HAV'!$A508,Data_Assessment[[INDEX]:[INDEX]],0),MATCH('Rekomendasi HAV'!B$1,Data_Assessment[#Headers],0))</f>
        <v>Amir Hasan Parinduri, Ir.</v>
      </c>
      <c r="C508" s="68" t="str">
        <f>INDEX(Data_Assessment[],MATCH('Rekomendasi HAV'!$A508,Data_Assessment[[INDEX]:[INDEX]],0),MATCH('Rekomendasi HAV'!C$1,Data_Assessment[#Headers],0))</f>
        <v>Sumatera Selatan</v>
      </c>
      <c r="D508" s="68" t="str">
        <f>INDEX(Data_Assessment[],MATCH('Rekomendasi HAV'!$A508,Data_Assessment[[INDEX]:[INDEX]],0),MATCH('Rekomendasi HAV'!D$1,Data_Assessment[#Headers],0))</f>
        <v>LSIP - Bukit Hijau Estate</v>
      </c>
      <c r="E508" s="68">
        <f>INDEX(Data_Assessment[],MATCH('Rekomendasi HAV'!$B508,Data_Assessment[[NAME]:[NAME]],0),MATCH('Rekomendasi HAV'!E$1,Data_Assessment[#Headers],0))</f>
        <v>0</v>
      </c>
      <c r="F508" s="68"/>
      <c r="G508" s="68">
        <f>IF(ISNUMBER(SEARCH("DEV",Assessment[[#This Row],[JOB TARGET]])),SUBSTITUTE(Assessment[[#This Row],[JOB TARGET]],"DEV","EST"),Assessment[[#This Row],[JOB TARGET]])</f>
        <v>0</v>
      </c>
      <c r="H508" s="146" t="str" cm="1">
        <f t="array" aca="1" ref="H508" ca="1">IF(Assessment[[#This Row],[JOB TARGET]]="","Job Target Kosong",IF(COUNT(IF('Data Assessment'!$N508:$Z508-OFFSET(Standar!$B$2,MATCH(Assessment[[#This Row],[JOB TARGET
(EST)]],Standar[NAMA JABATAN],0)-1,1,1,13)&lt;0,1,""))&lt;=3,'9 Grid'!$B$4,IF(COUNT(IF('Data Assessment'!$N508:$Z508-OFFSET(Standar!$B$2,MATCH(Assessment[[#This Row],[JOB TARGET]],Standar[NAMA JABATAN],0)-1,1,1,13)&lt;0,1,""))&gt;=7,'9 Grid'!$B$6,'9 Grid'!$B$5)))</f>
        <v>Job Target Kosong</v>
      </c>
      <c r="I508" s="146" t="str">
        <f>IFERROR(IF(Data_Assessment[[#This Row],[IPP (3 YEARS AVERAGE)]]="","(IPP Belum Ada)",IF(Data_Assessment[[#This Row],[IPP (3 YEARS AVERAGE)]]&lt;2,'9 Grid'!$F$2,IF(Data_Assessment[[#This Row],[IPP (3 YEARS AVERAGE)]]&gt;=4,'9 Grid'!$D$2,'9 Grid'!$E$2))),"")</f>
        <v>Exceptional Performance</v>
      </c>
      <c r="J508" s="146" t="str">
        <f ca="1">IFERROR(INDEX('9 Grid'!$D$4:$F$6,MATCH('Rekomendasi HAV'!H508,'9 Grid'!$B$4:$B$6,0),MATCH('Rekomendasi HAV'!I508,'9 Grid'!$D$2:$F$2,0)),"")</f>
        <v/>
      </c>
      <c r="K508" s="146" t="str">
        <f>IFERROR(INDEX('9 Grid'!$D$8:$F$8,1,MATCH('Rekomendasi HAV'!I508,'9 Grid'!$D$2:$F$2,0)),"")</f>
        <v>(I) Immediately</v>
      </c>
      <c r="L508" s="146">
        <f>IF(ISNUMBER(SEARCH("EST",Assessment[[#This Row],[JOB TARGET]])),SUBSTITUTE(Assessment[[#This Row],[JOB TARGET]],"EST","DEV"),Assessment[[#This Row],[JOB TARGET]])</f>
        <v>0</v>
      </c>
      <c r="M508" s="146" t="str" cm="1">
        <f t="array" aca="1" ref="M508" ca="1">IF(Assessment[[#This Row],[JOB TARGET]]="","Job Target Kosong",IF(COUNT(IF('Data Assessment'!$N508:$Z508-OFFSET(Standar!$B$2,MATCH(Assessment[[#This Row],[JOB TARGET
(DEV)]],Standar[NAMA JABATAN],0)-1,1,1,13)&lt;0,1,""))&lt;=3,'9 Grid'!$B$4,IF(COUNT(IF('Data Assessment'!$N508:$Z508-OFFSET(Standar!$B$2,MATCH(Assessment[[#This Row],[JOB TARGET
(DEV)]],Standar[NAMA JABATAN],0)-1,1,1,13)&lt;0,1,""))&gt;=7,'9 Grid'!$B$6,'9 Grid'!$B$5)))</f>
        <v>Job Target Kosong</v>
      </c>
      <c r="N508" s="146" t="str">
        <f>IFERROR(IF(Data_Assessment[[#This Row],[IPP (3 YEARS AVERAGE)]]="","(IPP Belum Ada)",IF(Data_Assessment[[#This Row],[IPP (3 YEARS AVERAGE)]]&lt;2,'9 Grid'!$F$2,IF(Data_Assessment[[#This Row],[IPP (3 YEARS AVERAGE)]]&gt;=4,'9 Grid'!$D$2,'9 Grid'!$E$2))),"")</f>
        <v>Exceptional Performance</v>
      </c>
      <c r="O508" s="146" t="str">
        <f ca="1">IFERROR(INDEX('9 Grid'!$D$4:$F$6,MATCH('Rekomendasi HAV'!M508,'9 Grid'!$B$4:$B$6,0),MATCH('Rekomendasi HAV'!N508,'9 Grid'!$D$2:$F$2,0)),"")</f>
        <v/>
      </c>
      <c r="P508" s="147" t="str">
        <f>IFERROR(INDEX('9 Grid'!$D$8:$F$8,1,MATCH('Rekomendasi HAV'!N508,'9 Grid'!$D$2:$F$2,0)),"")</f>
        <v>(I) Immediately</v>
      </c>
    </row>
    <row r="509" spans="1:16" ht="28.5">
      <c r="A509" s="67">
        <v>508</v>
      </c>
      <c r="B509" s="68" t="str">
        <f>INDEX(Data_Assessment[],MATCH('Rekomendasi HAV'!$A509,Data_Assessment[[INDEX]:[INDEX]],0),MATCH('Rekomendasi HAV'!B$1,Data_Assessment[#Headers],0))</f>
        <v>Sahala Simorangkir</v>
      </c>
      <c r="C509" s="68" t="str">
        <f>INDEX(Data_Assessment[],MATCH('Rekomendasi HAV'!$A509,Data_Assessment[[INDEX]:[INDEX]],0),MATCH('Rekomendasi HAV'!C$1,Data_Assessment[#Headers],0))</f>
        <v>Sumatera Selatan</v>
      </c>
      <c r="D509" s="68" t="str">
        <f>INDEX(Data_Assessment[],MATCH('Rekomendasi HAV'!$A509,Data_Assessment[[INDEX]:[INDEX]],0),MATCH('Rekomendasi HAV'!D$1,Data_Assessment[#Headers],0))</f>
        <v>LSIP - Bukit Hijau Estate</v>
      </c>
      <c r="E509" s="68">
        <f>INDEX(Data_Assessment[],MATCH('Rekomendasi HAV'!$B509,Data_Assessment[[NAME]:[NAME]],0),MATCH('Rekomendasi HAV'!E$1,Data_Assessment[#Headers],0))</f>
        <v>0</v>
      </c>
      <c r="F509" s="68"/>
      <c r="G509" s="68">
        <f>IF(ISNUMBER(SEARCH("DEV",Assessment[[#This Row],[JOB TARGET]])),SUBSTITUTE(Assessment[[#This Row],[JOB TARGET]],"DEV","EST"),Assessment[[#This Row],[JOB TARGET]])</f>
        <v>0</v>
      </c>
      <c r="H509" s="146" t="str" cm="1">
        <f t="array" aca="1" ref="H509" ca="1">IF(Assessment[[#This Row],[JOB TARGET]]="","Job Target Kosong",IF(COUNT(IF('Data Assessment'!$N509:$Z509-OFFSET(Standar!$B$2,MATCH(Assessment[[#This Row],[JOB TARGET
(EST)]],Standar[NAMA JABATAN],0)-1,1,1,13)&lt;0,1,""))&lt;=3,'9 Grid'!$B$4,IF(COUNT(IF('Data Assessment'!$N509:$Z509-OFFSET(Standar!$B$2,MATCH(Assessment[[#This Row],[JOB TARGET]],Standar[NAMA JABATAN],0)-1,1,1,13)&lt;0,1,""))&gt;=7,'9 Grid'!$B$6,'9 Grid'!$B$5)))</f>
        <v>Job Target Kosong</v>
      </c>
      <c r="I509" s="146" t="str">
        <f>IFERROR(IF(Data_Assessment[[#This Row],[IPP (3 YEARS AVERAGE)]]="","(IPP Belum Ada)",IF(Data_Assessment[[#This Row],[IPP (3 YEARS AVERAGE)]]&lt;2,'9 Grid'!$F$2,IF(Data_Assessment[[#This Row],[IPP (3 YEARS AVERAGE)]]&gt;=4,'9 Grid'!$D$2,'9 Grid'!$E$2))),"")</f>
        <v>Fully Competence Performance</v>
      </c>
      <c r="J509" s="146" t="str">
        <f ca="1">IFERROR(INDEX('9 Grid'!$D$4:$F$6,MATCH('Rekomendasi HAV'!H509,'9 Grid'!$B$4:$B$6,0),MATCH('Rekomendasi HAV'!I509,'9 Grid'!$D$2:$F$2,0)),"")</f>
        <v/>
      </c>
      <c r="K509" s="146" t="str">
        <f>IFERROR(INDEX('9 Grid'!$D$8:$F$8,1,MATCH('Rekomendasi HAV'!I509,'9 Grid'!$D$2:$F$2,0)),"")</f>
        <v>(ST) Within 12 - 18 month</v>
      </c>
      <c r="L509" s="146">
        <f>IF(ISNUMBER(SEARCH("EST",Assessment[[#This Row],[JOB TARGET]])),SUBSTITUTE(Assessment[[#This Row],[JOB TARGET]],"EST","DEV"),Assessment[[#This Row],[JOB TARGET]])</f>
        <v>0</v>
      </c>
      <c r="M509" s="146" t="str" cm="1">
        <f t="array" aca="1" ref="M509" ca="1">IF(Assessment[[#This Row],[JOB TARGET]]="","Job Target Kosong",IF(COUNT(IF('Data Assessment'!$N509:$Z509-OFFSET(Standar!$B$2,MATCH(Assessment[[#This Row],[JOB TARGET
(DEV)]],Standar[NAMA JABATAN],0)-1,1,1,13)&lt;0,1,""))&lt;=3,'9 Grid'!$B$4,IF(COUNT(IF('Data Assessment'!$N509:$Z509-OFFSET(Standar!$B$2,MATCH(Assessment[[#This Row],[JOB TARGET
(DEV)]],Standar[NAMA JABATAN],0)-1,1,1,13)&lt;0,1,""))&gt;=7,'9 Grid'!$B$6,'9 Grid'!$B$5)))</f>
        <v>Job Target Kosong</v>
      </c>
      <c r="N509" s="146" t="str">
        <f>IFERROR(IF(Data_Assessment[[#This Row],[IPP (3 YEARS AVERAGE)]]="","(IPP Belum Ada)",IF(Data_Assessment[[#This Row],[IPP (3 YEARS AVERAGE)]]&lt;2,'9 Grid'!$F$2,IF(Data_Assessment[[#This Row],[IPP (3 YEARS AVERAGE)]]&gt;=4,'9 Grid'!$D$2,'9 Grid'!$E$2))),"")</f>
        <v>Fully Competence Performance</v>
      </c>
      <c r="O509" s="146" t="str">
        <f ca="1">IFERROR(INDEX('9 Grid'!$D$4:$F$6,MATCH('Rekomendasi HAV'!M509,'9 Grid'!$B$4:$B$6,0),MATCH('Rekomendasi HAV'!N509,'9 Grid'!$D$2:$F$2,0)),"")</f>
        <v/>
      </c>
      <c r="P509" s="147" t="str">
        <f>IFERROR(INDEX('9 Grid'!$D$8:$F$8,1,MATCH('Rekomendasi HAV'!N509,'9 Grid'!$D$2:$F$2,0)),"")</f>
        <v>(ST) Within 12 - 18 month</v>
      </c>
    </row>
    <row r="510" spans="1:16" ht="28.5">
      <c r="A510" s="67">
        <v>509</v>
      </c>
      <c r="B510" s="68" t="str">
        <f>INDEX(Data_Assessment[],MATCH('Rekomendasi HAV'!$A510,Data_Assessment[[INDEX]:[INDEX]],0),MATCH('Rekomendasi HAV'!B$1,Data_Assessment[#Headers],0))</f>
        <v>Dedi Armaidiansyah Lbs</v>
      </c>
      <c r="C510" s="68" t="str">
        <f>INDEX(Data_Assessment[],MATCH('Rekomendasi HAV'!$A510,Data_Assessment[[INDEX]:[INDEX]],0),MATCH('Rekomendasi HAV'!C$1,Data_Assessment[#Headers],0))</f>
        <v>Sumatera Selatan</v>
      </c>
      <c r="D510" s="68" t="str">
        <f>INDEX(Data_Assessment[],MATCH('Rekomendasi HAV'!$A510,Data_Assessment[[INDEX]:[INDEX]],0),MATCH('Rekomendasi HAV'!D$1,Data_Assessment[#Headers],0))</f>
        <v>LSIP - Batu Cemerlang Estate</v>
      </c>
      <c r="E510" s="68">
        <f>INDEX(Data_Assessment[],MATCH('Rekomendasi HAV'!$B510,Data_Assessment[[NAME]:[NAME]],0),MATCH('Rekomendasi HAV'!E$1,Data_Assessment[#Headers],0))</f>
        <v>0</v>
      </c>
      <c r="F510" s="68"/>
      <c r="G510" s="68">
        <f>IF(ISNUMBER(SEARCH("DEV",Assessment[[#This Row],[JOB TARGET]])),SUBSTITUTE(Assessment[[#This Row],[JOB TARGET]],"DEV","EST"),Assessment[[#This Row],[JOB TARGET]])</f>
        <v>0</v>
      </c>
      <c r="H510" s="146" t="str" cm="1">
        <f t="array" aca="1" ref="H510" ca="1">IF(Assessment[[#This Row],[JOB TARGET]]="","Job Target Kosong",IF(COUNT(IF('Data Assessment'!$N510:$Z510-OFFSET(Standar!$B$2,MATCH(Assessment[[#This Row],[JOB TARGET
(EST)]],Standar[NAMA JABATAN],0)-1,1,1,13)&lt;0,1,""))&lt;=3,'9 Grid'!$B$4,IF(COUNT(IF('Data Assessment'!$N510:$Z510-OFFSET(Standar!$B$2,MATCH(Assessment[[#This Row],[JOB TARGET]],Standar[NAMA JABATAN],0)-1,1,1,13)&lt;0,1,""))&gt;=7,'9 Grid'!$B$6,'9 Grid'!$B$5)))</f>
        <v>Job Target Kosong</v>
      </c>
      <c r="I510" s="146" t="str">
        <f>IFERROR(IF(Data_Assessment[[#This Row],[IPP (3 YEARS AVERAGE)]]="","(IPP Belum Ada)",IF(Data_Assessment[[#This Row],[IPP (3 YEARS AVERAGE)]]&lt;2,'9 Grid'!$F$2,IF(Data_Assessment[[#This Row],[IPP (3 YEARS AVERAGE)]]&gt;=4,'9 Grid'!$D$2,'9 Grid'!$E$2))),"")</f>
        <v>Fully Competence Performance</v>
      </c>
      <c r="J510" s="146" t="str">
        <f ca="1">IFERROR(INDEX('9 Grid'!$D$4:$F$6,MATCH('Rekomendasi HAV'!H510,'9 Grid'!$B$4:$B$6,0),MATCH('Rekomendasi HAV'!I510,'9 Grid'!$D$2:$F$2,0)),"")</f>
        <v/>
      </c>
      <c r="K510" s="146" t="str">
        <f>IFERROR(INDEX('9 Grid'!$D$8:$F$8,1,MATCH('Rekomendasi HAV'!I510,'9 Grid'!$D$2:$F$2,0)),"")</f>
        <v>(ST) Within 12 - 18 month</v>
      </c>
      <c r="L510" s="146">
        <f>IF(ISNUMBER(SEARCH("EST",Assessment[[#This Row],[JOB TARGET]])),SUBSTITUTE(Assessment[[#This Row],[JOB TARGET]],"EST","DEV"),Assessment[[#This Row],[JOB TARGET]])</f>
        <v>0</v>
      </c>
      <c r="M510" s="146" t="str" cm="1">
        <f t="array" aca="1" ref="M510" ca="1">IF(Assessment[[#This Row],[JOB TARGET]]="","Job Target Kosong",IF(COUNT(IF('Data Assessment'!$N510:$Z510-OFFSET(Standar!$B$2,MATCH(Assessment[[#This Row],[JOB TARGET
(DEV)]],Standar[NAMA JABATAN],0)-1,1,1,13)&lt;0,1,""))&lt;=3,'9 Grid'!$B$4,IF(COUNT(IF('Data Assessment'!$N510:$Z510-OFFSET(Standar!$B$2,MATCH(Assessment[[#This Row],[JOB TARGET
(DEV)]],Standar[NAMA JABATAN],0)-1,1,1,13)&lt;0,1,""))&gt;=7,'9 Grid'!$B$6,'9 Grid'!$B$5)))</f>
        <v>Job Target Kosong</v>
      </c>
      <c r="N510" s="146" t="str">
        <f>IFERROR(IF(Data_Assessment[[#This Row],[IPP (3 YEARS AVERAGE)]]="","(IPP Belum Ada)",IF(Data_Assessment[[#This Row],[IPP (3 YEARS AVERAGE)]]&lt;2,'9 Grid'!$F$2,IF(Data_Assessment[[#This Row],[IPP (3 YEARS AVERAGE)]]&gt;=4,'9 Grid'!$D$2,'9 Grid'!$E$2))),"")</f>
        <v>Fully Competence Performance</v>
      </c>
      <c r="O510" s="146" t="str">
        <f ca="1">IFERROR(INDEX('9 Grid'!$D$4:$F$6,MATCH('Rekomendasi HAV'!M510,'9 Grid'!$B$4:$B$6,0),MATCH('Rekomendasi HAV'!N510,'9 Grid'!$D$2:$F$2,0)),"")</f>
        <v/>
      </c>
      <c r="P510" s="147" t="str">
        <f>IFERROR(INDEX('9 Grid'!$D$8:$F$8,1,MATCH('Rekomendasi HAV'!N510,'9 Grid'!$D$2:$F$2,0)),"")</f>
        <v>(ST) Within 12 - 18 month</v>
      </c>
    </row>
    <row r="511" spans="1:16" ht="28.5">
      <c r="A511" s="67">
        <v>510</v>
      </c>
      <c r="B511" s="68" t="str">
        <f>INDEX(Data_Assessment[],MATCH('Rekomendasi HAV'!$A511,Data_Assessment[[INDEX]:[INDEX]],0),MATCH('Rekomendasi HAV'!B$1,Data_Assessment[#Headers],0))</f>
        <v>Septian Fransiskus Simbolon</v>
      </c>
      <c r="C511" s="68" t="str">
        <f>INDEX(Data_Assessment[],MATCH('Rekomendasi HAV'!$A511,Data_Assessment[[INDEX]:[INDEX]],0),MATCH('Rekomendasi HAV'!C$1,Data_Assessment[#Headers],0))</f>
        <v>Sumatera Selatan</v>
      </c>
      <c r="D511" s="68" t="str">
        <f>INDEX(Data_Assessment[],MATCH('Rekomendasi HAV'!$A511,Data_Assessment[[INDEX]:[INDEX]],0),MATCH('Rekomendasi HAV'!D$1,Data_Assessment[#Headers],0))</f>
        <v>LSIP - Batu Cemerlang Estate</v>
      </c>
      <c r="E511" s="68">
        <f>INDEX(Data_Assessment[],MATCH('Rekomendasi HAV'!$B511,Data_Assessment[[NAME]:[NAME]],0),MATCH('Rekomendasi HAV'!E$1,Data_Assessment[#Headers],0))</f>
        <v>0</v>
      </c>
      <c r="F511" s="68"/>
      <c r="G511" s="68">
        <f>IF(ISNUMBER(SEARCH("DEV",Assessment[[#This Row],[JOB TARGET]])),SUBSTITUTE(Assessment[[#This Row],[JOB TARGET]],"DEV","EST"),Assessment[[#This Row],[JOB TARGET]])</f>
        <v>0</v>
      </c>
      <c r="H511" s="146" t="str" cm="1">
        <f t="array" aca="1" ref="H511" ca="1">IF(Assessment[[#This Row],[JOB TARGET]]="","Job Target Kosong",IF(COUNT(IF('Data Assessment'!$N511:$Z511-OFFSET(Standar!$B$2,MATCH(Assessment[[#This Row],[JOB TARGET
(EST)]],Standar[NAMA JABATAN],0)-1,1,1,13)&lt;0,1,""))&lt;=3,'9 Grid'!$B$4,IF(COUNT(IF('Data Assessment'!$N511:$Z511-OFFSET(Standar!$B$2,MATCH(Assessment[[#This Row],[JOB TARGET]],Standar[NAMA JABATAN],0)-1,1,1,13)&lt;0,1,""))&gt;=7,'9 Grid'!$B$6,'9 Grid'!$B$5)))</f>
        <v>Job Target Kosong</v>
      </c>
      <c r="I511" s="146" t="str">
        <f>IFERROR(IF(Data_Assessment[[#This Row],[IPP (3 YEARS AVERAGE)]]="","(IPP Belum Ada)",IF(Data_Assessment[[#This Row],[IPP (3 YEARS AVERAGE)]]&lt;2,'9 Grid'!$F$2,IF(Data_Assessment[[#This Row],[IPP (3 YEARS AVERAGE)]]&gt;=4,'9 Grid'!$D$2,'9 Grid'!$E$2))),"")</f>
        <v>Fully Competence Performance</v>
      </c>
      <c r="J511" s="146" t="str">
        <f ca="1">IFERROR(INDEX('9 Grid'!$D$4:$F$6,MATCH('Rekomendasi HAV'!H511,'9 Grid'!$B$4:$B$6,0),MATCH('Rekomendasi HAV'!I511,'9 Grid'!$D$2:$F$2,0)),"")</f>
        <v/>
      </c>
      <c r="K511" s="146" t="str">
        <f>IFERROR(INDEX('9 Grid'!$D$8:$F$8,1,MATCH('Rekomendasi HAV'!I511,'9 Grid'!$D$2:$F$2,0)),"")</f>
        <v>(ST) Within 12 - 18 month</v>
      </c>
      <c r="L511" s="146">
        <f>IF(ISNUMBER(SEARCH("EST",Assessment[[#This Row],[JOB TARGET]])),SUBSTITUTE(Assessment[[#This Row],[JOB TARGET]],"EST","DEV"),Assessment[[#This Row],[JOB TARGET]])</f>
        <v>0</v>
      </c>
      <c r="M511" s="146" t="str" cm="1">
        <f t="array" aca="1" ref="M511" ca="1">IF(Assessment[[#This Row],[JOB TARGET]]="","Job Target Kosong",IF(COUNT(IF('Data Assessment'!$N511:$Z511-OFFSET(Standar!$B$2,MATCH(Assessment[[#This Row],[JOB TARGET
(DEV)]],Standar[NAMA JABATAN],0)-1,1,1,13)&lt;0,1,""))&lt;=3,'9 Grid'!$B$4,IF(COUNT(IF('Data Assessment'!$N511:$Z511-OFFSET(Standar!$B$2,MATCH(Assessment[[#This Row],[JOB TARGET
(DEV)]],Standar[NAMA JABATAN],0)-1,1,1,13)&lt;0,1,""))&gt;=7,'9 Grid'!$B$6,'9 Grid'!$B$5)))</f>
        <v>Job Target Kosong</v>
      </c>
      <c r="N511" s="146" t="str">
        <f>IFERROR(IF(Data_Assessment[[#This Row],[IPP (3 YEARS AVERAGE)]]="","(IPP Belum Ada)",IF(Data_Assessment[[#This Row],[IPP (3 YEARS AVERAGE)]]&lt;2,'9 Grid'!$F$2,IF(Data_Assessment[[#This Row],[IPP (3 YEARS AVERAGE)]]&gt;=4,'9 Grid'!$D$2,'9 Grid'!$E$2))),"")</f>
        <v>Fully Competence Performance</v>
      </c>
      <c r="O511" s="146" t="str">
        <f ca="1">IFERROR(INDEX('9 Grid'!$D$4:$F$6,MATCH('Rekomendasi HAV'!M511,'9 Grid'!$B$4:$B$6,0),MATCH('Rekomendasi HAV'!N511,'9 Grid'!$D$2:$F$2,0)),"")</f>
        <v/>
      </c>
      <c r="P511" s="147" t="str">
        <f>IFERROR(INDEX('9 Grid'!$D$8:$F$8,1,MATCH('Rekomendasi HAV'!N511,'9 Grid'!$D$2:$F$2,0)),"")</f>
        <v>(ST) Within 12 - 18 month</v>
      </c>
    </row>
    <row r="512" spans="1:16" ht="28.5">
      <c r="A512" s="67">
        <v>511</v>
      </c>
      <c r="B512" s="68" t="str">
        <f>INDEX(Data_Assessment[],MATCH('Rekomendasi HAV'!$A512,Data_Assessment[[INDEX]:[INDEX]],0),MATCH('Rekomendasi HAV'!B$1,Data_Assessment[#Headers],0))</f>
        <v>Sarbatua Harahap</v>
      </c>
      <c r="C512" s="68" t="str">
        <f>INDEX(Data_Assessment[],MATCH('Rekomendasi HAV'!$A512,Data_Assessment[[INDEX]:[INDEX]],0),MATCH('Rekomendasi HAV'!C$1,Data_Assessment[#Headers],0))</f>
        <v>Sumatera Selatan</v>
      </c>
      <c r="D512" s="68" t="str">
        <f>INDEX(Data_Assessment[],MATCH('Rekomendasi HAV'!$A512,Data_Assessment[[INDEX]:[INDEX]],0),MATCH('Rekomendasi HAV'!D$1,Data_Assessment[#Headers],0))</f>
        <v>LSIP - Batu Cemerlang Estate</v>
      </c>
      <c r="E512" s="68">
        <f>INDEX(Data_Assessment[],MATCH('Rekomendasi HAV'!$B512,Data_Assessment[[NAME]:[NAME]],0),MATCH('Rekomendasi HAV'!E$1,Data_Assessment[#Headers],0))</f>
        <v>0</v>
      </c>
      <c r="F512" s="68"/>
      <c r="G512" s="68">
        <f>IF(ISNUMBER(SEARCH("DEV",Assessment[[#This Row],[JOB TARGET]])),SUBSTITUTE(Assessment[[#This Row],[JOB TARGET]],"DEV","EST"),Assessment[[#This Row],[JOB TARGET]])</f>
        <v>0</v>
      </c>
      <c r="H512" s="146" t="str" cm="1">
        <f t="array" aca="1" ref="H512" ca="1">IF(Assessment[[#This Row],[JOB TARGET]]="","Job Target Kosong",IF(COUNT(IF('Data Assessment'!$N512:$Z512-OFFSET(Standar!$B$2,MATCH(Assessment[[#This Row],[JOB TARGET
(EST)]],Standar[NAMA JABATAN],0)-1,1,1,13)&lt;0,1,""))&lt;=3,'9 Grid'!$B$4,IF(COUNT(IF('Data Assessment'!$N512:$Z512-OFFSET(Standar!$B$2,MATCH(Assessment[[#This Row],[JOB TARGET]],Standar[NAMA JABATAN],0)-1,1,1,13)&lt;0,1,""))&gt;=7,'9 Grid'!$B$6,'9 Grid'!$B$5)))</f>
        <v>Job Target Kosong</v>
      </c>
      <c r="I512" s="146" t="str">
        <f>IFERROR(IF(Data_Assessment[[#This Row],[IPP (3 YEARS AVERAGE)]]="","(IPP Belum Ada)",IF(Data_Assessment[[#This Row],[IPP (3 YEARS AVERAGE)]]&lt;2,'9 Grid'!$F$2,IF(Data_Assessment[[#This Row],[IPP (3 YEARS AVERAGE)]]&gt;=4,'9 Grid'!$D$2,'9 Grid'!$E$2))),"")</f>
        <v>Fully Competence Performance</v>
      </c>
      <c r="J512" s="146" t="str">
        <f ca="1">IFERROR(INDEX('9 Grid'!$D$4:$F$6,MATCH('Rekomendasi HAV'!H512,'9 Grid'!$B$4:$B$6,0),MATCH('Rekomendasi HAV'!I512,'9 Grid'!$D$2:$F$2,0)),"")</f>
        <v/>
      </c>
      <c r="K512" s="146" t="str">
        <f>IFERROR(INDEX('9 Grid'!$D$8:$F$8,1,MATCH('Rekomendasi HAV'!I512,'9 Grid'!$D$2:$F$2,0)),"")</f>
        <v>(ST) Within 12 - 18 month</v>
      </c>
      <c r="L512" s="146">
        <f>IF(ISNUMBER(SEARCH("EST",Assessment[[#This Row],[JOB TARGET]])),SUBSTITUTE(Assessment[[#This Row],[JOB TARGET]],"EST","DEV"),Assessment[[#This Row],[JOB TARGET]])</f>
        <v>0</v>
      </c>
      <c r="M512" s="146" t="str" cm="1">
        <f t="array" aca="1" ref="M512" ca="1">IF(Assessment[[#This Row],[JOB TARGET]]="","Job Target Kosong",IF(COUNT(IF('Data Assessment'!$N512:$Z512-OFFSET(Standar!$B$2,MATCH(Assessment[[#This Row],[JOB TARGET
(DEV)]],Standar[NAMA JABATAN],0)-1,1,1,13)&lt;0,1,""))&lt;=3,'9 Grid'!$B$4,IF(COUNT(IF('Data Assessment'!$N512:$Z512-OFFSET(Standar!$B$2,MATCH(Assessment[[#This Row],[JOB TARGET
(DEV)]],Standar[NAMA JABATAN],0)-1,1,1,13)&lt;0,1,""))&gt;=7,'9 Grid'!$B$6,'9 Grid'!$B$5)))</f>
        <v>Job Target Kosong</v>
      </c>
      <c r="N512" s="146" t="str">
        <f>IFERROR(IF(Data_Assessment[[#This Row],[IPP (3 YEARS AVERAGE)]]="","(IPP Belum Ada)",IF(Data_Assessment[[#This Row],[IPP (3 YEARS AVERAGE)]]&lt;2,'9 Grid'!$F$2,IF(Data_Assessment[[#This Row],[IPP (3 YEARS AVERAGE)]]&gt;=4,'9 Grid'!$D$2,'9 Grid'!$E$2))),"")</f>
        <v>Fully Competence Performance</v>
      </c>
      <c r="O512" s="146" t="str">
        <f ca="1">IFERROR(INDEX('9 Grid'!$D$4:$F$6,MATCH('Rekomendasi HAV'!M512,'9 Grid'!$B$4:$B$6,0),MATCH('Rekomendasi HAV'!N512,'9 Grid'!$D$2:$F$2,0)),"")</f>
        <v/>
      </c>
      <c r="P512" s="147" t="str">
        <f>IFERROR(INDEX('9 Grid'!$D$8:$F$8,1,MATCH('Rekomendasi HAV'!N512,'9 Grid'!$D$2:$F$2,0)),"")</f>
        <v>(ST) Within 12 - 18 month</v>
      </c>
    </row>
    <row r="513" spans="1:16" ht="28.5">
      <c r="A513" s="67">
        <v>512</v>
      </c>
      <c r="B513" s="68" t="str">
        <f>INDEX(Data_Assessment[],MATCH('Rekomendasi HAV'!$A513,Data_Assessment[[INDEX]:[INDEX]],0),MATCH('Rekomendasi HAV'!B$1,Data_Assessment[#Headers],0))</f>
        <v>Sarso Suparto. Amd</v>
      </c>
      <c r="C513" s="68" t="str">
        <f>INDEX(Data_Assessment[],MATCH('Rekomendasi HAV'!$A513,Data_Assessment[[INDEX]:[INDEX]],0),MATCH('Rekomendasi HAV'!C$1,Data_Assessment[#Headers],0))</f>
        <v>Sumatera Utara</v>
      </c>
      <c r="D513" s="68" t="str">
        <f>INDEX(Data_Assessment[],MATCH('Rekomendasi HAV'!$A513,Data_Assessment[[INDEX]:[INDEX]],0),MATCH('Rekomendasi HAV'!D$1,Data_Assessment[#Headers],0))</f>
        <v>LSIP - Rambong Sialang Estate</v>
      </c>
      <c r="E513" s="68">
        <f>INDEX(Data_Assessment[],MATCH('Rekomendasi HAV'!$B513,Data_Assessment[[NAME]:[NAME]],0),MATCH('Rekomendasi HAV'!E$1,Data_Assessment[#Headers],0))</f>
        <v>0</v>
      </c>
      <c r="F513" s="68"/>
      <c r="G513" s="68">
        <f>IF(ISNUMBER(SEARCH("DEV",Assessment[[#This Row],[JOB TARGET]])),SUBSTITUTE(Assessment[[#This Row],[JOB TARGET]],"DEV","EST"),Assessment[[#This Row],[JOB TARGET]])</f>
        <v>0</v>
      </c>
      <c r="H513" s="146" t="str" cm="1">
        <f t="array" aca="1" ref="H513" ca="1">IF(Assessment[[#This Row],[JOB TARGET]]="","Job Target Kosong",IF(COUNT(IF('Data Assessment'!$N513:$Z513-OFFSET(Standar!$B$2,MATCH(Assessment[[#This Row],[JOB TARGET
(EST)]],Standar[NAMA JABATAN],0)-1,1,1,13)&lt;0,1,""))&lt;=3,'9 Grid'!$B$4,IF(COUNT(IF('Data Assessment'!$N513:$Z513-OFFSET(Standar!$B$2,MATCH(Assessment[[#This Row],[JOB TARGET]],Standar[NAMA JABATAN],0)-1,1,1,13)&lt;0,1,""))&gt;=7,'9 Grid'!$B$6,'9 Grid'!$B$5)))</f>
        <v>Job Target Kosong</v>
      </c>
      <c r="I513" s="146" t="str">
        <f>IFERROR(IF(Data_Assessment[[#This Row],[IPP (3 YEARS AVERAGE)]]="","(IPP Belum Ada)",IF(Data_Assessment[[#This Row],[IPP (3 YEARS AVERAGE)]]&lt;2,'9 Grid'!$F$2,IF(Data_Assessment[[#This Row],[IPP (3 YEARS AVERAGE)]]&gt;=4,'9 Grid'!$D$2,'9 Grid'!$E$2))),"")</f>
        <v>Fully Competence Performance</v>
      </c>
      <c r="J513" s="146" t="str">
        <f ca="1">IFERROR(INDEX('9 Grid'!$D$4:$F$6,MATCH('Rekomendasi HAV'!H513,'9 Grid'!$B$4:$B$6,0),MATCH('Rekomendasi HAV'!I513,'9 Grid'!$D$2:$F$2,0)),"")</f>
        <v/>
      </c>
      <c r="K513" s="146" t="str">
        <f>IFERROR(INDEX('9 Grid'!$D$8:$F$8,1,MATCH('Rekomendasi HAV'!I513,'9 Grid'!$D$2:$F$2,0)),"")</f>
        <v>(ST) Within 12 - 18 month</v>
      </c>
      <c r="L513" s="146">
        <f>IF(ISNUMBER(SEARCH("EST",Assessment[[#This Row],[JOB TARGET]])),SUBSTITUTE(Assessment[[#This Row],[JOB TARGET]],"EST","DEV"),Assessment[[#This Row],[JOB TARGET]])</f>
        <v>0</v>
      </c>
      <c r="M513" s="146" t="str" cm="1">
        <f t="array" aca="1" ref="M513" ca="1">IF(Assessment[[#This Row],[JOB TARGET]]="","Job Target Kosong",IF(COUNT(IF('Data Assessment'!$N513:$Z513-OFFSET(Standar!$B$2,MATCH(Assessment[[#This Row],[JOB TARGET
(DEV)]],Standar[NAMA JABATAN],0)-1,1,1,13)&lt;0,1,""))&lt;=3,'9 Grid'!$B$4,IF(COUNT(IF('Data Assessment'!$N513:$Z513-OFFSET(Standar!$B$2,MATCH(Assessment[[#This Row],[JOB TARGET
(DEV)]],Standar[NAMA JABATAN],0)-1,1,1,13)&lt;0,1,""))&gt;=7,'9 Grid'!$B$6,'9 Grid'!$B$5)))</f>
        <v>Job Target Kosong</v>
      </c>
      <c r="N513" s="146" t="str">
        <f>IFERROR(IF(Data_Assessment[[#This Row],[IPP (3 YEARS AVERAGE)]]="","(IPP Belum Ada)",IF(Data_Assessment[[#This Row],[IPP (3 YEARS AVERAGE)]]&lt;2,'9 Grid'!$F$2,IF(Data_Assessment[[#This Row],[IPP (3 YEARS AVERAGE)]]&gt;=4,'9 Grid'!$D$2,'9 Grid'!$E$2))),"")</f>
        <v>Fully Competence Performance</v>
      </c>
      <c r="O513" s="146" t="str">
        <f ca="1">IFERROR(INDEX('9 Grid'!$D$4:$F$6,MATCH('Rekomendasi HAV'!M513,'9 Grid'!$B$4:$B$6,0),MATCH('Rekomendasi HAV'!N513,'9 Grid'!$D$2:$F$2,0)),"")</f>
        <v/>
      </c>
      <c r="P513" s="147" t="str">
        <f>IFERROR(INDEX('9 Grid'!$D$8:$F$8,1,MATCH('Rekomendasi HAV'!N513,'9 Grid'!$D$2:$F$2,0)),"")</f>
        <v>(ST) Within 12 - 18 month</v>
      </c>
    </row>
    <row r="514" spans="1:16" ht="28.5">
      <c r="A514" s="67">
        <v>513</v>
      </c>
      <c r="B514" s="68" t="str">
        <f>INDEX(Data_Assessment[],MATCH('Rekomendasi HAV'!$A514,Data_Assessment[[INDEX]:[INDEX]],0),MATCH('Rekomendasi HAV'!B$1,Data_Assessment[#Headers],0))</f>
        <v>Rhiky Handayani Sinaga</v>
      </c>
      <c r="C514" s="68" t="str">
        <f>INDEX(Data_Assessment[],MATCH('Rekomendasi HAV'!$A514,Data_Assessment[[INDEX]:[INDEX]],0),MATCH('Rekomendasi HAV'!C$1,Data_Assessment[#Headers],0))</f>
        <v>Sumatera Selatan</v>
      </c>
      <c r="D514" s="68" t="str">
        <f>INDEX(Data_Assessment[],MATCH('Rekomendasi HAV'!$A514,Data_Assessment[[INDEX]:[INDEX]],0),MATCH('Rekomendasi HAV'!D$1,Data_Assessment[#Headers],0))</f>
        <v>LSIP - Batu Cemerlang Estate</v>
      </c>
      <c r="E514" s="68">
        <f>INDEX(Data_Assessment[],MATCH('Rekomendasi HAV'!$B514,Data_Assessment[[NAME]:[NAME]],0),MATCH('Rekomendasi HAV'!E$1,Data_Assessment[#Headers],0))</f>
        <v>0</v>
      </c>
      <c r="F514" s="68"/>
      <c r="G514" s="68">
        <f>IF(ISNUMBER(SEARCH("DEV",Assessment[[#This Row],[JOB TARGET]])),SUBSTITUTE(Assessment[[#This Row],[JOB TARGET]],"DEV","EST"),Assessment[[#This Row],[JOB TARGET]])</f>
        <v>0</v>
      </c>
      <c r="H514" s="146" t="str" cm="1">
        <f t="array" aca="1" ref="H514" ca="1">IF(Assessment[[#This Row],[JOB TARGET]]="","Job Target Kosong",IF(COUNT(IF('Data Assessment'!$N514:$Z514-OFFSET(Standar!$B$2,MATCH(Assessment[[#This Row],[JOB TARGET
(EST)]],Standar[NAMA JABATAN],0)-1,1,1,13)&lt;0,1,""))&lt;=3,'9 Grid'!$B$4,IF(COUNT(IF('Data Assessment'!$N514:$Z514-OFFSET(Standar!$B$2,MATCH(Assessment[[#This Row],[JOB TARGET]],Standar[NAMA JABATAN],0)-1,1,1,13)&lt;0,1,""))&gt;=7,'9 Grid'!$B$6,'9 Grid'!$B$5)))</f>
        <v>Job Target Kosong</v>
      </c>
      <c r="I514" s="146" t="str">
        <f>IFERROR(IF(Data_Assessment[[#This Row],[IPP (3 YEARS AVERAGE)]]="","(IPP Belum Ada)",IF(Data_Assessment[[#This Row],[IPP (3 YEARS AVERAGE)]]&lt;2,'9 Grid'!$F$2,IF(Data_Assessment[[#This Row],[IPP (3 YEARS AVERAGE)]]&gt;=4,'9 Grid'!$D$2,'9 Grid'!$E$2))),"")</f>
        <v>Fully Competence Performance</v>
      </c>
      <c r="J514" s="146" t="str">
        <f ca="1">IFERROR(INDEX('9 Grid'!$D$4:$F$6,MATCH('Rekomendasi HAV'!H514,'9 Grid'!$B$4:$B$6,0),MATCH('Rekomendasi HAV'!I514,'9 Grid'!$D$2:$F$2,0)),"")</f>
        <v/>
      </c>
      <c r="K514" s="146" t="str">
        <f>IFERROR(INDEX('9 Grid'!$D$8:$F$8,1,MATCH('Rekomendasi HAV'!I514,'9 Grid'!$D$2:$F$2,0)),"")</f>
        <v>(ST) Within 12 - 18 month</v>
      </c>
      <c r="L514" s="146">
        <f>IF(ISNUMBER(SEARCH("EST",Assessment[[#This Row],[JOB TARGET]])),SUBSTITUTE(Assessment[[#This Row],[JOB TARGET]],"EST","DEV"),Assessment[[#This Row],[JOB TARGET]])</f>
        <v>0</v>
      </c>
      <c r="M514" s="146" t="str" cm="1">
        <f t="array" aca="1" ref="M514" ca="1">IF(Assessment[[#This Row],[JOB TARGET]]="","Job Target Kosong",IF(COUNT(IF('Data Assessment'!$N514:$Z514-OFFSET(Standar!$B$2,MATCH(Assessment[[#This Row],[JOB TARGET
(DEV)]],Standar[NAMA JABATAN],0)-1,1,1,13)&lt;0,1,""))&lt;=3,'9 Grid'!$B$4,IF(COUNT(IF('Data Assessment'!$N514:$Z514-OFFSET(Standar!$B$2,MATCH(Assessment[[#This Row],[JOB TARGET
(DEV)]],Standar[NAMA JABATAN],0)-1,1,1,13)&lt;0,1,""))&gt;=7,'9 Grid'!$B$6,'9 Grid'!$B$5)))</f>
        <v>Job Target Kosong</v>
      </c>
      <c r="N514" s="146" t="str">
        <f>IFERROR(IF(Data_Assessment[[#This Row],[IPP (3 YEARS AVERAGE)]]="","(IPP Belum Ada)",IF(Data_Assessment[[#This Row],[IPP (3 YEARS AVERAGE)]]&lt;2,'9 Grid'!$F$2,IF(Data_Assessment[[#This Row],[IPP (3 YEARS AVERAGE)]]&gt;=4,'9 Grid'!$D$2,'9 Grid'!$E$2))),"")</f>
        <v>Fully Competence Performance</v>
      </c>
      <c r="O514" s="146" t="str">
        <f ca="1">IFERROR(INDEX('9 Grid'!$D$4:$F$6,MATCH('Rekomendasi HAV'!M514,'9 Grid'!$B$4:$B$6,0),MATCH('Rekomendasi HAV'!N514,'9 Grid'!$D$2:$F$2,0)),"")</f>
        <v/>
      </c>
      <c r="P514" s="147" t="str">
        <f>IFERROR(INDEX('9 Grid'!$D$8:$F$8,1,MATCH('Rekomendasi HAV'!N514,'9 Grid'!$D$2:$F$2,0)),"")</f>
        <v>(ST) Within 12 - 18 month</v>
      </c>
    </row>
    <row r="515" spans="1:16" ht="28.5">
      <c r="A515" s="67">
        <v>514</v>
      </c>
      <c r="B515" s="68" t="str">
        <f>INDEX(Data_Assessment[],MATCH('Rekomendasi HAV'!$A515,Data_Assessment[[INDEX]:[INDEX]],0),MATCH('Rekomendasi HAV'!B$1,Data_Assessment[#Headers],0))</f>
        <v>Jaya Hartono</v>
      </c>
      <c r="C515" s="68" t="str">
        <f>INDEX(Data_Assessment[],MATCH('Rekomendasi HAV'!$A515,Data_Assessment[[INDEX]:[INDEX]],0),MATCH('Rekomendasi HAV'!C$1,Data_Assessment[#Headers],0))</f>
        <v>Sumatera Selatan</v>
      </c>
      <c r="D515" s="68" t="str">
        <f>INDEX(Data_Assessment[],MATCH('Rekomendasi HAV'!$A515,Data_Assessment[[INDEX]:[INDEX]],0),MATCH('Rekomendasi HAV'!D$1,Data_Assessment[#Headers],0))</f>
        <v>LSIP - Belani Elok Estate</v>
      </c>
      <c r="E515" s="68">
        <f>INDEX(Data_Assessment[],MATCH('Rekomendasi HAV'!$B515,Data_Assessment[[NAME]:[NAME]],0),MATCH('Rekomendasi HAV'!E$1,Data_Assessment[#Headers],0))</f>
        <v>0</v>
      </c>
      <c r="F515" s="68"/>
      <c r="G515" s="68">
        <f>IF(ISNUMBER(SEARCH("DEV",Assessment[[#This Row],[JOB TARGET]])),SUBSTITUTE(Assessment[[#This Row],[JOB TARGET]],"DEV","EST"),Assessment[[#This Row],[JOB TARGET]])</f>
        <v>0</v>
      </c>
      <c r="H515" s="146" t="str" cm="1">
        <f t="array" aca="1" ref="H515" ca="1">IF(Assessment[[#This Row],[JOB TARGET]]="","Job Target Kosong",IF(COUNT(IF('Data Assessment'!$N515:$Z515-OFFSET(Standar!$B$2,MATCH(Assessment[[#This Row],[JOB TARGET
(EST)]],Standar[NAMA JABATAN],0)-1,1,1,13)&lt;0,1,""))&lt;=3,'9 Grid'!$B$4,IF(COUNT(IF('Data Assessment'!$N515:$Z515-OFFSET(Standar!$B$2,MATCH(Assessment[[#This Row],[JOB TARGET]],Standar[NAMA JABATAN],0)-1,1,1,13)&lt;0,1,""))&gt;=7,'9 Grid'!$B$6,'9 Grid'!$B$5)))</f>
        <v>Job Target Kosong</v>
      </c>
      <c r="I515" s="146" t="str">
        <f>IFERROR(IF(Data_Assessment[[#This Row],[IPP (3 YEARS AVERAGE)]]="","(IPP Belum Ada)",IF(Data_Assessment[[#This Row],[IPP (3 YEARS AVERAGE)]]&lt;2,'9 Grid'!$F$2,IF(Data_Assessment[[#This Row],[IPP (3 YEARS AVERAGE)]]&gt;=4,'9 Grid'!$D$2,'9 Grid'!$E$2))),"")</f>
        <v>Fully Competence Performance</v>
      </c>
      <c r="J515" s="146" t="str">
        <f ca="1">IFERROR(INDEX('9 Grid'!$D$4:$F$6,MATCH('Rekomendasi HAV'!H515,'9 Grid'!$B$4:$B$6,0),MATCH('Rekomendasi HAV'!I515,'9 Grid'!$D$2:$F$2,0)),"")</f>
        <v/>
      </c>
      <c r="K515" s="146" t="str">
        <f>IFERROR(INDEX('9 Grid'!$D$8:$F$8,1,MATCH('Rekomendasi HAV'!I515,'9 Grid'!$D$2:$F$2,0)),"")</f>
        <v>(ST) Within 12 - 18 month</v>
      </c>
      <c r="L515" s="146">
        <f>IF(ISNUMBER(SEARCH("EST",Assessment[[#This Row],[JOB TARGET]])),SUBSTITUTE(Assessment[[#This Row],[JOB TARGET]],"EST","DEV"),Assessment[[#This Row],[JOB TARGET]])</f>
        <v>0</v>
      </c>
      <c r="M515" s="146" t="str" cm="1">
        <f t="array" aca="1" ref="M515" ca="1">IF(Assessment[[#This Row],[JOB TARGET]]="","Job Target Kosong",IF(COUNT(IF('Data Assessment'!$N515:$Z515-OFFSET(Standar!$B$2,MATCH(Assessment[[#This Row],[JOB TARGET
(DEV)]],Standar[NAMA JABATAN],0)-1,1,1,13)&lt;0,1,""))&lt;=3,'9 Grid'!$B$4,IF(COUNT(IF('Data Assessment'!$N515:$Z515-OFFSET(Standar!$B$2,MATCH(Assessment[[#This Row],[JOB TARGET
(DEV)]],Standar[NAMA JABATAN],0)-1,1,1,13)&lt;0,1,""))&gt;=7,'9 Grid'!$B$6,'9 Grid'!$B$5)))</f>
        <v>Job Target Kosong</v>
      </c>
      <c r="N515" s="146" t="str">
        <f>IFERROR(IF(Data_Assessment[[#This Row],[IPP (3 YEARS AVERAGE)]]="","(IPP Belum Ada)",IF(Data_Assessment[[#This Row],[IPP (3 YEARS AVERAGE)]]&lt;2,'9 Grid'!$F$2,IF(Data_Assessment[[#This Row],[IPP (3 YEARS AVERAGE)]]&gt;=4,'9 Grid'!$D$2,'9 Grid'!$E$2))),"")</f>
        <v>Fully Competence Performance</v>
      </c>
      <c r="O515" s="146" t="str">
        <f ca="1">IFERROR(INDEX('9 Grid'!$D$4:$F$6,MATCH('Rekomendasi HAV'!M515,'9 Grid'!$B$4:$B$6,0),MATCH('Rekomendasi HAV'!N515,'9 Grid'!$D$2:$F$2,0)),"")</f>
        <v/>
      </c>
      <c r="P515" s="147" t="str">
        <f>IFERROR(INDEX('9 Grid'!$D$8:$F$8,1,MATCH('Rekomendasi HAV'!N515,'9 Grid'!$D$2:$F$2,0)),"")</f>
        <v>(ST) Within 12 - 18 month</v>
      </c>
    </row>
    <row r="516" spans="1:16" ht="28.5">
      <c r="A516" s="67">
        <v>515</v>
      </c>
      <c r="B516" s="68" t="str">
        <f>INDEX(Data_Assessment[],MATCH('Rekomendasi HAV'!$A516,Data_Assessment[[INDEX]:[INDEX]],0),MATCH('Rekomendasi HAV'!B$1,Data_Assessment[#Headers],0))</f>
        <v>Rinaldi, Ir.</v>
      </c>
      <c r="C516" s="68" t="str">
        <f>INDEX(Data_Assessment[],MATCH('Rekomendasi HAV'!$A516,Data_Assessment[[INDEX]:[INDEX]],0),MATCH('Rekomendasi HAV'!C$1,Data_Assessment[#Headers],0))</f>
        <v>Sumatera Selatan</v>
      </c>
      <c r="D516" s="68" t="str">
        <f>INDEX(Data_Assessment[],MATCH('Rekomendasi HAV'!$A516,Data_Assessment[[INDEX]:[INDEX]],0),MATCH('Rekomendasi HAV'!D$1,Data_Assessment[#Headers],0))</f>
        <v>LSIP - Belani Elok Estate</v>
      </c>
      <c r="E516" s="68">
        <f>INDEX(Data_Assessment[],MATCH('Rekomendasi HAV'!$B516,Data_Assessment[[NAME]:[NAME]],0),MATCH('Rekomendasi HAV'!E$1,Data_Assessment[#Headers],0))</f>
        <v>0</v>
      </c>
      <c r="F516" s="68"/>
      <c r="G516" s="68">
        <f>IF(ISNUMBER(SEARCH("DEV",Assessment[[#This Row],[JOB TARGET]])),SUBSTITUTE(Assessment[[#This Row],[JOB TARGET]],"DEV","EST"),Assessment[[#This Row],[JOB TARGET]])</f>
        <v>0</v>
      </c>
      <c r="H516" s="146" t="str" cm="1">
        <f t="array" aca="1" ref="H516" ca="1">IF(Assessment[[#This Row],[JOB TARGET]]="","Job Target Kosong",IF(COUNT(IF('Data Assessment'!$N516:$Z516-OFFSET(Standar!$B$2,MATCH(Assessment[[#This Row],[JOB TARGET
(EST)]],Standar[NAMA JABATAN],0)-1,1,1,13)&lt;0,1,""))&lt;=3,'9 Grid'!$B$4,IF(COUNT(IF('Data Assessment'!$N516:$Z516-OFFSET(Standar!$B$2,MATCH(Assessment[[#This Row],[JOB TARGET]],Standar[NAMA JABATAN],0)-1,1,1,13)&lt;0,1,""))&gt;=7,'9 Grid'!$B$6,'9 Grid'!$B$5)))</f>
        <v>Job Target Kosong</v>
      </c>
      <c r="I516" s="146" t="str">
        <f>IFERROR(IF(Data_Assessment[[#This Row],[IPP (3 YEARS AVERAGE)]]="","(IPP Belum Ada)",IF(Data_Assessment[[#This Row],[IPP (3 YEARS AVERAGE)]]&lt;2,'9 Grid'!$F$2,IF(Data_Assessment[[#This Row],[IPP (3 YEARS AVERAGE)]]&gt;=4,'9 Grid'!$D$2,'9 Grid'!$E$2))),"")</f>
        <v>Fully Competence Performance</v>
      </c>
      <c r="J516" s="146" t="str">
        <f ca="1">IFERROR(INDEX('9 Grid'!$D$4:$F$6,MATCH('Rekomendasi HAV'!H516,'9 Grid'!$B$4:$B$6,0),MATCH('Rekomendasi HAV'!I516,'9 Grid'!$D$2:$F$2,0)),"")</f>
        <v/>
      </c>
      <c r="K516" s="146" t="str">
        <f>IFERROR(INDEX('9 Grid'!$D$8:$F$8,1,MATCH('Rekomendasi HAV'!I516,'9 Grid'!$D$2:$F$2,0)),"")</f>
        <v>(ST) Within 12 - 18 month</v>
      </c>
      <c r="L516" s="146">
        <f>IF(ISNUMBER(SEARCH("EST",Assessment[[#This Row],[JOB TARGET]])),SUBSTITUTE(Assessment[[#This Row],[JOB TARGET]],"EST","DEV"),Assessment[[#This Row],[JOB TARGET]])</f>
        <v>0</v>
      </c>
      <c r="M516" s="146" t="str" cm="1">
        <f t="array" aca="1" ref="M516" ca="1">IF(Assessment[[#This Row],[JOB TARGET]]="","Job Target Kosong",IF(COUNT(IF('Data Assessment'!$N516:$Z516-OFFSET(Standar!$B$2,MATCH(Assessment[[#This Row],[JOB TARGET
(DEV)]],Standar[NAMA JABATAN],0)-1,1,1,13)&lt;0,1,""))&lt;=3,'9 Grid'!$B$4,IF(COUNT(IF('Data Assessment'!$N516:$Z516-OFFSET(Standar!$B$2,MATCH(Assessment[[#This Row],[JOB TARGET
(DEV)]],Standar[NAMA JABATAN],0)-1,1,1,13)&lt;0,1,""))&gt;=7,'9 Grid'!$B$6,'9 Grid'!$B$5)))</f>
        <v>Job Target Kosong</v>
      </c>
      <c r="N516" s="146" t="str">
        <f>IFERROR(IF(Data_Assessment[[#This Row],[IPP (3 YEARS AVERAGE)]]="","(IPP Belum Ada)",IF(Data_Assessment[[#This Row],[IPP (3 YEARS AVERAGE)]]&lt;2,'9 Grid'!$F$2,IF(Data_Assessment[[#This Row],[IPP (3 YEARS AVERAGE)]]&gt;=4,'9 Grid'!$D$2,'9 Grid'!$E$2))),"")</f>
        <v>Fully Competence Performance</v>
      </c>
      <c r="O516" s="146" t="str">
        <f ca="1">IFERROR(INDEX('9 Grid'!$D$4:$F$6,MATCH('Rekomendasi HAV'!M516,'9 Grid'!$B$4:$B$6,0),MATCH('Rekomendasi HAV'!N516,'9 Grid'!$D$2:$F$2,0)),"")</f>
        <v/>
      </c>
      <c r="P516" s="147" t="str">
        <f>IFERROR(INDEX('9 Grid'!$D$8:$F$8,1,MATCH('Rekomendasi HAV'!N516,'9 Grid'!$D$2:$F$2,0)),"")</f>
        <v>(ST) Within 12 - 18 month</v>
      </c>
    </row>
    <row r="517" spans="1:16" ht="28.5">
      <c r="A517" s="67">
        <v>516</v>
      </c>
      <c r="B517" s="68" t="str">
        <f>INDEX(Data_Assessment[],MATCH('Rekomendasi HAV'!$A517,Data_Assessment[[INDEX]:[INDEX]],0),MATCH('Rekomendasi HAV'!B$1,Data_Assessment[#Headers],0))</f>
        <v>Gusmara Hakim</v>
      </c>
      <c r="C517" s="68" t="str">
        <f>INDEX(Data_Assessment[],MATCH('Rekomendasi HAV'!$A517,Data_Assessment[[INDEX]:[INDEX]],0),MATCH('Rekomendasi HAV'!C$1,Data_Assessment[#Headers],0))</f>
        <v>Sumatera Utara</v>
      </c>
      <c r="D517" s="68" t="str">
        <f>INDEX(Data_Assessment[],MATCH('Rekomendasi HAV'!$A517,Data_Assessment[[INDEX]:[INDEX]],0),MATCH('Rekomendasi HAV'!D$1,Data_Assessment[#Headers],0))</f>
        <v>LSIP - Rambong Sialang Estate</v>
      </c>
      <c r="E517" s="68">
        <f>INDEX(Data_Assessment[],MATCH('Rekomendasi HAV'!$B517,Data_Assessment[[NAME]:[NAME]],0),MATCH('Rekomendasi HAV'!E$1,Data_Assessment[#Headers],0))</f>
        <v>0</v>
      </c>
      <c r="F517" s="68"/>
      <c r="G517" s="68">
        <f>IF(ISNUMBER(SEARCH("DEV",Assessment[[#This Row],[JOB TARGET]])),SUBSTITUTE(Assessment[[#This Row],[JOB TARGET]],"DEV","EST"),Assessment[[#This Row],[JOB TARGET]])</f>
        <v>0</v>
      </c>
      <c r="H517" s="146" t="str" cm="1">
        <f t="array" aca="1" ref="H517" ca="1">IF(Assessment[[#This Row],[JOB TARGET]]="","Job Target Kosong",IF(COUNT(IF('Data Assessment'!$N517:$Z517-OFFSET(Standar!$B$2,MATCH(Assessment[[#This Row],[JOB TARGET
(EST)]],Standar[NAMA JABATAN],0)-1,1,1,13)&lt;0,1,""))&lt;=3,'9 Grid'!$B$4,IF(COUNT(IF('Data Assessment'!$N517:$Z517-OFFSET(Standar!$B$2,MATCH(Assessment[[#This Row],[JOB TARGET]],Standar[NAMA JABATAN],0)-1,1,1,13)&lt;0,1,""))&gt;=7,'9 Grid'!$B$6,'9 Grid'!$B$5)))</f>
        <v>Job Target Kosong</v>
      </c>
      <c r="I517" s="146" t="str">
        <f>IFERROR(IF(Data_Assessment[[#This Row],[IPP (3 YEARS AVERAGE)]]="","(IPP Belum Ada)",IF(Data_Assessment[[#This Row],[IPP (3 YEARS AVERAGE)]]&lt;2,'9 Grid'!$F$2,IF(Data_Assessment[[#This Row],[IPP (3 YEARS AVERAGE)]]&gt;=4,'9 Grid'!$D$2,'9 Grid'!$E$2))),"")</f>
        <v>Fully Competence Performance</v>
      </c>
      <c r="J517" s="146" t="str">
        <f ca="1">IFERROR(INDEX('9 Grid'!$D$4:$F$6,MATCH('Rekomendasi HAV'!H517,'9 Grid'!$B$4:$B$6,0),MATCH('Rekomendasi HAV'!I517,'9 Grid'!$D$2:$F$2,0)),"")</f>
        <v/>
      </c>
      <c r="K517" s="146" t="str">
        <f>IFERROR(INDEX('9 Grid'!$D$8:$F$8,1,MATCH('Rekomendasi HAV'!I517,'9 Grid'!$D$2:$F$2,0)),"")</f>
        <v>(ST) Within 12 - 18 month</v>
      </c>
      <c r="L517" s="146">
        <f>IF(ISNUMBER(SEARCH("EST",Assessment[[#This Row],[JOB TARGET]])),SUBSTITUTE(Assessment[[#This Row],[JOB TARGET]],"EST","DEV"),Assessment[[#This Row],[JOB TARGET]])</f>
        <v>0</v>
      </c>
      <c r="M517" s="146" t="str" cm="1">
        <f t="array" aca="1" ref="M517" ca="1">IF(Assessment[[#This Row],[JOB TARGET]]="","Job Target Kosong",IF(COUNT(IF('Data Assessment'!$N517:$Z517-OFFSET(Standar!$B$2,MATCH(Assessment[[#This Row],[JOB TARGET
(DEV)]],Standar[NAMA JABATAN],0)-1,1,1,13)&lt;0,1,""))&lt;=3,'9 Grid'!$B$4,IF(COUNT(IF('Data Assessment'!$N517:$Z517-OFFSET(Standar!$B$2,MATCH(Assessment[[#This Row],[JOB TARGET
(DEV)]],Standar[NAMA JABATAN],0)-1,1,1,13)&lt;0,1,""))&gt;=7,'9 Grid'!$B$6,'9 Grid'!$B$5)))</f>
        <v>Job Target Kosong</v>
      </c>
      <c r="N517" s="146" t="str">
        <f>IFERROR(IF(Data_Assessment[[#This Row],[IPP (3 YEARS AVERAGE)]]="","(IPP Belum Ada)",IF(Data_Assessment[[#This Row],[IPP (3 YEARS AVERAGE)]]&lt;2,'9 Grid'!$F$2,IF(Data_Assessment[[#This Row],[IPP (3 YEARS AVERAGE)]]&gt;=4,'9 Grid'!$D$2,'9 Grid'!$E$2))),"")</f>
        <v>Fully Competence Performance</v>
      </c>
      <c r="O517" s="146" t="str">
        <f ca="1">IFERROR(INDEX('9 Grid'!$D$4:$F$6,MATCH('Rekomendasi HAV'!M517,'9 Grid'!$B$4:$B$6,0),MATCH('Rekomendasi HAV'!N517,'9 Grid'!$D$2:$F$2,0)),"")</f>
        <v/>
      </c>
      <c r="P517" s="147" t="str">
        <f>IFERROR(INDEX('9 Grid'!$D$8:$F$8,1,MATCH('Rekomendasi HAV'!N517,'9 Grid'!$D$2:$F$2,0)),"")</f>
        <v>(ST) Within 12 - 18 month</v>
      </c>
    </row>
    <row r="518" spans="1:16" ht="28.5">
      <c r="A518" s="67">
        <v>517</v>
      </c>
      <c r="B518" s="68" t="str">
        <f>INDEX(Data_Assessment[],MATCH('Rekomendasi HAV'!$A518,Data_Assessment[[INDEX]:[INDEX]],0),MATCH('Rekomendasi HAV'!B$1,Data_Assessment[#Headers],0))</f>
        <v>Agus Triyanto</v>
      </c>
      <c r="C518" s="68" t="str">
        <f>INDEX(Data_Assessment[],MATCH('Rekomendasi HAV'!$A518,Data_Assessment[[INDEX]:[INDEX]],0),MATCH('Rekomendasi HAV'!C$1,Data_Assessment[#Headers],0))</f>
        <v>Sumatera Selatan</v>
      </c>
      <c r="D518" s="68" t="str">
        <f>INDEX(Data_Assessment[],MATCH('Rekomendasi HAV'!$A518,Data_Assessment[[INDEX]:[INDEX]],0),MATCH('Rekomendasi HAV'!D$1,Data_Assessment[#Headers],0))</f>
        <v>LSIP - Belani Elok Estate</v>
      </c>
      <c r="E518" s="68">
        <f>INDEX(Data_Assessment[],MATCH('Rekomendasi HAV'!$B518,Data_Assessment[[NAME]:[NAME]],0),MATCH('Rekomendasi HAV'!E$1,Data_Assessment[#Headers],0))</f>
        <v>0</v>
      </c>
      <c r="F518" s="68"/>
      <c r="G518" s="68">
        <f>IF(ISNUMBER(SEARCH("DEV",Assessment[[#This Row],[JOB TARGET]])),SUBSTITUTE(Assessment[[#This Row],[JOB TARGET]],"DEV","EST"),Assessment[[#This Row],[JOB TARGET]])</f>
        <v>0</v>
      </c>
      <c r="H518" s="146" t="str" cm="1">
        <f t="array" aca="1" ref="H518" ca="1">IF(Assessment[[#This Row],[JOB TARGET]]="","Job Target Kosong",IF(COUNT(IF('Data Assessment'!$N518:$Z518-OFFSET(Standar!$B$2,MATCH(Assessment[[#This Row],[JOB TARGET
(EST)]],Standar[NAMA JABATAN],0)-1,1,1,13)&lt;0,1,""))&lt;=3,'9 Grid'!$B$4,IF(COUNT(IF('Data Assessment'!$N518:$Z518-OFFSET(Standar!$B$2,MATCH(Assessment[[#This Row],[JOB TARGET]],Standar[NAMA JABATAN],0)-1,1,1,13)&lt;0,1,""))&gt;=7,'9 Grid'!$B$6,'9 Grid'!$B$5)))</f>
        <v>Job Target Kosong</v>
      </c>
      <c r="I518" s="146" t="str">
        <f>IFERROR(IF(Data_Assessment[[#This Row],[IPP (3 YEARS AVERAGE)]]="","(IPP Belum Ada)",IF(Data_Assessment[[#This Row],[IPP (3 YEARS AVERAGE)]]&lt;2,'9 Grid'!$F$2,IF(Data_Assessment[[#This Row],[IPP (3 YEARS AVERAGE)]]&gt;=4,'9 Grid'!$D$2,'9 Grid'!$E$2))),"")</f>
        <v>Fully Competence Performance</v>
      </c>
      <c r="J518" s="146" t="str">
        <f ca="1">IFERROR(INDEX('9 Grid'!$D$4:$F$6,MATCH('Rekomendasi HAV'!H518,'9 Grid'!$B$4:$B$6,0),MATCH('Rekomendasi HAV'!I518,'9 Grid'!$D$2:$F$2,0)),"")</f>
        <v/>
      </c>
      <c r="K518" s="146" t="str">
        <f>IFERROR(INDEX('9 Grid'!$D$8:$F$8,1,MATCH('Rekomendasi HAV'!I518,'9 Grid'!$D$2:$F$2,0)),"")</f>
        <v>(ST) Within 12 - 18 month</v>
      </c>
      <c r="L518" s="146">
        <f>IF(ISNUMBER(SEARCH("EST",Assessment[[#This Row],[JOB TARGET]])),SUBSTITUTE(Assessment[[#This Row],[JOB TARGET]],"EST","DEV"),Assessment[[#This Row],[JOB TARGET]])</f>
        <v>0</v>
      </c>
      <c r="M518" s="146" t="str" cm="1">
        <f t="array" aca="1" ref="M518" ca="1">IF(Assessment[[#This Row],[JOB TARGET]]="","Job Target Kosong",IF(COUNT(IF('Data Assessment'!$N518:$Z518-OFFSET(Standar!$B$2,MATCH(Assessment[[#This Row],[JOB TARGET
(DEV)]],Standar[NAMA JABATAN],0)-1,1,1,13)&lt;0,1,""))&lt;=3,'9 Grid'!$B$4,IF(COUNT(IF('Data Assessment'!$N518:$Z518-OFFSET(Standar!$B$2,MATCH(Assessment[[#This Row],[JOB TARGET
(DEV)]],Standar[NAMA JABATAN],0)-1,1,1,13)&lt;0,1,""))&gt;=7,'9 Grid'!$B$6,'9 Grid'!$B$5)))</f>
        <v>Job Target Kosong</v>
      </c>
      <c r="N518" s="146" t="str">
        <f>IFERROR(IF(Data_Assessment[[#This Row],[IPP (3 YEARS AVERAGE)]]="","(IPP Belum Ada)",IF(Data_Assessment[[#This Row],[IPP (3 YEARS AVERAGE)]]&lt;2,'9 Grid'!$F$2,IF(Data_Assessment[[#This Row],[IPP (3 YEARS AVERAGE)]]&gt;=4,'9 Grid'!$D$2,'9 Grid'!$E$2))),"")</f>
        <v>Fully Competence Performance</v>
      </c>
      <c r="O518" s="146" t="str">
        <f ca="1">IFERROR(INDEX('9 Grid'!$D$4:$F$6,MATCH('Rekomendasi HAV'!M518,'9 Grid'!$B$4:$B$6,0),MATCH('Rekomendasi HAV'!N518,'9 Grid'!$D$2:$F$2,0)),"")</f>
        <v/>
      </c>
      <c r="P518" s="147" t="str">
        <f>IFERROR(INDEX('9 Grid'!$D$8:$F$8,1,MATCH('Rekomendasi HAV'!N518,'9 Grid'!$D$2:$F$2,0)),"")</f>
        <v>(ST) Within 12 - 18 month</v>
      </c>
    </row>
    <row r="519" spans="1:16" ht="28.5">
      <c r="A519" s="67">
        <v>518</v>
      </c>
      <c r="B519" s="68" t="str">
        <f>INDEX(Data_Assessment[],MATCH('Rekomendasi HAV'!$A519,Data_Assessment[[INDEX]:[INDEX]],0),MATCH('Rekomendasi HAV'!B$1,Data_Assessment[#Headers],0))</f>
        <v>Jasarlim Sinaga, Ir.</v>
      </c>
      <c r="C519" s="68" t="str">
        <f>INDEX(Data_Assessment[],MATCH('Rekomendasi HAV'!$A519,Data_Assessment[[INDEX]:[INDEX]],0),MATCH('Rekomendasi HAV'!C$1,Data_Assessment[#Headers],0))</f>
        <v>Sumatera Selatan</v>
      </c>
      <c r="D519" s="68" t="str">
        <f>INDEX(Data_Assessment[],MATCH('Rekomendasi HAV'!$A519,Data_Assessment[[INDEX]:[INDEX]],0),MATCH('Rekomendasi HAV'!D$1,Data_Assessment[#Headers],0))</f>
        <v>LSIP - Tulung Gelam Estate</v>
      </c>
      <c r="E519" s="68">
        <f>INDEX(Data_Assessment[],MATCH('Rekomendasi HAV'!$B519,Data_Assessment[[NAME]:[NAME]],0),MATCH('Rekomendasi HAV'!E$1,Data_Assessment[#Headers],0))</f>
        <v>0</v>
      </c>
      <c r="F519" s="68"/>
      <c r="G519" s="68">
        <f>IF(ISNUMBER(SEARCH("DEV",Assessment[[#This Row],[JOB TARGET]])),SUBSTITUTE(Assessment[[#This Row],[JOB TARGET]],"DEV","EST"),Assessment[[#This Row],[JOB TARGET]])</f>
        <v>0</v>
      </c>
      <c r="H519" s="146" t="str" cm="1">
        <f t="array" aca="1" ref="H519" ca="1">IF(Assessment[[#This Row],[JOB TARGET]]="","Job Target Kosong",IF(COUNT(IF('Data Assessment'!$N519:$Z519-OFFSET(Standar!$B$2,MATCH(Assessment[[#This Row],[JOB TARGET
(EST)]],Standar[NAMA JABATAN],0)-1,1,1,13)&lt;0,1,""))&lt;=3,'9 Grid'!$B$4,IF(COUNT(IF('Data Assessment'!$N519:$Z519-OFFSET(Standar!$B$2,MATCH(Assessment[[#This Row],[JOB TARGET]],Standar[NAMA JABATAN],0)-1,1,1,13)&lt;0,1,""))&gt;=7,'9 Grid'!$B$6,'9 Grid'!$B$5)))</f>
        <v>Job Target Kosong</v>
      </c>
      <c r="I519" s="146" t="str">
        <f>IFERROR(IF(Data_Assessment[[#This Row],[IPP (3 YEARS AVERAGE)]]="","(IPP Belum Ada)",IF(Data_Assessment[[#This Row],[IPP (3 YEARS AVERAGE)]]&lt;2,'9 Grid'!$F$2,IF(Data_Assessment[[#This Row],[IPP (3 YEARS AVERAGE)]]&gt;=4,'9 Grid'!$D$2,'9 Grid'!$E$2))),"")</f>
        <v>Fully Competence Performance</v>
      </c>
      <c r="J519" s="146" t="str">
        <f ca="1">IFERROR(INDEX('9 Grid'!$D$4:$F$6,MATCH('Rekomendasi HAV'!H519,'9 Grid'!$B$4:$B$6,0),MATCH('Rekomendasi HAV'!I519,'9 Grid'!$D$2:$F$2,0)),"")</f>
        <v/>
      </c>
      <c r="K519" s="146" t="str">
        <f>IFERROR(INDEX('9 Grid'!$D$8:$F$8,1,MATCH('Rekomendasi HAV'!I519,'9 Grid'!$D$2:$F$2,0)),"")</f>
        <v>(ST) Within 12 - 18 month</v>
      </c>
      <c r="L519" s="146">
        <f>IF(ISNUMBER(SEARCH("EST",Assessment[[#This Row],[JOB TARGET]])),SUBSTITUTE(Assessment[[#This Row],[JOB TARGET]],"EST","DEV"),Assessment[[#This Row],[JOB TARGET]])</f>
        <v>0</v>
      </c>
      <c r="M519" s="146" t="str" cm="1">
        <f t="array" aca="1" ref="M519" ca="1">IF(Assessment[[#This Row],[JOB TARGET]]="","Job Target Kosong",IF(COUNT(IF('Data Assessment'!$N519:$Z519-OFFSET(Standar!$B$2,MATCH(Assessment[[#This Row],[JOB TARGET
(DEV)]],Standar[NAMA JABATAN],0)-1,1,1,13)&lt;0,1,""))&lt;=3,'9 Grid'!$B$4,IF(COUNT(IF('Data Assessment'!$N519:$Z519-OFFSET(Standar!$B$2,MATCH(Assessment[[#This Row],[JOB TARGET
(DEV)]],Standar[NAMA JABATAN],0)-1,1,1,13)&lt;0,1,""))&gt;=7,'9 Grid'!$B$6,'9 Grid'!$B$5)))</f>
        <v>Job Target Kosong</v>
      </c>
      <c r="N519" s="146" t="str">
        <f>IFERROR(IF(Data_Assessment[[#This Row],[IPP (3 YEARS AVERAGE)]]="","(IPP Belum Ada)",IF(Data_Assessment[[#This Row],[IPP (3 YEARS AVERAGE)]]&lt;2,'9 Grid'!$F$2,IF(Data_Assessment[[#This Row],[IPP (3 YEARS AVERAGE)]]&gt;=4,'9 Grid'!$D$2,'9 Grid'!$E$2))),"")</f>
        <v>Fully Competence Performance</v>
      </c>
      <c r="O519" s="146" t="str">
        <f ca="1">IFERROR(INDEX('9 Grid'!$D$4:$F$6,MATCH('Rekomendasi HAV'!M519,'9 Grid'!$B$4:$B$6,0),MATCH('Rekomendasi HAV'!N519,'9 Grid'!$D$2:$F$2,0)),"")</f>
        <v/>
      </c>
      <c r="P519" s="147" t="str">
        <f>IFERROR(INDEX('9 Grid'!$D$8:$F$8,1,MATCH('Rekomendasi HAV'!N519,'9 Grid'!$D$2:$F$2,0)),"")</f>
        <v>(ST) Within 12 - 18 month</v>
      </c>
    </row>
    <row r="520" spans="1:16" ht="28.5">
      <c r="A520" s="67">
        <v>519</v>
      </c>
      <c r="B520" s="68" t="str">
        <f>INDEX(Data_Assessment[],MATCH('Rekomendasi HAV'!$A520,Data_Assessment[[INDEX]:[INDEX]],0),MATCH('Rekomendasi HAV'!B$1,Data_Assessment[#Headers],0))</f>
        <v>Albert Sembiring, Ir.</v>
      </c>
      <c r="C520" s="68" t="str">
        <f>INDEX(Data_Assessment[],MATCH('Rekomendasi HAV'!$A520,Data_Assessment[[INDEX]:[INDEX]],0),MATCH('Rekomendasi HAV'!C$1,Data_Assessment[#Headers],0))</f>
        <v>Sumatera Selatan</v>
      </c>
      <c r="D520" s="68" t="str">
        <f>INDEX(Data_Assessment[],MATCH('Rekomendasi HAV'!$A520,Data_Assessment[[INDEX]:[INDEX]],0),MATCH('Rekomendasi HAV'!D$1,Data_Assessment[#Headers],0))</f>
        <v>LSIP - Tulung Gelam Estate</v>
      </c>
      <c r="E520" s="68">
        <f>INDEX(Data_Assessment[],MATCH('Rekomendasi HAV'!$B520,Data_Assessment[[NAME]:[NAME]],0),MATCH('Rekomendasi HAV'!E$1,Data_Assessment[#Headers],0))</f>
        <v>0</v>
      </c>
      <c r="F520" s="68"/>
      <c r="G520" s="68">
        <f>IF(ISNUMBER(SEARCH("DEV",Assessment[[#This Row],[JOB TARGET]])),SUBSTITUTE(Assessment[[#This Row],[JOB TARGET]],"DEV","EST"),Assessment[[#This Row],[JOB TARGET]])</f>
        <v>0</v>
      </c>
      <c r="H520" s="146" t="str" cm="1">
        <f t="array" aca="1" ref="H520" ca="1">IF(Assessment[[#This Row],[JOB TARGET]]="","Job Target Kosong",IF(COUNT(IF('Data Assessment'!$N520:$Z520-OFFSET(Standar!$B$2,MATCH(Assessment[[#This Row],[JOB TARGET
(EST)]],Standar[NAMA JABATAN],0)-1,1,1,13)&lt;0,1,""))&lt;=3,'9 Grid'!$B$4,IF(COUNT(IF('Data Assessment'!$N520:$Z520-OFFSET(Standar!$B$2,MATCH(Assessment[[#This Row],[JOB TARGET]],Standar[NAMA JABATAN],0)-1,1,1,13)&lt;0,1,""))&gt;=7,'9 Grid'!$B$6,'9 Grid'!$B$5)))</f>
        <v>Job Target Kosong</v>
      </c>
      <c r="I520" s="146" t="str">
        <f>IFERROR(IF(Data_Assessment[[#This Row],[IPP (3 YEARS AVERAGE)]]="","(IPP Belum Ada)",IF(Data_Assessment[[#This Row],[IPP (3 YEARS AVERAGE)]]&lt;2,'9 Grid'!$F$2,IF(Data_Assessment[[#This Row],[IPP (3 YEARS AVERAGE)]]&gt;=4,'9 Grid'!$D$2,'9 Grid'!$E$2))),"")</f>
        <v>Fully Competence Performance</v>
      </c>
      <c r="J520" s="146" t="str">
        <f ca="1">IFERROR(INDEX('9 Grid'!$D$4:$F$6,MATCH('Rekomendasi HAV'!H520,'9 Grid'!$B$4:$B$6,0),MATCH('Rekomendasi HAV'!I520,'9 Grid'!$D$2:$F$2,0)),"")</f>
        <v/>
      </c>
      <c r="K520" s="146" t="str">
        <f>IFERROR(INDEX('9 Grid'!$D$8:$F$8,1,MATCH('Rekomendasi HAV'!I520,'9 Grid'!$D$2:$F$2,0)),"")</f>
        <v>(ST) Within 12 - 18 month</v>
      </c>
      <c r="L520" s="146">
        <f>IF(ISNUMBER(SEARCH("EST",Assessment[[#This Row],[JOB TARGET]])),SUBSTITUTE(Assessment[[#This Row],[JOB TARGET]],"EST","DEV"),Assessment[[#This Row],[JOB TARGET]])</f>
        <v>0</v>
      </c>
      <c r="M520" s="146" t="str" cm="1">
        <f t="array" aca="1" ref="M520" ca="1">IF(Assessment[[#This Row],[JOB TARGET]]="","Job Target Kosong",IF(COUNT(IF('Data Assessment'!$N520:$Z520-OFFSET(Standar!$B$2,MATCH(Assessment[[#This Row],[JOB TARGET
(DEV)]],Standar[NAMA JABATAN],0)-1,1,1,13)&lt;0,1,""))&lt;=3,'9 Grid'!$B$4,IF(COUNT(IF('Data Assessment'!$N520:$Z520-OFFSET(Standar!$B$2,MATCH(Assessment[[#This Row],[JOB TARGET
(DEV)]],Standar[NAMA JABATAN],0)-1,1,1,13)&lt;0,1,""))&gt;=7,'9 Grid'!$B$6,'9 Grid'!$B$5)))</f>
        <v>Job Target Kosong</v>
      </c>
      <c r="N520" s="146" t="str">
        <f>IFERROR(IF(Data_Assessment[[#This Row],[IPP (3 YEARS AVERAGE)]]="","(IPP Belum Ada)",IF(Data_Assessment[[#This Row],[IPP (3 YEARS AVERAGE)]]&lt;2,'9 Grid'!$F$2,IF(Data_Assessment[[#This Row],[IPP (3 YEARS AVERAGE)]]&gt;=4,'9 Grid'!$D$2,'9 Grid'!$E$2))),"")</f>
        <v>Fully Competence Performance</v>
      </c>
      <c r="O520" s="146" t="str">
        <f ca="1">IFERROR(INDEX('9 Grid'!$D$4:$F$6,MATCH('Rekomendasi HAV'!M520,'9 Grid'!$B$4:$B$6,0),MATCH('Rekomendasi HAV'!N520,'9 Grid'!$D$2:$F$2,0)),"")</f>
        <v/>
      </c>
      <c r="P520" s="147" t="str">
        <f>IFERROR(INDEX('9 Grid'!$D$8:$F$8,1,MATCH('Rekomendasi HAV'!N520,'9 Grid'!$D$2:$F$2,0)),"")</f>
        <v>(ST) Within 12 - 18 month</v>
      </c>
    </row>
    <row r="521" spans="1:16" ht="28.5">
      <c r="A521" s="67">
        <v>520</v>
      </c>
      <c r="B521" s="68" t="str">
        <f>INDEX(Data_Assessment[],MATCH('Rekomendasi HAV'!$A521,Data_Assessment[[INDEX]:[INDEX]],0),MATCH('Rekomendasi HAV'!B$1,Data_Assessment[#Headers],0))</f>
        <v>Harianto Tarigan</v>
      </c>
      <c r="C521" s="68" t="str">
        <f>INDEX(Data_Assessment[],MATCH('Rekomendasi HAV'!$A521,Data_Assessment[[INDEX]:[INDEX]],0),MATCH('Rekomendasi HAV'!C$1,Data_Assessment[#Headers],0))</f>
        <v>Sumatera Utara</v>
      </c>
      <c r="D521" s="68" t="str">
        <f>INDEX(Data_Assessment[],MATCH('Rekomendasi HAV'!$A521,Data_Assessment[[INDEX]:[INDEX]],0),MATCH('Rekomendasi HAV'!D$1,Data_Assessment[#Headers],0))</f>
        <v>LSIP - Rambong Sialang Estate</v>
      </c>
      <c r="E521" s="68">
        <f>INDEX(Data_Assessment[],MATCH('Rekomendasi HAV'!$B521,Data_Assessment[[NAME]:[NAME]],0),MATCH('Rekomendasi HAV'!E$1,Data_Assessment[#Headers],0))</f>
        <v>0</v>
      </c>
      <c r="F521" s="68"/>
      <c r="G521" s="68">
        <f>IF(ISNUMBER(SEARCH("DEV",Assessment[[#This Row],[JOB TARGET]])),SUBSTITUTE(Assessment[[#This Row],[JOB TARGET]],"DEV","EST"),Assessment[[#This Row],[JOB TARGET]])</f>
        <v>0</v>
      </c>
      <c r="H521" s="146" t="str" cm="1">
        <f t="array" aca="1" ref="H521" ca="1">IF(Assessment[[#This Row],[JOB TARGET]]="","Job Target Kosong",IF(COUNT(IF('Data Assessment'!$N521:$Z521-OFFSET(Standar!$B$2,MATCH(Assessment[[#This Row],[JOB TARGET
(EST)]],Standar[NAMA JABATAN],0)-1,1,1,13)&lt;0,1,""))&lt;=3,'9 Grid'!$B$4,IF(COUNT(IF('Data Assessment'!$N521:$Z521-OFFSET(Standar!$B$2,MATCH(Assessment[[#This Row],[JOB TARGET]],Standar[NAMA JABATAN],0)-1,1,1,13)&lt;0,1,""))&gt;=7,'9 Grid'!$B$6,'9 Grid'!$B$5)))</f>
        <v>Job Target Kosong</v>
      </c>
      <c r="I521" s="146" t="str">
        <f>IFERROR(IF(Data_Assessment[[#This Row],[IPP (3 YEARS AVERAGE)]]="","(IPP Belum Ada)",IF(Data_Assessment[[#This Row],[IPP (3 YEARS AVERAGE)]]&lt;2,'9 Grid'!$F$2,IF(Data_Assessment[[#This Row],[IPP (3 YEARS AVERAGE)]]&gt;=4,'9 Grid'!$D$2,'9 Grid'!$E$2))),"")</f>
        <v>Fully Competence Performance</v>
      </c>
      <c r="J521" s="146" t="str">
        <f ca="1">IFERROR(INDEX('9 Grid'!$D$4:$F$6,MATCH('Rekomendasi HAV'!H521,'9 Grid'!$B$4:$B$6,0),MATCH('Rekomendasi HAV'!I521,'9 Grid'!$D$2:$F$2,0)),"")</f>
        <v/>
      </c>
      <c r="K521" s="146" t="str">
        <f>IFERROR(INDEX('9 Grid'!$D$8:$F$8,1,MATCH('Rekomendasi HAV'!I521,'9 Grid'!$D$2:$F$2,0)),"")</f>
        <v>(ST) Within 12 - 18 month</v>
      </c>
      <c r="L521" s="146">
        <f>IF(ISNUMBER(SEARCH("EST",Assessment[[#This Row],[JOB TARGET]])),SUBSTITUTE(Assessment[[#This Row],[JOB TARGET]],"EST","DEV"),Assessment[[#This Row],[JOB TARGET]])</f>
        <v>0</v>
      </c>
      <c r="M521" s="146" t="str" cm="1">
        <f t="array" aca="1" ref="M521" ca="1">IF(Assessment[[#This Row],[JOB TARGET]]="","Job Target Kosong",IF(COUNT(IF('Data Assessment'!$N521:$Z521-OFFSET(Standar!$B$2,MATCH(Assessment[[#This Row],[JOB TARGET
(DEV)]],Standar[NAMA JABATAN],0)-1,1,1,13)&lt;0,1,""))&lt;=3,'9 Grid'!$B$4,IF(COUNT(IF('Data Assessment'!$N521:$Z521-OFFSET(Standar!$B$2,MATCH(Assessment[[#This Row],[JOB TARGET
(DEV)]],Standar[NAMA JABATAN],0)-1,1,1,13)&lt;0,1,""))&gt;=7,'9 Grid'!$B$6,'9 Grid'!$B$5)))</f>
        <v>Job Target Kosong</v>
      </c>
      <c r="N521" s="146" t="str">
        <f>IFERROR(IF(Data_Assessment[[#This Row],[IPP (3 YEARS AVERAGE)]]="","(IPP Belum Ada)",IF(Data_Assessment[[#This Row],[IPP (3 YEARS AVERAGE)]]&lt;2,'9 Grid'!$F$2,IF(Data_Assessment[[#This Row],[IPP (3 YEARS AVERAGE)]]&gt;=4,'9 Grid'!$D$2,'9 Grid'!$E$2))),"")</f>
        <v>Fully Competence Performance</v>
      </c>
      <c r="O521" s="146" t="str">
        <f ca="1">IFERROR(INDEX('9 Grid'!$D$4:$F$6,MATCH('Rekomendasi HAV'!M521,'9 Grid'!$B$4:$B$6,0),MATCH('Rekomendasi HAV'!N521,'9 Grid'!$D$2:$F$2,0)),"")</f>
        <v/>
      </c>
      <c r="P521" s="147" t="str">
        <f>IFERROR(INDEX('9 Grid'!$D$8:$F$8,1,MATCH('Rekomendasi HAV'!N521,'9 Grid'!$D$2:$F$2,0)),"")</f>
        <v>(ST) Within 12 - 18 month</v>
      </c>
    </row>
    <row r="522" spans="1:16" ht="28.5">
      <c r="A522" s="67">
        <v>521</v>
      </c>
      <c r="B522" s="68" t="str">
        <f>INDEX(Data_Assessment[],MATCH('Rekomendasi HAV'!$A522,Data_Assessment[[INDEX]:[INDEX]],0),MATCH('Rekomendasi HAV'!B$1,Data_Assessment[#Headers],0))</f>
        <v>T.M. Hidayat</v>
      </c>
      <c r="C522" s="68" t="str">
        <f>INDEX(Data_Assessment[],MATCH('Rekomendasi HAV'!$A522,Data_Assessment[[INDEX]:[INDEX]],0),MATCH('Rekomendasi HAV'!C$1,Data_Assessment[#Headers],0))</f>
        <v>Sumatera Selatan</v>
      </c>
      <c r="D522" s="68" t="str">
        <f>INDEX(Data_Assessment[],MATCH('Rekomendasi HAV'!$A522,Data_Assessment[[INDEX]:[INDEX]],0),MATCH('Rekomendasi HAV'!D$1,Data_Assessment[#Headers],0))</f>
        <v>LSIP - Tulung Gelam Estate</v>
      </c>
      <c r="E522" s="68">
        <f>INDEX(Data_Assessment[],MATCH('Rekomendasi HAV'!$B522,Data_Assessment[[NAME]:[NAME]],0),MATCH('Rekomendasi HAV'!E$1,Data_Assessment[#Headers],0))</f>
        <v>0</v>
      </c>
      <c r="F522" s="68"/>
      <c r="G522" s="68">
        <f>IF(ISNUMBER(SEARCH("DEV",Assessment[[#This Row],[JOB TARGET]])),SUBSTITUTE(Assessment[[#This Row],[JOB TARGET]],"DEV","EST"),Assessment[[#This Row],[JOB TARGET]])</f>
        <v>0</v>
      </c>
      <c r="H522" s="146" t="str" cm="1">
        <f t="array" aca="1" ref="H522" ca="1">IF(Assessment[[#This Row],[JOB TARGET]]="","Job Target Kosong",IF(COUNT(IF('Data Assessment'!$N522:$Z522-OFFSET(Standar!$B$2,MATCH(Assessment[[#This Row],[JOB TARGET
(EST)]],Standar[NAMA JABATAN],0)-1,1,1,13)&lt;0,1,""))&lt;=3,'9 Grid'!$B$4,IF(COUNT(IF('Data Assessment'!$N522:$Z522-OFFSET(Standar!$B$2,MATCH(Assessment[[#This Row],[JOB TARGET]],Standar[NAMA JABATAN],0)-1,1,1,13)&lt;0,1,""))&gt;=7,'9 Grid'!$B$6,'9 Grid'!$B$5)))</f>
        <v>Job Target Kosong</v>
      </c>
      <c r="I522" s="146" t="str">
        <f>IFERROR(IF(Data_Assessment[[#This Row],[IPP (3 YEARS AVERAGE)]]="","(IPP Belum Ada)",IF(Data_Assessment[[#This Row],[IPP (3 YEARS AVERAGE)]]&lt;2,'9 Grid'!$F$2,IF(Data_Assessment[[#This Row],[IPP (3 YEARS AVERAGE)]]&gt;=4,'9 Grid'!$D$2,'9 Grid'!$E$2))),"")</f>
        <v>Fully Competence Performance</v>
      </c>
      <c r="J522" s="146" t="str">
        <f ca="1">IFERROR(INDEX('9 Grid'!$D$4:$F$6,MATCH('Rekomendasi HAV'!H522,'9 Grid'!$B$4:$B$6,0),MATCH('Rekomendasi HAV'!I522,'9 Grid'!$D$2:$F$2,0)),"")</f>
        <v/>
      </c>
      <c r="K522" s="146" t="str">
        <f>IFERROR(INDEX('9 Grid'!$D$8:$F$8,1,MATCH('Rekomendasi HAV'!I522,'9 Grid'!$D$2:$F$2,0)),"")</f>
        <v>(ST) Within 12 - 18 month</v>
      </c>
      <c r="L522" s="146">
        <f>IF(ISNUMBER(SEARCH("EST",Assessment[[#This Row],[JOB TARGET]])),SUBSTITUTE(Assessment[[#This Row],[JOB TARGET]],"EST","DEV"),Assessment[[#This Row],[JOB TARGET]])</f>
        <v>0</v>
      </c>
      <c r="M522" s="146" t="str" cm="1">
        <f t="array" aca="1" ref="M522" ca="1">IF(Assessment[[#This Row],[JOB TARGET]]="","Job Target Kosong",IF(COUNT(IF('Data Assessment'!$N522:$Z522-OFFSET(Standar!$B$2,MATCH(Assessment[[#This Row],[JOB TARGET
(DEV)]],Standar[NAMA JABATAN],0)-1,1,1,13)&lt;0,1,""))&lt;=3,'9 Grid'!$B$4,IF(COUNT(IF('Data Assessment'!$N522:$Z522-OFFSET(Standar!$B$2,MATCH(Assessment[[#This Row],[JOB TARGET
(DEV)]],Standar[NAMA JABATAN],0)-1,1,1,13)&lt;0,1,""))&gt;=7,'9 Grid'!$B$6,'9 Grid'!$B$5)))</f>
        <v>Job Target Kosong</v>
      </c>
      <c r="N522" s="146" t="str">
        <f>IFERROR(IF(Data_Assessment[[#This Row],[IPP (3 YEARS AVERAGE)]]="","(IPP Belum Ada)",IF(Data_Assessment[[#This Row],[IPP (3 YEARS AVERAGE)]]&lt;2,'9 Grid'!$F$2,IF(Data_Assessment[[#This Row],[IPP (3 YEARS AVERAGE)]]&gt;=4,'9 Grid'!$D$2,'9 Grid'!$E$2))),"")</f>
        <v>Fully Competence Performance</v>
      </c>
      <c r="O522" s="146" t="str">
        <f ca="1">IFERROR(INDEX('9 Grid'!$D$4:$F$6,MATCH('Rekomendasi HAV'!M522,'9 Grid'!$B$4:$B$6,0),MATCH('Rekomendasi HAV'!N522,'9 Grid'!$D$2:$F$2,0)),"")</f>
        <v/>
      </c>
      <c r="P522" s="147" t="str">
        <f>IFERROR(INDEX('9 Grid'!$D$8:$F$8,1,MATCH('Rekomendasi HAV'!N522,'9 Grid'!$D$2:$F$2,0)),"")</f>
        <v>(ST) Within 12 - 18 month</v>
      </c>
    </row>
    <row r="523" spans="1:16" ht="28.5">
      <c r="A523" s="67">
        <v>522</v>
      </c>
      <c r="B523" s="68" t="str">
        <f>INDEX(Data_Assessment[],MATCH('Rekomendasi HAV'!$A523,Data_Assessment[[INDEX]:[INDEX]],0),MATCH('Rekomendasi HAV'!B$1,Data_Assessment[#Headers],0))</f>
        <v>Ir. Rudi Tambun</v>
      </c>
      <c r="C523" s="68" t="str">
        <f>INDEX(Data_Assessment[],MATCH('Rekomendasi HAV'!$A523,Data_Assessment[[INDEX]:[INDEX]],0),MATCH('Rekomendasi HAV'!C$1,Data_Assessment[#Headers],0))</f>
        <v>Sumatera Selatan</v>
      </c>
      <c r="D523" s="68" t="str">
        <f>INDEX(Data_Assessment[],MATCH('Rekomendasi HAV'!$A523,Data_Assessment[[INDEX]:[INDEX]],0),MATCH('Rekomendasi HAV'!D$1,Data_Assessment[#Headers],0))</f>
        <v>LSIP - Bebah Permata Estate</v>
      </c>
      <c r="E523" s="68">
        <f>INDEX(Data_Assessment[],MATCH('Rekomendasi HAV'!$B523,Data_Assessment[[NAME]:[NAME]],0),MATCH('Rekomendasi HAV'!E$1,Data_Assessment[#Headers],0))</f>
        <v>0</v>
      </c>
      <c r="F523" s="68"/>
      <c r="G523" s="68">
        <f>IF(ISNUMBER(SEARCH("DEV",Assessment[[#This Row],[JOB TARGET]])),SUBSTITUTE(Assessment[[#This Row],[JOB TARGET]],"DEV","EST"),Assessment[[#This Row],[JOB TARGET]])</f>
        <v>0</v>
      </c>
      <c r="H523" s="146" t="str" cm="1">
        <f t="array" aca="1" ref="H523" ca="1">IF(Assessment[[#This Row],[JOB TARGET]]="","Job Target Kosong",IF(COUNT(IF('Data Assessment'!$N523:$Z523-OFFSET(Standar!$B$2,MATCH(Assessment[[#This Row],[JOB TARGET
(EST)]],Standar[NAMA JABATAN],0)-1,1,1,13)&lt;0,1,""))&lt;=3,'9 Grid'!$B$4,IF(COUNT(IF('Data Assessment'!$N523:$Z523-OFFSET(Standar!$B$2,MATCH(Assessment[[#This Row],[JOB TARGET]],Standar[NAMA JABATAN],0)-1,1,1,13)&lt;0,1,""))&gt;=7,'9 Grid'!$B$6,'9 Grid'!$B$5)))</f>
        <v>Job Target Kosong</v>
      </c>
      <c r="I523" s="146" t="str">
        <f>IFERROR(IF(Data_Assessment[[#This Row],[IPP (3 YEARS AVERAGE)]]="","(IPP Belum Ada)",IF(Data_Assessment[[#This Row],[IPP (3 YEARS AVERAGE)]]&lt;2,'9 Grid'!$F$2,IF(Data_Assessment[[#This Row],[IPP (3 YEARS AVERAGE)]]&gt;=4,'9 Grid'!$D$2,'9 Grid'!$E$2))),"")</f>
        <v>Fully Competence Performance</v>
      </c>
      <c r="J523" s="146" t="str">
        <f ca="1">IFERROR(INDEX('9 Grid'!$D$4:$F$6,MATCH('Rekomendasi HAV'!H523,'9 Grid'!$B$4:$B$6,0),MATCH('Rekomendasi HAV'!I523,'9 Grid'!$D$2:$F$2,0)),"")</f>
        <v/>
      </c>
      <c r="K523" s="146" t="str">
        <f>IFERROR(INDEX('9 Grid'!$D$8:$F$8,1,MATCH('Rekomendasi HAV'!I523,'9 Grid'!$D$2:$F$2,0)),"")</f>
        <v>(ST) Within 12 - 18 month</v>
      </c>
      <c r="L523" s="146">
        <f>IF(ISNUMBER(SEARCH("EST",Assessment[[#This Row],[JOB TARGET]])),SUBSTITUTE(Assessment[[#This Row],[JOB TARGET]],"EST","DEV"),Assessment[[#This Row],[JOB TARGET]])</f>
        <v>0</v>
      </c>
      <c r="M523" s="146" t="str" cm="1">
        <f t="array" aca="1" ref="M523" ca="1">IF(Assessment[[#This Row],[JOB TARGET]]="","Job Target Kosong",IF(COUNT(IF('Data Assessment'!$N523:$Z523-OFFSET(Standar!$B$2,MATCH(Assessment[[#This Row],[JOB TARGET
(DEV)]],Standar[NAMA JABATAN],0)-1,1,1,13)&lt;0,1,""))&lt;=3,'9 Grid'!$B$4,IF(COUNT(IF('Data Assessment'!$N523:$Z523-OFFSET(Standar!$B$2,MATCH(Assessment[[#This Row],[JOB TARGET
(DEV)]],Standar[NAMA JABATAN],0)-1,1,1,13)&lt;0,1,""))&gt;=7,'9 Grid'!$B$6,'9 Grid'!$B$5)))</f>
        <v>Job Target Kosong</v>
      </c>
      <c r="N523" s="146" t="str">
        <f>IFERROR(IF(Data_Assessment[[#This Row],[IPP (3 YEARS AVERAGE)]]="","(IPP Belum Ada)",IF(Data_Assessment[[#This Row],[IPP (3 YEARS AVERAGE)]]&lt;2,'9 Grid'!$F$2,IF(Data_Assessment[[#This Row],[IPP (3 YEARS AVERAGE)]]&gt;=4,'9 Grid'!$D$2,'9 Grid'!$E$2))),"")</f>
        <v>Fully Competence Performance</v>
      </c>
      <c r="O523" s="146" t="str">
        <f ca="1">IFERROR(INDEX('9 Grid'!$D$4:$F$6,MATCH('Rekomendasi HAV'!M523,'9 Grid'!$B$4:$B$6,0),MATCH('Rekomendasi HAV'!N523,'9 Grid'!$D$2:$F$2,0)),"")</f>
        <v/>
      </c>
      <c r="P523" s="147" t="str">
        <f>IFERROR(INDEX('9 Grid'!$D$8:$F$8,1,MATCH('Rekomendasi HAV'!N523,'9 Grid'!$D$2:$F$2,0)),"")</f>
        <v>(ST) Within 12 - 18 month</v>
      </c>
    </row>
    <row r="524" spans="1:16" ht="28.5">
      <c r="A524" s="67">
        <v>523</v>
      </c>
      <c r="B524" s="68" t="str">
        <f>INDEX(Data_Assessment[],MATCH('Rekomendasi HAV'!$A524,Data_Assessment[[INDEX]:[INDEX]],0),MATCH('Rekomendasi HAV'!B$1,Data_Assessment[#Headers],0))</f>
        <v>Siti Hawa, Ir.</v>
      </c>
      <c r="C524" s="68" t="str">
        <f>INDEX(Data_Assessment[],MATCH('Rekomendasi HAV'!$A524,Data_Assessment[[INDEX]:[INDEX]],0),MATCH('Rekomendasi HAV'!C$1,Data_Assessment[#Headers],0))</f>
        <v>Sumatera Utara</v>
      </c>
      <c r="D524" s="68" t="str">
        <f>INDEX(Data_Assessment[],MATCH('Rekomendasi HAV'!$A524,Data_Assessment[[INDEX]:[INDEX]],0),MATCH('Rekomendasi HAV'!D$1,Data_Assessment[#Headers],0))</f>
        <v>LSIP - QCTL</v>
      </c>
      <c r="E524" s="68">
        <f>INDEX(Data_Assessment[],MATCH('Rekomendasi HAV'!$B524,Data_Assessment[[NAME]:[NAME]],0),MATCH('Rekomendasi HAV'!E$1,Data_Assessment[#Headers],0))</f>
        <v>0</v>
      </c>
      <c r="F524" s="68"/>
      <c r="G524" s="68">
        <f>IF(ISNUMBER(SEARCH("DEV",Assessment[[#This Row],[JOB TARGET]])),SUBSTITUTE(Assessment[[#This Row],[JOB TARGET]],"DEV","EST"),Assessment[[#This Row],[JOB TARGET]])</f>
        <v>0</v>
      </c>
      <c r="H524" s="146" t="str" cm="1">
        <f t="array" aca="1" ref="H524" ca="1">IF(Assessment[[#This Row],[JOB TARGET]]="","Job Target Kosong",IF(COUNT(IF('Data Assessment'!$N524:$Z524-OFFSET(Standar!$B$2,MATCH(Assessment[[#This Row],[JOB TARGET
(EST)]],Standar[NAMA JABATAN],0)-1,1,1,13)&lt;0,1,""))&lt;=3,'9 Grid'!$B$4,IF(COUNT(IF('Data Assessment'!$N524:$Z524-OFFSET(Standar!$B$2,MATCH(Assessment[[#This Row],[JOB TARGET]],Standar[NAMA JABATAN],0)-1,1,1,13)&lt;0,1,""))&gt;=7,'9 Grid'!$B$6,'9 Grid'!$B$5)))</f>
        <v>Job Target Kosong</v>
      </c>
      <c r="I524" s="146" t="str">
        <f>IFERROR(IF(Data_Assessment[[#This Row],[IPP (3 YEARS AVERAGE)]]="","(IPP Belum Ada)",IF(Data_Assessment[[#This Row],[IPP (3 YEARS AVERAGE)]]&lt;2,'9 Grid'!$F$2,IF(Data_Assessment[[#This Row],[IPP (3 YEARS AVERAGE)]]&gt;=4,'9 Grid'!$D$2,'9 Grid'!$E$2))),"")</f>
        <v>Fully Competence Performance</v>
      </c>
      <c r="J524" s="146" t="str">
        <f ca="1">IFERROR(INDEX('9 Grid'!$D$4:$F$6,MATCH('Rekomendasi HAV'!H524,'9 Grid'!$B$4:$B$6,0),MATCH('Rekomendasi HAV'!I524,'9 Grid'!$D$2:$F$2,0)),"")</f>
        <v/>
      </c>
      <c r="K524" s="146" t="str">
        <f>IFERROR(INDEX('9 Grid'!$D$8:$F$8,1,MATCH('Rekomendasi HAV'!I524,'9 Grid'!$D$2:$F$2,0)),"")</f>
        <v>(ST) Within 12 - 18 month</v>
      </c>
      <c r="L524" s="146">
        <f>IF(ISNUMBER(SEARCH("EST",Assessment[[#This Row],[JOB TARGET]])),SUBSTITUTE(Assessment[[#This Row],[JOB TARGET]],"EST","DEV"),Assessment[[#This Row],[JOB TARGET]])</f>
        <v>0</v>
      </c>
      <c r="M524" s="146" t="str" cm="1">
        <f t="array" aca="1" ref="M524" ca="1">IF(Assessment[[#This Row],[JOB TARGET]]="","Job Target Kosong",IF(COUNT(IF('Data Assessment'!$N524:$Z524-OFFSET(Standar!$B$2,MATCH(Assessment[[#This Row],[JOB TARGET
(DEV)]],Standar[NAMA JABATAN],0)-1,1,1,13)&lt;0,1,""))&lt;=3,'9 Grid'!$B$4,IF(COUNT(IF('Data Assessment'!$N524:$Z524-OFFSET(Standar!$B$2,MATCH(Assessment[[#This Row],[JOB TARGET
(DEV)]],Standar[NAMA JABATAN],0)-1,1,1,13)&lt;0,1,""))&gt;=7,'9 Grid'!$B$6,'9 Grid'!$B$5)))</f>
        <v>Job Target Kosong</v>
      </c>
      <c r="N524" s="146" t="str">
        <f>IFERROR(IF(Data_Assessment[[#This Row],[IPP (3 YEARS AVERAGE)]]="","(IPP Belum Ada)",IF(Data_Assessment[[#This Row],[IPP (3 YEARS AVERAGE)]]&lt;2,'9 Grid'!$F$2,IF(Data_Assessment[[#This Row],[IPP (3 YEARS AVERAGE)]]&gt;=4,'9 Grid'!$D$2,'9 Grid'!$E$2))),"")</f>
        <v>Fully Competence Performance</v>
      </c>
      <c r="O524" s="146" t="str">
        <f ca="1">IFERROR(INDEX('9 Grid'!$D$4:$F$6,MATCH('Rekomendasi HAV'!M524,'9 Grid'!$B$4:$B$6,0),MATCH('Rekomendasi HAV'!N524,'9 Grid'!$D$2:$F$2,0)),"")</f>
        <v/>
      </c>
      <c r="P524" s="147" t="str">
        <f>IFERROR(INDEX('9 Grid'!$D$8:$F$8,1,MATCH('Rekomendasi HAV'!N524,'9 Grid'!$D$2:$F$2,0)),"")</f>
        <v>(ST) Within 12 - 18 month</v>
      </c>
    </row>
    <row r="525" spans="1:16" ht="28.5">
      <c r="A525" s="67">
        <v>524</v>
      </c>
      <c r="B525" s="68" t="str">
        <f>INDEX(Data_Assessment[],MATCH('Rekomendasi HAV'!$A525,Data_Assessment[[INDEX]:[INDEX]],0),MATCH('Rekomendasi HAV'!B$1,Data_Assessment[#Headers],0))</f>
        <v>Dani Sartika Saragih</v>
      </c>
      <c r="C525" s="68" t="str">
        <f>INDEX(Data_Assessment[],MATCH('Rekomendasi HAV'!$A525,Data_Assessment[[INDEX]:[INDEX]],0),MATCH('Rekomendasi HAV'!C$1,Data_Assessment[#Headers],0))</f>
        <v>Sumatera Selatan</v>
      </c>
      <c r="D525" s="68" t="str">
        <f>INDEX(Data_Assessment[],MATCH('Rekomendasi HAV'!$A525,Data_Assessment[[INDEX]:[INDEX]],0),MATCH('Rekomendasi HAV'!D$1,Data_Assessment[#Headers],0))</f>
        <v>LSIP - Kubu Pakaran Estate</v>
      </c>
      <c r="E525" s="68">
        <f>INDEX(Data_Assessment[],MATCH('Rekomendasi HAV'!$B525,Data_Assessment[[NAME]:[NAME]],0),MATCH('Rekomendasi HAV'!E$1,Data_Assessment[#Headers],0))</f>
        <v>0</v>
      </c>
      <c r="F525" s="68"/>
      <c r="G525" s="68">
        <f>IF(ISNUMBER(SEARCH("DEV",Assessment[[#This Row],[JOB TARGET]])),SUBSTITUTE(Assessment[[#This Row],[JOB TARGET]],"DEV","EST"),Assessment[[#This Row],[JOB TARGET]])</f>
        <v>0</v>
      </c>
      <c r="H525" s="146" t="str" cm="1">
        <f t="array" aca="1" ref="H525" ca="1">IF(Assessment[[#This Row],[JOB TARGET]]="","Job Target Kosong",IF(COUNT(IF('Data Assessment'!$N525:$Z525-OFFSET(Standar!$B$2,MATCH(Assessment[[#This Row],[JOB TARGET
(EST)]],Standar[NAMA JABATAN],0)-1,1,1,13)&lt;0,1,""))&lt;=3,'9 Grid'!$B$4,IF(COUNT(IF('Data Assessment'!$N525:$Z525-OFFSET(Standar!$B$2,MATCH(Assessment[[#This Row],[JOB TARGET]],Standar[NAMA JABATAN],0)-1,1,1,13)&lt;0,1,""))&gt;=7,'9 Grid'!$B$6,'9 Grid'!$B$5)))</f>
        <v>Job Target Kosong</v>
      </c>
      <c r="I525" s="146" t="str">
        <f>IFERROR(IF(Data_Assessment[[#This Row],[IPP (3 YEARS AVERAGE)]]="","(IPP Belum Ada)",IF(Data_Assessment[[#This Row],[IPP (3 YEARS AVERAGE)]]&lt;2,'9 Grid'!$F$2,IF(Data_Assessment[[#This Row],[IPP (3 YEARS AVERAGE)]]&gt;=4,'9 Grid'!$D$2,'9 Grid'!$E$2))),"")</f>
        <v>Fully Competence Performance</v>
      </c>
      <c r="J525" s="146" t="str">
        <f ca="1">IFERROR(INDEX('9 Grid'!$D$4:$F$6,MATCH('Rekomendasi HAV'!H525,'9 Grid'!$B$4:$B$6,0),MATCH('Rekomendasi HAV'!I525,'9 Grid'!$D$2:$F$2,0)),"")</f>
        <v/>
      </c>
      <c r="K525" s="146" t="str">
        <f>IFERROR(INDEX('9 Grid'!$D$8:$F$8,1,MATCH('Rekomendasi HAV'!I525,'9 Grid'!$D$2:$F$2,0)),"")</f>
        <v>(ST) Within 12 - 18 month</v>
      </c>
      <c r="L525" s="146">
        <f>IF(ISNUMBER(SEARCH("EST",Assessment[[#This Row],[JOB TARGET]])),SUBSTITUTE(Assessment[[#This Row],[JOB TARGET]],"EST","DEV"),Assessment[[#This Row],[JOB TARGET]])</f>
        <v>0</v>
      </c>
      <c r="M525" s="146" t="str" cm="1">
        <f t="array" aca="1" ref="M525" ca="1">IF(Assessment[[#This Row],[JOB TARGET]]="","Job Target Kosong",IF(COUNT(IF('Data Assessment'!$N525:$Z525-OFFSET(Standar!$B$2,MATCH(Assessment[[#This Row],[JOB TARGET
(DEV)]],Standar[NAMA JABATAN],0)-1,1,1,13)&lt;0,1,""))&lt;=3,'9 Grid'!$B$4,IF(COUNT(IF('Data Assessment'!$N525:$Z525-OFFSET(Standar!$B$2,MATCH(Assessment[[#This Row],[JOB TARGET
(DEV)]],Standar[NAMA JABATAN],0)-1,1,1,13)&lt;0,1,""))&gt;=7,'9 Grid'!$B$6,'9 Grid'!$B$5)))</f>
        <v>Job Target Kosong</v>
      </c>
      <c r="N525" s="146" t="str">
        <f>IFERROR(IF(Data_Assessment[[#This Row],[IPP (3 YEARS AVERAGE)]]="","(IPP Belum Ada)",IF(Data_Assessment[[#This Row],[IPP (3 YEARS AVERAGE)]]&lt;2,'9 Grid'!$F$2,IF(Data_Assessment[[#This Row],[IPP (3 YEARS AVERAGE)]]&gt;=4,'9 Grid'!$D$2,'9 Grid'!$E$2))),"")</f>
        <v>Fully Competence Performance</v>
      </c>
      <c r="O525" s="146" t="str">
        <f ca="1">IFERROR(INDEX('9 Grid'!$D$4:$F$6,MATCH('Rekomendasi HAV'!M525,'9 Grid'!$B$4:$B$6,0),MATCH('Rekomendasi HAV'!N525,'9 Grid'!$D$2:$F$2,0)),"")</f>
        <v/>
      </c>
      <c r="P525" s="147" t="str">
        <f>IFERROR(INDEX('9 Grid'!$D$8:$F$8,1,MATCH('Rekomendasi HAV'!N525,'9 Grid'!$D$2:$F$2,0)),"")</f>
        <v>(ST) Within 12 - 18 month</v>
      </c>
    </row>
    <row r="526" spans="1:16" ht="28.5">
      <c r="A526" s="67">
        <v>525</v>
      </c>
      <c r="B526" s="68" t="str">
        <f>INDEX(Data_Assessment[],MATCH('Rekomendasi HAV'!$A526,Data_Assessment[[INDEX]:[INDEX]],0),MATCH('Rekomendasi HAV'!B$1,Data_Assessment[#Headers],0))</f>
        <v>Sigit Aditya</v>
      </c>
      <c r="C526" s="68" t="str">
        <f>INDEX(Data_Assessment[],MATCH('Rekomendasi HAV'!$A526,Data_Assessment[[INDEX]:[INDEX]],0),MATCH('Rekomendasi HAV'!C$1,Data_Assessment[#Headers],0))</f>
        <v>Sumatera Selatan</v>
      </c>
      <c r="D526" s="68" t="str">
        <f>INDEX(Data_Assessment[],MATCH('Rekomendasi HAV'!$A526,Data_Assessment[[INDEX]:[INDEX]],0),MATCH('Rekomendasi HAV'!D$1,Data_Assessment[#Headers],0))</f>
        <v>LSIP - Kubu Pakaran Estate</v>
      </c>
      <c r="E526" s="68">
        <f>INDEX(Data_Assessment[],MATCH('Rekomendasi HAV'!$B526,Data_Assessment[[NAME]:[NAME]],0),MATCH('Rekomendasi HAV'!E$1,Data_Assessment[#Headers],0))</f>
        <v>0</v>
      </c>
      <c r="F526" s="68"/>
      <c r="G526" s="68">
        <f>IF(ISNUMBER(SEARCH("DEV",Assessment[[#This Row],[JOB TARGET]])),SUBSTITUTE(Assessment[[#This Row],[JOB TARGET]],"DEV","EST"),Assessment[[#This Row],[JOB TARGET]])</f>
        <v>0</v>
      </c>
      <c r="H526" s="146" t="str" cm="1">
        <f t="array" aca="1" ref="H526" ca="1">IF(Assessment[[#This Row],[JOB TARGET]]="","Job Target Kosong",IF(COUNT(IF('Data Assessment'!$N526:$Z526-OFFSET(Standar!$B$2,MATCH(Assessment[[#This Row],[JOB TARGET
(EST)]],Standar[NAMA JABATAN],0)-1,1,1,13)&lt;0,1,""))&lt;=3,'9 Grid'!$B$4,IF(COUNT(IF('Data Assessment'!$N526:$Z526-OFFSET(Standar!$B$2,MATCH(Assessment[[#This Row],[JOB TARGET]],Standar[NAMA JABATAN],0)-1,1,1,13)&lt;0,1,""))&gt;=7,'9 Grid'!$B$6,'9 Grid'!$B$5)))</f>
        <v>Job Target Kosong</v>
      </c>
      <c r="I526" s="146" t="str">
        <f>IFERROR(IF(Data_Assessment[[#This Row],[IPP (3 YEARS AVERAGE)]]="","(IPP Belum Ada)",IF(Data_Assessment[[#This Row],[IPP (3 YEARS AVERAGE)]]&lt;2,'9 Grid'!$F$2,IF(Data_Assessment[[#This Row],[IPP (3 YEARS AVERAGE)]]&gt;=4,'9 Grid'!$D$2,'9 Grid'!$E$2))),"")</f>
        <v>Fully Competence Performance</v>
      </c>
      <c r="J526" s="146" t="str">
        <f ca="1">IFERROR(INDEX('9 Grid'!$D$4:$F$6,MATCH('Rekomendasi HAV'!H526,'9 Grid'!$B$4:$B$6,0),MATCH('Rekomendasi HAV'!I526,'9 Grid'!$D$2:$F$2,0)),"")</f>
        <v/>
      </c>
      <c r="K526" s="146" t="str">
        <f>IFERROR(INDEX('9 Grid'!$D$8:$F$8,1,MATCH('Rekomendasi HAV'!I526,'9 Grid'!$D$2:$F$2,0)),"")</f>
        <v>(ST) Within 12 - 18 month</v>
      </c>
      <c r="L526" s="146">
        <f>IF(ISNUMBER(SEARCH("EST",Assessment[[#This Row],[JOB TARGET]])),SUBSTITUTE(Assessment[[#This Row],[JOB TARGET]],"EST","DEV"),Assessment[[#This Row],[JOB TARGET]])</f>
        <v>0</v>
      </c>
      <c r="M526" s="146" t="str" cm="1">
        <f t="array" aca="1" ref="M526" ca="1">IF(Assessment[[#This Row],[JOB TARGET]]="","Job Target Kosong",IF(COUNT(IF('Data Assessment'!$N526:$Z526-OFFSET(Standar!$B$2,MATCH(Assessment[[#This Row],[JOB TARGET
(DEV)]],Standar[NAMA JABATAN],0)-1,1,1,13)&lt;0,1,""))&lt;=3,'9 Grid'!$B$4,IF(COUNT(IF('Data Assessment'!$N526:$Z526-OFFSET(Standar!$B$2,MATCH(Assessment[[#This Row],[JOB TARGET
(DEV)]],Standar[NAMA JABATAN],0)-1,1,1,13)&lt;0,1,""))&gt;=7,'9 Grid'!$B$6,'9 Grid'!$B$5)))</f>
        <v>Job Target Kosong</v>
      </c>
      <c r="N526" s="146" t="str">
        <f>IFERROR(IF(Data_Assessment[[#This Row],[IPP (3 YEARS AVERAGE)]]="","(IPP Belum Ada)",IF(Data_Assessment[[#This Row],[IPP (3 YEARS AVERAGE)]]&lt;2,'9 Grid'!$F$2,IF(Data_Assessment[[#This Row],[IPP (3 YEARS AVERAGE)]]&gt;=4,'9 Grid'!$D$2,'9 Grid'!$E$2))),"")</f>
        <v>Fully Competence Performance</v>
      </c>
      <c r="O526" s="146" t="str">
        <f ca="1">IFERROR(INDEX('9 Grid'!$D$4:$F$6,MATCH('Rekomendasi HAV'!M526,'9 Grid'!$B$4:$B$6,0),MATCH('Rekomendasi HAV'!N526,'9 Grid'!$D$2:$F$2,0)),"")</f>
        <v/>
      </c>
      <c r="P526" s="147" t="str">
        <f>IFERROR(INDEX('9 Grid'!$D$8:$F$8,1,MATCH('Rekomendasi HAV'!N526,'9 Grid'!$D$2:$F$2,0)),"")</f>
        <v>(ST) Within 12 - 18 month</v>
      </c>
    </row>
    <row r="527" spans="1:16" ht="14.25">
      <c r="A527" s="67">
        <v>526</v>
      </c>
      <c r="B527" s="68" t="str">
        <f>INDEX(Data_Assessment[],MATCH('Rekomendasi HAV'!$A527,Data_Assessment[[INDEX]:[INDEX]],0),MATCH('Rekomendasi HAV'!B$1,Data_Assessment[#Headers],0))</f>
        <v>Rahmat Husaini, Ir</v>
      </c>
      <c r="C527" s="68" t="str">
        <f>INDEX(Data_Assessment[],MATCH('Rekomendasi HAV'!$A527,Data_Assessment[[INDEX]:[INDEX]],0),MATCH('Rekomendasi HAV'!C$1,Data_Assessment[#Headers],0))</f>
        <v>Sumatera Utara</v>
      </c>
      <c r="D527" s="68" t="str">
        <f>INDEX(Data_Assessment[],MATCH('Rekomendasi HAV'!$A527,Data_Assessment[[INDEX]:[INDEX]],0),MATCH('Rekomendasi HAV'!D$1,Data_Assessment[#Headers],0))</f>
        <v>LSIP - Dolok Estate</v>
      </c>
      <c r="E527" s="68">
        <f>INDEX(Data_Assessment[],MATCH('Rekomendasi HAV'!$B527,Data_Assessment[[NAME]:[NAME]],0),MATCH('Rekomendasi HAV'!E$1,Data_Assessment[#Headers],0))</f>
        <v>0</v>
      </c>
      <c r="F527" s="68"/>
      <c r="G527" s="68">
        <f>IF(ISNUMBER(SEARCH("DEV",Assessment[[#This Row],[JOB TARGET]])),SUBSTITUTE(Assessment[[#This Row],[JOB TARGET]],"DEV","EST"),Assessment[[#This Row],[JOB TARGET]])</f>
        <v>0</v>
      </c>
      <c r="H527" s="146" t="str" cm="1">
        <f t="array" aca="1" ref="H527" ca="1">IF(Assessment[[#This Row],[JOB TARGET]]="","Job Target Kosong",IF(COUNT(IF('Data Assessment'!$N527:$Z527-OFFSET(Standar!$B$2,MATCH(Assessment[[#This Row],[JOB TARGET
(EST)]],Standar[NAMA JABATAN],0)-1,1,1,13)&lt;0,1,""))&lt;=3,'9 Grid'!$B$4,IF(COUNT(IF('Data Assessment'!$N527:$Z527-OFFSET(Standar!$B$2,MATCH(Assessment[[#This Row],[JOB TARGET]],Standar[NAMA JABATAN],0)-1,1,1,13)&lt;0,1,""))&gt;=7,'9 Grid'!$B$6,'9 Grid'!$B$5)))</f>
        <v>Job Target Kosong</v>
      </c>
      <c r="I527" s="146" t="str">
        <f>IFERROR(IF(Data_Assessment[[#This Row],[IPP (3 YEARS AVERAGE)]]="","(IPP Belum Ada)",IF(Data_Assessment[[#This Row],[IPP (3 YEARS AVERAGE)]]&lt;2,'9 Grid'!$F$2,IF(Data_Assessment[[#This Row],[IPP (3 YEARS AVERAGE)]]&gt;=4,'9 Grid'!$D$2,'9 Grid'!$E$2))),"")</f>
        <v>Exceptional Performance</v>
      </c>
      <c r="J527" s="146" t="str">
        <f ca="1">IFERROR(INDEX('9 Grid'!$D$4:$F$6,MATCH('Rekomendasi HAV'!H527,'9 Grid'!$B$4:$B$6,0),MATCH('Rekomendasi HAV'!I527,'9 Grid'!$D$2:$F$2,0)),"")</f>
        <v/>
      </c>
      <c r="K527" s="146" t="str">
        <f>IFERROR(INDEX('9 Grid'!$D$8:$F$8,1,MATCH('Rekomendasi HAV'!I527,'9 Grid'!$D$2:$F$2,0)),"")</f>
        <v>(I) Immediately</v>
      </c>
      <c r="L527" s="146">
        <f>IF(ISNUMBER(SEARCH("EST",Assessment[[#This Row],[JOB TARGET]])),SUBSTITUTE(Assessment[[#This Row],[JOB TARGET]],"EST","DEV"),Assessment[[#This Row],[JOB TARGET]])</f>
        <v>0</v>
      </c>
      <c r="M527" s="146" t="str" cm="1">
        <f t="array" aca="1" ref="M527" ca="1">IF(Assessment[[#This Row],[JOB TARGET]]="","Job Target Kosong",IF(COUNT(IF('Data Assessment'!$N527:$Z527-OFFSET(Standar!$B$2,MATCH(Assessment[[#This Row],[JOB TARGET
(DEV)]],Standar[NAMA JABATAN],0)-1,1,1,13)&lt;0,1,""))&lt;=3,'9 Grid'!$B$4,IF(COUNT(IF('Data Assessment'!$N527:$Z527-OFFSET(Standar!$B$2,MATCH(Assessment[[#This Row],[JOB TARGET
(DEV)]],Standar[NAMA JABATAN],0)-1,1,1,13)&lt;0,1,""))&gt;=7,'9 Grid'!$B$6,'9 Grid'!$B$5)))</f>
        <v>Job Target Kosong</v>
      </c>
      <c r="N527" s="146" t="str">
        <f>IFERROR(IF(Data_Assessment[[#This Row],[IPP (3 YEARS AVERAGE)]]="","(IPP Belum Ada)",IF(Data_Assessment[[#This Row],[IPP (3 YEARS AVERAGE)]]&lt;2,'9 Grid'!$F$2,IF(Data_Assessment[[#This Row],[IPP (3 YEARS AVERAGE)]]&gt;=4,'9 Grid'!$D$2,'9 Grid'!$E$2))),"")</f>
        <v>Exceptional Performance</v>
      </c>
      <c r="O527" s="146" t="str">
        <f ca="1">IFERROR(INDEX('9 Grid'!$D$4:$F$6,MATCH('Rekomendasi HAV'!M527,'9 Grid'!$B$4:$B$6,0),MATCH('Rekomendasi HAV'!N527,'9 Grid'!$D$2:$F$2,0)),"")</f>
        <v/>
      </c>
      <c r="P527" s="147" t="str">
        <f>IFERROR(INDEX('9 Grid'!$D$8:$F$8,1,MATCH('Rekomendasi HAV'!N527,'9 Grid'!$D$2:$F$2,0)),"")</f>
        <v>(I) Immediately</v>
      </c>
    </row>
    <row r="528" spans="1:16" ht="28.5">
      <c r="A528" s="67">
        <v>527</v>
      </c>
      <c r="B528" s="68" t="str">
        <f>INDEX(Data_Assessment[],MATCH('Rekomendasi HAV'!$A528,Data_Assessment[[INDEX]:[INDEX]],0),MATCH('Rekomendasi HAV'!B$1,Data_Assessment[#Headers],0))</f>
        <v>Chairul Fikri, Ir.</v>
      </c>
      <c r="C528" s="68" t="str">
        <f>INDEX(Data_Assessment[],MATCH('Rekomendasi HAV'!$A528,Data_Assessment[[INDEX]:[INDEX]],0),MATCH('Rekomendasi HAV'!C$1,Data_Assessment[#Headers],0))</f>
        <v>Sumatera Selatan</v>
      </c>
      <c r="D528" s="68" t="str">
        <f>INDEX(Data_Assessment[],MATCH('Rekomendasi HAV'!$A528,Data_Assessment[[INDEX]:[INDEX]],0),MATCH('Rekomendasi HAV'!D$1,Data_Assessment[#Headers],0))</f>
        <v>LSIP - Kencana Sari Estate</v>
      </c>
      <c r="E528" s="68">
        <f>INDEX(Data_Assessment[],MATCH('Rekomendasi HAV'!$B528,Data_Assessment[[NAME]:[NAME]],0),MATCH('Rekomendasi HAV'!E$1,Data_Assessment[#Headers],0))</f>
        <v>0</v>
      </c>
      <c r="F528" s="68"/>
      <c r="G528" s="68">
        <f>IF(ISNUMBER(SEARCH("DEV",Assessment[[#This Row],[JOB TARGET]])),SUBSTITUTE(Assessment[[#This Row],[JOB TARGET]],"DEV","EST"),Assessment[[#This Row],[JOB TARGET]])</f>
        <v>0</v>
      </c>
      <c r="H528" s="146" t="str" cm="1">
        <f t="array" aca="1" ref="H528" ca="1">IF(Assessment[[#This Row],[JOB TARGET]]="","Job Target Kosong",IF(COUNT(IF('Data Assessment'!$N528:$Z528-OFFSET(Standar!$B$2,MATCH(Assessment[[#This Row],[JOB TARGET
(EST)]],Standar[NAMA JABATAN],0)-1,1,1,13)&lt;0,1,""))&lt;=3,'9 Grid'!$B$4,IF(COUNT(IF('Data Assessment'!$N528:$Z528-OFFSET(Standar!$B$2,MATCH(Assessment[[#This Row],[JOB TARGET]],Standar[NAMA JABATAN],0)-1,1,1,13)&lt;0,1,""))&gt;=7,'9 Grid'!$B$6,'9 Grid'!$B$5)))</f>
        <v>Job Target Kosong</v>
      </c>
      <c r="I528" s="146" t="str">
        <f>IFERROR(IF(Data_Assessment[[#This Row],[IPP (3 YEARS AVERAGE)]]="","(IPP Belum Ada)",IF(Data_Assessment[[#This Row],[IPP (3 YEARS AVERAGE)]]&lt;2,'9 Grid'!$F$2,IF(Data_Assessment[[#This Row],[IPP (3 YEARS AVERAGE)]]&gt;=4,'9 Grid'!$D$2,'9 Grid'!$E$2))),"")</f>
        <v>Fully Competence Performance</v>
      </c>
      <c r="J528" s="146" t="str">
        <f ca="1">IFERROR(INDEX('9 Grid'!$D$4:$F$6,MATCH('Rekomendasi HAV'!H528,'9 Grid'!$B$4:$B$6,0),MATCH('Rekomendasi HAV'!I528,'9 Grid'!$D$2:$F$2,0)),"")</f>
        <v/>
      </c>
      <c r="K528" s="146" t="str">
        <f>IFERROR(INDEX('9 Grid'!$D$8:$F$8,1,MATCH('Rekomendasi HAV'!I528,'9 Grid'!$D$2:$F$2,0)),"")</f>
        <v>(ST) Within 12 - 18 month</v>
      </c>
      <c r="L528" s="146">
        <f>IF(ISNUMBER(SEARCH("EST",Assessment[[#This Row],[JOB TARGET]])),SUBSTITUTE(Assessment[[#This Row],[JOB TARGET]],"EST","DEV"),Assessment[[#This Row],[JOB TARGET]])</f>
        <v>0</v>
      </c>
      <c r="M528" s="146" t="str" cm="1">
        <f t="array" aca="1" ref="M528" ca="1">IF(Assessment[[#This Row],[JOB TARGET]]="","Job Target Kosong",IF(COUNT(IF('Data Assessment'!$N528:$Z528-OFFSET(Standar!$B$2,MATCH(Assessment[[#This Row],[JOB TARGET
(DEV)]],Standar[NAMA JABATAN],0)-1,1,1,13)&lt;0,1,""))&lt;=3,'9 Grid'!$B$4,IF(COUNT(IF('Data Assessment'!$N528:$Z528-OFFSET(Standar!$B$2,MATCH(Assessment[[#This Row],[JOB TARGET
(DEV)]],Standar[NAMA JABATAN],0)-1,1,1,13)&lt;0,1,""))&gt;=7,'9 Grid'!$B$6,'9 Grid'!$B$5)))</f>
        <v>Job Target Kosong</v>
      </c>
      <c r="N528" s="146" t="str">
        <f>IFERROR(IF(Data_Assessment[[#This Row],[IPP (3 YEARS AVERAGE)]]="","(IPP Belum Ada)",IF(Data_Assessment[[#This Row],[IPP (3 YEARS AVERAGE)]]&lt;2,'9 Grid'!$F$2,IF(Data_Assessment[[#This Row],[IPP (3 YEARS AVERAGE)]]&gt;=4,'9 Grid'!$D$2,'9 Grid'!$E$2))),"")</f>
        <v>Fully Competence Performance</v>
      </c>
      <c r="O528" s="146" t="str">
        <f ca="1">IFERROR(INDEX('9 Grid'!$D$4:$F$6,MATCH('Rekomendasi HAV'!M528,'9 Grid'!$B$4:$B$6,0),MATCH('Rekomendasi HAV'!N528,'9 Grid'!$D$2:$F$2,0)),"")</f>
        <v/>
      </c>
      <c r="P528" s="147" t="str">
        <f>IFERROR(INDEX('9 Grid'!$D$8:$F$8,1,MATCH('Rekomendasi HAV'!N528,'9 Grid'!$D$2:$F$2,0)),"")</f>
        <v>(ST) Within 12 - 18 month</v>
      </c>
    </row>
    <row r="529" spans="1:16" ht="28.5">
      <c r="A529" s="67">
        <v>528</v>
      </c>
      <c r="B529" s="68" t="str">
        <f>INDEX(Data_Assessment[],MATCH('Rekomendasi HAV'!$A529,Data_Assessment[[INDEX]:[INDEX]],0),MATCH('Rekomendasi HAV'!B$1,Data_Assessment[#Headers],0))</f>
        <v>M. Alvi, Ir.</v>
      </c>
      <c r="C529" s="68" t="str">
        <f>INDEX(Data_Assessment[],MATCH('Rekomendasi HAV'!$A529,Data_Assessment[[INDEX]:[INDEX]],0),MATCH('Rekomendasi HAV'!C$1,Data_Assessment[#Headers],0))</f>
        <v>Sumatera Selatan</v>
      </c>
      <c r="D529" s="68" t="str">
        <f>INDEX(Data_Assessment[],MATCH('Rekomendasi HAV'!$A529,Data_Assessment[[INDEX]:[INDEX]],0),MATCH('Rekomendasi HAV'!D$1,Data_Assessment[#Headers],0))</f>
        <v>LSIP - Arta Kencana Estate</v>
      </c>
      <c r="E529" s="68">
        <f>INDEX(Data_Assessment[],MATCH('Rekomendasi HAV'!$B529,Data_Assessment[[NAME]:[NAME]],0),MATCH('Rekomendasi HAV'!E$1,Data_Assessment[#Headers],0))</f>
        <v>0</v>
      </c>
      <c r="F529" s="68"/>
      <c r="G529" s="68">
        <f>IF(ISNUMBER(SEARCH("DEV",Assessment[[#This Row],[JOB TARGET]])),SUBSTITUTE(Assessment[[#This Row],[JOB TARGET]],"DEV","EST"),Assessment[[#This Row],[JOB TARGET]])</f>
        <v>0</v>
      </c>
      <c r="H529" s="146" t="str" cm="1">
        <f t="array" aca="1" ref="H529" ca="1">IF(Assessment[[#This Row],[JOB TARGET]]="","Job Target Kosong",IF(COUNT(IF('Data Assessment'!$N529:$Z529-OFFSET(Standar!$B$2,MATCH(Assessment[[#This Row],[JOB TARGET
(EST)]],Standar[NAMA JABATAN],0)-1,1,1,13)&lt;0,1,""))&lt;=3,'9 Grid'!$B$4,IF(COUNT(IF('Data Assessment'!$N529:$Z529-OFFSET(Standar!$B$2,MATCH(Assessment[[#This Row],[JOB TARGET]],Standar[NAMA JABATAN],0)-1,1,1,13)&lt;0,1,""))&gt;=7,'9 Grid'!$B$6,'9 Grid'!$B$5)))</f>
        <v>Job Target Kosong</v>
      </c>
      <c r="I529" s="146" t="str">
        <f>IFERROR(IF(Data_Assessment[[#This Row],[IPP (3 YEARS AVERAGE)]]="","(IPP Belum Ada)",IF(Data_Assessment[[#This Row],[IPP (3 YEARS AVERAGE)]]&lt;2,'9 Grid'!$F$2,IF(Data_Assessment[[#This Row],[IPP (3 YEARS AVERAGE)]]&gt;=4,'9 Grid'!$D$2,'9 Grid'!$E$2))),"")</f>
        <v>Fully Competence Performance</v>
      </c>
      <c r="J529" s="146" t="str">
        <f ca="1">IFERROR(INDEX('9 Grid'!$D$4:$F$6,MATCH('Rekomendasi HAV'!H529,'9 Grid'!$B$4:$B$6,0),MATCH('Rekomendasi HAV'!I529,'9 Grid'!$D$2:$F$2,0)),"")</f>
        <v/>
      </c>
      <c r="K529" s="146" t="str">
        <f>IFERROR(INDEX('9 Grid'!$D$8:$F$8,1,MATCH('Rekomendasi HAV'!I529,'9 Grid'!$D$2:$F$2,0)),"")</f>
        <v>(ST) Within 12 - 18 month</v>
      </c>
      <c r="L529" s="146">
        <f>IF(ISNUMBER(SEARCH("EST",Assessment[[#This Row],[JOB TARGET]])),SUBSTITUTE(Assessment[[#This Row],[JOB TARGET]],"EST","DEV"),Assessment[[#This Row],[JOB TARGET]])</f>
        <v>0</v>
      </c>
      <c r="M529" s="146" t="str" cm="1">
        <f t="array" aca="1" ref="M529" ca="1">IF(Assessment[[#This Row],[JOB TARGET]]="","Job Target Kosong",IF(COUNT(IF('Data Assessment'!$N529:$Z529-OFFSET(Standar!$B$2,MATCH(Assessment[[#This Row],[JOB TARGET
(DEV)]],Standar[NAMA JABATAN],0)-1,1,1,13)&lt;0,1,""))&lt;=3,'9 Grid'!$B$4,IF(COUNT(IF('Data Assessment'!$N529:$Z529-OFFSET(Standar!$B$2,MATCH(Assessment[[#This Row],[JOB TARGET
(DEV)]],Standar[NAMA JABATAN],0)-1,1,1,13)&lt;0,1,""))&gt;=7,'9 Grid'!$B$6,'9 Grid'!$B$5)))</f>
        <v>Job Target Kosong</v>
      </c>
      <c r="N529" s="146" t="str">
        <f>IFERROR(IF(Data_Assessment[[#This Row],[IPP (3 YEARS AVERAGE)]]="","(IPP Belum Ada)",IF(Data_Assessment[[#This Row],[IPP (3 YEARS AVERAGE)]]&lt;2,'9 Grid'!$F$2,IF(Data_Assessment[[#This Row],[IPP (3 YEARS AVERAGE)]]&gt;=4,'9 Grid'!$D$2,'9 Grid'!$E$2))),"")</f>
        <v>Fully Competence Performance</v>
      </c>
      <c r="O529" s="146" t="str">
        <f ca="1">IFERROR(INDEX('9 Grid'!$D$4:$F$6,MATCH('Rekomendasi HAV'!M529,'9 Grid'!$B$4:$B$6,0),MATCH('Rekomendasi HAV'!N529,'9 Grid'!$D$2:$F$2,0)),"")</f>
        <v/>
      </c>
      <c r="P529" s="147" t="str">
        <f>IFERROR(INDEX('9 Grid'!$D$8:$F$8,1,MATCH('Rekomendasi HAV'!N529,'9 Grid'!$D$2:$F$2,0)),"")</f>
        <v>(ST) Within 12 - 18 month</v>
      </c>
    </row>
    <row r="530" spans="1:16" ht="14.25">
      <c r="A530" s="67">
        <v>529</v>
      </c>
      <c r="B530" s="68" t="str">
        <f>INDEX(Data_Assessment[],MATCH('Rekomendasi HAV'!$A530,Data_Assessment[[INDEX]:[INDEX]],0),MATCH('Rekomendasi HAV'!B$1,Data_Assessment[#Headers],0))</f>
        <v>Khairuddin</v>
      </c>
      <c r="C530" s="68" t="str">
        <f>INDEX(Data_Assessment[],MATCH('Rekomendasi HAV'!$A530,Data_Assessment[[INDEX]:[INDEX]],0),MATCH('Rekomendasi HAV'!C$1,Data_Assessment[#Headers],0))</f>
        <v>Sumatera Utara</v>
      </c>
      <c r="D530" s="68" t="str">
        <f>INDEX(Data_Assessment[],MATCH('Rekomendasi HAV'!$A530,Data_Assessment[[INDEX]:[INDEX]],0),MATCH('Rekomendasi HAV'!D$1,Data_Assessment[#Headers],0))</f>
        <v>LSIP - Dolok Estate</v>
      </c>
      <c r="E530" s="68">
        <f>INDEX(Data_Assessment[],MATCH('Rekomendasi HAV'!$B530,Data_Assessment[[NAME]:[NAME]],0),MATCH('Rekomendasi HAV'!E$1,Data_Assessment[#Headers],0))</f>
        <v>0</v>
      </c>
      <c r="F530" s="68"/>
      <c r="G530" s="68">
        <f>IF(ISNUMBER(SEARCH("DEV",Assessment[[#This Row],[JOB TARGET]])),SUBSTITUTE(Assessment[[#This Row],[JOB TARGET]],"DEV","EST"),Assessment[[#This Row],[JOB TARGET]])</f>
        <v>0</v>
      </c>
      <c r="H530" s="146" t="str" cm="1">
        <f t="array" aca="1" ref="H530" ca="1">IF(Assessment[[#This Row],[JOB TARGET]]="","Job Target Kosong",IF(COUNT(IF('Data Assessment'!$N530:$Z530-OFFSET(Standar!$B$2,MATCH(Assessment[[#This Row],[JOB TARGET
(EST)]],Standar[NAMA JABATAN],0)-1,1,1,13)&lt;0,1,""))&lt;=3,'9 Grid'!$B$4,IF(COUNT(IF('Data Assessment'!$N530:$Z530-OFFSET(Standar!$B$2,MATCH(Assessment[[#This Row],[JOB TARGET]],Standar[NAMA JABATAN],0)-1,1,1,13)&lt;0,1,""))&gt;=7,'9 Grid'!$B$6,'9 Grid'!$B$5)))</f>
        <v>Job Target Kosong</v>
      </c>
      <c r="I530" s="146" t="str">
        <f>IFERROR(IF(Data_Assessment[[#This Row],[IPP (3 YEARS AVERAGE)]]="","(IPP Belum Ada)",IF(Data_Assessment[[#This Row],[IPP (3 YEARS AVERAGE)]]&lt;2,'9 Grid'!$F$2,IF(Data_Assessment[[#This Row],[IPP (3 YEARS AVERAGE)]]&gt;=4,'9 Grid'!$D$2,'9 Grid'!$E$2))),"")</f>
        <v>Exceptional Performance</v>
      </c>
      <c r="J530" s="146" t="str">
        <f ca="1">IFERROR(INDEX('9 Grid'!$D$4:$F$6,MATCH('Rekomendasi HAV'!H530,'9 Grid'!$B$4:$B$6,0),MATCH('Rekomendasi HAV'!I530,'9 Grid'!$D$2:$F$2,0)),"")</f>
        <v/>
      </c>
      <c r="K530" s="146" t="str">
        <f>IFERROR(INDEX('9 Grid'!$D$8:$F$8,1,MATCH('Rekomendasi HAV'!I530,'9 Grid'!$D$2:$F$2,0)),"")</f>
        <v>(I) Immediately</v>
      </c>
      <c r="L530" s="146">
        <f>IF(ISNUMBER(SEARCH("EST",Assessment[[#This Row],[JOB TARGET]])),SUBSTITUTE(Assessment[[#This Row],[JOB TARGET]],"EST","DEV"),Assessment[[#This Row],[JOB TARGET]])</f>
        <v>0</v>
      </c>
      <c r="M530" s="146" t="str" cm="1">
        <f t="array" aca="1" ref="M530" ca="1">IF(Assessment[[#This Row],[JOB TARGET]]="","Job Target Kosong",IF(COUNT(IF('Data Assessment'!$N530:$Z530-OFFSET(Standar!$B$2,MATCH(Assessment[[#This Row],[JOB TARGET
(DEV)]],Standar[NAMA JABATAN],0)-1,1,1,13)&lt;0,1,""))&lt;=3,'9 Grid'!$B$4,IF(COUNT(IF('Data Assessment'!$N530:$Z530-OFFSET(Standar!$B$2,MATCH(Assessment[[#This Row],[JOB TARGET
(DEV)]],Standar[NAMA JABATAN],0)-1,1,1,13)&lt;0,1,""))&gt;=7,'9 Grid'!$B$6,'9 Grid'!$B$5)))</f>
        <v>Job Target Kosong</v>
      </c>
      <c r="N530" s="146" t="str">
        <f>IFERROR(IF(Data_Assessment[[#This Row],[IPP (3 YEARS AVERAGE)]]="","(IPP Belum Ada)",IF(Data_Assessment[[#This Row],[IPP (3 YEARS AVERAGE)]]&lt;2,'9 Grid'!$F$2,IF(Data_Assessment[[#This Row],[IPP (3 YEARS AVERAGE)]]&gt;=4,'9 Grid'!$D$2,'9 Grid'!$E$2))),"")</f>
        <v>Exceptional Performance</v>
      </c>
      <c r="O530" s="146" t="str">
        <f ca="1">IFERROR(INDEX('9 Grid'!$D$4:$F$6,MATCH('Rekomendasi HAV'!M530,'9 Grid'!$B$4:$B$6,0),MATCH('Rekomendasi HAV'!N530,'9 Grid'!$D$2:$F$2,0)),"")</f>
        <v/>
      </c>
      <c r="P530" s="147" t="str">
        <f>IFERROR(INDEX('9 Grid'!$D$8:$F$8,1,MATCH('Rekomendasi HAV'!N530,'9 Grid'!$D$2:$F$2,0)),"")</f>
        <v>(I) Immediately</v>
      </c>
    </row>
    <row r="531" spans="1:16" ht="14.25">
      <c r="A531" s="67">
        <v>530</v>
      </c>
      <c r="B531" s="68" t="str">
        <f>INDEX(Data_Assessment[],MATCH('Rekomendasi HAV'!$A531,Data_Assessment[[INDEX]:[INDEX]],0),MATCH('Rekomendasi HAV'!B$1,Data_Assessment[#Headers],0))</f>
        <v>Hanafi Ansari</v>
      </c>
      <c r="C531" s="68" t="str">
        <f>INDEX(Data_Assessment[],MATCH('Rekomendasi HAV'!$A531,Data_Assessment[[INDEX]:[INDEX]],0),MATCH('Rekomendasi HAV'!C$1,Data_Assessment[#Headers],0))</f>
        <v>Sumatera Selatan</v>
      </c>
      <c r="D531" s="68" t="str">
        <f>INDEX(Data_Assessment[],MATCH('Rekomendasi HAV'!$A531,Data_Assessment[[INDEX]:[INDEX]],0),MATCH('Rekomendasi HAV'!D$1,Data_Assessment[#Headers],0))</f>
        <v>LSIP - Arta Kencana Estate</v>
      </c>
      <c r="E531" s="68">
        <f>INDEX(Data_Assessment[],MATCH('Rekomendasi HAV'!$B531,Data_Assessment[[NAME]:[NAME]],0),MATCH('Rekomendasi HAV'!E$1,Data_Assessment[#Headers],0))</f>
        <v>0</v>
      </c>
      <c r="F531" s="68"/>
      <c r="G531" s="68">
        <f>IF(ISNUMBER(SEARCH("DEV",Assessment[[#This Row],[JOB TARGET]])),SUBSTITUTE(Assessment[[#This Row],[JOB TARGET]],"DEV","EST"),Assessment[[#This Row],[JOB TARGET]])</f>
        <v>0</v>
      </c>
      <c r="H531" s="146" t="str" cm="1">
        <f t="array" aca="1" ref="H531" ca="1">IF(Assessment[[#This Row],[JOB TARGET]]="","Job Target Kosong",IF(COUNT(IF('Data Assessment'!$N531:$Z531-OFFSET(Standar!$B$2,MATCH(Assessment[[#This Row],[JOB TARGET
(EST)]],Standar[NAMA JABATAN],0)-1,1,1,13)&lt;0,1,""))&lt;=3,'9 Grid'!$B$4,IF(COUNT(IF('Data Assessment'!$N531:$Z531-OFFSET(Standar!$B$2,MATCH(Assessment[[#This Row],[JOB TARGET]],Standar[NAMA JABATAN],0)-1,1,1,13)&lt;0,1,""))&gt;=7,'9 Grid'!$B$6,'9 Grid'!$B$5)))</f>
        <v>Job Target Kosong</v>
      </c>
      <c r="I531" s="146" t="str">
        <f>IFERROR(IF(Data_Assessment[[#This Row],[IPP (3 YEARS AVERAGE)]]="","(IPP Belum Ada)",IF(Data_Assessment[[#This Row],[IPP (3 YEARS AVERAGE)]]&lt;2,'9 Grid'!$F$2,IF(Data_Assessment[[#This Row],[IPP (3 YEARS AVERAGE)]]&gt;=4,'9 Grid'!$D$2,'9 Grid'!$E$2))),"")</f>
        <v>Exceptional Performance</v>
      </c>
      <c r="J531" s="146" t="str">
        <f ca="1">IFERROR(INDEX('9 Grid'!$D$4:$F$6,MATCH('Rekomendasi HAV'!H531,'9 Grid'!$B$4:$B$6,0),MATCH('Rekomendasi HAV'!I531,'9 Grid'!$D$2:$F$2,0)),"")</f>
        <v/>
      </c>
      <c r="K531" s="146" t="str">
        <f>IFERROR(INDEX('9 Grid'!$D$8:$F$8,1,MATCH('Rekomendasi HAV'!I531,'9 Grid'!$D$2:$F$2,0)),"")</f>
        <v>(I) Immediately</v>
      </c>
      <c r="L531" s="146">
        <f>IF(ISNUMBER(SEARCH("EST",Assessment[[#This Row],[JOB TARGET]])),SUBSTITUTE(Assessment[[#This Row],[JOB TARGET]],"EST","DEV"),Assessment[[#This Row],[JOB TARGET]])</f>
        <v>0</v>
      </c>
      <c r="M531" s="146" t="str" cm="1">
        <f t="array" aca="1" ref="M531" ca="1">IF(Assessment[[#This Row],[JOB TARGET]]="","Job Target Kosong",IF(COUNT(IF('Data Assessment'!$N531:$Z531-OFFSET(Standar!$B$2,MATCH(Assessment[[#This Row],[JOB TARGET
(DEV)]],Standar[NAMA JABATAN],0)-1,1,1,13)&lt;0,1,""))&lt;=3,'9 Grid'!$B$4,IF(COUNT(IF('Data Assessment'!$N531:$Z531-OFFSET(Standar!$B$2,MATCH(Assessment[[#This Row],[JOB TARGET
(DEV)]],Standar[NAMA JABATAN],0)-1,1,1,13)&lt;0,1,""))&gt;=7,'9 Grid'!$B$6,'9 Grid'!$B$5)))</f>
        <v>Job Target Kosong</v>
      </c>
      <c r="N531" s="146" t="str">
        <f>IFERROR(IF(Data_Assessment[[#This Row],[IPP (3 YEARS AVERAGE)]]="","(IPP Belum Ada)",IF(Data_Assessment[[#This Row],[IPP (3 YEARS AVERAGE)]]&lt;2,'9 Grid'!$F$2,IF(Data_Assessment[[#This Row],[IPP (3 YEARS AVERAGE)]]&gt;=4,'9 Grid'!$D$2,'9 Grid'!$E$2))),"")</f>
        <v>Exceptional Performance</v>
      </c>
      <c r="O531" s="146" t="str">
        <f ca="1">IFERROR(INDEX('9 Grid'!$D$4:$F$6,MATCH('Rekomendasi HAV'!M531,'9 Grid'!$B$4:$B$6,0),MATCH('Rekomendasi HAV'!N531,'9 Grid'!$D$2:$F$2,0)),"")</f>
        <v/>
      </c>
      <c r="P531" s="147" t="str">
        <f>IFERROR(INDEX('9 Grid'!$D$8:$F$8,1,MATCH('Rekomendasi HAV'!N531,'9 Grid'!$D$2:$F$2,0)),"")</f>
        <v>(I) Immediately</v>
      </c>
    </row>
    <row r="532" spans="1:16" ht="28.5">
      <c r="A532" s="67">
        <v>531</v>
      </c>
      <c r="B532" s="68" t="str">
        <f>INDEX(Data_Assessment[],MATCH('Rekomendasi HAV'!$A532,Data_Assessment[[INDEX]:[INDEX]],0),MATCH('Rekomendasi HAV'!B$1,Data_Assessment[#Headers],0))</f>
        <v>Ari Sukhaira</v>
      </c>
      <c r="C532" s="68" t="str">
        <f>INDEX(Data_Assessment[],MATCH('Rekomendasi HAV'!$A532,Data_Assessment[[INDEX]:[INDEX]],0),MATCH('Rekomendasi HAV'!C$1,Data_Assessment[#Headers],0))</f>
        <v>Sumatera Utara</v>
      </c>
      <c r="D532" s="68" t="str">
        <f>INDEX(Data_Assessment[],MATCH('Rekomendasi HAV'!$A532,Data_Assessment[[INDEX]:[INDEX]],0),MATCH('Rekomendasi HAV'!D$1,Data_Assessment[#Headers],0))</f>
        <v>LSIP - RO Medan</v>
      </c>
      <c r="E532" s="68">
        <f>INDEX(Data_Assessment[],MATCH('Rekomendasi HAV'!$B532,Data_Assessment[[NAME]:[NAME]],0),MATCH('Rekomendasi HAV'!E$1,Data_Assessment[#Headers],0))</f>
        <v>0</v>
      </c>
      <c r="F532" s="68"/>
      <c r="G532" s="68">
        <f>IF(ISNUMBER(SEARCH("DEV",Assessment[[#This Row],[JOB TARGET]])),SUBSTITUTE(Assessment[[#This Row],[JOB TARGET]],"DEV","EST"),Assessment[[#This Row],[JOB TARGET]])</f>
        <v>0</v>
      </c>
      <c r="H532" s="146" t="str" cm="1">
        <f t="array" aca="1" ref="H532" ca="1">IF(Assessment[[#This Row],[JOB TARGET]]="","Job Target Kosong",IF(COUNT(IF('Data Assessment'!$N532:$Z532-OFFSET(Standar!$B$2,MATCH(Assessment[[#This Row],[JOB TARGET
(EST)]],Standar[NAMA JABATAN],0)-1,1,1,13)&lt;0,1,""))&lt;=3,'9 Grid'!$B$4,IF(COUNT(IF('Data Assessment'!$N532:$Z532-OFFSET(Standar!$B$2,MATCH(Assessment[[#This Row],[JOB TARGET]],Standar[NAMA JABATAN],0)-1,1,1,13)&lt;0,1,""))&gt;=7,'9 Grid'!$B$6,'9 Grid'!$B$5)))</f>
        <v>Job Target Kosong</v>
      </c>
      <c r="I532" s="146" t="str">
        <f>IFERROR(IF(Data_Assessment[[#This Row],[IPP (3 YEARS AVERAGE)]]="","(IPP Belum Ada)",IF(Data_Assessment[[#This Row],[IPP (3 YEARS AVERAGE)]]&lt;2,'9 Grid'!$F$2,IF(Data_Assessment[[#This Row],[IPP (3 YEARS AVERAGE)]]&gt;=4,'9 Grid'!$D$2,'9 Grid'!$E$2))),"")</f>
        <v>Fully Competence Performance</v>
      </c>
      <c r="J532" s="146" t="str">
        <f ca="1">IFERROR(INDEX('9 Grid'!$D$4:$F$6,MATCH('Rekomendasi HAV'!H532,'9 Grid'!$B$4:$B$6,0),MATCH('Rekomendasi HAV'!I532,'9 Grid'!$D$2:$F$2,0)),"")</f>
        <v/>
      </c>
      <c r="K532" s="146" t="str">
        <f>IFERROR(INDEX('9 Grid'!$D$8:$F$8,1,MATCH('Rekomendasi HAV'!I532,'9 Grid'!$D$2:$F$2,0)),"")</f>
        <v>(ST) Within 12 - 18 month</v>
      </c>
      <c r="L532" s="146">
        <f>IF(ISNUMBER(SEARCH("EST",Assessment[[#This Row],[JOB TARGET]])),SUBSTITUTE(Assessment[[#This Row],[JOB TARGET]],"EST","DEV"),Assessment[[#This Row],[JOB TARGET]])</f>
        <v>0</v>
      </c>
      <c r="M532" s="146" t="str" cm="1">
        <f t="array" aca="1" ref="M532" ca="1">IF(Assessment[[#This Row],[JOB TARGET]]="","Job Target Kosong",IF(COUNT(IF('Data Assessment'!$N532:$Z532-OFFSET(Standar!$B$2,MATCH(Assessment[[#This Row],[JOB TARGET
(DEV)]],Standar[NAMA JABATAN],0)-1,1,1,13)&lt;0,1,""))&lt;=3,'9 Grid'!$B$4,IF(COUNT(IF('Data Assessment'!$N532:$Z532-OFFSET(Standar!$B$2,MATCH(Assessment[[#This Row],[JOB TARGET
(DEV)]],Standar[NAMA JABATAN],0)-1,1,1,13)&lt;0,1,""))&gt;=7,'9 Grid'!$B$6,'9 Grid'!$B$5)))</f>
        <v>Job Target Kosong</v>
      </c>
      <c r="N532" s="146" t="str">
        <f>IFERROR(IF(Data_Assessment[[#This Row],[IPP (3 YEARS AVERAGE)]]="","(IPP Belum Ada)",IF(Data_Assessment[[#This Row],[IPP (3 YEARS AVERAGE)]]&lt;2,'9 Grid'!$F$2,IF(Data_Assessment[[#This Row],[IPP (3 YEARS AVERAGE)]]&gt;=4,'9 Grid'!$D$2,'9 Grid'!$E$2))),"")</f>
        <v>Fully Competence Performance</v>
      </c>
      <c r="O532" s="146" t="str">
        <f ca="1">IFERROR(INDEX('9 Grid'!$D$4:$F$6,MATCH('Rekomendasi HAV'!M532,'9 Grid'!$B$4:$B$6,0),MATCH('Rekomendasi HAV'!N532,'9 Grid'!$D$2:$F$2,0)),"")</f>
        <v/>
      </c>
      <c r="P532" s="147" t="str">
        <f>IFERROR(INDEX('9 Grid'!$D$8:$F$8,1,MATCH('Rekomendasi HAV'!N532,'9 Grid'!$D$2:$F$2,0)),"")</f>
        <v>(ST) Within 12 - 18 month</v>
      </c>
    </row>
    <row r="533" spans="1:16" ht="28.5">
      <c r="A533" s="67">
        <v>532</v>
      </c>
      <c r="B533" s="68" t="str">
        <f>INDEX(Data_Assessment[],MATCH('Rekomendasi HAV'!$A533,Data_Assessment[[INDEX]:[INDEX]],0),MATCH('Rekomendasi HAV'!B$1,Data_Assessment[#Headers],0))</f>
        <v>Dedi Heryadi, Ir.</v>
      </c>
      <c r="C533" s="68" t="str">
        <f>INDEX(Data_Assessment[],MATCH('Rekomendasi HAV'!$A533,Data_Assessment[[INDEX]:[INDEX]],0),MATCH('Rekomendasi HAV'!C$1,Data_Assessment[#Headers],0))</f>
        <v>Sumatera Selatan</v>
      </c>
      <c r="D533" s="68" t="str">
        <f>INDEX(Data_Assessment[],MATCH('Rekomendasi HAV'!$A533,Data_Assessment[[INDEX]:[INDEX]],0),MATCH('Rekomendasi HAV'!D$1,Data_Assessment[#Headers],0))</f>
        <v>LSIP - Suka Bangun Estate</v>
      </c>
      <c r="E533" s="68">
        <f>INDEX(Data_Assessment[],MATCH('Rekomendasi HAV'!$B533,Data_Assessment[[NAME]:[NAME]],0),MATCH('Rekomendasi HAV'!E$1,Data_Assessment[#Headers],0))</f>
        <v>0</v>
      </c>
      <c r="F533" s="68"/>
      <c r="G533" s="68">
        <f>IF(ISNUMBER(SEARCH("DEV",Assessment[[#This Row],[JOB TARGET]])),SUBSTITUTE(Assessment[[#This Row],[JOB TARGET]],"DEV","EST"),Assessment[[#This Row],[JOB TARGET]])</f>
        <v>0</v>
      </c>
      <c r="H533" s="146" t="str" cm="1">
        <f t="array" aca="1" ref="H533" ca="1">IF(Assessment[[#This Row],[JOB TARGET]]="","Job Target Kosong",IF(COUNT(IF('Data Assessment'!$N533:$Z533-OFFSET(Standar!$B$2,MATCH(Assessment[[#This Row],[JOB TARGET
(EST)]],Standar[NAMA JABATAN],0)-1,1,1,13)&lt;0,1,""))&lt;=3,'9 Grid'!$B$4,IF(COUNT(IF('Data Assessment'!$N533:$Z533-OFFSET(Standar!$B$2,MATCH(Assessment[[#This Row],[JOB TARGET]],Standar[NAMA JABATAN],0)-1,1,1,13)&lt;0,1,""))&gt;=7,'9 Grid'!$B$6,'9 Grid'!$B$5)))</f>
        <v>Job Target Kosong</v>
      </c>
      <c r="I533" s="146" t="str">
        <f>IFERROR(IF(Data_Assessment[[#This Row],[IPP (3 YEARS AVERAGE)]]="","(IPP Belum Ada)",IF(Data_Assessment[[#This Row],[IPP (3 YEARS AVERAGE)]]&lt;2,'9 Grid'!$F$2,IF(Data_Assessment[[#This Row],[IPP (3 YEARS AVERAGE)]]&gt;=4,'9 Grid'!$D$2,'9 Grid'!$E$2))),"")</f>
        <v>Fully Competence Performance</v>
      </c>
      <c r="J533" s="146" t="str">
        <f ca="1">IFERROR(INDEX('9 Grid'!$D$4:$F$6,MATCH('Rekomendasi HAV'!H533,'9 Grid'!$B$4:$B$6,0),MATCH('Rekomendasi HAV'!I533,'9 Grid'!$D$2:$F$2,0)),"")</f>
        <v/>
      </c>
      <c r="K533" s="146" t="str">
        <f>IFERROR(INDEX('9 Grid'!$D$8:$F$8,1,MATCH('Rekomendasi HAV'!I533,'9 Grid'!$D$2:$F$2,0)),"")</f>
        <v>(ST) Within 12 - 18 month</v>
      </c>
      <c r="L533" s="146">
        <f>IF(ISNUMBER(SEARCH("EST",Assessment[[#This Row],[JOB TARGET]])),SUBSTITUTE(Assessment[[#This Row],[JOB TARGET]],"EST","DEV"),Assessment[[#This Row],[JOB TARGET]])</f>
        <v>0</v>
      </c>
      <c r="M533" s="146" t="str" cm="1">
        <f t="array" aca="1" ref="M533" ca="1">IF(Assessment[[#This Row],[JOB TARGET]]="","Job Target Kosong",IF(COUNT(IF('Data Assessment'!$N533:$Z533-OFFSET(Standar!$B$2,MATCH(Assessment[[#This Row],[JOB TARGET
(DEV)]],Standar[NAMA JABATAN],0)-1,1,1,13)&lt;0,1,""))&lt;=3,'9 Grid'!$B$4,IF(COUNT(IF('Data Assessment'!$N533:$Z533-OFFSET(Standar!$B$2,MATCH(Assessment[[#This Row],[JOB TARGET
(DEV)]],Standar[NAMA JABATAN],0)-1,1,1,13)&lt;0,1,""))&gt;=7,'9 Grid'!$B$6,'9 Grid'!$B$5)))</f>
        <v>Job Target Kosong</v>
      </c>
      <c r="N533" s="146" t="str">
        <f>IFERROR(IF(Data_Assessment[[#This Row],[IPP (3 YEARS AVERAGE)]]="","(IPP Belum Ada)",IF(Data_Assessment[[#This Row],[IPP (3 YEARS AVERAGE)]]&lt;2,'9 Grid'!$F$2,IF(Data_Assessment[[#This Row],[IPP (3 YEARS AVERAGE)]]&gt;=4,'9 Grid'!$D$2,'9 Grid'!$E$2))),"")</f>
        <v>Fully Competence Performance</v>
      </c>
      <c r="O533" s="146" t="str">
        <f ca="1">IFERROR(INDEX('9 Grid'!$D$4:$F$6,MATCH('Rekomendasi HAV'!M533,'9 Grid'!$B$4:$B$6,0),MATCH('Rekomendasi HAV'!N533,'9 Grid'!$D$2:$F$2,0)),"")</f>
        <v/>
      </c>
      <c r="P533" s="147" t="str">
        <f>IFERROR(INDEX('9 Grid'!$D$8:$F$8,1,MATCH('Rekomendasi HAV'!N533,'9 Grid'!$D$2:$F$2,0)),"")</f>
        <v>(ST) Within 12 - 18 month</v>
      </c>
    </row>
    <row r="534" spans="1:16" ht="28.5">
      <c r="A534" s="67">
        <v>533</v>
      </c>
      <c r="B534" s="68" t="str">
        <f>INDEX(Data_Assessment[],MATCH('Rekomendasi HAV'!$A534,Data_Assessment[[INDEX]:[INDEX]],0),MATCH('Rekomendasi HAV'!B$1,Data_Assessment[#Headers],0))</f>
        <v>Sri Hardono, Ir.</v>
      </c>
      <c r="C534" s="68" t="str">
        <f>INDEX(Data_Assessment[],MATCH('Rekomendasi HAV'!$A534,Data_Assessment[[INDEX]:[INDEX]],0),MATCH('Rekomendasi HAV'!C$1,Data_Assessment[#Headers],0))</f>
        <v>Sumatera Utara</v>
      </c>
      <c r="D534" s="68" t="str">
        <f>INDEX(Data_Assessment[],MATCH('Rekomendasi HAV'!$A534,Data_Assessment[[INDEX]:[INDEX]],0),MATCH('Rekomendasi HAV'!D$1,Data_Assessment[#Headers],0))</f>
        <v>LSIP - Sibulan Estate</v>
      </c>
      <c r="E534" s="68">
        <f>INDEX(Data_Assessment[],MATCH('Rekomendasi HAV'!$B534,Data_Assessment[[NAME]:[NAME]],0),MATCH('Rekomendasi HAV'!E$1,Data_Assessment[#Headers],0))</f>
        <v>0</v>
      </c>
      <c r="F534" s="68"/>
      <c r="G534" s="68">
        <f>IF(ISNUMBER(SEARCH("DEV",Assessment[[#This Row],[JOB TARGET]])),SUBSTITUTE(Assessment[[#This Row],[JOB TARGET]],"DEV","EST"),Assessment[[#This Row],[JOB TARGET]])</f>
        <v>0</v>
      </c>
      <c r="H534" s="146" t="str" cm="1">
        <f t="array" aca="1" ref="H534" ca="1">IF(Assessment[[#This Row],[JOB TARGET]]="","Job Target Kosong",IF(COUNT(IF('Data Assessment'!$N534:$Z534-OFFSET(Standar!$B$2,MATCH(Assessment[[#This Row],[JOB TARGET
(EST)]],Standar[NAMA JABATAN],0)-1,1,1,13)&lt;0,1,""))&lt;=3,'9 Grid'!$B$4,IF(COUNT(IF('Data Assessment'!$N534:$Z534-OFFSET(Standar!$B$2,MATCH(Assessment[[#This Row],[JOB TARGET]],Standar[NAMA JABATAN],0)-1,1,1,13)&lt;0,1,""))&gt;=7,'9 Grid'!$B$6,'9 Grid'!$B$5)))</f>
        <v>Job Target Kosong</v>
      </c>
      <c r="I534" s="146" t="str">
        <f>IFERROR(IF(Data_Assessment[[#This Row],[IPP (3 YEARS AVERAGE)]]="","(IPP Belum Ada)",IF(Data_Assessment[[#This Row],[IPP (3 YEARS AVERAGE)]]&lt;2,'9 Grid'!$F$2,IF(Data_Assessment[[#This Row],[IPP (3 YEARS AVERAGE)]]&gt;=4,'9 Grid'!$D$2,'9 Grid'!$E$2))),"")</f>
        <v>Fully Competence Performance</v>
      </c>
      <c r="J534" s="146" t="str">
        <f ca="1">IFERROR(INDEX('9 Grid'!$D$4:$F$6,MATCH('Rekomendasi HAV'!H534,'9 Grid'!$B$4:$B$6,0),MATCH('Rekomendasi HAV'!I534,'9 Grid'!$D$2:$F$2,0)),"")</f>
        <v/>
      </c>
      <c r="K534" s="146" t="str">
        <f>IFERROR(INDEX('9 Grid'!$D$8:$F$8,1,MATCH('Rekomendasi HAV'!I534,'9 Grid'!$D$2:$F$2,0)),"")</f>
        <v>(ST) Within 12 - 18 month</v>
      </c>
      <c r="L534" s="146">
        <f>IF(ISNUMBER(SEARCH("EST",Assessment[[#This Row],[JOB TARGET]])),SUBSTITUTE(Assessment[[#This Row],[JOB TARGET]],"EST","DEV"),Assessment[[#This Row],[JOB TARGET]])</f>
        <v>0</v>
      </c>
      <c r="M534" s="146" t="str" cm="1">
        <f t="array" aca="1" ref="M534" ca="1">IF(Assessment[[#This Row],[JOB TARGET]]="","Job Target Kosong",IF(COUNT(IF('Data Assessment'!$N534:$Z534-OFFSET(Standar!$B$2,MATCH(Assessment[[#This Row],[JOB TARGET
(DEV)]],Standar[NAMA JABATAN],0)-1,1,1,13)&lt;0,1,""))&lt;=3,'9 Grid'!$B$4,IF(COUNT(IF('Data Assessment'!$N534:$Z534-OFFSET(Standar!$B$2,MATCH(Assessment[[#This Row],[JOB TARGET
(DEV)]],Standar[NAMA JABATAN],0)-1,1,1,13)&lt;0,1,""))&gt;=7,'9 Grid'!$B$6,'9 Grid'!$B$5)))</f>
        <v>Job Target Kosong</v>
      </c>
      <c r="N534" s="146" t="str">
        <f>IFERROR(IF(Data_Assessment[[#This Row],[IPP (3 YEARS AVERAGE)]]="","(IPP Belum Ada)",IF(Data_Assessment[[#This Row],[IPP (3 YEARS AVERAGE)]]&lt;2,'9 Grid'!$F$2,IF(Data_Assessment[[#This Row],[IPP (3 YEARS AVERAGE)]]&gt;=4,'9 Grid'!$D$2,'9 Grid'!$E$2))),"")</f>
        <v>Fully Competence Performance</v>
      </c>
      <c r="O534" s="146" t="str">
        <f ca="1">IFERROR(INDEX('9 Grid'!$D$4:$F$6,MATCH('Rekomendasi HAV'!M534,'9 Grid'!$B$4:$B$6,0),MATCH('Rekomendasi HAV'!N534,'9 Grid'!$D$2:$F$2,0)),"")</f>
        <v/>
      </c>
      <c r="P534" s="147" t="str">
        <f>IFERROR(INDEX('9 Grid'!$D$8:$F$8,1,MATCH('Rekomendasi HAV'!N534,'9 Grid'!$D$2:$F$2,0)),"")</f>
        <v>(ST) Within 12 - 18 month</v>
      </c>
    </row>
    <row r="535" spans="1:16" ht="28.5">
      <c r="A535" s="67">
        <v>534</v>
      </c>
      <c r="B535" s="68" t="str">
        <f>INDEX(Data_Assessment[],MATCH('Rekomendasi HAV'!$A535,Data_Assessment[[INDEX]:[INDEX]],0),MATCH('Rekomendasi HAV'!B$1,Data_Assessment[#Headers],0))</f>
        <v>Johan Surya Laksamana Siregar</v>
      </c>
      <c r="C535" s="68" t="str">
        <f>INDEX(Data_Assessment[],MATCH('Rekomendasi HAV'!$A535,Data_Assessment[[INDEX]:[INDEX]],0),MATCH('Rekomendasi HAV'!C$1,Data_Assessment[#Headers],0))</f>
        <v>Sumatera Selatan</v>
      </c>
      <c r="D535" s="68" t="str">
        <f>INDEX(Data_Assessment[],MATCH('Rekomendasi HAV'!$A535,Data_Assessment[[INDEX]:[INDEX]],0),MATCH('Rekomendasi HAV'!D$1,Data_Assessment[#Headers],0))</f>
        <v>LSIP - Suka Bangun Estate</v>
      </c>
      <c r="E535" s="68">
        <f>INDEX(Data_Assessment[],MATCH('Rekomendasi HAV'!$B535,Data_Assessment[[NAME]:[NAME]],0),MATCH('Rekomendasi HAV'!E$1,Data_Assessment[#Headers],0))</f>
        <v>0</v>
      </c>
      <c r="F535" s="68"/>
      <c r="G535" s="68">
        <f>IF(ISNUMBER(SEARCH("DEV",Assessment[[#This Row],[JOB TARGET]])),SUBSTITUTE(Assessment[[#This Row],[JOB TARGET]],"DEV","EST"),Assessment[[#This Row],[JOB TARGET]])</f>
        <v>0</v>
      </c>
      <c r="H535" s="146" t="str" cm="1">
        <f t="array" aca="1" ref="H535" ca="1">IF(Assessment[[#This Row],[JOB TARGET]]="","Job Target Kosong",IF(COUNT(IF('Data Assessment'!$N535:$Z535-OFFSET(Standar!$B$2,MATCH(Assessment[[#This Row],[JOB TARGET
(EST)]],Standar[NAMA JABATAN],0)-1,1,1,13)&lt;0,1,""))&lt;=3,'9 Grid'!$B$4,IF(COUNT(IF('Data Assessment'!$N535:$Z535-OFFSET(Standar!$B$2,MATCH(Assessment[[#This Row],[JOB TARGET]],Standar[NAMA JABATAN],0)-1,1,1,13)&lt;0,1,""))&gt;=7,'9 Grid'!$B$6,'9 Grid'!$B$5)))</f>
        <v>Job Target Kosong</v>
      </c>
      <c r="I535" s="146" t="str">
        <f>IFERROR(IF(Data_Assessment[[#This Row],[IPP (3 YEARS AVERAGE)]]="","(IPP Belum Ada)",IF(Data_Assessment[[#This Row],[IPP (3 YEARS AVERAGE)]]&lt;2,'9 Grid'!$F$2,IF(Data_Assessment[[#This Row],[IPP (3 YEARS AVERAGE)]]&gt;=4,'9 Grid'!$D$2,'9 Grid'!$E$2))),"")</f>
        <v>Fully Competence Performance</v>
      </c>
      <c r="J535" s="146" t="str">
        <f ca="1">IFERROR(INDEX('9 Grid'!$D$4:$F$6,MATCH('Rekomendasi HAV'!H535,'9 Grid'!$B$4:$B$6,0),MATCH('Rekomendasi HAV'!I535,'9 Grid'!$D$2:$F$2,0)),"")</f>
        <v/>
      </c>
      <c r="K535" s="146" t="str">
        <f>IFERROR(INDEX('9 Grid'!$D$8:$F$8,1,MATCH('Rekomendasi HAV'!I535,'9 Grid'!$D$2:$F$2,0)),"")</f>
        <v>(ST) Within 12 - 18 month</v>
      </c>
      <c r="L535" s="146">
        <f>IF(ISNUMBER(SEARCH("EST",Assessment[[#This Row],[JOB TARGET]])),SUBSTITUTE(Assessment[[#This Row],[JOB TARGET]],"EST","DEV"),Assessment[[#This Row],[JOB TARGET]])</f>
        <v>0</v>
      </c>
      <c r="M535" s="146" t="str" cm="1">
        <f t="array" aca="1" ref="M535" ca="1">IF(Assessment[[#This Row],[JOB TARGET]]="","Job Target Kosong",IF(COUNT(IF('Data Assessment'!$N535:$Z535-OFFSET(Standar!$B$2,MATCH(Assessment[[#This Row],[JOB TARGET
(DEV)]],Standar[NAMA JABATAN],0)-1,1,1,13)&lt;0,1,""))&lt;=3,'9 Grid'!$B$4,IF(COUNT(IF('Data Assessment'!$N535:$Z535-OFFSET(Standar!$B$2,MATCH(Assessment[[#This Row],[JOB TARGET
(DEV)]],Standar[NAMA JABATAN],0)-1,1,1,13)&lt;0,1,""))&gt;=7,'9 Grid'!$B$6,'9 Grid'!$B$5)))</f>
        <v>Job Target Kosong</v>
      </c>
      <c r="N535" s="146" t="str">
        <f>IFERROR(IF(Data_Assessment[[#This Row],[IPP (3 YEARS AVERAGE)]]="","(IPP Belum Ada)",IF(Data_Assessment[[#This Row],[IPP (3 YEARS AVERAGE)]]&lt;2,'9 Grid'!$F$2,IF(Data_Assessment[[#This Row],[IPP (3 YEARS AVERAGE)]]&gt;=4,'9 Grid'!$D$2,'9 Grid'!$E$2))),"")</f>
        <v>Fully Competence Performance</v>
      </c>
      <c r="O535" s="146" t="str">
        <f ca="1">IFERROR(INDEX('9 Grid'!$D$4:$F$6,MATCH('Rekomendasi HAV'!M535,'9 Grid'!$B$4:$B$6,0),MATCH('Rekomendasi HAV'!N535,'9 Grid'!$D$2:$F$2,0)),"")</f>
        <v/>
      </c>
      <c r="P535" s="147" t="str">
        <f>IFERROR(INDEX('9 Grid'!$D$8:$F$8,1,MATCH('Rekomendasi HAV'!N535,'9 Grid'!$D$2:$F$2,0)),"")</f>
        <v>(ST) Within 12 - 18 month</v>
      </c>
    </row>
    <row r="536" spans="1:16" ht="28.5">
      <c r="A536" s="67">
        <v>535</v>
      </c>
      <c r="B536" s="68" t="str">
        <f>INDEX(Data_Assessment[],MATCH('Rekomendasi HAV'!$A536,Data_Assessment[[INDEX]:[INDEX]],0),MATCH('Rekomendasi HAV'!B$1,Data_Assessment[#Headers],0))</f>
        <v>Idham</v>
      </c>
      <c r="C536" s="68" t="str">
        <f>INDEX(Data_Assessment[],MATCH('Rekomendasi HAV'!$A536,Data_Assessment[[INDEX]:[INDEX]],0),MATCH('Rekomendasi HAV'!C$1,Data_Assessment[#Headers],0))</f>
        <v>Sumatera Utara</v>
      </c>
      <c r="D536" s="68" t="str">
        <f>INDEX(Data_Assessment[],MATCH('Rekomendasi HAV'!$A536,Data_Assessment[[INDEX]:[INDEX]],0),MATCH('Rekomendasi HAV'!D$1,Data_Assessment[#Headers],0))</f>
        <v>LSIP - Sibulan Estate</v>
      </c>
      <c r="E536" s="68">
        <f>INDEX(Data_Assessment[],MATCH('Rekomendasi HAV'!$B536,Data_Assessment[[NAME]:[NAME]],0),MATCH('Rekomendasi HAV'!E$1,Data_Assessment[#Headers],0))</f>
        <v>0</v>
      </c>
      <c r="F536" s="68"/>
      <c r="G536" s="68">
        <f>IF(ISNUMBER(SEARCH("DEV",Assessment[[#This Row],[JOB TARGET]])),SUBSTITUTE(Assessment[[#This Row],[JOB TARGET]],"DEV","EST"),Assessment[[#This Row],[JOB TARGET]])</f>
        <v>0</v>
      </c>
      <c r="H536" s="146" t="str" cm="1">
        <f t="array" aca="1" ref="H536" ca="1">IF(Assessment[[#This Row],[JOB TARGET]]="","Job Target Kosong",IF(COUNT(IF('Data Assessment'!$N536:$Z536-OFFSET(Standar!$B$2,MATCH(Assessment[[#This Row],[JOB TARGET
(EST)]],Standar[NAMA JABATAN],0)-1,1,1,13)&lt;0,1,""))&lt;=3,'9 Grid'!$B$4,IF(COUNT(IF('Data Assessment'!$N536:$Z536-OFFSET(Standar!$B$2,MATCH(Assessment[[#This Row],[JOB TARGET]],Standar[NAMA JABATAN],0)-1,1,1,13)&lt;0,1,""))&gt;=7,'9 Grid'!$B$6,'9 Grid'!$B$5)))</f>
        <v>Job Target Kosong</v>
      </c>
      <c r="I536" s="146" t="str">
        <f>IFERROR(IF(Data_Assessment[[#This Row],[IPP (3 YEARS AVERAGE)]]="","(IPP Belum Ada)",IF(Data_Assessment[[#This Row],[IPP (3 YEARS AVERAGE)]]&lt;2,'9 Grid'!$F$2,IF(Data_Assessment[[#This Row],[IPP (3 YEARS AVERAGE)]]&gt;=4,'9 Grid'!$D$2,'9 Grid'!$E$2))),"")</f>
        <v>Fully Competence Performance</v>
      </c>
      <c r="J536" s="146" t="str">
        <f ca="1">IFERROR(INDEX('9 Grid'!$D$4:$F$6,MATCH('Rekomendasi HAV'!H536,'9 Grid'!$B$4:$B$6,0),MATCH('Rekomendasi HAV'!I536,'9 Grid'!$D$2:$F$2,0)),"")</f>
        <v/>
      </c>
      <c r="K536" s="146" t="str">
        <f>IFERROR(INDEX('9 Grid'!$D$8:$F$8,1,MATCH('Rekomendasi HAV'!I536,'9 Grid'!$D$2:$F$2,0)),"")</f>
        <v>(ST) Within 12 - 18 month</v>
      </c>
      <c r="L536" s="146">
        <f>IF(ISNUMBER(SEARCH("EST",Assessment[[#This Row],[JOB TARGET]])),SUBSTITUTE(Assessment[[#This Row],[JOB TARGET]],"EST","DEV"),Assessment[[#This Row],[JOB TARGET]])</f>
        <v>0</v>
      </c>
      <c r="M536" s="146" t="str" cm="1">
        <f t="array" aca="1" ref="M536" ca="1">IF(Assessment[[#This Row],[JOB TARGET]]="","Job Target Kosong",IF(COUNT(IF('Data Assessment'!$N536:$Z536-OFFSET(Standar!$B$2,MATCH(Assessment[[#This Row],[JOB TARGET
(DEV)]],Standar[NAMA JABATAN],0)-1,1,1,13)&lt;0,1,""))&lt;=3,'9 Grid'!$B$4,IF(COUNT(IF('Data Assessment'!$N536:$Z536-OFFSET(Standar!$B$2,MATCH(Assessment[[#This Row],[JOB TARGET
(DEV)]],Standar[NAMA JABATAN],0)-1,1,1,13)&lt;0,1,""))&gt;=7,'9 Grid'!$B$6,'9 Grid'!$B$5)))</f>
        <v>Job Target Kosong</v>
      </c>
      <c r="N536" s="146" t="str">
        <f>IFERROR(IF(Data_Assessment[[#This Row],[IPP (3 YEARS AVERAGE)]]="","(IPP Belum Ada)",IF(Data_Assessment[[#This Row],[IPP (3 YEARS AVERAGE)]]&lt;2,'9 Grid'!$F$2,IF(Data_Assessment[[#This Row],[IPP (3 YEARS AVERAGE)]]&gt;=4,'9 Grid'!$D$2,'9 Grid'!$E$2))),"")</f>
        <v>Fully Competence Performance</v>
      </c>
      <c r="O536" s="146" t="str">
        <f ca="1">IFERROR(INDEX('9 Grid'!$D$4:$F$6,MATCH('Rekomendasi HAV'!M536,'9 Grid'!$B$4:$B$6,0),MATCH('Rekomendasi HAV'!N536,'9 Grid'!$D$2:$F$2,0)),"")</f>
        <v/>
      </c>
      <c r="P536" s="147" t="str">
        <f>IFERROR(INDEX('9 Grid'!$D$8:$F$8,1,MATCH('Rekomendasi HAV'!N536,'9 Grid'!$D$2:$F$2,0)),"")</f>
        <v>(ST) Within 12 - 18 month</v>
      </c>
    </row>
    <row r="537" spans="1:16" ht="28.5">
      <c r="A537" s="67">
        <v>536</v>
      </c>
      <c r="B537" s="68" t="str">
        <f>INDEX(Data_Assessment[],MATCH('Rekomendasi HAV'!$A537,Data_Assessment[[INDEX]:[INDEX]],0),MATCH('Rekomendasi HAV'!B$1,Data_Assessment[#Headers],0))</f>
        <v>Syahrul, Ir.</v>
      </c>
      <c r="C537" s="68" t="str">
        <f>INDEX(Data_Assessment[],MATCH('Rekomendasi HAV'!$A537,Data_Assessment[[INDEX]:[INDEX]],0),MATCH('Rekomendasi HAV'!C$1,Data_Assessment[#Headers],0))</f>
        <v>Sumatera Selatan</v>
      </c>
      <c r="D537" s="68" t="str">
        <f>INDEX(Data_Assessment[],MATCH('Rekomendasi HAV'!$A537,Data_Assessment[[INDEX]:[INDEX]],0),MATCH('Rekomendasi HAV'!D$1,Data_Assessment[#Headers],0))</f>
        <v>LSIP - Bangun Harjo Estate</v>
      </c>
      <c r="E537" s="68">
        <f>INDEX(Data_Assessment[],MATCH('Rekomendasi HAV'!$B537,Data_Assessment[[NAME]:[NAME]],0),MATCH('Rekomendasi HAV'!E$1,Data_Assessment[#Headers],0))</f>
        <v>0</v>
      </c>
      <c r="F537" s="68"/>
      <c r="G537" s="68">
        <f>IF(ISNUMBER(SEARCH("DEV",Assessment[[#This Row],[JOB TARGET]])),SUBSTITUTE(Assessment[[#This Row],[JOB TARGET]],"DEV","EST"),Assessment[[#This Row],[JOB TARGET]])</f>
        <v>0</v>
      </c>
      <c r="H537" s="146" t="str" cm="1">
        <f t="array" aca="1" ref="H537" ca="1">IF(Assessment[[#This Row],[JOB TARGET]]="","Job Target Kosong",IF(COUNT(IF('Data Assessment'!$N537:$Z537-OFFSET(Standar!$B$2,MATCH(Assessment[[#This Row],[JOB TARGET
(EST)]],Standar[NAMA JABATAN],0)-1,1,1,13)&lt;0,1,""))&lt;=3,'9 Grid'!$B$4,IF(COUNT(IF('Data Assessment'!$N537:$Z537-OFFSET(Standar!$B$2,MATCH(Assessment[[#This Row],[JOB TARGET]],Standar[NAMA JABATAN],0)-1,1,1,13)&lt;0,1,""))&gt;=7,'9 Grid'!$B$6,'9 Grid'!$B$5)))</f>
        <v>Job Target Kosong</v>
      </c>
      <c r="I537" s="146" t="str">
        <f>IFERROR(IF(Data_Assessment[[#This Row],[IPP (3 YEARS AVERAGE)]]="","(IPP Belum Ada)",IF(Data_Assessment[[#This Row],[IPP (3 YEARS AVERAGE)]]&lt;2,'9 Grid'!$F$2,IF(Data_Assessment[[#This Row],[IPP (3 YEARS AVERAGE)]]&gt;=4,'9 Grid'!$D$2,'9 Grid'!$E$2))),"")</f>
        <v>Fully Competence Performance</v>
      </c>
      <c r="J537" s="146" t="str">
        <f ca="1">IFERROR(INDEX('9 Grid'!$D$4:$F$6,MATCH('Rekomendasi HAV'!H537,'9 Grid'!$B$4:$B$6,0),MATCH('Rekomendasi HAV'!I537,'9 Grid'!$D$2:$F$2,0)),"")</f>
        <v/>
      </c>
      <c r="K537" s="146" t="str">
        <f>IFERROR(INDEX('9 Grid'!$D$8:$F$8,1,MATCH('Rekomendasi HAV'!I537,'9 Grid'!$D$2:$F$2,0)),"")</f>
        <v>(ST) Within 12 - 18 month</v>
      </c>
      <c r="L537" s="146">
        <f>IF(ISNUMBER(SEARCH("EST",Assessment[[#This Row],[JOB TARGET]])),SUBSTITUTE(Assessment[[#This Row],[JOB TARGET]],"EST","DEV"),Assessment[[#This Row],[JOB TARGET]])</f>
        <v>0</v>
      </c>
      <c r="M537" s="146" t="str" cm="1">
        <f t="array" aca="1" ref="M537" ca="1">IF(Assessment[[#This Row],[JOB TARGET]]="","Job Target Kosong",IF(COUNT(IF('Data Assessment'!$N537:$Z537-OFFSET(Standar!$B$2,MATCH(Assessment[[#This Row],[JOB TARGET
(DEV)]],Standar[NAMA JABATAN],0)-1,1,1,13)&lt;0,1,""))&lt;=3,'9 Grid'!$B$4,IF(COUNT(IF('Data Assessment'!$N537:$Z537-OFFSET(Standar!$B$2,MATCH(Assessment[[#This Row],[JOB TARGET
(DEV)]],Standar[NAMA JABATAN],0)-1,1,1,13)&lt;0,1,""))&gt;=7,'9 Grid'!$B$6,'9 Grid'!$B$5)))</f>
        <v>Job Target Kosong</v>
      </c>
      <c r="N537" s="146" t="str">
        <f>IFERROR(IF(Data_Assessment[[#This Row],[IPP (3 YEARS AVERAGE)]]="","(IPP Belum Ada)",IF(Data_Assessment[[#This Row],[IPP (3 YEARS AVERAGE)]]&lt;2,'9 Grid'!$F$2,IF(Data_Assessment[[#This Row],[IPP (3 YEARS AVERAGE)]]&gt;=4,'9 Grid'!$D$2,'9 Grid'!$E$2))),"")</f>
        <v>Fully Competence Performance</v>
      </c>
      <c r="O537" s="146" t="str">
        <f ca="1">IFERROR(INDEX('9 Grid'!$D$4:$F$6,MATCH('Rekomendasi HAV'!M537,'9 Grid'!$B$4:$B$6,0),MATCH('Rekomendasi HAV'!N537,'9 Grid'!$D$2:$F$2,0)),"")</f>
        <v/>
      </c>
      <c r="P537" s="147" t="str">
        <f>IFERROR(INDEX('9 Grid'!$D$8:$F$8,1,MATCH('Rekomendasi HAV'!N537,'9 Grid'!$D$2:$F$2,0)),"")</f>
        <v>(ST) Within 12 - 18 month</v>
      </c>
    </row>
    <row r="538" spans="1:16" ht="28.5">
      <c r="A538" s="67">
        <v>537</v>
      </c>
      <c r="B538" s="68" t="str">
        <f>INDEX(Data_Assessment[],MATCH('Rekomendasi HAV'!$A538,Data_Assessment[[INDEX]:[INDEX]],0),MATCH('Rekomendasi HAV'!B$1,Data_Assessment[#Headers],0))</f>
        <v>Sacra Surya Avensina</v>
      </c>
      <c r="C538" s="68" t="str">
        <f>INDEX(Data_Assessment[],MATCH('Rekomendasi HAV'!$A538,Data_Assessment[[INDEX]:[INDEX]],0),MATCH('Rekomendasi HAV'!C$1,Data_Assessment[#Headers],0))</f>
        <v>Sumatera Selatan</v>
      </c>
      <c r="D538" s="68" t="str">
        <f>INDEX(Data_Assessment[],MATCH('Rekomendasi HAV'!$A538,Data_Assessment[[INDEX]:[INDEX]],0),MATCH('Rekomendasi HAV'!D$1,Data_Assessment[#Headers],0))</f>
        <v>LSIP - Bangun Harjo Estate</v>
      </c>
      <c r="E538" s="68">
        <f>INDEX(Data_Assessment[],MATCH('Rekomendasi HAV'!$B538,Data_Assessment[[NAME]:[NAME]],0),MATCH('Rekomendasi HAV'!E$1,Data_Assessment[#Headers],0))</f>
        <v>0</v>
      </c>
      <c r="F538" s="68"/>
      <c r="G538" s="68">
        <f>IF(ISNUMBER(SEARCH("DEV",Assessment[[#This Row],[JOB TARGET]])),SUBSTITUTE(Assessment[[#This Row],[JOB TARGET]],"DEV","EST"),Assessment[[#This Row],[JOB TARGET]])</f>
        <v>0</v>
      </c>
      <c r="H538" s="146" t="str" cm="1">
        <f t="array" aca="1" ref="H538" ca="1">IF(Assessment[[#This Row],[JOB TARGET]]="","Job Target Kosong",IF(COUNT(IF('Data Assessment'!$N538:$Z538-OFFSET(Standar!$B$2,MATCH(Assessment[[#This Row],[JOB TARGET
(EST)]],Standar[NAMA JABATAN],0)-1,1,1,13)&lt;0,1,""))&lt;=3,'9 Grid'!$B$4,IF(COUNT(IF('Data Assessment'!$N538:$Z538-OFFSET(Standar!$B$2,MATCH(Assessment[[#This Row],[JOB TARGET]],Standar[NAMA JABATAN],0)-1,1,1,13)&lt;0,1,""))&gt;=7,'9 Grid'!$B$6,'9 Grid'!$B$5)))</f>
        <v>Job Target Kosong</v>
      </c>
      <c r="I538" s="146" t="str">
        <f>IFERROR(IF(Data_Assessment[[#This Row],[IPP (3 YEARS AVERAGE)]]="","(IPP Belum Ada)",IF(Data_Assessment[[#This Row],[IPP (3 YEARS AVERAGE)]]&lt;2,'9 Grid'!$F$2,IF(Data_Assessment[[#This Row],[IPP (3 YEARS AVERAGE)]]&gt;=4,'9 Grid'!$D$2,'9 Grid'!$E$2))),"")</f>
        <v>Fully Competence Performance</v>
      </c>
      <c r="J538" s="146" t="str">
        <f ca="1">IFERROR(INDEX('9 Grid'!$D$4:$F$6,MATCH('Rekomendasi HAV'!H538,'9 Grid'!$B$4:$B$6,0),MATCH('Rekomendasi HAV'!I538,'9 Grid'!$D$2:$F$2,0)),"")</f>
        <v/>
      </c>
      <c r="K538" s="146" t="str">
        <f>IFERROR(INDEX('9 Grid'!$D$8:$F$8,1,MATCH('Rekomendasi HAV'!I538,'9 Grid'!$D$2:$F$2,0)),"")</f>
        <v>(ST) Within 12 - 18 month</v>
      </c>
      <c r="L538" s="146">
        <f>IF(ISNUMBER(SEARCH("EST",Assessment[[#This Row],[JOB TARGET]])),SUBSTITUTE(Assessment[[#This Row],[JOB TARGET]],"EST","DEV"),Assessment[[#This Row],[JOB TARGET]])</f>
        <v>0</v>
      </c>
      <c r="M538" s="146" t="str" cm="1">
        <f t="array" aca="1" ref="M538" ca="1">IF(Assessment[[#This Row],[JOB TARGET]]="","Job Target Kosong",IF(COUNT(IF('Data Assessment'!$N538:$Z538-OFFSET(Standar!$B$2,MATCH(Assessment[[#This Row],[JOB TARGET
(DEV)]],Standar[NAMA JABATAN],0)-1,1,1,13)&lt;0,1,""))&lt;=3,'9 Grid'!$B$4,IF(COUNT(IF('Data Assessment'!$N538:$Z538-OFFSET(Standar!$B$2,MATCH(Assessment[[#This Row],[JOB TARGET
(DEV)]],Standar[NAMA JABATAN],0)-1,1,1,13)&lt;0,1,""))&gt;=7,'9 Grid'!$B$6,'9 Grid'!$B$5)))</f>
        <v>Job Target Kosong</v>
      </c>
      <c r="N538" s="146" t="str">
        <f>IFERROR(IF(Data_Assessment[[#This Row],[IPP (3 YEARS AVERAGE)]]="","(IPP Belum Ada)",IF(Data_Assessment[[#This Row],[IPP (3 YEARS AVERAGE)]]&lt;2,'9 Grid'!$F$2,IF(Data_Assessment[[#This Row],[IPP (3 YEARS AVERAGE)]]&gt;=4,'9 Grid'!$D$2,'9 Grid'!$E$2))),"")</f>
        <v>Fully Competence Performance</v>
      </c>
      <c r="O538" s="146" t="str">
        <f ca="1">IFERROR(INDEX('9 Grid'!$D$4:$F$6,MATCH('Rekomendasi HAV'!M538,'9 Grid'!$B$4:$B$6,0),MATCH('Rekomendasi HAV'!N538,'9 Grid'!$D$2:$F$2,0)),"")</f>
        <v/>
      </c>
      <c r="P538" s="147" t="str">
        <f>IFERROR(INDEX('9 Grid'!$D$8:$F$8,1,MATCH('Rekomendasi HAV'!N538,'9 Grid'!$D$2:$F$2,0)),"")</f>
        <v>(ST) Within 12 - 18 month</v>
      </c>
    </row>
    <row r="539" spans="1:16" ht="28.5">
      <c r="A539" s="67">
        <v>538</v>
      </c>
      <c r="B539" s="68" t="str">
        <f>INDEX(Data_Assessment[],MATCH('Rekomendasi HAV'!$A539,Data_Assessment[[INDEX]:[INDEX]],0),MATCH('Rekomendasi HAV'!B$1,Data_Assessment[#Headers],0))</f>
        <v>Punguan Sinaga</v>
      </c>
      <c r="C539" s="68" t="str">
        <f>INDEX(Data_Assessment[],MATCH('Rekomendasi HAV'!$A539,Data_Assessment[[INDEX]:[INDEX]],0),MATCH('Rekomendasi HAV'!C$1,Data_Assessment[#Headers],0))</f>
        <v>Sumatera Selatan</v>
      </c>
      <c r="D539" s="68" t="str">
        <f>INDEX(Data_Assessment[],MATCH('Rekomendasi HAV'!$A539,Data_Assessment[[INDEX]:[INDEX]],0),MATCH('Rekomendasi HAV'!D$1,Data_Assessment[#Headers],0))</f>
        <v>LSIP - Bangun Harjo Estate</v>
      </c>
      <c r="E539" s="68">
        <f>INDEX(Data_Assessment[],MATCH('Rekomendasi HAV'!$B539,Data_Assessment[[NAME]:[NAME]],0),MATCH('Rekomendasi HAV'!E$1,Data_Assessment[#Headers],0))</f>
        <v>0</v>
      </c>
      <c r="F539" s="68"/>
      <c r="G539" s="68">
        <f>IF(ISNUMBER(SEARCH("DEV",Assessment[[#This Row],[JOB TARGET]])),SUBSTITUTE(Assessment[[#This Row],[JOB TARGET]],"DEV","EST"),Assessment[[#This Row],[JOB TARGET]])</f>
        <v>0</v>
      </c>
      <c r="H539" s="146" t="str" cm="1">
        <f t="array" aca="1" ref="H539" ca="1">IF(Assessment[[#This Row],[JOB TARGET]]="","Job Target Kosong",IF(COUNT(IF('Data Assessment'!$N539:$Z539-OFFSET(Standar!$B$2,MATCH(Assessment[[#This Row],[JOB TARGET
(EST)]],Standar[NAMA JABATAN],0)-1,1,1,13)&lt;0,1,""))&lt;=3,'9 Grid'!$B$4,IF(COUNT(IF('Data Assessment'!$N539:$Z539-OFFSET(Standar!$B$2,MATCH(Assessment[[#This Row],[JOB TARGET]],Standar[NAMA JABATAN],0)-1,1,1,13)&lt;0,1,""))&gt;=7,'9 Grid'!$B$6,'9 Grid'!$B$5)))</f>
        <v>Job Target Kosong</v>
      </c>
      <c r="I539" s="146" t="str">
        <f>IFERROR(IF(Data_Assessment[[#This Row],[IPP (3 YEARS AVERAGE)]]="","(IPP Belum Ada)",IF(Data_Assessment[[#This Row],[IPP (3 YEARS AVERAGE)]]&lt;2,'9 Grid'!$F$2,IF(Data_Assessment[[#This Row],[IPP (3 YEARS AVERAGE)]]&gt;=4,'9 Grid'!$D$2,'9 Grid'!$E$2))),"")</f>
        <v>Fully Competence Performance</v>
      </c>
      <c r="J539" s="146" t="str">
        <f ca="1">IFERROR(INDEX('9 Grid'!$D$4:$F$6,MATCH('Rekomendasi HAV'!H539,'9 Grid'!$B$4:$B$6,0),MATCH('Rekomendasi HAV'!I539,'9 Grid'!$D$2:$F$2,0)),"")</f>
        <v/>
      </c>
      <c r="K539" s="146" t="str">
        <f>IFERROR(INDEX('9 Grid'!$D$8:$F$8,1,MATCH('Rekomendasi HAV'!I539,'9 Grid'!$D$2:$F$2,0)),"")</f>
        <v>(ST) Within 12 - 18 month</v>
      </c>
      <c r="L539" s="146">
        <f>IF(ISNUMBER(SEARCH("EST",Assessment[[#This Row],[JOB TARGET]])),SUBSTITUTE(Assessment[[#This Row],[JOB TARGET]],"EST","DEV"),Assessment[[#This Row],[JOB TARGET]])</f>
        <v>0</v>
      </c>
      <c r="M539" s="146" t="str" cm="1">
        <f t="array" aca="1" ref="M539" ca="1">IF(Assessment[[#This Row],[JOB TARGET]]="","Job Target Kosong",IF(COUNT(IF('Data Assessment'!$N539:$Z539-OFFSET(Standar!$B$2,MATCH(Assessment[[#This Row],[JOB TARGET
(DEV)]],Standar[NAMA JABATAN],0)-1,1,1,13)&lt;0,1,""))&lt;=3,'9 Grid'!$B$4,IF(COUNT(IF('Data Assessment'!$N539:$Z539-OFFSET(Standar!$B$2,MATCH(Assessment[[#This Row],[JOB TARGET
(DEV)]],Standar[NAMA JABATAN],0)-1,1,1,13)&lt;0,1,""))&gt;=7,'9 Grid'!$B$6,'9 Grid'!$B$5)))</f>
        <v>Job Target Kosong</v>
      </c>
      <c r="N539" s="146" t="str">
        <f>IFERROR(IF(Data_Assessment[[#This Row],[IPP (3 YEARS AVERAGE)]]="","(IPP Belum Ada)",IF(Data_Assessment[[#This Row],[IPP (3 YEARS AVERAGE)]]&lt;2,'9 Grid'!$F$2,IF(Data_Assessment[[#This Row],[IPP (3 YEARS AVERAGE)]]&gt;=4,'9 Grid'!$D$2,'9 Grid'!$E$2))),"")</f>
        <v>Fully Competence Performance</v>
      </c>
      <c r="O539" s="146" t="str">
        <f ca="1">IFERROR(INDEX('9 Grid'!$D$4:$F$6,MATCH('Rekomendasi HAV'!M539,'9 Grid'!$B$4:$B$6,0),MATCH('Rekomendasi HAV'!N539,'9 Grid'!$D$2:$F$2,0)),"")</f>
        <v/>
      </c>
      <c r="P539" s="147" t="str">
        <f>IFERROR(INDEX('9 Grid'!$D$8:$F$8,1,MATCH('Rekomendasi HAV'!N539,'9 Grid'!$D$2:$F$2,0)),"")</f>
        <v>(ST) Within 12 - 18 month</v>
      </c>
    </row>
    <row r="540" spans="1:16" ht="14.25">
      <c r="A540" s="67">
        <v>539</v>
      </c>
      <c r="B540" s="68" t="str">
        <f>INDEX(Data_Assessment[],MATCH('Rekomendasi HAV'!$A540,Data_Assessment[[INDEX]:[INDEX]],0),MATCH('Rekomendasi HAV'!B$1,Data_Assessment[#Headers],0))</f>
        <v>Syahrudi Sagala</v>
      </c>
      <c r="C540" s="68" t="str">
        <f>INDEX(Data_Assessment[],MATCH('Rekomendasi HAV'!$A540,Data_Assessment[[INDEX]:[INDEX]],0),MATCH('Rekomendasi HAV'!C$1,Data_Assessment[#Headers],0))</f>
        <v>Sumatera Utara</v>
      </c>
      <c r="D540" s="68" t="str">
        <f>INDEX(Data_Assessment[],MATCH('Rekomendasi HAV'!$A540,Data_Assessment[[INDEX]:[INDEX]],0),MATCH('Rekomendasi HAV'!D$1,Data_Assessment[#Headers],0))</f>
        <v>LSIP - Bah Bulian Estate</v>
      </c>
      <c r="E540" s="68">
        <f>INDEX(Data_Assessment[],MATCH('Rekomendasi HAV'!$B540,Data_Assessment[[NAME]:[NAME]],0),MATCH('Rekomendasi HAV'!E$1,Data_Assessment[#Headers],0))</f>
        <v>0</v>
      </c>
      <c r="F540" s="68"/>
      <c r="G540" s="68">
        <f>IF(ISNUMBER(SEARCH("DEV",Assessment[[#This Row],[JOB TARGET]])),SUBSTITUTE(Assessment[[#This Row],[JOB TARGET]],"DEV","EST"),Assessment[[#This Row],[JOB TARGET]])</f>
        <v>0</v>
      </c>
      <c r="H540" s="146" t="str" cm="1">
        <f t="array" aca="1" ref="H540" ca="1">IF(Assessment[[#This Row],[JOB TARGET]]="","Job Target Kosong",IF(COUNT(IF('Data Assessment'!$N540:$Z540-OFFSET(Standar!$B$2,MATCH(Assessment[[#This Row],[JOB TARGET
(EST)]],Standar[NAMA JABATAN],0)-1,1,1,13)&lt;0,1,""))&lt;=3,'9 Grid'!$B$4,IF(COUNT(IF('Data Assessment'!$N540:$Z540-OFFSET(Standar!$B$2,MATCH(Assessment[[#This Row],[JOB TARGET]],Standar[NAMA JABATAN],0)-1,1,1,13)&lt;0,1,""))&gt;=7,'9 Grid'!$B$6,'9 Grid'!$B$5)))</f>
        <v>Job Target Kosong</v>
      </c>
      <c r="I540" s="146" t="str">
        <f>IFERROR(IF(Data_Assessment[[#This Row],[IPP (3 YEARS AVERAGE)]]="","(IPP Belum Ada)",IF(Data_Assessment[[#This Row],[IPP (3 YEARS AVERAGE)]]&lt;2,'9 Grid'!$F$2,IF(Data_Assessment[[#This Row],[IPP (3 YEARS AVERAGE)]]&gt;=4,'9 Grid'!$D$2,'9 Grid'!$E$2))),"")</f>
        <v>Exceptional Performance</v>
      </c>
      <c r="J540" s="146" t="str">
        <f ca="1">IFERROR(INDEX('9 Grid'!$D$4:$F$6,MATCH('Rekomendasi HAV'!H540,'9 Grid'!$B$4:$B$6,0),MATCH('Rekomendasi HAV'!I540,'9 Grid'!$D$2:$F$2,0)),"")</f>
        <v/>
      </c>
      <c r="K540" s="146" t="str">
        <f>IFERROR(INDEX('9 Grid'!$D$8:$F$8,1,MATCH('Rekomendasi HAV'!I540,'9 Grid'!$D$2:$F$2,0)),"")</f>
        <v>(I) Immediately</v>
      </c>
      <c r="L540" s="146">
        <f>IF(ISNUMBER(SEARCH("EST",Assessment[[#This Row],[JOB TARGET]])),SUBSTITUTE(Assessment[[#This Row],[JOB TARGET]],"EST","DEV"),Assessment[[#This Row],[JOB TARGET]])</f>
        <v>0</v>
      </c>
      <c r="M540" s="146" t="str" cm="1">
        <f t="array" aca="1" ref="M540" ca="1">IF(Assessment[[#This Row],[JOB TARGET]]="","Job Target Kosong",IF(COUNT(IF('Data Assessment'!$N540:$Z540-OFFSET(Standar!$B$2,MATCH(Assessment[[#This Row],[JOB TARGET
(DEV)]],Standar[NAMA JABATAN],0)-1,1,1,13)&lt;0,1,""))&lt;=3,'9 Grid'!$B$4,IF(COUNT(IF('Data Assessment'!$N540:$Z540-OFFSET(Standar!$B$2,MATCH(Assessment[[#This Row],[JOB TARGET
(DEV)]],Standar[NAMA JABATAN],0)-1,1,1,13)&lt;0,1,""))&gt;=7,'9 Grid'!$B$6,'9 Grid'!$B$5)))</f>
        <v>Job Target Kosong</v>
      </c>
      <c r="N540" s="146" t="str">
        <f>IFERROR(IF(Data_Assessment[[#This Row],[IPP (3 YEARS AVERAGE)]]="","(IPP Belum Ada)",IF(Data_Assessment[[#This Row],[IPP (3 YEARS AVERAGE)]]&lt;2,'9 Grid'!$F$2,IF(Data_Assessment[[#This Row],[IPP (3 YEARS AVERAGE)]]&gt;=4,'9 Grid'!$D$2,'9 Grid'!$E$2))),"")</f>
        <v>Exceptional Performance</v>
      </c>
      <c r="O540" s="146" t="str">
        <f ca="1">IFERROR(INDEX('9 Grid'!$D$4:$F$6,MATCH('Rekomendasi HAV'!M540,'9 Grid'!$B$4:$B$6,0),MATCH('Rekomendasi HAV'!N540,'9 Grid'!$D$2:$F$2,0)),"")</f>
        <v/>
      </c>
      <c r="P540" s="147" t="str">
        <f>IFERROR(INDEX('9 Grid'!$D$8:$F$8,1,MATCH('Rekomendasi HAV'!N540,'9 Grid'!$D$2:$F$2,0)),"")</f>
        <v>(I) Immediately</v>
      </c>
    </row>
    <row r="541" spans="1:16" ht="28.5">
      <c r="A541" s="67">
        <v>540</v>
      </c>
      <c r="B541" s="68" t="str">
        <f>INDEX(Data_Assessment[],MATCH('Rekomendasi HAV'!$A541,Data_Assessment[[INDEX]:[INDEX]],0),MATCH('Rekomendasi HAV'!B$1,Data_Assessment[#Headers],0))</f>
        <v>Dahrial, Ir.</v>
      </c>
      <c r="C541" s="68" t="str">
        <f>INDEX(Data_Assessment[],MATCH('Rekomendasi HAV'!$A541,Data_Assessment[[INDEX]:[INDEX]],0),MATCH('Rekomendasi HAV'!C$1,Data_Assessment[#Headers],0))</f>
        <v>Sumatera Selatan</v>
      </c>
      <c r="D541" s="68" t="str">
        <f>INDEX(Data_Assessment[],MATCH('Rekomendasi HAV'!$A541,Data_Assessment[[INDEX]:[INDEX]],0),MATCH('Rekomendasi HAV'!D$1,Data_Assessment[#Headers],0))</f>
        <v>LSIP - Tirta Agung Estate</v>
      </c>
      <c r="E541" s="68">
        <f>INDEX(Data_Assessment[],MATCH('Rekomendasi HAV'!$B541,Data_Assessment[[NAME]:[NAME]],0),MATCH('Rekomendasi HAV'!E$1,Data_Assessment[#Headers],0))</f>
        <v>0</v>
      </c>
      <c r="F541" s="68"/>
      <c r="G541" s="68">
        <f>IF(ISNUMBER(SEARCH("DEV",Assessment[[#This Row],[JOB TARGET]])),SUBSTITUTE(Assessment[[#This Row],[JOB TARGET]],"DEV","EST"),Assessment[[#This Row],[JOB TARGET]])</f>
        <v>0</v>
      </c>
      <c r="H541" s="146" t="str" cm="1">
        <f t="array" aca="1" ref="H541" ca="1">IF(Assessment[[#This Row],[JOB TARGET]]="","Job Target Kosong",IF(COUNT(IF('Data Assessment'!$N541:$Z541-OFFSET(Standar!$B$2,MATCH(Assessment[[#This Row],[JOB TARGET
(EST)]],Standar[NAMA JABATAN],0)-1,1,1,13)&lt;0,1,""))&lt;=3,'9 Grid'!$B$4,IF(COUNT(IF('Data Assessment'!$N541:$Z541-OFFSET(Standar!$B$2,MATCH(Assessment[[#This Row],[JOB TARGET]],Standar[NAMA JABATAN],0)-1,1,1,13)&lt;0,1,""))&gt;=7,'9 Grid'!$B$6,'9 Grid'!$B$5)))</f>
        <v>Job Target Kosong</v>
      </c>
      <c r="I541" s="146" t="str">
        <f>IFERROR(IF(Data_Assessment[[#This Row],[IPP (3 YEARS AVERAGE)]]="","(IPP Belum Ada)",IF(Data_Assessment[[#This Row],[IPP (3 YEARS AVERAGE)]]&lt;2,'9 Grid'!$F$2,IF(Data_Assessment[[#This Row],[IPP (3 YEARS AVERAGE)]]&gt;=4,'9 Grid'!$D$2,'9 Grid'!$E$2))),"")</f>
        <v>Fully Competence Performance</v>
      </c>
      <c r="J541" s="146" t="str">
        <f ca="1">IFERROR(INDEX('9 Grid'!$D$4:$F$6,MATCH('Rekomendasi HAV'!H541,'9 Grid'!$B$4:$B$6,0),MATCH('Rekomendasi HAV'!I541,'9 Grid'!$D$2:$F$2,0)),"")</f>
        <v/>
      </c>
      <c r="K541" s="146" t="str">
        <f>IFERROR(INDEX('9 Grid'!$D$8:$F$8,1,MATCH('Rekomendasi HAV'!I541,'9 Grid'!$D$2:$F$2,0)),"")</f>
        <v>(ST) Within 12 - 18 month</v>
      </c>
      <c r="L541" s="146">
        <f>IF(ISNUMBER(SEARCH("EST",Assessment[[#This Row],[JOB TARGET]])),SUBSTITUTE(Assessment[[#This Row],[JOB TARGET]],"EST","DEV"),Assessment[[#This Row],[JOB TARGET]])</f>
        <v>0</v>
      </c>
      <c r="M541" s="146" t="str" cm="1">
        <f t="array" aca="1" ref="M541" ca="1">IF(Assessment[[#This Row],[JOB TARGET]]="","Job Target Kosong",IF(COUNT(IF('Data Assessment'!$N541:$Z541-OFFSET(Standar!$B$2,MATCH(Assessment[[#This Row],[JOB TARGET
(DEV)]],Standar[NAMA JABATAN],0)-1,1,1,13)&lt;0,1,""))&lt;=3,'9 Grid'!$B$4,IF(COUNT(IF('Data Assessment'!$N541:$Z541-OFFSET(Standar!$B$2,MATCH(Assessment[[#This Row],[JOB TARGET
(DEV)]],Standar[NAMA JABATAN],0)-1,1,1,13)&lt;0,1,""))&gt;=7,'9 Grid'!$B$6,'9 Grid'!$B$5)))</f>
        <v>Job Target Kosong</v>
      </c>
      <c r="N541" s="146" t="str">
        <f>IFERROR(IF(Data_Assessment[[#This Row],[IPP (3 YEARS AVERAGE)]]="","(IPP Belum Ada)",IF(Data_Assessment[[#This Row],[IPP (3 YEARS AVERAGE)]]&lt;2,'9 Grid'!$F$2,IF(Data_Assessment[[#This Row],[IPP (3 YEARS AVERAGE)]]&gt;=4,'9 Grid'!$D$2,'9 Grid'!$E$2))),"")</f>
        <v>Fully Competence Performance</v>
      </c>
      <c r="O541" s="146" t="str">
        <f ca="1">IFERROR(INDEX('9 Grid'!$D$4:$F$6,MATCH('Rekomendasi HAV'!M541,'9 Grid'!$B$4:$B$6,0),MATCH('Rekomendasi HAV'!N541,'9 Grid'!$D$2:$F$2,0)),"")</f>
        <v/>
      </c>
      <c r="P541" s="147" t="str">
        <f>IFERROR(INDEX('9 Grid'!$D$8:$F$8,1,MATCH('Rekomendasi HAV'!N541,'9 Grid'!$D$2:$F$2,0)),"")</f>
        <v>(ST) Within 12 - 18 month</v>
      </c>
    </row>
    <row r="542" spans="1:16" ht="28.5">
      <c r="A542" s="67">
        <v>541</v>
      </c>
      <c r="B542" s="68" t="str">
        <f>INDEX(Data_Assessment[],MATCH('Rekomendasi HAV'!$A542,Data_Assessment[[INDEX]:[INDEX]],0),MATCH('Rekomendasi HAV'!B$1,Data_Assessment[#Headers],0))</f>
        <v>M. Rahman Al Rasyid</v>
      </c>
      <c r="C542" s="68" t="str">
        <f>INDEX(Data_Assessment[],MATCH('Rekomendasi HAV'!$A542,Data_Assessment[[INDEX]:[INDEX]],0),MATCH('Rekomendasi HAV'!C$1,Data_Assessment[#Headers],0))</f>
        <v>Sumatera Utara</v>
      </c>
      <c r="D542" s="68" t="str">
        <f>INDEX(Data_Assessment[],MATCH('Rekomendasi HAV'!$A542,Data_Assessment[[INDEX]:[INDEX]],0),MATCH('Rekomendasi HAV'!D$1,Data_Assessment[#Headers],0))</f>
        <v>LSIP - Bah Bulian Estate</v>
      </c>
      <c r="E542" s="68">
        <f>INDEX(Data_Assessment[],MATCH('Rekomendasi HAV'!$B542,Data_Assessment[[NAME]:[NAME]],0),MATCH('Rekomendasi HAV'!E$1,Data_Assessment[#Headers],0))</f>
        <v>0</v>
      </c>
      <c r="F542" s="68"/>
      <c r="G542" s="68">
        <f>IF(ISNUMBER(SEARCH("DEV",Assessment[[#This Row],[JOB TARGET]])),SUBSTITUTE(Assessment[[#This Row],[JOB TARGET]],"DEV","EST"),Assessment[[#This Row],[JOB TARGET]])</f>
        <v>0</v>
      </c>
      <c r="H542" s="146" t="str" cm="1">
        <f t="array" aca="1" ref="H542" ca="1">IF(Assessment[[#This Row],[JOB TARGET]]="","Job Target Kosong",IF(COUNT(IF('Data Assessment'!$N542:$Z542-OFFSET(Standar!$B$2,MATCH(Assessment[[#This Row],[JOB TARGET
(EST)]],Standar[NAMA JABATAN],0)-1,1,1,13)&lt;0,1,""))&lt;=3,'9 Grid'!$B$4,IF(COUNT(IF('Data Assessment'!$N542:$Z542-OFFSET(Standar!$B$2,MATCH(Assessment[[#This Row],[JOB TARGET]],Standar[NAMA JABATAN],0)-1,1,1,13)&lt;0,1,""))&gt;=7,'9 Grid'!$B$6,'9 Grid'!$B$5)))</f>
        <v>Job Target Kosong</v>
      </c>
      <c r="I542" s="146" t="str">
        <f>IFERROR(IF(Data_Assessment[[#This Row],[IPP (3 YEARS AVERAGE)]]="","(IPP Belum Ada)",IF(Data_Assessment[[#This Row],[IPP (3 YEARS AVERAGE)]]&lt;2,'9 Grid'!$F$2,IF(Data_Assessment[[#This Row],[IPP (3 YEARS AVERAGE)]]&gt;=4,'9 Grid'!$D$2,'9 Grid'!$E$2))),"")</f>
        <v>Fully Competence Performance</v>
      </c>
      <c r="J542" s="146" t="str">
        <f ca="1">IFERROR(INDEX('9 Grid'!$D$4:$F$6,MATCH('Rekomendasi HAV'!H542,'9 Grid'!$B$4:$B$6,0),MATCH('Rekomendasi HAV'!I542,'9 Grid'!$D$2:$F$2,0)),"")</f>
        <v/>
      </c>
      <c r="K542" s="146" t="str">
        <f>IFERROR(INDEX('9 Grid'!$D$8:$F$8,1,MATCH('Rekomendasi HAV'!I542,'9 Grid'!$D$2:$F$2,0)),"")</f>
        <v>(ST) Within 12 - 18 month</v>
      </c>
      <c r="L542" s="146">
        <f>IF(ISNUMBER(SEARCH("EST",Assessment[[#This Row],[JOB TARGET]])),SUBSTITUTE(Assessment[[#This Row],[JOB TARGET]],"EST","DEV"),Assessment[[#This Row],[JOB TARGET]])</f>
        <v>0</v>
      </c>
      <c r="M542" s="146" t="str" cm="1">
        <f t="array" aca="1" ref="M542" ca="1">IF(Assessment[[#This Row],[JOB TARGET]]="","Job Target Kosong",IF(COUNT(IF('Data Assessment'!$N542:$Z542-OFFSET(Standar!$B$2,MATCH(Assessment[[#This Row],[JOB TARGET
(DEV)]],Standar[NAMA JABATAN],0)-1,1,1,13)&lt;0,1,""))&lt;=3,'9 Grid'!$B$4,IF(COUNT(IF('Data Assessment'!$N542:$Z542-OFFSET(Standar!$B$2,MATCH(Assessment[[#This Row],[JOB TARGET
(DEV)]],Standar[NAMA JABATAN],0)-1,1,1,13)&lt;0,1,""))&gt;=7,'9 Grid'!$B$6,'9 Grid'!$B$5)))</f>
        <v>Job Target Kosong</v>
      </c>
      <c r="N542" s="146" t="str">
        <f>IFERROR(IF(Data_Assessment[[#This Row],[IPP (3 YEARS AVERAGE)]]="","(IPP Belum Ada)",IF(Data_Assessment[[#This Row],[IPP (3 YEARS AVERAGE)]]&lt;2,'9 Grid'!$F$2,IF(Data_Assessment[[#This Row],[IPP (3 YEARS AVERAGE)]]&gt;=4,'9 Grid'!$D$2,'9 Grid'!$E$2))),"")</f>
        <v>Fully Competence Performance</v>
      </c>
      <c r="O542" s="146" t="str">
        <f ca="1">IFERROR(INDEX('9 Grid'!$D$4:$F$6,MATCH('Rekomendasi HAV'!M542,'9 Grid'!$B$4:$B$6,0),MATCH('Rekomendasi HAV'!N542,'9 Grid'!$D$2:$F$2,0)),"")</f>
        <v/>
      </c>
      <c r="P542" s="147" t="str">
        <f>IFERROR(INDEX('9 Grid'!$D$8:$F$8,1,MATCH('Rekomendasi HAV'!N542,'9 Grid'!$D$2:$F$2,0)),"")</f>
        <v>(ST) Within 12 - 18 month</v>
      </c>
    </row>
    <row r="543" spans="1:16" ht="28.5">
      <c r="A543" s="67">
        <v>542</v>
      </c>
      <c r="B543" s="68" t="str">
        <f>INDEX(Data_Assessment[],MATCH('Rekomendasi HAV'!$A543,Data_Assessment[[INDEX]:[INDEX]],0),MATCH('Rekomendasi HAV'!B$1,Data_Assessment[#Headers],0))</f>
        <v>Sulkifli Darman, Ir.</v>
      </c>
      <c r="C543" s="68" t="str">
        <f>INDEX(Data_Assessment[],MATCH('Rekomendasi HAV'!$A543,Data_Assessment[[INDEX]:[INDEX]],0),MATCH('Rekomendasi HAV'!C$1,Data_Assessment[#Headers],0))</f>
        <v>Sumatera Selatan</v>
      </c>
      <c r="D543" s="68" t="str">
        <f>INDEX(Data_Assessment[],MATCH('Rekomendasi HAV'!$A543,Data_Assessment[[INDEX]:[INDEX]],0),MATCH('Rekomendasi HAV'!D$1,Data_Assessment[#Headers],0))</f>
        <v>LSIP - Tirta Agung Estate</v>
      </c>
      <c r="E543" s="68">
        <f>INDEX(Data_Assessment[],MATCH('Rekomendasi HAV'!$B543,Data_Assessment[[NAME]:[NAME]],0),MATCH('Rekomendasi HAV'!E$1,Data_Assessment[#Headers],0))</f>
        <v>0</v>
      </c>
      <c r="F543" s="68"/>
      <c r="G543" s="68">
        <f>IF(ISNUMBER(SEARCH("DEV",Assessment[[#This Row],[JOB TARGET]])),SUBSTITUTE(Assessment[[#This Row],[JOB TARGET]],"DEV","EST"),Assessment[[#This Row],[JOB TARGET]])</f>
        <v>0</v>
      </c>
      <c r="H543" s="146" t="str" cm="1">
        <f t="array" aca="1" ref="H543" ca="1">IF(Assessment[[#This Row],[JOB TARGET]]="","Job Target Kosong",IF(COUNT(IF('Data Assessment'!$N543:$Z543-OFFSET(Standar!$B$2,MATCH(Assessment[[#This Row],[JOB TARGET
(EST)]],Standar[NAMA JABATAN],0)-1,1,1,13)&lt;0,1,""))&lt;=3,'9 Grid'!$B$4,IF(COUNT(IF('Data Assessment'!$N543:$Z543-OFFSET(Standar!$B$2,MATCH(Assessment[[#This Row],[JOB TARGET]],Standar[NAMA JABATAN],0)-1,1,1,13)&lt;0,1,""))&gt;=7,'9 Grid'!$B$6,'9 Grid'!$B$5)))</f>
        <v>Job Target Kosong</v>
      </c>
      <c r="I543" s="146" t="str">
        <f>IFERROR(IF(Data_Assessment[[#This Row],[IPP (3 YEARS AVERAGE)]]="","(IPP Belum Ada)",IF(Data_Assessment[[#This Row],[IPP (3 YEARS AVERAGE)]]&lt;2,'9 Grid'!$F$2,IF(Data_Assessment[[#This Row],[IPP (3 YEARS AVERAGE)]]&gt;=4,'9 Grid'!$D$2,'9 Grid'!$E$2))),"")</f>
        <v>Fully Competence Performance</v>
      </c>
      <c r="J543" s="146" t="str">
        <f ca="1">IFERROR(INDEX('9 Grid'!$D$4:$F$6,MATCH('Rekomendasi HAV'!H543,'9 Grid'!$B$4:$B$6,0),MATCH('Rekomendasi HAV'!I543,'9 Grid'!$D$2:$F$2,0)),"")</f>
        <v/>
      </c>
      <c r="K543" s="146" t="str">
        <f>IFERROR(INDEX('9 Grid'!$D$8:$F$8,1,MATCH('Rekomendasi HAV'!I543,'9 Grid'!$D$2:$F$2,0)),"")</f>
        <v>(ST) Within 12 - 18 month</v>
      </c>
      <c r="L543" s="146">
        <f>IF(ISNUMBER(SEARCH("EST",Assessment[[#This Row],[JOB TARGET]])),SUBSTITUTE(Assessment[[#This Row],[JOB TARGET]],"EST","DEV"),Assessment[[#This Row],[JOB TARGET]])</f>
        <v>0</v>
      </c>
      <c r="M543" s="146" t="str" cm="1">
        <f t="array" aca="1" ref="M543" ca="1">IF(Assessment[[#This Row],[JOB TARGET]]="","Job Target Kosong",IF(COUNT(IF('Data Assessment'!$N543:$Z543-OFFSET(Standar!$B$2,MATCH(Assessment[[#This Row],[JOB TARGET
(DEV)]],Standar[NAMA JABATAN],0)-1,1,1,13)&lt;0,1,""))&lt;=3,'9 Grid'!$B$4,IF(COUNT(IF('Data Assessment'!$N543:$Z543-OFFSET(Standar!$B$2,MATCH(Assessment[[#This Row],[JOB TARGET
(DEV)]],Standar[NAMA JABATAN],0)-1,1,1,13)&lt;0,1,""))&gt;=7,'9 Grid'!$B$6,'9 Grid'!$B$5)))</f>
        <v>Job Target Kosong</v>
      </c>
      <c r="N543" s="146" t="str">
        <f>IFERROR(IF(Data_Assessment[[#This Row],[IPP (3 YEARS AVERAGE)]]="","(IPP Belum Ada)",IF(Data_Assessment[[#This Row],[IPP (3 YEARS AVERAGE)]]&lt;2,'9 Grid'!$F$2,IF(Data_Assessment[[#This Row],[IPP (3 YEARS AVERAGE)]]&gt;=4,'9 Grid'!$D$2,'9 Grid'!$E$2))),"")</f>
        <v>Fully Competence Performance</v>
      </c>
      <c r="O543" s="146" t="str">
        <f ca="1">IFERROR(INDEX('9 Grid'!$D$4:$F$6,MATCH('Rekomendasi HAV'!M543,'9 Grid'!$B$4:$B$6,0),MATCH('Rekomendasi HAV'!N543,'9 Grid'!$D$2:$F$2,0)),"")</f>
        <v/>
      </c>
      <c r="P543" s="147" t="str">
        <f>IFERROR(INDEX('9 Grid'!$D$8:$F$8,1,MATCH('Rekomendasi HAV'!N543,'9 Grid'!$D$2:$F$2,0)),"")</f>
        <v>(ST) Within 12 - 18 month</v>
      </c>
    </row>
    <row r="544" spans="1:16" ht="28.5">
      <c r="A544" s="67">
        <v>543</v>
      </c>
      <c r="B544" s="68" t="str">
        <f>INDEX(Data_Assessment[],MATCH('Rekomendasi HAV'!$A544,Data_Assessment[[INDEX]:[INDEX]],0),MATCH('Rekomendasi HAV'!B$1,Data_Assessment[#Headers],0))</f>
        <v>Bonar Parlindungan S.</v>
      </c>
      <c r="C544" s="68" t="str">
        <f>INDEX(Data_Assessment[],MATCH('Rekomendasi HAV'!$A544,Data_Assessment[[INDEX]:[INDEX]],0),MATCH('Rekomendasi HAV'!C$1,Data_Assessment[#Headers],0))</f>
        <v>Sumatera Utara</v>
      </c>
      <c r="D544" s="68" t="str">
        <f>INDEX(Data_Assessment[],MATCH('Rekomendasi HAV'!$A544,Data_Assessment[[INDEX]:[INDEX]],0),MATCH('Rekomendasi HAV'!D$1,Data_Assessment[#Headers],0))</f>
        <v>LSIP - Bah Bulian Estate</v>
      </c>
      <c r="E544" s="68">
        <f>INDEX(Data_Assessment[],MATCH('Rekomendasi HAV'!$B544,Data_Assessment[[NAME]:[NAME]],0),MATCH('Rekomendasi HAV'!E$1,Data_Assessment[#Headers],0))</f>
        <v>0</v>
      </c>
      <c r="F544" s="68"/>
      <c r="G544" s="68">
        <f>IF(ISNUMBER(SEARCH("DEV",Assessment[[#This Row],[JOB TARGET]])),SUBSTITUTE(Assessment[[#This Row],[JOB TARGET]],"DEV","EST"),Assessment[[#This Row],[JOB TARGET]])</f>
        <v>0</v>
      </c>
      <c r="H544" s="146" t="str" cm="1">
        <f t="array" aca="1" ref="H544" ca="1">IF(Assessment[[#This Row],[JOB TARGET]]="","Job Target Kosong",IF(COUNT(IF('Data Assessment'!$N544:$Z544-OFFSET(Standar!$B$2,MATCH(Assessment[[#This Row],[JOB TARGET
(EST)]],Standar[NAMA JABATAN],0)-1,1,1,13)&lt;0,1,""))&lt;=3,'9 Grid'!$B$4,IF(COUNT(IF('Data Assessment'!$N544:$Z544-OFFSET(Standar!$B$2,MATCH(Assessment[[#This Row],[JOB TARGET]],Standar[NAMA JABATAN],0)-1,1,1,13)&lt;0,1,""))&gt;=7,'9 Grid'!$B$6,'9 Grid'!$B$5)))</f>
        <v>Job Target Kosong</v>
      </c>
      <c r="I544" s="146" t="str">
        <f>IFERROR(IF(Data_Assessment[[#This Row],[IPP (3 YEARS AVERAGE)]]="","(IPP Belum Ada)",IF(Data_Assessment[[#This Row],[IPP (3 YEARS AVERAGE)]]&lt;2,'9 Grid'!$F$2,IF(Data_Assessment[[#This Row],[IPP (3 YEARS AVERAGE)]]&gt;=4,'9 Grid'!$D$2,'9 Grid'!$E$2))),"")</f>
        <v>Fully Competence Performance</v>
      </c>
      <c r="J544" s="146" t="str">
        <f ca="1">IFERROR(INDEX('9 Grid'!$D$4:$F$6,MATCH('Rekomendasi HAV'!H544,'9 Grid'!$B$4:$B$6,0),MATCH('Rekomendasi HAV'!I544,'9 Grid'!$D$2:$F$2,0)),"")</f>
        <v/>
      </c>
      <c r="K544" s="146" t="str">
        <f>IFERROR(INDEX('9 Grid'!$D$8:$F$8,1,MATCH('Rekomendasi HAV'!I544,'9 Grid'!$D$2:$F$2,0)),"")</f>
        <v>(ST) Within 12 - 18 month</v>
      </c>
      <c r="L544" s="146">
        <f>IF(ISNUMBER(SEARCH("EST",Assessment[[#This Row],[JOB TARGET]])),SUBSTITUTE(Assessment[[#This Row],[JOB TARGET]],"EST","DEV"),Assessment[[#This Row],[JOB TARGET]])</f>
        <v>0</v>
      </c>
      <c r="M544" s="146" t="str" cm="1">
        <f t="array" aca="1" ref="M544" ca="1">IF(Assessment[[#This Row],[JOB TARGET]]="","Job Target Kosong",IF(COUNT(IF('Data Assessment'!$N544:$Z544-OFFSET(Standar!$B$2,MATCH(Assessment[[#This Row],[JOB TARGET
(DEV)]],Standar[NAMA JABATAN],0)-1,1,1,13)&lt;0,1,""))&lt;=3,'9 Grid'!$B$4,IF(COUNT(IF('Data Assessment'!$N544:$Z544-OFFSET(Standar!$B$2,MATCH(Assessment[[#This Row],[JOB TARGET
(DEV)]],Standar[NAMA JABATAN],0)-1,1,1,13)&lt;0,1,""))&gt;=7,'9 Grid'!$B$6,'9 Grid'!$B$5)))</f>
        <v>Job Target Kosong</v>
      </c>
      <c r="N544" s="146" t="str">
        <f>IFERROR(IF(Data_Assessment[[#This Row],[IPP (3 YEARS AVERAGE)]]="","(IPP Belum Ada)",IF(Data_Assessment[[#This Row],[IPP (3 YEARS AVERAGE)]]&lt;2,'9 Grid'!$F$2,IF(Data_Assessment[[#This Row],[IPP (3 YEARS AVERAGE)]]&gt;=4,'9 Grid'!$D$2,'9 Grid'!$E$2))),"")</f>
        <v>Fully Competence Performance</v>
      </c>
      <c r="O544" s="146" t="str">
        <f ca="1">IFERROR(INDEX('9 Grid'!$D$4:$F$6,MATCH('Rekomendasi HAV'!M544,'9 Grid'!$B$4:$B$6,0),MATCH('Rekomendasi HAV'!N544,'9 Grid'!$D$2:$F$2,0)),"")</f>
        <v/>
      </c>
      <c r="P544" s="147" t="str">
        <f>IFERROR(INDEX('9 Grid'!$D$8:$F$8,1,MATCH('Rekomendasi HAV'!N544,'9 Grid'!$D$2:$F$2,0)),"")</f>
        <v>(ST) Within 12 - 18 month</v>
      </c>
    </row>
    <row r="545" spans="1:16" ht="28.5">
      <c r="A545" s="67">
        <v>544</v>
      </c>
      <c r="B545" s="68" t="str">
        <f>INDEX(Data_Assessment[],MATCH('Rekomendasi HAV'!$A545,Data_Assessment[[INDEX]:[INDEX]],0),MATCH('Rekomendasi HAV'!B$1,Data_Assessment[#Headers],0))</f>
        <v>Wahyu Trijatmiko</v>
      </c>
      <c r="C545" s="68" t="str">
        <f>INDEX(Data_Assessment[],MATCH('Rekomendasi HAV'!$A545,Data_Assessment[[INDEX]:[INDEX]],0),MATCH('Rekomendasi HAV'!C$1,Data_Assessment[#Headers],0))</f>
        <v>Sumatera Selatan</v>
      </c>
      <c r="D545" s="68" t="str">
        <f>INDEX(Data_Assessment[],MATCH('Rekomendasi HAV'!$A545,Data_Assessment[[INDEX]:[INDEX]],0),MATCH('Rekomendasi HAV'!D$1,Data_Assessment[#Headers],0))</f>
        <v>LSIP - Tirta Agung Estate</v>
      </c>
      <c r="E545" s="68">
        <f>INDEX(Data_Assessment[],MATCH('Rekomendasi HAV'!$B545,Data_Assessment[[NAME]:[NAME]],0),MATCH('Rekomendasi HAV'!E$1,Data_Assessment[#Headers],0))</f>
        <v>0</v>
      </c>
      <c r="F545" s="68"/>
      <c r="G545" s="68">
        <f>IF(ISNUMBER(SEARCH("DEV",Assessment[[#This Row],[JOB TARGET]])),SUBSTITUTE(Assessment[[#This Row],[JOB TARGET]],"DEV","EST"),Assessment[[#This Row],[JOB TARGET]])</f>
        <v>0</v>
      </c>
      <c r="H545" s="146" t="str" cm="1">
        <f t="array" aca="1" ref="H545" ca="1">IF(Assessment[[#This Row],[JOB TARGET]]="","Job Target Kosong",IF(COUNT(IF('Data Assessment'!$N545:$Z545-OFFSET(Standar!$B$2,MATCH(Assessment[[#This Row],[JOB TARGET
(EST)]],Standar[NAMA JABATAN],0)-1,1,1,13)&lt;0,1,""))&lt;=3,'9 Grid'!$B$4,IF(COUNT(IF('Data Assessment'!$N545:$Z545-OFFSET(Standar!$B$2,MATCH(Assessment[[#This Row],[JOB TARGET]],Standar[NAMA JABATAN],0)-1,1,1,13)&lt;0,1,""))&gt;=7,'9 Grid'!$B$6,'9 Grid'!$B$5)))</f>
        <v>Job Target Kosong</v>
      </c>
      <c r="I545" s="146" t="str">
        <f>IFERROR(IF(Data_Assessment[[#This Row],[IPP (3 YEARS AVERAGE)]]="","(IPP Belum Ada)",IF(Data_Assessment[[#This Row],[IPP (3 YEARS AVERAGE)]]&lt;2,'9 Grid'!$F$2,IF(Data_Assessment[[#This Row],[IPP (3 YEARS AVERAGE)]]&gt;=4,'9 Grid'!$D$2,'9 Grid'!$E$2))),"")</f>
        <v>Fully Competence Performance</v>
      </c>
      <c r="J545" s="146" t="str">
        <f ca="1">IFERROR(INDEX('9 Grid'!$D$4:$F$6,MATCH('Rekomendasi HAV'!H545,'9 Grid'!$B$4:$B$6,0),MATCH('Rekomendasi HAV'!I545,'9 Grid'!$D$2:$F$2,0)),"")</f>
        <v/>
      </c>
      <c r="K545" s="146" t="str">
        <f>IFERROR(INDEX('9 Grid'!$D$8:$F$8,1,MATCH('Rekomendasi HAV'!I545,'9 Grid'!$D$2:$F$2,0)),"")</f>
        <v>(ST) Within 12 - 18 month</v>
      </c>
      <c r="L545" s="146">
        <f>IF(ISNUMBER(SEARCH("EST",Assessment[[#This Row],[JOB TARGET]])),SUBSTITUTE(Assessment[[#This Row],[JOB TARGET]],"EST","DEV"),Assessment[[#This Row],[JOB TARGET]])</f>
        <v>0</v>
      </c>
      <c r="M545" s="146" t="str" cm="1">
        <f t="array" aca="1" ref="M545" ca="1">IF(Assessment[[#This Row],[JOB TARGET]]="","Job Target Kosong",IF(COUNT(IF('Data Assessment'!$N545:$Z545-OFFSET(Standar!$B$2,MATCH(Assessment[[#This Row],[JOB TARGET
(DEV)]],Standar[NAMA JABATAN],0)-1,1,1,13)&lt;0,1,""))&lt;=3,'9 Grid'!$B$4,IF(COUNT(IF('Data Assessment'!$N545:$Z545-OFFSET(Standar!$B$2,MATCH(Assessment[[#This Row],[JOB TARGET
(DEV)]],Standar[NAMA JABATAN],0)-1,1,1,13)&lt;0,1,""))&gt;=7,'9 Grid'!$B$6,'9 Grid'!$B$5)))</f>
        <v>Job Target Kosong</v>
      </c>
      <c r="N545" s="146" t="str">
        <f>IFERROR(IF(Data_Assessment[[#This Row],[IPP (3 YEARS AVERAGE)]]="","(IPP Belum Ada)",IF(Data_Assessment[[#This Row],[IPP (3 YEARS AVERAGE)]]&lt;2,'9 Grid'!$F$2,IF(Data_Assessment[[#This Row],[IPP (3 YEARS AVERAGE)]]&gt;=4,'9 Grid'!$D$2,'9 Grid'!$E$2))),"")</f>
        <v>Fully Competence Performance</v>
      </c>
      <c r="O545" s="146" t="str">
        <f ca="1">IFERROR(INDEX('9 Grid'!$D$4:$F$6,MATCH('Rekomendasi HAV'!M545,'9 Grid'!$B$4:$B$6,0),MATCH('Rekomendasi HAV'!N545,'9 Grid'!$D$2:$F$2,0)),"")</f>
        <v/>
      </c>
      <c r="P545" s="147" t="str">
        <f>IFERROR(INDEX('9 Grid'!$D$8:$F$8,1,MATCH('Rekomendasi HAV'!N545,'9 Grid'!$D$2:$F$2,0)),"")</f>
        <v>(ST) Within 12 - 18 month</v>
      </c>
    </row>
    <row r="546" spans="1:16" ht="28.5">
      <c r="A546" s="67">
        <v>545</v>
      </c>
      <c r="B546" s="68" t="str">
        <f>INDEX(Data_Assessment[],MATCH('Rekomendasi HAV'!$A546,Data_Assessment[[INDEX]:[INDEX]],0),MATCH('Rekomendasi HAV'!B$1,Data_Assessment[#Headers],0))</f>
        <v>Rahmat Wibowo, Sp</v>
      </c>
      <c r="C546" s="68" t="str">
        <f>INDEX(Data_Assessment[],MATCH('Rekomendasi HAV'!$A546,Data_Assessment[[INDEX]:[INDEX]],0),MATCH('Rekomendasi HAV'!C$1,Data_Assessment[#Headers],0))</f>
        <v>Sumatera Selatan</v>
      </c>
      <c r="D546" s="68" t="str">
        <f>INDEX(Data_Assessment[],MATCH('Rekomendasi HAV'!$A546,Data_Assessment[[INDEX]:[INDEX]],0),MATCH('Rekomendasi HAV'!D$1,Data_Assessment[#Headers],0))</f>
        <v>LSIP - Tirta Agung Estate</v>
      </c>
      <c r="E546" s="68">
        <f>INDEX(Data_Assessment[],MATCH('Rekomendasi HAV'!$B546,Data_Assessment[[NAME]:[NAME]],0),MATCH('Rekomendasi HAV'!E$1,Data_Assessment[#Headers],0))</f>
        <v>0</v>
      </c>
      <c r="F546" s="68"/>
      <c r="G546" s="68">
        <f>IF(ISNUMBER(SEARCH("DEV",Assessment[[#This Row],[JOB TARGET]])),SUBSTITUTE(Assessment[[#This Row],[JOB TARGET]],"DEV","EST"),Assessment[[#This Row],[JOB TARGET]])</f>
        <v>0</v>
      </c>
      <c r="H546" s="146" t="str" cm="1">
        <f t="array" aca="1" ref="H546" ca="1">IF(Assessment[[#This Row],[JOB TARGET]]="","Job Target Kosong",IF(COUNT(IF('Data Assessment'!$N546:$Z546-OFFSET(Standar!$B$2,MATCH(Assessment[[#This Row],[JOB TARGET
(EST)]],Standar[NAMA JABATAN],0)-1,1,1,13)&lt;0,1,""))&lt;=3,'9 Grid'!$B$4,IF(COUNT(IF('Data Assessment'!$N546:$Z546-OFFSET(Standar!$B$2,MATCH(Assessment[[#This Row],[JOB TARGET]],Standar[NAMA JABATAN],0)-1,1,1,13)&lt;0,1,""))&gt;=7,'9 Grid'!$B$6,'9 Grid'!$B$5)))</f>
        <v>Job Target Kosong</v>
      </c>
      <c r="I546" s="146" t="str">
        <f>IFERROR(IF(Data_Assessment[[#This Row],[IPP (3 YEARS AVERAGE)]]="","(IPP Belum Ada)",IF(Data_Assessment[[#This Row],[IPP (3 YEARS AVERAGE)]]&lt;2,'9 Grid'!$F$2,IF(Data_Assessment[[#This Row],[IPP (3 YEARS AVERAGE)]]&gt;=4,'9 Grid'!$D$2,'9 Grid'!$E$2))),"")</f>
        <v>Fully Competence Performance</v>
      </c>
      <c r="J546" s="146" t="str">
        <f ca="1">IFERROR(INDEX('9 Grid'!$D$4:$F$6,MATCH('Rekomendasi HAV'!H546,'9 Grid'!$B$4:$B$6,0),MATCH('Rekomendasi HAV'!I546,'9 Grid'!$D$2:$F$2,0)),"")</f>
        <v/>
      </c>
      <c r="K546" s="146" t="str">
        <f>IFERROR(INDEX('9 Grid'!$D$8:$F$8,1,MATCH('Rekomendasi HAV'!I546,'9 Grid'!$D$2:$F$2,0)),"")</f>
        <v>(ST) Within 12 - 18 month</v>
      </c>
      <c r="L546" s="146">
        <f>IF(ISNUMBER(SEARCH("EST",Assessment[[#This Row],[JOB TARGET]])),SUBSTITUTE(Assessment[[#This Row],[JOB TARGET]],"EST","DEV"),Assessment[[#This Row],[JOB TARGET]])</f>
        <v>0</v>
      </c>
      <c r="M546" s="146" t="str" cm="1">
        <f t="array" aca="1" ref="M546" ca="1">IF(Assessment[[#This Row],[JOB TARGET]]="","Job Target Kosong",IF(COUNT(IF('Data Assessment'!$N546:$Z546-OFFSET(Standar!$B$2,MATCH(Assessment[[#This Row],[JOB TARGET
(DEV)]],Standar[NAMA JABATAN],0)-1,1,1,13)&lt;0,1,""))&lt;=3,'9 Grid'!$B$4,IF(COUNT(IF('Data Assessment'!$N546:$Z546-OFFSET(Standar!$B$2,MATCH(Assessment[[#This Row],[JOB TARGET
(DEV)]],Standar[NAMA JABATAN],0)-1,1,1,13)&lt;0,1,""))&gt;=7,'9 Grid'!$B$6,'9 Grid'!$B$5)))</f>
        <v>Job Target Kosong</v>
      </c>
      <c r="N546" s="146" t="str">
        <f>IFERROR(IF(Data_Assessment[[#This Row],[IPP (3 YEARS AVERAGE)]]="","(IPP Belum Ada)",IF(Data_Assessment[[#This Row],[IPP (3 YEARS AVERAGE)]]&lt;2,'9 Grid'!$F$2,IF(Data_Assessment[[#This Row],[IPP (3 YEARS AVERAGE)]]&gt;=4,'9 Grid'!$D$2,'9 Grid'!$E$2))),"")</f>
        <v>Fully Competence Performance</v>
      </c>
      <c r="O546" s="146" t="str">
        <f ca="1">IFERROR(INDEX('9 Grid'!$D$4:$F$6,MATCH('Rekomendasi HAV'!M546,'9 Grid'!$B$4:$B$6,0),MATCH('Rekomendasi HAV'!N546,'9 Grid'!$D$2:$F$2,0)),"")</f>
        <v/>
      </c>
      <c r="P546" s="147" t="str">
        <f>IFERROR(INDEX('9 Grid'!$D$8:$F$8,1,MATCH('Rekomendasi HAV'!N546,'9 Grid'!$D$2:$F$2,0)),"")</f>
        <v>(ST) Within 12 - 18 month</v>
      </c>
    </row>
    <row r="547" spans="1:16" ht="28.5">
      <c r="A547" s="67">
        <v>546</v>
      </c>
      <c r="B547" s="68" t="str">
        <f>INDEX(Data_Assessment[],MATCH('Rekomendasi HAV'!$A547,Data_Assessment[[INDEX]:[INDEX]],0),MATCH('Rekomendasi HAV'!B$1,Data_Assessment[#Headers],0))</f>
        <v>Kaslan, Ir.</v>
      </c>
      <c r="C547" s="68" t="str">
        <f>INDEX(Data_Assessment[],MATCH('Rekomendasi HAV'!$A547,Data_Assessment[[INDEX]:[INDEX]],0),MATCH('Rekomendasi HAV'!C$1,Data_Assessment[#Headers],0))</f>
        <v>Sumatera Selatan</v>
      </c>
      <c r="D547" s="68" t="str">
        <f>INDEX(Data_Assessment[],MATCH('Rekomendasi HAV'!$A547,Data_Assessment[[INDEX]:[INDEX]],0),MATCH('Rekomendasi HAV'!D$1,Data_Assessment[#Headers],0))</f>
        <v>LSIP - Suka Damai Estate</v>
      </c>
      <c r="E547" s="68">
        <f>INDEX(Data_Assessment[],MATCH('Rekomendasi HAV'!$B547,Data_Assessment[[NAME]:[NAME]],0),MATCH('Rekomendasi HAV'!E$1,Data_Assessment[#Headers],0))</f>
        <v>0</v>
      </c>
      <c r="F547" s="68"/>
      <c r="G547" s="68">
        <f>IF(ISNUMBER(SEARCH("DEV",Assessment[[#This Row],[JOB TARGET]])),SUBSTITUTE(Assessment[[#This Row],[JOB TARGET]],"DEV","EST"),Assessment[[#This Row],[JOB TARGET]])</f>
        <v>0</v>
      </c>
      <c r="H547" s="146" t="str" cm="1">
        <f t="array" aca="1" ref="H547" ca="1">IF(Assessment[[#This Row],[JOB TARGET]]="","Job Target Kosong",IF(COUNT(IF('Data Assessment'!$N547:$Z547-OFFSET(Standar!$B$2,MATCH(Assessment[[#This Row],[JOB TARGET
(EST)]],Standar[NAMA JABATAN],0)-1,1,1,13)&lt;0,1,""))&lt;=3,'9 Grid'!$B$4,IF(COUNT(IF('Data Assessment'!$N547:$Z547-OFFSET(Standar!$B$2,MATCH(Assessment[[#This Row],[JOB TARGET]],Standar[NAMA JABATAN],0)-1,1,1,13)&lt;0,1,""))&gt;=7,'9 Grid'!$B$6,'9 Grid'!$B$5)))</f>
        <v>Job Target Kosong</v>
      </c>
      <c r="I547" s="146" t="str">
        <f>IFERROR(IF(Data_Assessment[[#This Row],[IPP (3 YEARS AVERAGE)]]="","(IPP Belum Ada)",IF(Data_Assessment[[#This Row],[IPP (3 YEARS AVERAGE)]]&lt;2,'9 Grid'!$F$2,IF(Data_Assessment[[#This Row],[IPP (3 YEARS AVERAGE)]]&gt;=4,'9 Grid'!$D$2,'9 Grid'!$E$2))),"")</f>
        <v>Fully Competence Performance</v>
      </c>
      <c r="J547" s="146" t="str">
        <f ca="1">IFERROR(INDEX('9 Grid'!$D$4:$F$6,MATCH('Rekomendasi HAV'!H547,'9 Grid'!$B$4:$B$6,0),MATCH('Rekomendasi HAV'!I547,'9 Grid'!$D$2:$F$2,0)),"")</f>
        <v/>
      </c>
      <c r="K547" s="146" t="str">
        <f>IFERROR(INDEX('9 Grid'!$D$8:$F$8,1,MATCH('Rekomendasi HAV'!I547,'9 Grid'!$D$2:$F$2,0)),"")</f>
        <v>(ST) Within 12 - 18 month</v>
      </c>
      <c r="L547" s="146">
        <f>IF(ISNUMBER(SEARCH("EST",Assessment[[#This Row],[JOB TARGET]])),SUBSTITUTE(Assessment[[#This Row],[JOB TARGET]],"EST","DEV"),Assessment[[#This Row],[JOB TARGET]])</f>
        <v>0</v>
      </c>
      <c r="M547" s="146" t="str" cm="1">
        <f t="array" aca="1" ref="M547" ca="1">IF(Assessment[[#This Row],[JOB TARGET]]="","Job Target Kosong",IF(COUNT(IF('Data Assessment'!$N547:$Z547-OFFSET(Standar!$B$2,MATCH(Assessment[[#This Row],[JOB TARGET
(DEV)]],Standar[NAMA JABATAN],0)-1,1,1,13)&lt;0,1,""))&lt;=3,'9 Grid'!$B$4,IF(COUNT(IF('Data Assessment'!$N547:$Z547-OFFSET(Standar!$B$2,MATCH(Assessment[[#This Row],[JOB TARGET
(DEV)]],Standar[NAMA JABATAN],0)-1,1,1,13)&lt;0,1,""))&gt;=7,'9 Grid'!$B$6,'9 Grid'!$B$5)))</f>
        <v>Job Target Kosong</v>
      </c>
      <c r="N547" s="146" t="str">
        <f>IFERROR(IF(Data_Assessment[[#This Row],[IPP (3 YEARS AVERAGE)]]="","(IPP Belum Ada)",IF(Data_Assessment[[#This Row],[IPP (3 YEARS AVERAGE)]]&lt;2,'9 Grid'!$F$2,IF(Data_Assessment[[#This Row],[IPP (3 YEARS AVERAGE)]]&gt;=4,'9 Grid'!$D$2,'9 Grid'!$E$2))),"")</f>
        <v>Fully Competence Performance</v>
      </c>
      <c r="O547" s="146" t="str">
        <f ca="1">IFERROR(INDEX('9 Grid'!$D$4:$F$6,MATCH('Rekomendasi HAV'!M547,'9 Grid'!$B$4:$B$6,0),MATCH('Rekomendasi HAV'!N547,'9 Grid'!$D$2:$F$2,0)),"")</f>
        <v/>
      </c>
      <c r="P547" s="147" t="str">
        <f>IFERROR(INDEX('9 Grid'!$D$8:$F$8,1,MATCH('Rekomendasi HAV'!N547,'9 Grid'!$D$2:$F$2,0)),"")</f>
        <v>(ST) Within 12 - 18 month</v>
      </c>
    </row>
    <row r="548" spans="1:16" ht="14.25">
      <c r="A548" s="67">
        <v>547</v>
      </c>
      <c r="B548" s="68" t="str">
        <f>INDEX(Data_Assessment[],MATCH('Rekomendasi HAV'!$A548,Data_Assessment[[INDEX]:[INDEX]],0),MATCH('Rekomendasi HAV'!B$1,Data_Assessment[#Headers],0))</f>
        <v>Baharaja A.S., Ir.</v>
      </c>
      <c r="C548" s="68" t="str">
        <f>INDEX(Data_Assessment[],MATCH('Rekomendasi HAV'!$A548,Data_Assessment[[INDEX]:[INDEX]],0),MATCH('Rekomendasi HAV'!C$1,Data_Assessment[#Headers],0))</f>
        <v>Sumatera Utara</v>
      </c>
      <c r="D548" s="68" t="str">
        <f>INDEX(Data_Assessment[],MATCH('Rekomendasi HAV'!$A548,Data_Assessment[[INDEX]:[INDEX]],0),MATCH('Rekomendasi HAV'!D$1,Data_Assessment[#Headers],0))</f>
        <v>LSIP - Bah Lias Estate</v>
      </c>
      <c r="E548" s="68">
        <f>INDEX(Data_Assessment[],MATCH('Rekomendasi HAV'!$B548,Data_Assessment[[NAME]:[NAME]],0),MATCH('Rekomendasi HAV'!E$1,Data_Assessment[#Headers],0))</f>
        <v>0</v>
      </c>
      <c r="F548" s="68"/>
      <c r="G548" s="68">
        <f>IF(ISNUMBER(SEARCH("DEV",Assessment[[#This Row],[JOB TARGET]])),SUBSTITUTE(Assessment[[#This Row],[JOB TARGET]],"DEV","EST"),Assessment[[#This Row],[JOB TARGET]])</f>
        <v>0</v>
      </c>
      <c r="H548" s="146" t="str" cm="1">
        <f t="array" aca="1" ref="H548" ca="1">IF(Assessment[[#This Row],[JOB TARGET]]="","Job Target Kosong",IF(COUNT(IF('Data Assessment'!$N548:$Z548-OFFSET(Standar!$B$2,MATCH(Assessment[[#This Row],[JOB TARGET
(EST)]],Standar[NAMA JABATAN],0)-1,1,1,13)&lt;0,1,""))&lt;=3,'9 Grid'!$B$4,IF(COUNT(IF('Data Assessment'!$N548:$Z548-OFFSET(Standar!$B$2,MATCH(Assessment[[#This Row],[JOB TARGET]],Standar[NAMA JABATAN],0)-1,1,1,13)&lt;0,1,""))&gt;=7,'9 Grid'!$B$6,'9 Grid'!$B$5)))</f>
        <v>Job Target Kosong</v>
      </c>
      <c r="I548" s="146" t="str">
        <f>IFERROR(IF(Data_Assessment[[#This Row],[IPP (3 YEARS AVERAGE)]]="","(IPP Belum Ada)",IF(Data_Assessment[[#This Row],[IPP (3 YEARS AVERAGE)]]&lt;2,'9 Grid'!$F$2,IF(Data_Assessment[[#This Row],[IPP (3 YEARS AVERAGE)]]&gt;=4,'9 Grid'!$D$2,'9 Grid'!$E$2))),"")</f>
        <v>Exceptional Performance</v>
      </c>
      <c r="J548" s="146" t="str">
        <f ca="1">IFERROR(INDEX('9 Grid'!$D$4:$F$6,MATCH('Rekomendasi HAV'!H548,'9 Grid'!$B$4:$B$6,0),MATCH('Rekomendasi HAV'!I548,'9 Grid'!$D$2:$F$2,0)),"")</f>
        <v/>
      </c>
      <c r="K548" s="146" t="str">
        <f>IFERROR(INDEX('9 Grid'!$D$8:$F$8,1,MATCH('Rekomendasi HAV'!I548,'9 Grid'!$D$2:$F$2,0)),"")</f>
        <v>(I) Immediately</v>
      </c>
      <c r="L548" s="146">
        <f>IF(ISNUMBER(SEARCH("EST",Assessment[[#This Row],[JOB TARGET]])),SUBSTITUTE(Assessment[[#This Row],[JOB TARGET]],"EST","DEV"),Assessment[[#This Row],[JOB TARGET]])</f>
        <v>0</v>
      </c>
      <c r="M548" s="146" t="str" cm="1">
        <f t="array" aca="1" ref="M548" ca="1">IF(Assessment[[#This Row],[JOB TARGET]]="","Job Target Kosong",IF(COUNT(IF('Data Assessment'!$N548:$Z548-OFFSET(Standar!$B$2,MATCH(Assessment[[#This Row],[JOB TARGET
(DEV)]],Standar[NAMA JABATAN],0)-1,1,1,13)&lt;0,1,""))&lt;=3,'9 Grid'!$B$4,IF(COUNT(IF('Data Assessment'!$N548:$Z548-OFFSET(Standar!$B$2,MATCH(Assessment[[#This Row],[JOB TARGET
(DEV)]],Standar[NAMA JABATAN],0)-1,1,1,13)&lt;0,1,""))&gt;=7,'9 Grid'!$B$6,'9 Grid'!$B$5)))</f>
        <v>Job Target Kosong</v>
      </c>
      <c r="N548" s="146" t="str">
        <f>IFERROR(IF(Data_Assessment[[#This Row],[IPP (3 YEARS AVERAGE)]]="","(IPP Belum Ada)",IF(Data_Assessment[[#This Row],[IPP (3 YEARS AVERAGE)]]&lt;2,'9 Grid'!$F$2,IF(Data_Assessment[[#This Row],[IPP (3 YEARS AVERAGE)]]&gt;=4,'9 Grid'!$D$2,'9 Grid'!$E$2))),"")</f>
        <v>Exceptional Performance</v>
      </c>
      <c r="O548" s="146" t="str">
        <f ca="1">IFERROR(INDEX('9 Grid'!$D$4:$F$6,MATCH('Rekomendasi HAV'!M548,'9 Grid'!$B$4:$B$6,0),MATCH('Rekomendasi HAV'!N548,'9 Grid'!$D$2:$F$2,0)),"")</f>
        <v/>
      </c>
      <c r="P548" s="147" t="str">
        <f>IFERROR(INDEX('9 Grid'!$D$8:$F$8,1,MATCH('Rekomendasi HAV'!N548,'9 Grid'!$D$2:$F$2,0)),"")</f>
        <v>(I) Immediately</v>
      </c>
    </row>
    <row r="549" spans="1:16" ht="28.5">
      <c r="A549" s="67">
        <v>548</v>
      </c>
      <c r="B549" s="68" t="str">
        <f>INDEX(Data_Assessment[],MATCH('Rekomendasi HAV'!$A549,Data_Assessment[[INDEX]:[INDEX]],0),MATCH('Rekomendasi HAV'!B$1,Data_Assessment[#Headers],0))</f>
        <v>Darwin Siregar, Ir.</v>
      </c>
      <c r="C549" s="68" t="str">
        <f>INDEX(Data_Assessment[],MATCH('Rekomendasi HAV'!$A549,Data_Assessment[[INDEX]:[INDEX]],0),MATCH('Rekomendasi HAV'!C$1,Data_Assessment[#Headers],0))</f>
        <v>Sumatera Selatan</v>
      </c>
      <c r="D549" s="68" t="str">
        <f>INDEX(Data_Assessment[],MATCH('Rekomendasi HAV'!$A549,Data_Assessment[[INDEX]:[INDEX]],0),MATCH('Rekomendasi HAV'!D$1,Data_Assessment[#Headers],0))</f>
        <v>LSIP - Budi Tirta Estate</v>
      </c>
      <c r="E549" s="68">
        <f>INDEX(Data_Assessment[],MATCH('Rekomendasi HAV'!$B549,Data_Assessment[[NAME]:[NAME]],0),MATCH('Rekomendasi HAV'!E$1,Data_Assessment[#Headers],0))</f>
        <v>0</v>
      </c>
      <c r="F549" s="68"/>
      <c r="G549" s="68">
        <f>IF(ISNUMBER(SEARCH("DEV",Assessment[[#This Row],[JOB TARGET]])),SUBSTITUTE(Assessment[[#This Row],[JOB TARGET]],"DEV","EST"),Assessment[[#This Row],[JOB TARGET]])</f>
        <v>0</v>
      </c>
      <c r="H549" s="146" t="str" cm="1">
        <f t="array" aca="1" ref="H549" ca="1">IF(Assessment[[#This Row],[JOB TARGET]]="","Job Target Kosong",IF(COUNT(IF('Data Assessment'!$N549:$Z549-OFFSET(Standar!$B$2,MATCH(Assessment[[#This Row],[JOB TARGET
(EST)]],Standar[NAMA JABATAN],0)-1,1,1,13)&lt;0,1,""))&lt;=3,'9 Grid'!$B$4,IF(COUNT(IF('Data Assessment'!$N549:$Z549-OFFSET(Standar!$B$2,MATCH(Assessment[[#This Row],[JOB TARGET]],Standar[NAMA JABATAN],0)-1,1,1,13)&lt;0,1,""))&gt;=7,'9 Grid'!$B$6,'9 Grid'!$B$5)))</f>
        <v>Job Target Kosong</v>
      </c>
      <c r="I549" s="146" t="str">
        <f>IFERROR(IF(Data_Assessment[[#This Row],[IPP (3 YEARS AVERAGE)]]="","(IPP Belum Ada)",IF(Data_Assessment[[#This Row],[IPP (3 YEARS AVERAGE)]]&lt;2,'9 Grid'!$F$2,IF(Data_Assessment[[#This Row],[IPP (3 YEARS AVERAGE)]]&gt;=4,'9 Grid'!$D$2,'9 Grid'!$E$2))),"")</f>
        <v>Fully Competence Performance</v>
      </c>
      <c r="J549" s="146" t="str">
        <f ca="1">IFERROR(INDEX('9 Grid'!$D$4:$F$6,MATCH('Rekomendasi HAV'!H549,'9 Grid'!$B$4:$B$6,0),MATCH('Rekomendasi HAV'!I549,'9 Grid'!$D$2:$F$2,0)),"")</f>
        <v/>
      </c>
      <c r="K549" s="146" t="str">
        <f>IFERROR(INDEX('9 Grid'!$D$8:$F$8,1,MATCH('Rekomendasi HAV'!I549,'9 Grid'!$D$2:$F$2,0)),"")</f>
        <v>(ST) Within 12 - 18 month</v>
      </c>
      <c r="L549" s="146">
        <f>IF(ISNUMBER(SEARCH("EST",Assessment[[#This Row],[JOB TARGET]])),SUBSTITUTE(Assessment[[#This Row],[JOB TARGET]],"EST","DEV"),Assessment[[#This Row],[JOB TARGET]])</f>
        <v>0</v>
      </c>
      <c r="M549" s="146" t="str" cm="1">
        <f t="array" aca="1" ref="M549" ca="1">IF(Assessment[[#This Row],[JOB TARGET]]="","Job Target Kosong",IF(COUNT(IF('Data Assessment'!$N549:$Z549-OFFSET(Standar!$B$2,MATCH(Assessment[[#This Row],[JOB TARGET
(DEV)]],Standar[NAMA JABATAN],0)-1,1,1,13)&lt;0,1,""))&lt;=3,'9 Grid'!$B$4,IF(COUNT(IF('Data Assessment'!$N549:$Z549-OFFSET(Standar!$B$2,MATCH(Assessment[[#This Row],[JOB TARGET
(DEV)]],Standar[NAMA JABATAN],0)-1,1,1,13)&lt;0,1,""))&gt;=7,'9 Grid'!$B$6,'9 Grid'!$B$5)))</f>
        <v>Job Target Kosong</v>
      </c>
      <c r="N549" s="146" t="str">
        <f>IFERROR(IF(Data_Assessment[[#This Row],[IPP (3 YEARS AVERAGE)]]="","(IPP Belum Ada)",IF(Data_Assessment[[#This Row],[IPP (3 YEARS AVERAGE)]]&lt;2,'9 Grid'!$F$2,IF(Data_Assessment[[#This Row],[IPP (3 YEARS AVERAGE)]]&gt;=4,'9 Grid'!$D$2,'9 Grid'!$E$2))),"")</f>
        <v>Fully Competence Performance</v>
      </c>
      <c r="O549" s="146" t="str">
        <f ca="1">IFERROR(INDEX('9 Grid'!$D$4:$F$6,MATCH('Rekomendasi HAV'!M549,'9 Grid'!$B$4:$B$6,0),MATCH('Rekomendasi HAV'!N549,'9 Grid'!$D$2:$F$2,0)),"")</f>
        <v/>
      </c>
      <c r="P549" s="147" t="str">
        <f>IFERROR(INDEX('9 Grid'!$D$8:$F$8,1,MATCH('Rekomendasi HAV'!N549,'9 Grid'!$D$2:$F$2,0)),"")</f>
        <v>(ST) Within 12 - 18 month</v>
      </c>
    </row>
    <row r="550" spans="1:16" ht="28.5">
      <c r="A550" s="67">
        <v>549</v>
      </c>
      <c r="B550" s="68" t="str">
        <f>INDEX(Data_Assessment[],MATCH('Rekomendasi HAV'!$A550,Data_Assessment[[INDEX]:[INDEX]],0),MATCH('Rekomendasi HAV'!B$1,Data_Assessment[#Headers],0))</f>
        <v>Muhammad Junaedi</v>
      </c>
      <c r="C550" s="68" t="str">
        <f>INDEX(Data_Assessment[],MATCH('Rekomendasi HAV'!$A550,Data_Assessment[[INDEX]:[INDEX]],0),MATCH('Rekomendasi HAV'!C$1,Data_Assessment[#Headers],0))</f>
        <v>Sumatera Utara</v>
      </c>
      <c r="D550" s="68" t="str">
        <f>INDEX(Data_Assessment[],MATCH('Rekomendasi HAV'!$A550,Data_Assessment[[INDEX]:[INDEX]],0),MATCH('Rekomendasi HAV'!D$1,Data_Assessment[#Headers],0))</f>
        <v>LSIP - Bah Lias Estate</v>
      </c>
      <c r="E550" s="68">
        <f>INDEX(Data_Assessment[],MATCH('Rekomendasi HAV'!$B550,Data_Assessment[[NAME]:[NAME]],0),MATCH('Rekomendasi HAV'!E$1,Data_Assessment[#Headers],0))</f>
        <v>0</v>
      </c>
      <c r="F550" s="68"/>
      <c r="G550" s="68">
        <f>IF(ISNUMBER(SEARCH("DEV",Assessment[[#This Row],[JOB TARGET]])),SUBSTITUTE(Assessment[[#This Row],[JOB TARGET]],"DEV","EST"),Assessment[[#This Row],[JOB TARGET]])</f>
        <v>0</v>
      </c>
      <c r="H550" s="146" t="str" cm="1">
        <f t="array" aca="1" ref="H550" ca="1">IF(Assessment[[#This Row],[JOB TARGET]]="","Job Target Kosong",IF(COUNT(IF('Data Assessment'!$N550:$Z550-OFFSET(Standar!$B$2,MATCH(Assessment[[#This Row],[JOB TARGET
(EST)]],Standar[NAMA JABATAN],0)-1,1,1,13)&lt;0,1,""))&lt;=3,'9 Grid'!$B$4,IF(COUNT(IF('Data Assessment'!$N550:$Z550-OFFSET(Standar!$B$2,MATCH(Assessment[[#This Row],[JOB TARGET]],Standar[NAMA JABATAN],0)-1,1,1,13)&lt;0,1,""))&gt;=7,'9 Grid'!$B$6,'9 Grid'!$B$5)))</f>
        <v>Job Target Kosong</v>
      </c>
      <c r="I550" s="146" t="str">
        <f>IFERROR(IF(Data_Assessment[[#This Row],[IPP (3 YEARS AVERAGE)]]="","(IPP Belum Ada)",IF(Data_Assessment[[#This Row],[IPP (3 YEARS AVERAGE)]]&lt;2,'9 Grid'!$F$2,IF(Data_Assessment[[#This Row],[IPP (3 YEARS AVERAGE)]]&gt;=4,'9 Grid'!$D$2,'9 Grid'!$E$2))),"")</f>
        <v>Fully Competence Performance</v>
      </c>
      <c r="J550" s="146" t="str">
        <f ca="1">IFERROR(INDEX('9 Grid'!$D$4:$F$6,MATCH('Rekomendasi HAV'!H550,'9 Grid'!$B$4:$B$6,0),MATCH('Rekomendasi HAV'!I550,'9 Grid'!$D$2:$F$2,0)),"")</f>
        <v/>
      </c>
      <c r="K550" s="146" t="str">
        <f>IFERROR(INDEX('9 Grid'!$D$8:$F$8,1,MATCH('Rekomendasi HAV'!I550,'9 Grid'!$D$2:$F$2,0)),"")</f>
        <v>(ST) Within 12 - 18 month</v>
      </c>
      <c r="L550" s="146">
        <f>IF(ISNUMBER(SEARCH("EST",Assessment[[#This Row],[JOB TARGET]])),SUBSTITUTE(Assessment[[#This Row],[JOB TARGET]],"EST","DEV"),Assessment[[#This Row],[JOB TARGET]])</f>
        <v>0</v>
      </c>
      <c r="M550" s="146" t="str" cm="1">
        <f t="array" aca="1" ref="M550" ca="1">IF(Assessment[[#This Row],[JOB TARGET]]="","Job Target Kosong",IF(COUNT(IF('Data Assessment'!$N550:$Z550-OFFSET(Standar!$B$2,MATCH(Assessment[[#This Row],[JOB TARGET
(DEV)]],Standar[NAMA JABATAN],0)-1,1,1,13)&lt;0,1,""))&lt;=3,'9 Grid'!$B$4,IF(COUNT(IF('Data Assessment'!$N550:$Z550-OFFSET(Standar!$B$2,MATCH(Assessment[[#This Row],[JOB TARGET
(DEV)]],Standar[NAMA JABATAN],0)-1,1,1,13)&lt;0,1,""))&gt;=7,'9 Grid'!$B$6,'9 Grid'!$B$5)))</f>
        <v>Job Target Kosong</v>
      </c>
      <c r="N550" s="146" t="str">
        <f>IFERROR(IF(Data_Assessment[[#This Row],[IPP (3 YEARS AVERAGE)]]="","(IPP Belum Ada)",IF(Data_Assessment[[#This Row],[IPP (3 YEARS AVERAGE)]]&lt;2,'9 Grid'!$F$2,IF(Data_Assessment[[#This Row],[IPP (3 YEARS AVERAGE)]]&gt;=4,'9 Grid'!$D$2,'9 Grid'!$E$2))),"")</f>
        <v>Fully Competence Performance</v>
      </c>
      <c r="O550" s="146" t="str">
        <f ca="1">IFERROR(INDEX('9 Grid'!$D$4:$F$6,MATCH('Rekomendasi HAV'!M550,'9 Grid'!$B$4:$B$6,0),MATCH('Rekomendasi HAV'!N550,'9 Grid'!$D$2:$F$2,0)),"")</f>
        <v/>
      </c>
      <c r="P550" s="147" t="str">
        <f>IFERROR(INDEX('9 Grid'!$D$8:$F$8,1,MATCH('Rekomendasi HAV'!N550,'9 Grid'!$D$2:$F$2,0)),"")</f>
        <v>(ST) Within 12 - 18 month</v>
      </c>
    </row>
    <row r="551" spans="1:16" ht="28.5">
      <c r="A551" s="67">
        <v>550</v>
      </c>
      <c r="B551" s="68" t="str">
        <f>INDEX(Data_Assessment[],MATCH('Rekomendasi HAV'!$A551,Data_Assessment[[INDEX]:[INDEX]],0),MATCH('Rekomendasi HAV'!B$1,Data_Assessment[#Headers],0))</f>
        <v>Azhar, Ir.</v>
      </c>
      <c r="C551" s="68" t="str">
        <f>INDEX(Data_Assessment[],MATCH('Rekomendasi HAV'!$A551,Data_Assessment[[INDEX]:[INDEX]],0),MATCH('Rekomendasi HAV'!C$1,Data_Assessment[#Headers],0))</f>
        <v>Sumatera Selatan</v>
      </c>
      <c r="D551" s="68" t="str">
        <f>INDEX(Data_Assessment[],MATCH('Rekomendasi HAV'!$A551,Data_Assessment[[INDEX]:[INDEX]],0),MATCH('Rekomendasi HAV'!D$1,Data_Assessment[#Headers],0))</f>
        <v>LSIP - Budi Tirta Estate</v>
      </c>
      <c r="E551" s="68">
        <f>INDEX(Data_Assessment[],MATCH('Rekomendasi HAV'!$B551,Data_Assessment[[NAME]:[NAME]],0),MATCH('Rekomendasi HAV'!E$1,Data_Assessment[#Headers],0))</f>
        <v>0</v>
      </c>
      <c r="F551" s="68"/>
      <c r="G551" s="68">
        <f>IF(ISNUMBER(SEARCH("DEV",Assessment[[#This Row],[JOB TARGET]])),SUBSTITUTE(Assessment[[#This Row],[JOB TARGET]],"DEV","EST"),Assessment[[#This Row],[JOB TARGET]])</f>
        <v>0</v>
      </c>
      <c r="H551" s="146" t="str" cm="1">
        <f t="array" aca="1" ref="H551" ca="1">IF(Assessment[[#This Row],[JOB TARGET]]="","Job Target Kosong",IF(COUNT(IF('Data Assessment'!$N551:$Z551-OFFSET(Standar!$B$2,MATCH(Assessment[[#This Row],[JOB TARGET
(EST)]],Standar[NAMA JABATAN],0)-1,1,1,13)&lt;0,1,""))&lt;=3,'9 Grid'!$B$4,IF(COUNT(IF('Data Assessment'!$N551:$Z551-OFFSET(Standar!$B$2,MATCH(Assessment[[#This Row],[JOB TARGET]],Standar[NAMA JABATAN],0)-1,1,1,13)&lt;0,1,""))&gt;=7,'9 Grid'!$B$6,'9 Grid'!$B$5)))</f>
        <v>Job Target Kosong</v>
      </c>
      <c r="I551" s="146" t="str">
        <f>IFERROR(IF(Data_Assessment[[#This Row],[IPP (3 YEARS AVERAGE)]]="","(IPP Belum Ada)",IF(Data_Assessment[[#This Row],[IPP (3 YEARS AVERAGE)]]&lt;2,'9 Grid'!$F$2,IF(Data_Assessment[[#This Row],[IPP (3 YEARS AVERAGE)]]&gt;=4,'9 Grid'!$D$2,'9 Grid'!$E$2))),"")</f>
        <v>Fully Competence Performance</v>
      </c>
      <c r="J551" s="146" t="str">
        <f ca="1">IFERROR(INDEX('9 Grid'!$D$4:$F$6,MATCH('Rekomendasi HAV'!H551,'9 Grid'!$B$4:$B$6,0),MATCH('Rekomendasi HAV'!I551,'9 Grid'!$D$2:$F$2,0)),"")</f>
        <v/>
      </c>
      <c r="K551" s="146" t="str">
        <f>IFERROR(INDEX('9 Grid'!$D$8:$F$8,1,MATCH('Rekomendasi HAV'!I551,'9 Grid'!$D$2:$F$2,0)),"")</f>
        <v>(ST) Within 12 - 18 month</v>
      </c>
      <c r="L551" s="146">
        <f>IF(ISNUMBER(SEARCH("EST",Assessment[[#This Row],[JOB TARGET]])),SUBSTITUTE(Assessment[[#This Row],[JOB TARGET]],"EST","DEV"),Assessment[[#This Row],[JOB TARGET]])</f>
        <v>0</v>
      </c>
      <c r="M551" s="146" t="str" cm="1">
        <f t="array" aca="1" ref="M551" ca="1">IF(Assessment[[#This Row],[JOB TARGET]]="","Job Target Kosong",IF(COUNT(IF('Data Assessment'!$N551:$Z551-OFFSET(Standar!$B$2,MATCH(Assessment[[#This Row],[JOB TARGET
(DEV)]],Standar[NAMA JABATAN],0)-1,1,1,13)&lt;0,1,""))&lt;=3,'9 Grid'!$B$4,IF(COUNT(IF('Data Assessment'!$N551:$Z551-OFFSET(Standar!$B$2,MATCH(Assessment[[#This Row],[JOB TARGET
(DEV)]],Standar[NAMA JABATAN],0)-1,1,1,13)&lt;0,1,""))&gt;=7,'9 Grid'!$B$6,'9 Grid'!$B$5)))</f>
        <v>Job Target Kosong</v>
      </c>
      <c r="N551" s="146" t="str">
        <f>IFERROR(IF(Data_Assessment[[#This Row],[IPP (3 YEARS AVERAGE)]]="","(IPP Belum Ada)",IF(Data_Assessment[[#This Row],[IPP (3 YEARS AVERAGE)]]&lt;2,'9 Grid'!$F$2,IF(Data_Assessment[[#This Row],[IPP (3 YEARS AVERAGE)]]&gt;=4,'9 Grid'!$D$2,'9 Grid'!$E$2))),"")</f>
        <v>Fully Competence Performance</v>
      </c>
      <c r="O551" s="146" t="str">
        <f ca="1">IFERROR(INDEX('9 Grid'!$D$4:$F$6,MATCH('Rekomendasi HAV'!M551,'9 Grid'!$B$4:$B$6,0),MATCH('Rekomendasi HAV'!N551,'9 Grid'!$D$2:$F$2,0)),"")</f>
        <v/>
      </c>
      <c r="P551" s="147" t="str">
        <f>IFERROR(INDEX('9 Grid'!$D$8:$F$8,1,MATCH('Rekomendasi HAV'!N551,'9 Grid'!$D$2:$F$2,0)),"")</f>
        <v>(ST) Within 12 - 18 month</v>
      </c>
    </row>
    <row r="552" spans="1:16" ht="28.5">
      <c r="A552" s="67">
        <v>551</v>
      </c>
      <c r="B552" s="68" t="str">
        <f>INDEX(Data_Assessment[],MATCH('Rekomendasi HAV'!$A552,Data_Assessment[[INDEX]:[INDEX]],0),MATCH('Rekomendasi HAV'!B$1,Data_Assessment[#Headers],0))</f>
        <v>T. Chairul Azhar, Ir.</v>
      </c>
      <c r="C552" s="68" t="str">
        <f>INDEX(Data_Assessment[],MATCH('Rekomendasi HAV'!$A552,Data_Assessment[[INDEX]:[INDEX]],0),MATCH('Rekomendasi HAV'!C$1,Data_Assessment[#Headers],0))</f>
        <v>Sumatera Utara</v>
      </c>
      <c r="D552" s="68" t="str">
        <f>INDEX(Data_Assessment[],MATCH('Rekomendasi HAV'!$A552,Data_Assessment[[INDEX]:[INDEX]],0),MATCH('Rekomendasi HAV'!D$1,Data_Assessment[#Headers],0))</f>
        <v>LSIP - Bah Lias Estate</v>
      </c>
      <c r="E552" s="68">
        <f>INDEX(Data_Assessment[],MATCH('Rekomendasi HAV'!$B552,Data_Assessment[[NAME]:[NAME]],0),MATCH('Rekomendasi HAV'!E$1,Data_Assessment[#Headers],0))</f>
        <v>0</v>
      </c>
      <c r="F552" s="68"/>
      <c r="G552" s="68">
        <f>IF(ISNUMBER(SEARCH("DEV",Assessment[[#This Row],[JOB TARGET]])),SUBSTITUTE(Assessment[[#This Row],[JOB TARGET]],"DEV","EST"),Assessment[[#This Row],[JOB TARGET]])</f>
        <v>0</v>
      </c>
      <c r="H552" s="146" t="str" cm="1">
        <f t="array" aca="1" ref="H552" ca="1">IF(Assessment[[#This Row],[JOB TARGET]]="","Job Target Kosong",IF(COUNT(IF('Data Assessment'!$N552:$Z552-OFFSET(Standar!$B$2,MATCH(Assessment[[#This Row],[JOB TARGET
(EST)]],Standar[NAMA JABATAN],0)-1,1,1,13)&lt;0,1,""))&lt;=3,'9 Grid'!$B$4,IF(COUNT(IF('Data Assessment'!$N552:$Z552-OFFSET(Standar!$B$2,MATCH(Assessment[[#This Row],[JOB TARGET]],Standar[NAMA JABATAN],0)-1,1,1,13)&lt;0,1,""))&gt;=7,'9 Grid'!$B$6,'9 Grid'!$B$5)))</f>
        <v>Job Target Kosong</v>
      </c>
      <c r="I552" s="146" t="str">
        <f>IFERROR(IF(Data_Assessment[[#This Row],[IPP (3 YEARS AVERAGE)]]="","(IPP Belum Ada)",IF(Data_Assessment[[#This Row],[IPP (3 YEARS AVERAGE)]]&lt;2,'9 Grid'!$F$2,IF(Data_Assessment[[#This Row],[IPP (3 YEARS AVERAGE)]]&gt;=4,'9 Grid'!$D$2,'9 Grid'!$E$2))),"")</f>
        <v>Fully Competence Performance</v>
      </c>
      <c r="J552" s="146" t="str">
        <f ca="1">IFERROR(INDEX('9 Grid'!$D$4:$F$6,MATCH('Rekomendasi HAV'!H552,'9 Grid'!$B$4:$B$6,0),MATCH('Rekomendasi HAV'!I552,'9 Grid'!$D$2:$F$2,0)),"")</f>
        <v/>
      </c>
      <c r="K552" s="146" t="str">
        <f>IFERROR(INDEX('9 Grid'!$D$8:$F$8,1,MATCH('Rekomendasi HAV'!I552,'9 Grid'!$D$2:$F$2,0)),"")</f>
        <v>(ST) Within 12 - 18 month</v>
      </c>
      <c r="L552" s="146">
        <f>IF(ISNUMBER(SEARCH("EST",Assessment[[#This Row],[JOB TARGET]])),SUBSTITUTE(Assessment[[#This Row],[JOB TARGET]],"EST","DEV"),Assessment[[#This Row],[JOB TARGET]])</f>
        <v>0</v>
      </c>
      <c r="M552" s="146" t="str" cm="1">
        <f t="array" aca="1" ref="M552" ca="1">IF(Assessment[[#This Row],[JOB TARGET]]="","Job Target Kosong",IF(COUNT(IF('Data Assessment'!$N552:$Z552-OFFSET(Standar!$B$2,MATCH(Assessment[[#This Row],[JOB TARGET
(DEV)]],Standar[NAMA JABATAN],0)-1,1,1,13)&lt;0,1,""))&lt;=3,'9 Grid'!$B$4,IF(COUNT(IF('Data Assessment'!$N552:$Z552-OFFSET(Standar!$B$2,MATCH(Assessment[[#This Row],[JOB TARGET
(DEV)]],Standar[NAMA JABATAN],0)-1,1,1,13)&lt;0,1,""))&gt;=7,'9 Grid'!$B$6,'9 Grid'!$B$5)))</f>
        <v>Job Target Kosong</v>
      </c>
      <c r="N552" s="146" t="str">
        <f>IFERROR(IF(Data_Assessment[[#This Row],[IPP (3 YEARS AVERAGE)]]="","(IPP Belum Ada)",IF(Data_Assessment[[#This Row],[IPP (3 YEARS AVERAGE)]]&lt;2,'9 Grid'!$F$2,IF(Data_Assessment[[#This Row],[IPP (3 YEARS AVERAGE)]]&gt;=4,'9 Grid'!$D$2,'9 Grid'!$E$2))),"")</f>
        <v>Fully Competence Performance</v>
      </c>
      <c r="O552" s="146" t="str">
        <f ca="1">IFERROR(INDEX('9 Grid'!$D$4:$F$6,MATCH('Rekomendasi HAV'!M552,'9 Grid'!$B$4:$B$6,0),MATCH('Rekomendasi HAV'!N552,'9 Grid'!$D$2:$F$2,0)),"")</f>
        <v/>
      </c>
      <c r="P552" s="147" t="str">
        <f>IFERROR(INDEX('9 Grid'!$D$8:$F$8,1,MATCH('Rekomendasi HAV'!N552,'9 Grid'!$D$2:$F$2,0)),"")</f>
        <v>(ST) Within 12 - 18 month</v>
      </c>
    </row>
    <row r="553" spans="1:16" ht="14.25">
      <c r="A553" s="67">
        <v>552</v>
      </c>
      <c r="B553" s="68" t="str">
        <f>INDEX(Data_Assessment[],MATCH('Rekomendasi HAV'!$A553,Data_Assessment[[INDEX]:[INDEX]],0),MATCH('Rekomendasi HAV'!B$1,Data_Assessment[#Headers],0))</f>
        <v>Hasan Basri Siregar</v>
      </c>
      <c r="C553" s="68" t="str">
        <f>INDEX(Data_Assessment[],MATCH('Rekomendasi HAV'!$A553,Data_Assessment[[INDEX]:[INDEX]],0),MATCH('Rekomendasi HAV'!C$1,Data_Assessment[#Headers],0))</f>
        <v>Sumatera Selatan</v>
      </c>
      <c r="D553" s="68" t="str">
        <f>INDEX(Data_Assessment[],MATCH('Rekomendasi HAV'!$A553,Data_Assessment[[INDEX]:[INDEX]],0),MATCH('Rekomendasi HAV'!D$1,Data_Assessment[#Headers],0))</f>
        <v>LSIP - Budi Tirta Estate</v>
      </c>
      <c r="E553" s="68">
        <f>INDEX(Data_Assessment[],MATCH('Rekomendasi HAV'!$B553,Data_Assessment[[NAME]:[NAME]],0),MATCH('Rekomendasi HAV'!E$1,Data_Assessment[#Headers],0))</f>
        <v>0</v>
      </c>
      <c r="F553" s="68"/>
      <c r="G553" s="68">
        <f>IF(ISNUMBER(SEARCH("DEV",Assessment[[#This Row],[JOB TARGET]])),SUBSTITUTE(Assessment[[#This Row],[JOB TARGET]],"DEV","EST"),Assessment[[#This Row],[JOB TARGET]])</f>
        <v>0</v>
      </c>
      <c r="H553" s="146" t="str" cm="1">
        <f t="array" aca="1" ref="H553" ca="1">IF(Assessment[[#This Row],[JOB TARGET]]="","Job Target Kosong",IF(COUNT(IF('Data Assessment'!$N553:$Z553-OFFSET(Standar!$B$2,MATCH(Assessment[[#This Row],[JOB TARGET
(EST)]],Standar[NAMA JABATAN],0)-1,1,1,13)&lt;0,1,""))&lt;=3,'9 Grid'!$B$4,IF(COUNT(IF('Data Assessment'!$N553:$Z553-OFFSET(Standar!$B$2,MATCH(Assessment[[#This Row],[JOB TARGET]],Standar[NAMA JABATAN],0)-1,1,1,13)&lt;0,1,""))&gt;=7,'9 Grid'!$B$6,'9 Grid'!$B$5)))</f>
        <v>Job Target Kosong</v>
      </c>
      <c r="I553" s="146" t="str">
        <f>IFERROR(IF(Data_Assessment[[#This Row],[IPP (3 YEARS AVERAGE)]]="","(IPP Belum Ada)",IF(Data_Assessment[[#This Row],[IPP (3 YEARS AVERAGE)]]&lt;2,'9 Grid'!$F$2,IF(Data_Assessment[[#This Row],[IPP (3 YEARS AVERAGE)]]&gt;=4,'9 Grid'!$D$2,'9 Grid'!$E$2))),"")</f>
        <v>Exceptional Performance</v>
      </c>
      <c r="J553" s="146" t="str">
        <f ca="1">IFERROR(INDEX('9 Grid'!$D$4:$F$6,MATCH('Rekomendasi HAV'!H553,'9 Grid'!$B$4:$B$6,0),MATCH('Rekomendasi HAV'!I553,'9 Grid'!$D$2:$F$2,0)),"")</f>
        <v/>
      </c>
      <c r="K553" s="146" t="str">
        <f>IFERROR(INDEX('9 Grid'!$D$8:$F$8,1,MATCH('Rekomendasi HAV'!I553,'9 Grid'!$D$2:$F$2,0)),"")</f>
        <v>(I) Immediately</v>
      </c>
      <c r="L553" s="146">
        <f>IF(ISNUMBER(SEARCH("EST",Assessment[[#This Row],[JOB TARGET]])),SUBSTITUTE(Assessment[[#This Row],[JOB TARGET]],"EST","DEV"),Assessment[[#This Row],[JOB TARGET]])</f>
        <v>0</v>
      </c>
      <c r="M553" s="146" t="str" cm="1">
        <f t="array" aca="1" ref="M553" ca="1">IF(Assessment[[#This Row],[JOB TARGET]]="","Job Target Kosong",IF(COUNT(IF('Data Assessment'!$N553:$Z553-OFFSET(Standar!$B$2,MATCH(Assessment[[#This Row],[JOB TARGET
(DEV)]],Standar[NAMA JABATAN],0)-1,1,1,13)&lt;0,1,""))&lt;=3,'9 Grid'!$B$4,IF(COUNT(IF('Data Assessment'!$N553:$Z553-OFFSET(Standar!$B$2,MATCH(Assessment[[#This Row],[JOB TARGET
(DEV)]],Standar[NAMA JABATAN],0)-1,1,1,13)&lt;0,1,""))&gt;=7,'9 Grid'!$B$6,'9 Grid'!$B$5)))</f>
        <v>Job Target Kosong</v>
      </c>
      <c r="N553" s="146" t="str">
        <f>IFERROR(IF(Data_Assessment[[#This Row],[IPP (3 YEARS AVERAGE)]]="","(IPP Belum Ada)",IF(Data_Assessment[[#This Row],[IPP (3 YEARS AVERAGE)]]&lt;2,'9 Grid'!$F$2,IF(Data_Assessment[[#This Row],[IPP (3 YEARS AVERAGE)]]&gt;=4,'9 Grid'!$D$2,'9 Grid'!$E$2))),"")</f>
        <v>Exceptional Performance</v>
      </c>
      <c r="O553" s="146" t="str">
        <f ca="1">IFERROR(INDEX('9 Grid'!$D$4:$F$6,MATCH('Rekomendasi HAV'!M553,'9 Grid'!$B$4:$B$6,0),MATCH('Rekomendasi HAV'!N553,'9 Grid'!$D$2:$F$2,0)),"")</f>
        <v/>
      </c>
      <c r="P553" s="147" t="str">
        <f>IFERROR(INDEX('9 Grid'!$D$8:$F$8,1,MATCH('Rekomendasi HAV'!N553,'9 Grid'!$D$2:$F$2,0)),"")</f>
        <v>(I) Immediately</v>
      </c>
    </row>
    <row r="554" spans="1:16" ht="28.5">
      <c r="A554" s="67">
        <v>553</v>
      </c>
      <c r="B554" s="68" t="str">
        <f>INDEX(Data_Assessment[],MATCH('Rekomendasi HAV'!$A554,Data_Assessment[[INDEX]:[INDEX]],0),MATCH('Rekomendasi HAV'!B$1,Data_Assessment[#Headers],0))</f>
        <v>Waldrin Manalu</v>
      </c>
      <c r="C554" s="68" t="str">
        <f>INDEX(Data_Assessment[],MATCH('Rekomendasi HAV'!$A554,Data_Assessment[[INDEX]:[INDEX]],0),MATCH('Rekomendasi HAV'!C$1,Data_Assessment[#Headers],0))</f>
        <v>Sumatera Selatan</v>
      </c>
      <c r="D554" s="68" t="str">
        <f>INDEX(Data_Assessment[],MATCH('Rekomendasi HAV'!$A554,Data_Assessment[[INDEX]:[INDEX]],0),MATCH('Rekomendasi HAV'!D$1,Data_Assessment[#Headers],0))</f>
        <v>LSIP - Budi Tirta Estate</v>
      </c>
      <c r="E554" s="68">
        <f>INDEX(Data_Assessment[],MATCH('Rekomendasi HAV'!$B554,Data_Assessment[[NAME]:[NAME]],0),MATCH('Rekomendasi HAV'!E$1,Data_Assessment[#Headers],0))</f>
        <v>0</v>
      </c>
      <c r="F554" s="68"/>
      <c r="G554" s="68">
        <f>IF(ISNUMBER(SEARCH("DEV",Assessment[[#This Row],[JOB TARGET]])),SUBSTITUTE(Assessment[[#This Row],[JOB TARGET]],"DEV","EST"),Assessment[[#This Row],[JOB TARGET]])</f>
        <v>0</v>
      </c>
      <c r="H554" s="146" t="str" cm="1">
        <f t="array" aca="1" ref="H554" ca="1">IF(Assessment[[#This Row],[JOB TARGET]]="","Job Target Kosong",IF(COUNT(IF('Data Assessment'!$N554:$Z554-OFFSET(Standar!$B$2,MATCH(Assessment[[#This Row],[JOB TARGET
(EST)]],Standar[NAMA JABATAN],0)-1,1,1,13)&lt;0,1,""))&lt;=3,'9 Grid'!$B$4,IF(COUNT(IF('Data Assessment'!$N554:$Z554-OFFSET(Standar!$B$2,MATCH(Assessment[[#This Row],[JOB TARGET]],Standar[NAMA JABATAN],0)-1,1,1,13)&lt;0,1,""))&gt;=7,'9 Grid'!$B$6,'9 Grid'!$B$5)))</f>
        <v>Job Target Kosong</v>
      </c>
      <c r="I554" s="146" t="str">
        <f>IFERROR(IF(Data_Assessment[[#This Row],[IPP (3 YEARS AVERAGE)]]="","(IPP Belum Ada)",IF(Data_Assessment[[#This Row],[IPP (3 YEARS AVERAGE)]]&lt;2,'9 Grid'!$F$2,IF(Data_Assessment[[#This Row],[IPP (3 YEARS AVERAGE)]]&gt;=4,'9 Grid'!$D$2,'9 Grid'!$E$2))),"")</f>
        <v>Fully Competence Performance</v>
      </c>
      <c r="J554" s="146" t="str">
        <f ca="1">IFERROR(INDEX('9 Grid'!$D$4:$F$6,MATCH('Rekomendasi HAV'!H554,'9 Grid'!$B$4:$B$6,0),MATCH('Rekomendasi HAV'!I554,'9 Grid'!$D$2:$F$2,0)),"")</f>
        <v/>
      </c>
      <c r="K554" s="146" t="str">
        <f>IFERROR(INDEX('9 Grid'!$D$8:$F$8,1,MATCH('Rekomendasi HAV'!I554,'9 Grid'!$D$2:$F$2,0)),"")</f>
        <v>(ST) Within 12 - 18 month</v>
      </c>
      <c r="L554" s="146">
        <f>IF(ISNUMBER(SEARCH("EST",Assessment[[#This Row],[JOB TARGET]])),SUBSTITUTE(Assessment[[#This Row],[JOB TARGET]],"EST","DEV"),Assessment[[#This Row],[JOB TARGET]])</f>
        <v>0</v>
      </c>
      <c r="M554" s="146" t="str" cm="1">
        <f t="array" aca="1" ref="M554" ca="1">IF(Assessment[[#This Row],[JOB TARGET]]="","Job Target Kosong",IF(COUNT(IF('Data Assessment'!$N554:$Z554-OFFSET(Standar!$B$2,MATCH(Assessment[[#This Row],[JOB TARGET
(DEV)]],Standar[NAMA JABATAN],0)-1,1,1,13)&lt;0,1,""))&lt;=3,'9 Grid'!$B$4,IF(COUNT(IF('Data Assessment'!$N554:$Z554-OFFSET(Standar!$B$2,MATCH(Assessment[[#This Row],[JOB TARGET
(DEV)]],Standar[NAMA JABATAN],0)-1,1,1,13)&lt;0,1,""))&gt;=7,'9 Grid'!$B$6,'9 Grid'!$B$5)))</f>
        <v>Job Target Kosong</v>
      </c>
      <c r="N554" s="146" t="str">
        <f>IFERROR(IF(Data_Assessment[[#This Row],[IPP (3 YEARS AVERAGE)]]="","(IPP Belum Ada)",IF(Data_Assessment[[#This Row],[IPP (3 YEARS AVERAGE)]]&lt;2,'9 Grid'!$F$2,IF(Data_Assessment[[#This Row],[IPP (3 YEARS AVERAGE)]]&gt;=4,'9 Grid'!$D$2,'9 Grid'!$E$2))),"")</f>
        <v>Fully Competence Performance</v>
      </c>
      <c r="O554" s="146" t="str">
        <f ca="1">IFERROR(INDEX('9 Grid'!$D$4:$F$6,MATCH('Rekomendasi HAV'!M554,'9 Grid'!$B$4:$B$6,0),MATCH('Rekomendasi HAV'!N554,'9 Grid'!$D$2:$F$2,0)),"")</f>
        <v/>
      </c>
      <c r="P554" s="147" t="str">
        <f>IFERROR(INDEX('9 Grid'!$D$8:$F$8,1,MATCH('Rekomendasi HAV'!N554,'9 Grid'!$D$2:$F$2,0)),"")</f>
        <v>(ST) Within 12 - 18 month</v>
      </c>
    </row>
    <row r="555" spans="1:16" ht="28.5">
      <c r="A555" s="67">
        <v>554</v>
      </c>
      <c r="B555" s="68" t="str">
        <f>INDEX(Data_Assessment[],MATCH('Rekomendasi HAV'!$A555,Data_Assessment[[INDEX]:[INDEX]],0),MATCH('Rekomendasi HAV'!B$1,Data_Assessment[#Headers],0))</f>
        <v>Anas Mahyidin, Drs.</v>
      </c>
      <c r="C555" s="68" t="str">
        <f>INDEX(Data_Assessment[],MATCH('Rekomendasi HAV'!$A555,Data_Assessment[[INDEX]:[INDEX]],0),MATCH('Rekomendasi HAV'!C$1,Data_Assessment[#Headers],0))</f>
        <v>Sumatera Selatan</v>
      </c>
      <c r="D555" s="68" t="str">
        <f>INDEX(Data_Assessment[],MATCH('Rekomendasi HAV'!$A555,Data_Assessment[[INDEX]:[INDEX]],0),MATCH('Rekomendasi HAV'!D$1,Data_Assessment[#Headers],0))</f>
        <v>LSIP - Ekasari Region</v>
      </c>
      <c r="E555" s="68">
        <f>INDEX(Data_Assessment[],MATCH('Rekomendasi HAV'!$B555,Data_Assessment[[NAME]:[NAME]],0),MATCH('Rekomendasi HAV'!E$1,Data_Assessment[#Headers],0))</f>
        <v>0</v>
      </c>
      <c r="F555" s="68"/>
      <c r="G555" s="68">
        <f>IF(ISNUMBER(SEARCH("DEV",Assessment[[#This Row],[JOB TARGET]])),SUBSTITUTE(Assessment[[#This Row],[JOB TARGET]],"DEV","EST"),Assessment[[#This Row],[JOB TARGET]])</f>
        <v>0</v>
      </c>
      <c r="H555" s="146" t="str" cm="1">
        <f t="array" aca="1" ref="H555" ca="1">IF(Assessment[[#This Row],[JOB TARGET]]="","Job Target Kosong",IF(COUNT(IF('Data Assessment'!$N555:$Z555-OFFSET(Standar!$B$2,MATCH(Assessment[[#This Row],[JOB TARGET
(EST)]],Standar[NAMA JABATAN],0)-1,1,1,13)&lt;0,1,""))&lt;=3,'9 Grid'!$B$4,IF(COUNT(IF('Data Assessment'!$N555:$Z555-OFFSET(Standar!$B$2,MATCH(Assessment[[#This Row],[JOB TARGET]],Standar[NAMA JABATAN],0)-1,1,1,13)&lt;0,1,""))&gt;=7,'9 Grid'!$B$6,'9 Grid'!$B$5)))</f>
        <v>Job Target Kosong</v>
      </c>
      <c r="I555" s="146" t="str">
        <f>IFERROR(IF(Data_Assessment[[#This Row],[IPP (3 YEARS AVERAGE)]]="","(IPP Belum Ada)",IF(Data_Assessment[[#This Row],[IPP (3 YEARS AVERAGE)]]&lt;2,'9 Grid'!$F$2,IF(Data_Assessment[[#This Row],[IPP (3 YEARS AVERAGE)]]&gt;=4,'9 Grid'!$D$2,'9 Grid'!$E$2))),"")</f>
        <v>Fully Competence Performance</v>
      </c>
      <c r="J555" s="146" t="str">
        <f ca="1">IFERROR(INDEX('9 Grid'!$D$4:$F$6,MATCH('Rekomendasi HAV'!H555,'9 Grid'!$B$4:$B$6,0),MATCH('Rekomendasi HAV'!I555,'9 Grid'!$D$2:$F$2,0)),"")</f>
        <v/>
      </c>
      <c r="K555" s="146" t="str">
        <f>IFERROR(INDEX('9 Grid'!$D$8:$F$8,1,MATCH('Rekomendasi HAV'!I555,'9 Grid'!$D$2:$F$2,0)),"")</f>
        <v>(ST) Within 12 - 18 month</v>
      </c>
      <c r="L555" s="146">
        <f>IF(ISNUMBER(SEARCH("EST",Assessment[[#This Row],[JOB TARGET]])),SUBSTITUTE(Assessment[[#This Row],[JOB TARGET]],"EST","DEV"),Assessment[[#This Row],[JOB TARGET]])</f>
        <v>0</v>
      </c>
      <c r="M555" s="146" t="str" cm="1">
        <f t="array" aca="1" ref="M555" ca="1">IF(Assessment[[#This Row],[JOB TARGET]]="","Job Target Kosong",IF(COUNT(IF('Data Assessment'!$N555:$Z555-OFFSET(Standar!$B$2,MATCH(Assessment[[#This Row],[JOB TARGET
(DEV)]],Standar[NAMA JABATAN],0)-1,1,1,13)&lt;0,1,""))&lt;=3,'9 Grid'!$B$4,IF(COUNT(IF('Data Assessment'!$N555:$Z555-OFFSET(Standar!$B$2,MATCH(Assessment[[#This Row],[JOB TARGET
(DEV)]],Standar[NAMA JABATAN],0)-1,1,1,13)&lt;0,1,""))&gt;=7,'9 Grid'!$B$6,'9 Grid'!$B$5)))</f>
        <v>Job Target Kosong</v>
      </c>
      <c r="N555" s="146" t="str">
        <f>IFERROR(IF(Data_Assessment[[#This Row],[IPP (3 YEARS AVERAGE)]]="","(IPP Belum Ada)",IF(Data_Assessment[[#This Row],[IPP (3 YEARS AVERAGE)]]&lt;2,'9 Grid'!$F$2,IF(Data_Assessment[[#This Row],[IPP (3 YEARS AVERAGE)]]&gt;=4,'9 Grid'!$D$2,'9 Grid'!$E$2))),"")</f>
        <v>Fully Competence Performance</v>
      </c>
      <c r="O555" s="146" t="str">
        <f ca="1">IFERROR(INDEX('9 Grid'!$D$4:$F$6,MATCH('Rekomendasi HAV'!M555,'9 Grid'!$B$4:$B$6,0),MATCH('Rekomendasi HAV'!N555,'9 Grid'!$D$2:$F$2,0)),"")</f>
        <v/>
      </c>
      <c r="P555" s="147" t="str">
        <f>IFERROR(INDEX('9 Grid'!$D$8:$F$8,1,MATCH('Rekomendasi HAV'!N555,'9 Grid'!$D$2:$F$2,0)),"")</f>
        <v>(ST) Within 12 - 18 month</v>
      </c>
    </row>
    <row r="556" spans="1:16" ht="28.5">
      <c r="A556" s="67">
        <v>555</v>
      </c>
      <c r="B556" s="68" t="str">
        <f>INDEX(Data_Assessment[],MATCH('Rekomendasi HAV'!$A556,Data_Assessment[[INDEX]:[INDEX]],0),MATCH('Rekomendasi HAV'!B$1,Data_Assessment[#Headers],0))</f>
        <v>Efrijon Tanjung</v>
      </c>
      <c r="C556" s="68" t="str">
        <f>INDEX(Data_Assessment[],MATCH('Rekomendasi HAV'!$A556,Data_Assessment[[INDEX]:[INDEX]],0),MATCH('Rekomendasi HAV'!C$1,Data_Assessment[#Headers],0))</f>
        <v>Sumatera Selatan</v>
      </c>
      <c r="D556" s="68" t="str">
        <f>INDEX(Data_Assessment[],MATCH('Rekomendasi HAV'!$A556,Data_Assessment[[INDEX]:[INDEX]],0),MATCH('Rekomendasi HAV'!D$1,Data_Assessment[#Headers],0))</f>
        <v>LSIP - Bukit Hijau Estate</v>
      </c>
      <c r="E556" s="68">
        <f>INDEX(Data_Assessment[],MATCH('Rekomendasi HAV'!$B556,Data_Assessment[[NAME]:[NAME]],0),MATCH('Rekomendasi HAV'!E$1,Data_Assessment[#Headers],0))</f>
        <v>0</v>
      </c>
      <c r="F556" s="68"/>
      <c r="G556" s="68">
        <f>IF(ISNUMBER(SEARCH("DEV",Assessment[[#This Row],[JOB TARGET]])),SUBSTITUTE(Assessment[[#This Row],[JOB TARGET]],"DEV","EST"),Assessment[[#This Row],[JOB TARGET]])</f>
        <v>0</v>
      </c>
      <c r="H556" s="146" t="str" cm="1">
        <f t="array" aca="1" ref="H556" ca="1">IF(Assessment[[#This Row],[JOB TARGET]]="","Job Target Kosong",IF(COUNT(IF('Data Assessment'!$N556:$Z556-OFFSET(Standar!$B$2,MATCH(Assessment[[#This Row],[JOB TARGET
(EST)]],Standar[NAMA JABATAN],0)-1,1,1,13)&lt;0,1,""))&lt;=3,'9 Grid'!$B$4,IF(COUNT(IF('Data Assessment'!$N556:$Z556-OFFSET(Standar!$B$2,MATCH(Assessment[[#This Row],[JOB TARGET]],Standar[NAMA JABATAN],0)-1,1,1,13)&lt;0,1,""))&gt;=7,'9 Grid'!$B$6,'9 Grid'!$B$5)))</f>
        <v>Job Target Kosong</v>
      </c>
      <c r="I556" s="146" t="str">
        <f>IFERROR(IF(Data_Assessment[[#This Row],[IPP (3 YEARS AVERAGE)]]="","(IPP Belum Ada)",IF(Data_Assessment[[#This Row],[IPP (3 YEARS AVERAGE)]]&lt;2,'9 Grid'!$F$2,IF(Data_Assessment[[#This Row],[IPP (3 YEARS AVERAGE)]]&gt;=4,'9 Grid'!$D$2,'9 Grid'!$E$2))),"")</f>
        <v>Fully Competence Performance</v>
      </c>
      <c r="J556" s="146" t="str">
        <f ca="1">IFERROR(INDEX('9 Grid'!$D$4:$F$6,MATCH('Rekomendasi HAV'!H556,'9 Grid'!$B$4:$B$6,0),MATCH('Rekomendasi HAV'!I556,'9 Grid'!$D$2:$F$2,0)),"")</f>
        <v/>
      </c>
      <c r="K556" s="146" t="str">
        <f>IFERROR(INDEX('9 Grid'!$D$8:$F$8,1,MATCH('Rekomendasi HAV'!I556,'9 Grid'!$D$2:$F$2,0)),"")</f>
        <v>(ST) Within 12 - 18 month</v>
      </c>
      <c r="L556" s="146">
        <f>IF(ISNUMBER(SEARCH("EST",Assessment[[#This Row],[JOB TARGET]])),SUBSTITUTE(Assessment[[#This Row],[JOB TARGET]],"EST","DEV"),Assessment[[#This Row],[JOB TARGET]])</f>
        <v>0</v>
      </c>
      <c r="M556" s="146" t="str" cm="1">
        <f t="array" aca="1" ref="M556" ca="1">IF(Assessment[[#This Row],[JOB TARGET]]="","Job Target Kosong",IF(COUNT(IF('Data Assessment'!$N556:$Z556-OFFSET(Standar!$B$2,MATCH(Assessment[[#This Row],[JOB TARGET
(DEV)]],Standar[NAMA JABATAN],0)-1,1,1,13)&lt;0,1,""))&lt;=3,'9 Grid'!$B$4,IF(COUNT(IF('Data Assessment'!$N556:$Z556-OFFSET(Standar!$B$2,MATCH(Assessment[[#This Row],[JOB TARGET
(DEV)]],Standar[NAMA JABATAN],0)-1,1,1,13)&lt;0,1,""))&gt;=7,'9 Grid'!$B$6,'9 Grid'!$B$5)))</f>
        <v>Job Target Kosong</v>
      </c>
      <c r="N556" s="146" t="str">
        <f>IFERROR(IF(Data_Assessment[[#This Row],[IPP (3 YEARS AVERAGE)]]="","(IPP Belum Ada)",IF(Data_Assessment[[#This Row],[IPP (3 YEARS AVERAGE)]]&lt;2,'9 Grid'!$F$2,IF(Data_Assessment[[#This Row],[IPP (3 YEARS AVERAGE)]]&gt;=4,'9 Grid'!$D$2,'9 Grid'!$E$2))),"")</f>
        <v>Fully Competence Performance</v>
      </c>
      <c r="O556" s="146" t="str">
        <f ca="1">IFERROR(INDEX('9 Grid'!$D$4:$F$6,MATCH('Rekomendasi HAV'!M556,'9 Grid'!$B$4:$B$6,0),MATCH('Rekomendasi HAV'!N556,'9 Grid'!$D$2:$F$2,0)),"")</f>
        <v/>
      </c>
      <c r="P556" s="147" t="str">
        <f>IFERROR(INDEX('9 Grid'!$D$8:$F$8,1,MATCH('Rekomendasi HAV'!N556,'9 Grid'!$D$2:$F$2,0)),"")</f>
        <v>(ST) Within 12 - 18 month</v>
      </c>
    </row>
    <row r="557" spans="1:16" ht="28.5">
      <c r="A557" s="67">
        <v>556</v>
      </c>
      <c r="B557" s="68" t="str">
        <f>INDEX(Data_Assessment[],MATCH('Rekomendasi HAV'!$A557,Data_Assessment[[INDEX]:[INDEX]],0),MATCH('Rekomendasi HAV'!B$1,Data_Assessment[#Headers],0))</f>
        <v>Sazly Rais Marpaung</v>
      </c>
      <c r="C557" s="68" t="str">
        <f>INDEX(Data_Assessment[],MATCH('Rekomendasi HAV'!$A557,Data_Assessment[[INDEX]:[INDEX]],0),MATCH('Rekomendasi HAV'!C$1,Data_Assessment[#Headers],0))</f>
        <v>Sumatera Selatan</v>
      </c>
      <c r="D557" s="68" t="str">
        <f>INDEX(Data_Assessment[],MATCH('Rekomendasi HAV'!$A557,Data_Assessment[[INDEX]:[INDEX]],0),MATCH('Rekomendasi HAV'!D$1,Data_Assessment[#Headers],0))</f>
        <v>LSIP - Bukit Hijau Estate</v>
      </c>
      <c r="E557" s="68">
        <f>INDEX(Data_Assessment[],MATCH('Rekomendasi HAV'!$B557,Data_Assessment[[NAME]:[NAME]],0),MATCH('Rekomendasi HAV'!E$1,Data_Assessment[#Headers],0))</f>
        <v>0</v>
      </c>
      <c r="F557" s="68"/>
      <c r="G557" s="68">
        <f>IF(ISNUMBER(SEARCH("DEV",Assessment[[#This Row],[JOB TARGET]])),SUBSTITUTE(Assessment[[#This Row],[JOB TARGET]],"DEV","EST"),Assessment[[#This Row],[JOB TARGET]])</f>
        <v>0</v>
      </c>
      <c r="H557" s="146" t="str" cm="1">
        <f t="array" aca="1" ref="H557" ca="1">IF(Assessment[[#This Row],[JOB TARGET]]="","Job Target Kosong",IF(COUNT(IF('Data Assessment'!$N557:$Z557-OFFSET(Standar!$B$2,MATCH(Assessment[[#This Row],[JOB TARGET
(EST)]],Standar[NAMA JABATAN],0)-1,1,1,13)&lt;0,1,""))&lt;=3,'9 Grid'!$B$4,IF(COUNT(IF('Data Assessment'!$N557:$Z557-OFFSET(Standar!$B$2,MATCH(Assessment[[#This Row],[JOB TARGET]],Standar[NAMA JABATAN],0)-1,1,1,13)&lt;0,1,""))&gt;=7,'9 Grid'!$B$6,'9 Grid'!$B$5)))</f>
        <v>Job Target Kosong</v>
      </c>
      <c r="I557" s="146" t="str">
        <f>IFERROR(IF(Data_Assessment[[#This Row],[IPP (3 YEARS AVERAGE)]]="","(IPP Belum Ada)",IF(Data_Assessment[[#This Row],[IPP (3 YEARS AVERAGE)]]&lt;2,'9 Grid'!$F$2,IF(Data_Assessment[[#This Row],[IPP (3 YEARS AVERAGE)]]&gt;=4,'9 Grid'!$D$2,'9 Grid'!$E$2))),"")</f>
        <v>Fully Competence Performance</v>
      </c>
      <c r="J557" s="146" t="str">
        <f ca="1">IFERROR(INDEX('9 Grid'!$D$4:$F$6,MATCH('Rekomendasi HAV'!H557,'9 Grid'!$B$4:$B$6,0),MATCH('Rekomendasi HAV'!I557,'9 Grid'!$D$2:$F$2,0)),"")</f>
        <v/>
      </c>
      <c r="K557" s="146" t="str">
        <f>IFERROR(INDEX('9 Grid'!$D$8:$F$8,1,MATCH('Rekomendasi HAV'!I557,'9 Grid'!$D$2:$F$2,0)),"")</f>
        <v>(ST) Within 12 - 18 month</v>
      </c>
      <c r="L557" s="146">
        <f>IF(ISNUMBER(SEARCH("EST",Assessment[[#This Row],[JOB TARGET]])),SUBSTITUTE(Assessment[[#This Row],[JOB TARGET]],"EST","DEV"),Assessment[[#This Row],[JOB TARGET]])</f>
        <v>0</v>
      </c>
      <c r="M557" s="146" t="str" cm="1">
        <f t="array" aca="1" ref="M557" ca="1">IF(Assessment[[#This Row],[JOB TARGET]]="","Job Target Kosong",IF(COUNT(IF('Data Assessment'!$N557:$Z557-OFFSET(Standar!$B$2,MATCH(Assessment[[#This Row],[JOB TARGET
(DEV)]],Standar[NAMA JABATAN],0)-1,1,1,13)&lt;0,1,""))&lt;=3,'9 Grid'!$B$4,IF(COUNT(IF('Data Assessment'!$N557:$Z557-OFFSET(Standar!$B$2,MATCH(Assessment[[#This Row],[JOB TARGET
(DEV)]],Standar[NAMA JABATAN],0)-1,1,1,13)&lt;0,1,""))&gt;=7,'9 Grid'!$B$6,'9 Grid'!$B$5)))</f>
        <v>Job Target Kosong</v>
      </c>
      <c r="N557" s="146" t="str">
        <f>IFERROR(IF(Data_Assessment[[#This Row],[IPP (3 YEARS AVERAGE)]]="","(IPP Belum Ada)",IF(Data_Assessment[[#This Row],[IPP (3 YEARS AVERAGE)]]&lt;2,'9 Grid'!$F$2,IF(Data_Assessment[[#This Row],[IPP (3 YEARS AVERAGE)]]&gt;=4,'9 Grid'!$D$2,'9 Grid'!$E$2))),"")</f>
        <v>Fully Competence Performance</v>
      </c>
      <c r="O557" s="146" t="str">
        <f ca="1">IFERROR(INDEX('9 Grid'!$D$4:$F$6,MATCH('Rekomendasi HAV'!M557,'9 Grid'!$B$4:$B$6,0),MATCH('Rekomendasi HAV'!N557,'9 Grid'!$D$2:$F$2,0)),"")</f>
        <v/>
      </c>
      <c r="P557" s="147" t="str">
        <f>IFERROR(INDEX('9 Grid'!$D$8:$F$8,1,MATCH('Rekomendasi HAV'!N557,'9 Grid'!$D$2:$F$2,0)),"")</f>
        <v>(ST) Within 12 - 18 month</v>
      </c>
    </row>
    <row r="558" spans="1:16" ht="28.5">
      <c r="A558" s="67">
        <v>557</v>
      </c>
      <c r="B558" s="68" t="str">
        <f>INDEX(Data_Assessment[],MATCH('Rekomendasi HAV'!$A558,Data_Assessment[[INDEX]:[INDEX]],0),MATCH('Rekomendasi HAV'!B$1,Data_Assessment[#Headers],0))</f>
        <v>Yusnandar M. Syahani, Ir.</v>
      </c>
      <c r="C558" s="68" t="str">
        <f>INDEX(Data_Assessment[],MATCH('Rekomendasi HAV'!$A558,Data_Assessment[[INDEX]:[INDEX]],0),MATCH('Rekomendasi HAV'!C$1,Data_Assessment[#Headers],0))</f>
        <v>Sumatera Selatan</v>
      </c>
      <c r="D558" s="68" t="str">
        <f>INDEX(Data_Assessment[],MATCH('Rekomendasi HAV'!$A558,Data_Assessment[[INDEX]:[INDEX]],0),MATCH('Rekomendasi HAV'!D$1,Data_Assessment[#Headers],0))</f>
        <v>LSIP - Dwi Makmur Region</v>
      </c>
      <c r="E558" s="68">
        <f>INDEX(Data_Assessment[],MATCH('Rekomendasi HAV'!$B558,Data_Assessment[[NAME]:[NAME]],0),MATCH('Rekomendasi HAV'!E$1,Data_Assessment[#Headers],0))</f>
        <v>0</v>
      </c>
      <c r="F558" s="68"/>
      <c r="G558" s="68">
        <f>IF(ISNUMBER(SEARCH("DEV",Assessment[[#This Row],[JOB TARGET]])),SUBSTITUTE(Assessment[[#This Row],[JOB TARGET]],"DEV","EST"),Assessment[[#This Row],[JOB TARGET]])</f>
        <v>0</v>
      </c>
      <c r="H558" s="146" t="str" cm="1">
        <f t="array" aca="1" ref="H558" ca="1">IF(Assessment[[#This Row],[JOB TARGET]]="","Job Target Kosong",IF(COUNT(IF('Data Assessment'!$N558:$Z558-OFFSET(Standar!$B$2,MATCH(Assessment[[#This Row],[JOB TARGET
(EST)]],Standar[NAMA JABATAN],0)-1,1,1,13)&lt;0,1,""))&lt;=3,'9 Grid'!$B$4,IF(COUNT(IF('Data Assessment'!$N558:$Z558-OFFSET(Standar!$B$2,MATCH(Assessment[[#This Row],[JOB TARGET]],Standar[NAMA JABATAN],0)-1,1,1,13)&lt;0,1,""))&gt;=7,'9 Grid'!$B$6,'9 Grid'!$B$5)))</f>
        <v>Job Target Kosong</v>
      </c>
      <c r="I558" s="146" t="str">
        <f>IFERROR(IF(Data_Assessment[[#This Row],[IPP (3 YEARS AVERAGE)]]="","(IPP Belum Ada)",IF(Data_Assessment[[#This Row],[IPP (3 YEARS AVERAGE)]]&lt;2,'9 Grid'!$F$2,IF(Data_Assessment[[#This Row],[IPP (3 YEARS AVERAGE)]]&gt;=4,'9 Grid'!$D$2,'9 Grid'!$E$2))),"")</f>
        <v>Fully Competence Performance</v>
      </c>
      <c r="J558" s="146" t="str">
        <f ca="1">IFERROR(INDEX('9 Grid'!$D$4:$F$6,MATCH('Rekomendasi HAV'!H558,'9 Grid'!$B$4:$B$6,0),MATCH('Rekomendasi HAV'!I558,'9 Grid'!$D$2:$F$2,0)),"")</f>
        <v/>
      </c>
      <c r="K558" s="146" t="str">
        <f>IFERROR(INDEX('9 Grid'!$D$8:$F$8,1,MATCH('Rekomendasi HAV'!I558,'9 Grid'!$D$2:$F$2,0)),"")</f>
        <v>(ST) Within 12 - 18 month</v>
      </c>
      <c r="L558" s="146">
        <f>IF(ISNUMBER(SEARCH("EST",Assessment[[#This Row],[JOB TARGET]])),SUBSTITUTE(Assessment[[#This Row],[JOB TARGET]],"EST","DEV"),Assessment[[#This Row],[JOB TARGET]])</f>
        <v>0</v>
      </c>
      <c r="M558" s="146" t="str" cm="1">
        <f t="array" aca="1" ref="M558" ca="1">IF(Assessment[[#This Row],[JOB TARGET]]="","Job Target Kosong",IF(COUNT(IF('Data Assessment'!$N558:$Z558-OFFSET(Standar!$B$2,MATCH(Assessment[[#This Row],[JOB TARGET
(DEV)]],Standar[NAMA JABATAN],0)-1,1,1,13)&lt;0,1,""))&lt;=3,'9 Grid'!$B$4,IF(COUNT(IF('Data Assessment'!$N558:$Z558-OFFSET(Standar!$B$2,MATCH(Assessment[[#This Row],[JOB TARGET
(DEV)]],Standar[NAMA JABATAN],0)-1,1,1,13)&lt;0,1,""))&gt;=7,'9 Grid'!$B$6,'9 Grid'!$B$5)))</f>
        <v>Job Target Kosong</v>
      </c>
      <c r="N558" s="146" t="str">
        <f>IFERROR(IF(Data_Assessment[[#This Row],[IPP (3 YEARS AVERAGE)]]="","(IPP Belum Ada)",IF(Data_Assessment[[#This Row],[IPP (3 YEARS AVERAGE)]]&lt;2,'9 Grid'!$F$2,IF(Data_Assessment[[#This Row],[IPP (3 YEARS AVERAGE)]]&gt;=4,'9 Grid'!$D$2,'9 Grid'!$E$2))),"")</f>
        <v>Fully Competence Performance</v>
      </c>
      <c r="O558" s="146" t="str">
        <f ca="1">IFERROR(INDEX('9 Grid'!$D$4:$F$6,MATCH('Rekomendasi HAV'!M558,'9 Grid'!$B$4:$B$6,0),MATCH('Rekomendasi HAV'!N558,'9 Grid'!$D$2:$F$2,0)),"")</f>
        <v/>
      </c>
      <c r="P558" s="147" t="str">
        <f>IFERROR(INDEX('9 Grid'!$D$8:$F$8,1,MATCH('Rekomendasi HAV'!N558,'9 Grid'!$D$2:$F$2,0)),"")</f>
        <v>(ST) Within 12 - 18 month</v>
      </c>
    </row>
    <row r="559" spans="1:16" ht="28.5">
      <c r="A559" s="67">
        <v>558</v>
      </c>
      <c r="B559" s="68" t="str">
        <f>INDEX(Data_Assessment[],MATCH('Rekomendasi HAV'!$A559,Data_Assessment[[INDEX]:[INDEX]],0),MATCH('Rekomendasi HAV'!B$1,Data_Assessment[#Headers],0))</f>
        <v>Agus Dedi Rusmanto</v>
      </c>
      <c r="C559" s="68" t="str">
        <f>INDEX(Data_Assessment[],MATCH('Rekomendasi HAV'!$A559,Data_Assessment[[INDEX]:[INDEX]],0),MATCH('Rekomendasi HAV'!C$1,Data_Assessment[#Headers],0))</f>
        <v>Sumatera Selatan</v>
      </c>
      <c r="D559" s="68" t="str">
        <f>INDEX(Data_Assessment[],MATCH('Rekomendasi HAV'!$A559,Data_Assessment[[INDEX]:[INDEX]],0),MATCH('Rekomendasi HAV'!D$1,Data_Assessment[#Headers],0))</f>
        <v>LSIP - Marga Sido Region</v>
      </c>
      <c r="E559" s="68">
        <f>INDEX(Data_Assessment[],MATCH('Rekomendasi HAV'!$B559,Data_Assessment[[NAME]:[NAME]],0),MATCH('Rekomendasi HAV'!E$1,Data_Assessment[#Headers],0))</f>
        <v>0</v>
      </c>
      <c r="F559" s="68"/>
      <c r="G559" s="68">
        <f>IF(ISNUMBER(SEARCH("DEV",Assessment[[#This Row],[JOB TARGET]])),SUBSTITUTE(Assessment[[#This Row],[JOB TARGET]],"DEV","EST"),Assessment[[#This Row],[JOB TARGET]])</f>
        <v>0</v>
      </c>
      <c r="H559" s="146" t="str" cm="1">
        <f t="array" aca="1" ref="H559" ca="1">IF(Assessment[[#This Row],[JOB TARGET]]="","Job Target Kosong",IF(COUNT(IF('Data Assessment'!$N559:$Z559-OFFSET(Standar!$B$2,MATCH(Assessment[[#This Row],[JOB TARGET
(EST)]],Standar[NAMA JABATAN],0)-1,1,1,13)&lt;0,1,""))&lt;=3,'9 Grid'!$B$4,IF(COUNT(IF('Data Assessment'!$N559:$Z559-OFFSET(Standar!$B$2,MATCH(Assessment[[#This Row],[JOB TARGET]],Standar[NAMA JABATAN],0)-1,1,1,13)&lt;0,1,""))&gt;=7,'9 Grid'!$B$6,'9 Grid'!$B$5)))</f>
        <v>Job Target Kosong</v>
      </c>
      <c r="I559" s="146" t="str">
        <f>IFERROR(IF(Data_Assessment[[#This Row],[IPP (3 YEARS AVERAGE)]]="","(IPP Belum Ada)",IF(Data_Assessment[[#This Row],[IPP (3 YEARS AVERAGE)]]&lt;2,'9 Grid'!$F$2,IF(Data_Assessment[[#This Row],[IPP (3 YEARS AVERAGE)]]&gt;=4,'9 Grid'!$D$2,'9 Grid'!$E$2))),"")</f>
        <v>Fully Competence Performance</v>
      </c>
      <c r="J559" s="146" t="str">
        <f ca="1">IFERROR(INDEX('9 Grid'!$D$4:$F$6,MATCH('Rekomendasi HAV'!H559,'9 Grid'!$B$4:$B$6,0),MATCH('Rekomendasi HAV'!I559,'9 Grid'!$D$2:$F$2,0)),"")</f>
        <v/>
      </c>
      <c r="K559" s="146" t="str">
        <f>IFERROR(INDEX('9 Grid'!$D$8:$F$8,1,MATCH('Rekomendasi HAV'!I559,'9 Grid'!$D$2:$F$2,0)),"")</f>
        <v>(ST) Within 12 - 18 month</v>
      </c>
      <c r="L559" s="146">
        <f>IF(ISNUMBER(SEARCH("EST",Assessment[[#This Row],[JOB TARGET]])),SUBSTITUTE(Assessment[[#This Row],[JOB TARGET]],"EST","DEV"),Assessment[[#This Row],[JOB TARGET]])</f>
        <v>0</v>
      </c>
      <c r="M559" s="146" t="str" cm="1">
        <f t="array" aca="1" ref="M559" ca="1">IF(Assessment[[#This Row],[JOB TARGET]]="","Job Target Kosong",IF(COUNT(IF('Data Assessment'!$N559:$Z559-OFFSET(Standar!$B$2,MATCH(Assessment[[#This Row],[JOB TARGET
(DEV)]],Standar[NAMA JABATAN],0)-1,1,1,13)&lt;0,1,""))&lt;=3,'9 Grid'!$B$4,IF(COUNT(IF('Data Assessment'!$N559:$Z559-OFFSET(Standar!$B$2,MATCH(Assessment[[#This Row],[JOB TARGET
(DEV)]],Standar[NAMA JABATAN],0)-1,1,1,13)&lt;0,1,""))&gt;=7,'9 Grid'!$B$6,'9 Grid'!$B$5)))</f>
        <v>Job Target Kosong</v>
      </c>
      <c r="N559" s="146" t="str">
        <f>IFERROR(IF(Data_Assessment[[#This Row],[IPP (3 YEARS AVERAGE)]]="","(IPP Belum Ada)",IF(Data_Assessment[[#This Row],[IPP (3 YEARS AVERAGE)]]&lt;2,'9 Grid'!$F$2,IF(Data_Assessment[[#This Row],[IPP (3 YEARS AVERAGE)]]&gt;=4,'9 Grid'!$D$2,'9 Grid'!$E$2))),"")</f>
        <v>Fully Competence Performance</v>
      </c>
      <c r="O559" s="146" t="str">
        <f ca="1">IFERROR(INDEX('9 Grid'!$D$4:$F$6,MATCH('Rekomendasi HAV'!M559,'9 Grid'!$B$4:$B$6,0),MATCH('Rekomendasi HAV'!N559,'9 Grid'!$D$2:$F$2,0)),"")</f>
        <v/>
      </c>
      <c r="P559" s="147" t="str">
        <f>IFERROR(INDEX('9 Grid'!$D$8:$F$8,1,MATCH('Rekomendasi HAV'!N559,'9 Grid'!$D$2:$F$2,0)),"")</f>
        <v>(ST) Within 12 - 18 month</v>
      </c>
    </row>
    <row r="560" spans="1:16" ht="14.25">
      <c r="A560" s="67">
        <v>559</v>
      </c>
      <c r="B560" s="68" t="str">
        <f>INDEX(Data_Assessment[],MATCH('Rekomendasi HAV'!$A560,Data_Assessment[[INDEX]:[INDEX]],0),MATCH('Rekomendasi HAV'!B$1,Data_Assessment[#Headers],0))</f>
        <v>Islamuddin S., Ir.</v>
      </c>
      <c r="C560" s="68" t="str">
        <f>INDEX(Data_Assessment[],MATCH('Rekomendasi HAV'!$A560,Data_Assessment[[INDEX]:[INDEX]],0),MATCH('Rekomendasi HAV'!C$1,Data_Assessment[#Headers],0))</f>
        <v>Sumatera Utara</v>
      </c>
      <c r="D560" s="68" t="str">
        <f>INDEX(Data_Assessment[],MATCH('Rekomendasi HAV'!$A560,Data_Assessment[[INDEX]:[INDEX]],0),MATCH('Rekomendasi HAV'!D$1,Data_Assessment[#Headers],0))</f>
        <v>LSIP - Dolok Palm Oil Mill</v>
      </c>
      <c r="E560" s="68">
        <f>INDEX(Data_Assessment[],MATCH('Rekomendasi HAV'!$B560,Data_Assessment[[NAME]:[NAME]],0),MATCH('Rekomendasi HAV'!E$1,Data_Assessment[#Headers],0))</f>
        <v>0</v>
      </c>
      <c r="F560" s="68"/>
      <c r="G560" s="68">
        <f>IF(ISNUMBER(SEARCH("DEV",Assessment[[#This Row],[JOB TARGET]])),SUBSTITUTE(Assessment[[#This Row],[JOB TARGET]],"DEV","EST"),Assessment[[#This Row],[JOB TARGET]])</f>
        <v>0</v>
      </c>
      <c r="H560" s="146" t="str" cm="1">
        <f t="array" aca="1" ref="H560" ca="1">IF(Assessment[[#This Row],[JOB TARGET]]="","Job Target Kosong",IF(COUNT(IF('Data Assessment'!$N560:$Z560-OFFSET(Standar!$B$2,MATCH(Assessment[[#This Row],[JOB TARGET
(EST)]],Standar[NAMA JABATAN],0)-1,1,1,13)&lt;0,1,""))&lt;=3,'9 Grid'!$B$4,IF(COUNT(IF('Data Assessment'!$N560:$Z560-OFFSET(Standar!$B$2,MATCH(Assessment[[#This Row],[JOB TARGET]],Standar[NAMA JABATAN],0)-1,1,1,13)&lt;0,1,""))&gt;=7,'9 Grid'!$B$6,'9 Grid'!$B$5)))</f>
        <v>Job Target Kosong</v>
      </c>
      <c r="I560" s="146" t="str">
        <f>IFERROR(IF(Data_Assessment[[#This Row],[IPP (3 YEARS AVERAGE)]]="","(IPP Belum Ada)",IF(Data_Assessment[[#This Row],[IPP (3 YEARS AVERAGE)]]&lt;2,'9 Grid'!$F$2,IF(Data_Assessment[[#This Row],[IPP (3 YEARS AVERAGE)]]&gt;=4,'9 Grid'!$D$2,'9 Grid'!$E$2))),"")</f>
        <v>Exceptional Performance</v>
      </c>
      <c r="J560" s="146" t="str">
        <f ca="1">IFERROR(INDEX('9 Grid'!$D$4:$F$6,MATCH('Rekomendasi HAV'!H560,'9 Grid'!$B$4:$B$6,0),MATCH('Rekomendasi HAV'!I560,'9 Grid'!$D$2:$F$2,0)),"")</f>
        <v/>
      </c>
      <c r="K560" s="146" t="str">
        <f>IFERROR(INDEX('9 Grid'!$D$8:$F$8,1,MATCH('Rekomendasi HAV'!I560,'9 Grid'!$D$2:$F$2,0)),"")</f>
        <v>(I) Immediately</v>
      </c>
      <c r="L560" s="146">
        <f>IF(ISNUMBER(SEARCH("EST",Assessment[[#This Row],[JOB TARGET]])),SUBSTITUTE(Assessment[[#This Row],[JOB TARGET]],"EST","DEV"),Assessment[[#This Row],[JOB TARGET]])</f>
        <v>0</v>
      </c>
      <c r="M560" s="146" t="str" cm="1">
        <f t="array" aca="1" ref="M560" ca="1">IF(Assessment[[#This Row],[JOB TARGET]]="","Job Target Kosong",IF(COUNT(IF('Data Assessment'!$N560:$Z560-OFFSET(Standar!$B$2,MATCH(Assessment[[#This Row],[JOB TARGET
(DEV)]],Standar[NAMA JABATAN],0)-1,1,1,13)&lt;0,1,""))&lt;=3,'9 Grid'!$B$4,IF(COUNT(IF('Data Assessment'!$N560:$Z560-OFFSET(Standar!$B$2,MATCH(Assessment[[#This Row],[JOB TARGET
(DEV)]],Standar[NAMA JABATAN],0)-1,1,1,13)&lt;0,1,""))&gt;=7,'9 Grid'!$B$6,'9 Grid'!$B$5)))</f>
        <v>Job Target Kosong</v>
      </c>
      <c r="N560" s="146" t="str">
        <f>IFERROR(IF(Data_Assessment[[#This Row],[IPP (3 YEARS AVERAGE)]]="","(IPP Belum Ada)",IF(Data_Assessment[[#This Row],[IPP (3 YEARS AVERAGE)]]&lt;2,'9 Grid'!$F$2,IF(Data_Assessment[[#This Row],[IPP (3 YEARS AVERAGE)]]&gt;=4,'9 Grid'!$D$2,'9 Grid'!$E$2))),"")</f>
        <v>Exceptional Performance</v>
      </c>
      <c r="O560" s="146" t="str">
        <f ca="1">IFERROR(INDEX('9 Grid'!$D$4:$F$6,MATCH('Rekomendasi HAV'!M560,'9 Grid'!$B$4:$B$6,0),MATCH('Rekomendasi HAV'!N560,'9 Grid'!$D$2:$F$2,0)),"")</f>
        <v/>
      </c>
      <c r="P560" s="147" t="str">
        <f>IFERROR(INDEX('9 Grid'!$D$8:$F$8,1,MATCH('Rekomendasi HAV'!N560,'9 Grid'!$D$2:$F$2,0)),"")</f>
        <v>(I) Immediately</v>
      </c>
    </row>
    <row r="561" spans="1:16" ht="28.5">
      <c r="A561" s="67">
        <v>560</v>
      </c>
      <c r="B561" s="68" t="str">
        <f>INDEX(Data_Assessment[],MATCH('Rekomendasi HAV'!$A561,Data_Assessment[[INDEX]:[INDEX]],0),MATCH('Rekomendasi HAV'!B$1,Data_Assessment[#Headers],0))</f>
        <v>Beny Asman, ST</v>
      </c>
      <c r="C561" s="68" t="str">
        <f>INDEX(Data_Assessment[],MATCH('Rekomendasi HAV'!$A561,Data_Assessment[[INDEX]:[INDEX]],0),MATCH('Rekomendasi HAV'!C$1,Data_Assessment[#Headers],0))</f>
        <v>Sumatera Utara</v>
      </c>
      <c r="D561" s="68" t="str">
        <f>INDEX(Data_Assessment[],MATCH('Rekomendasi HAV'!$A561,Data_Assessment[[INDEX]:[INDEX]],0),MATCH('Rekomendasi HAV'!D$1,Data_Assessment[#Headers],0))</f>
        <v>LSIP - Begerpang Palm Oil Mill</v>
      </c>
      <c r="E561" s="68">
        <f>INDEX(Data_Assessment[],MATCH('Rekomendasi HAV'!$B561,Data_Assessment[[NAME]:[NAME]],0),MATCH('Rekomendasi HAV'!E$1,Data_Assessment[#Headers],0))</f>
        <v>0</v>
      </c>
      <c r="F561" s="68"/>
      <c r="G561" s="68">
        <f>IF(ISNUMBER(SEARCH("DEV",Assessment[[#This Row],[JOB TARGET]])),SUBSTITUTE(Assessment[[#This Row],[JOB TARGET]],"DEV","EST"),Assessment[[#This Row],[JOB TARGET]])</f>
        <v>0</v>
      </c>
      <c r="H561" s="146" t="str" cm="1">
        <f t="array" aca="1" ref="H561" ca="1">IF(Assessment[[#This Row],[JOB TARGET]]="","Job Target Kosong",IF(COUNT(IF('Data Assessment'!$N561:$Z561-OFFSET(Standar!$B$2,MATCH(Assessment[[#This Row],[JOB TARGET
(EST)]],Standar[NAMA JABATAN],0)-1,1,1,13)&lt;0,1,""))&lt;=3,'9 Grid'!$B$4,IF(COUNT(IF('Data Assessment'!$N561:$Z561-OFFSET(Standar!$B$2,MATCH(Assessment[[#This Row],[JOB TARGET]],Standar[NAMA JABATAN],0)-1,1,1,13)&lt;0,1,""))&gt;=7,'9 Grid'!$B$6,'9 Grid'!$B$5)))</f>
        <v>Job Target Kosong</v>
      </c>
      <c r="I561" s="146" t="str">
        <f>IFERROR(IF(Data_Assessment[[#This Row],[IPP (3 YEARS AVERAGE)]]="","(IPP Belum Ada)",IF(Data_Assessment[[#This Row],[IPP (3 YEARS AVERAGE)]]&lt;2,'9 Grid'!$F$2,IF(Data_Assessment[[#This Row],[IPP (3 YEARS AVERAGE)]]&gt;=4,'9 Grid'!$D$2,'9 Grid'!$E$2))),"")</f>
        <v>Fully Competence Performance</v>
      </c>
      <c r="J561" s="146" t="str">
        <f ca="1">IFERROR(INDEX('9 Grid'!$D$4:$F$6,MATCH('Rekomendasi HAV'!H561,'9 Grid'!$B$4:$B$6,0),MATCH('Rekomendasi HAV'!I561,'9 Grid'!$D$2:$F$2,0)),"")</f>
        <v/>
      </c>
      <c r="K561" s="146" t="str">
        <f>IFERROR(INDEX('9 Grid'!$D$8:$F$8,1,MATCH('Rekomendasi HAV'!I561,'9 Grid'!$D$2:$F$2,0)),"")</f>
        <v>(ST) Within 12 - 18 month</v>
      </c>
      <c r="L561" s="146">
        <f>IF(ISNUMBER(SEARCH("EST",Assessment[[#This Row],[JOB TARGET]])),SUBSTITUTE(Assessment[[#This Row],[JOB TARGET]],"EST","DEV"),Assessment[[#This Row],[JOB TARGET]])</f>
        <v>0</v>
      </c>
      <c r="M561" s="146" t="str" cm="1">
        <f t="array" aca="1" ref="M561" ca="1">IF(Assessment[[#This Row],[JOB TARGET]]="","Job Target Kosong",IF(COUNT(IF('Data Assessment'!$N561:$Z561-OFFSET(Standar!$B$2,MATCH(Assessment[[#This Row],[JOB TARGET
(DEV)]],Standar[NAMA JABATAN],0)-1,1,1,13)&lt;0,1,""))&lt;=3,'9 Grid'!$B$4,IF(COUNT(IF('Data Assessment'!$N561:$Z561-OFFSET(Standar!$B$2,MATCH(Assessment[[#This Row],[JOB TARGET
(DEV)]],Standar[NAMA JABATAN],0)-1,1,1,13)&lt;0,1,""))&gt;=7,'9 Grid'!$B$6,'9 Grid'!$B$5)))</f>
        <v>Job Target Kosong</v>
      </c>
      <c r="N561" s="146" t="str">
        <f>IFERROR(IF(Data_Assessment[[#This Row],[IPP (3 YEARS AVERAGE)]]="","(IPP Belum Ada)",IF(Data_Assessment[[#This Row],[IPP (3 YEARS AVERAGE)]]&lt;2,'9 Grid'!$F$2,IF(Data_Assessment[[#This Row],[IPP (3 YEARS AVERAGE)]]&gt;=4,'9 Grid'!$D$2,'9 Grid'!$E$2))),"")</f>
        <v>Fully Competence Performance</v>
      </c>
      <c r="O561" s="146" t="str">
        <f ca="1">IFERROR(INDEX('9 Grid'!$D$4:$F$6,MATCH('Rekomendasi HAV'!M561,'9 Grid'!$B$4:$B$6,0),MATCH('Rekomendasi HAV'!N561,'9 Grid'!$D$2:$F$2,0)),"")</f>
        <v/>
      </c>
      <c r="P561" s="147" t="str">
        <f>IFERROR(INDEX('9 Grid'!$D$8:$F$8,1,MATCH('Rekomendasi HAV'!N561,'9 Grid'!$D$2:$F$2,0)),"")</f>
        <v>(ST) Within 12 - 18 month</v>
      </c>
    </row>
    <row r="562" spans="1:16" ht="28.5">
      <c r="A562" s="67">
        <v>561</v>
      </c>
      <c r="B562" s="68" t="str">
        <f>INDEX(Data_Assessment[],MATCH('Rekomendasi HAV'!$A562,Data_Assessment[[INDEX]:[INDEX]],0),MATCH('Rekomendasi HAV'!B$1,Data_Assessment[#Headers],0))</f>
        <v>Imran Taufik, Ir.</v>
      </c>
      <c r="C562" s="68" t="str">
        <f>INDEX(Data_Assessment[],MATCH('Rekomendasi HAV'!$A562,Data_Assessment[[INDEX]:[INDEX]],0),MATCH('Rekomendasi HAV'!C$1,Data_Assessment[#Headers],0))</f>
        <v>Sumatera Utara</v>
      </c>
      <c r="D562" s="68" t="str">
        <f>INDEX(Data_Assessment[],MATCH('Rekomendasi HAV'!$A562,Data_Assessment[[INDEX]:[INDEX]],0),MATCH('Rekomendasi HAV'!D$1,Data_Assessment[#Headers],0))</f>
        <v>LSIP - Dolok Estate</v>
      </c>
      <c r="E562" s="68">
        <f>INDEX(Data_Assessment[],MATCH('Rekomendasi HAV'!$B562,Data_Assessment[[NAME]:[NAME]],0),MATCH('Rekomendasi HAV'!E$1,Data_Assessment[#Headers],0))</f>
        <v>0</v>
      </c>
      <c r="F562" s="68"/>
      <c r="G562" s="68">
        <f>IF(ISNUMBER(SEARCH("DEV",Assessment[[#This Row],[JOB TARGET]])),SUBSTITUTE(Assessment[[#This Row],[JOB TARGET]],"DEV","EST"),Assessment[[#This Row],[JOB TARGET]])</f>
        <v>0</v>
      </c>
      <c r="H562" s="146" t="str" cm="1">
        <f t="array" aca="1" ref="H562" ca="1">IF(Assessment[[#This Row],[JOB TARGET]]="","Job Target Kosong",IF(COUNT(IF('Data Assessment'!$N562:$Z562-OFFSET(Standar!$B$2,MATCH(Assessment[[#This Row],[JOB TARGET
(EST)]],Standar[NAMA JABATAN],0)-1,1,1,13)&lt;0,1,""))&lt;=3,'9 Grid'!$B$4,IF(COUNT(IF('Data Assessment'!$N562:$Z562-OFFSET(Standar!$B$2,MATCH(Assessment[[#This Row],[JOB TARGET]],Standar[NAMA JABATAN],0)-1,1,1,13)&lt;0,1,""))&gt;=7,'9 Grid'!$B$6,'9 Grid'!$B$5)))</f>
        <v>Job Target Kosong</v>
      </c>
      <c r="I562" s="146" t="str">
        <f>IFERROR(IF(Data_Assessment[[#This Row],[IPP (3 YEARS AVERAGE)]]="","(IPP Belum Ada)",IF(Data_Assessment[[#This Row],[IPP (3 YEARS AVERAGE)]]&lt;2,'9 Grid'!$F$2,IF(Data_Assessment[[#This Row],[IPP (3 YEARS AVERAGE)]]&gt;=4,'9 Grid'!$D$2,'9 Grid'!$E$2))),"")</f>
        <v>Fully Competence Performance</v>
      </c>
      <c r="J562" s="146" t="str">
        <f ca="1">IFERROR(INDEX('9 Grid'!$D$4:$F$6,MATCH('Rekomendasi HAV'!H562,'9 Grid'!$B$4:$B$6,0),MATCH('Rekomendasi HAV'!I562,'9 Grid'!$D$2:$F$2,0)),"")</f>
        <v/>
      </c>
      <c r="K562" s="146" t="str">
        <f>IFERROR(INDEX('9 Grid'!$D$8:$F$8,1,MATCH('Rekomendasi HAV'!I562,'9 Grid'!$D$2:$F$2,0)),"")</f>
        <v>(ST) Within 12 - 18 month</v>
      </c>
      <c r="L562" s="146">
        <f>IF(ISNUMBER(SEARCH("EST",Assessment[[#This Row],[JOB TARGET]])),SUBSTITUTE(Assessment[[#This Row],[JOB TARGET]],"EST","DEV"),Assessment[[#This Row],[JOB TARGET]])</f>
        <v>0</v>
      </c>
      <c r="M562" s="146" t="str" cm="1">
        <f t="array" aca="1" ref="M562" ca="1">IF(Assessment[[#This Row],[JOB TARGET]]="","Job Target Kosong",IF(COUNT(IF('Data Assessment'!$N562:$Z562-OFFSET(Standar!$B$2,MATCH(Assessment[[#This Row],[JOB TARGET
(DEV)]],Standar[NAMA JABATAN],0)-1,1,1,13)&lt;0,1,""))&lt;=3,'9 Grid'!$B$4,IF(COUNT(IF('Data Assessment'!$N562:$Z562-OFFSET(Standar!$B$2,MATCH(Assessment[[#This Row],[JOB TARGET
(DEV)]],Standar[NAMA JABATAN],0)-1,1,1,13)&lt;0,1,""))&gt;=7,'9 Grid'!$B$6,'9 Grid'!$B$5)))</f>
        <v>Job Target Kosong</v>
      </c>
      <c r="N562" s="146" t="str">
        <f>IFERROR(IF(Data_Assessment[[#This Row],[IPP (3 YEARS AVERAGE)]]="","(IPP Belum Ada)",IF(Data_Assessment[[#This Row],[IPP (3 YEARS AVERAGE)]]&lt;2,'9 Grid'!$F$2,IF(Data_Assessment[[#This Row],[IPP (3 YEARS AVERAGE)]]&gt;=4,'9 Grid'!$D$2,'9 Grid'!$E$2))),"")</f>
        <v>Fully Competence Performance</v>
      </c>
      <c r="O562" s="146" t="str">
        <f ca="1">IFERROR(INDEX('9 Grid'!$D$4:$F$6,MATCH('Rekomendasi HAV'!M562,'9 Grid'!$B$4:$B$6,0),MATCH('Rekomendasi HAV'!N562,'9 Grid'!$D$2:$F$2,0)),"")</f>
        <v/>
      </c>
      <c r="P562" s="147" t="str">
        <f>IFERROR(INDEX('9 Grid'!$D$8:$F$8,1,MATCH('Rekomendasi HAV'!N562,'9 Grid'!$D$2:$F$2,0)),"")</f>
        <v>(ST) Within 12 - 18 month</v>
      </c>
    </row>
    <row r="563" spans="1:16" ht="28.5">
      <c r="A563" s="67">
        <v>562</v>
      </c>
      <c r="B563" s="68" t="str">
        <f>INDEX(Data_Assessment[],MATCH('Rekomendasi HAV'!$A563,Data_Assessment[[INDEX]:[INDEX]],0),MATCH('Rekomendasi HAV'!B$1,Data_Assessment[#Headers],0))</f>
        <v>Ronald Pandapotan Simarmata</v>
      </c>
      <c r="C563" s="68" t="str">
        <f>INDEX(Data_Assessment[],MATCH('Rekomendasi HAV'!$A563,Data_Assessment[[INDEX]:[INDEX]],0),MATCH('Rekomendasi HAV'!C$1,Data_Assessment[#Headers],0))</f>
        <v>Sumatera Utara</v>
      </c>
      <c r="D563" s="68" t="str">
        <f>INDEX(Data_Assessment[],MATCH('Rekomendasi HAV'!$A563,Data_Assessment[[INDEX]:[INDEX]],0),MATCH('Rekomendasi HAV'!D$1,Data_Assessment[#Headers],0))</f>
        <v>LSIP - Begerpang Palm Oil Mill</v>
      </c>
      <c r="E563" s="68">
        <f>INDEX(Data_Assessment[],MATCH('Rekomendasi HAV'!$B563,Data_Assessment[[NAME]:[NAME]],0),MATCH('Rekomendasi HAV'!E$1,Data_Assessment[#Headers],0))</f>
        <v>0</v>
      </c>
      <c r="F563" s="68"/>
      <c r="G563" s="68">
        <f>IF(ISNUMBER(SEARCH("DEV",Assessment[[#This Row],[JOB TARGET]])),SUBSTITUTE(Assessment[[#This Row],[JOB TARGET]],"DEV","EST"),Assessment[[#This Row],[JOB TARGET]])</f>
        <v>0</v>
      </c>
      <c r="H563" s="146" t="str" cm="1">
        <f t="array" aca="1" ref="H563" ca="1">IF(Assessment[[#This Row],[JOB TARGET]]="","Job Target Kosong",IF(COUNT(IF('Data Assessment'!$N563:$Z563-OFFSET(Standar!$B$2,MATCH(Assessment[[#This Row],[JOB TARGET
(EST)]],Standar[NAMA JABATAN],0)-1,1,1,13)&lt;0,1,""))&lt;=3,'9 Grid'!$B$4,IF(COUNT(IF('Data Assessment'!$N563:$Z563-OFFSET(Standar!$B$2,MATCH(Assessment[[#This Row],[JOB TARGET]],Standar[NAMA JABATAN],0)-1,1,1,13)&lt;0,1,""))&gt;=7,'9 Grid'!$B$6,'9 Grid'!$B$5)))</f>
        <v>Job Target Kosong</v>
      </c>
      <c r="I563" s="146" t="str">
        <f>IFERROR(IF(Data_Assessment[[#This Row],[IPP (3 YEARS AVERAGE)]]="","(IPP Belum Ada)",IF(Data_Assessment[[#This Row],[IPP (3 YEARS AVERAGE)]]&lt;2,'9 Grid'!$F$2,IF(Data_Assessment[[#This Row],[IPP (3 YEARS AVERAGE)]]&gt;=4,'9 Grid'!$D$2,'9 Grid'!$E$2))),"")</f>
        <v>Fully Competence Performance</v>
      </c>
      <c r="J563" s="146" t="str">
        <f ca="1">IFERROR(INDEX('9 Grid'!$D$4:$F$6,MATCH('Rekomendasi HAV'!H563,'9 Grid'!$B$4:$B$6,0),MATCH('Rekomendasi HAV'!I563,'9 Grid'!$D$2:$F$2,0)),"")</f>
        <v/>
      </c>
      <c r="K563" s="146" t="str">
        <f>IFERROR(INDEX('9 Grid'!$D$8:$F$8,1,MATCH('Rekomendasi HAV'!I563,'9 Grid'!$D$2:$F$2,0)),"")</f>
        <v>(ST) Within 12 - 18 month</v>
      </c>
      <c r="L563" s="146">
        <f>IF(ISNUMBER(SEARCH("EST",Assessment[[#This Row],[JOB TARGET]])),SUBSTITUTE(Assessment[[#This Row],[JOB TARGET]],"EST","DEV"),Assessment[[#This Row],[JOB TARGET]])</f>
        <v>0</v>
      </c>
      <c r="M563" s="146" t="str" cm="1">
        <f t="array" aca="1" ref="M563" ca="1">IF(Assessment[[#This Row],[JOB TARGET]]="","Job Target Kosong",IF(COUNT(IF('Data Assessment'!$N563:$Z563-OFFSET(Standar!$B$2,MATCH(Assessment[[#This Row],[JOB TARGET
(DEV)]],Standar[NAMA JABATAN],0)-1,1,1,13)&lt;0,1,""))&lt;=3,'9 Grid'!$B$4,IF(COUNT(IF('Data Assessment'!$N563:$Z563-OFFSET(Standar!$B$2,MATCH(Assessment[[#This Row],[JOB TARGET
(DEV)]],Standar[NAMA JABATAN],0)-1,1,1,13)&lt;0,1,""))&gt;=7,'9 Grid'!$B$6,'9 Grid'!$B$5)))</f>
        <v>Job Target Kosong</v>
      </c>
      <c r="N563" s="146" t="str">
        <f>IFERROR(IF(Data_Assessment[[#This Row],[IPP (3 YEARS AVERAGE)]]="","(IPP Belum Ada)",IF(Data_Assessment[[#This Row],[IPP (3 YEARS AVERAGE)]]&lt;2,'9 Grid'!$F$2,IF(Data_Assessment[[#This Row],[IPP (3 YEARS AVERAGE)]]&gt;=4,'9 Grid'!$D$2,'9 Grid'!$E$2))),"")</f>
        <v>Fully Competence Performance</v>
      </c>
      <c r="O563" s="146" t="str">
        <f ca="1">IFERROR(INDEX('9 Grid'!$D$4:$F$6,MATCH('Rekomendasi HAV'!M563,'9 Grid'!$B$4:$B$6,0),MATCH('Rekomendasi HAV'!N563,'9 Grid'!$D$2:$F$2,0)),"")</f>
        <v/>
      </c>
      <c r="P563" s="147" t="str">
        <f>IFERROR(INDEX('9 Grid'!$D$8:$F$8,1,MATCH('Rekomendasi HAV'!N563,'9 Grid'!$D$2:$F$2,0)),"")</f>
        <v>(ST) Within 12 - 18 month</v>
      </c>
    </row>
    <row r="564" spans="1:16" ht="28.5">
      <c r="A564" s="67">
        <v>563</v>
      </c>
      <c r="B564" s="68" t="str">
        <f>INDEX(Data_Assessment[],MATCH('Rekomendasi HAV'!$A564,Data_Assessment[[INDEX]:[INDEX]],0),MATCH('Rekomendasi HAV'!B$1,Data_Assessment[#Headers],0))</f>
        <v>M. Surya Ardiyanto, Ir.</v>
      </c>
      <c r="C564" s="68" t="str">
        <f>INDEX(Data_Assessment[],MATCH('Rekomendasi HAV'!$A564,Data_Assessment[[INDEX]:[INDEX]],0),MATCH('Rekomendasi HAV'!C$1,Data_Assessment[#Headers],0))</f>
        <v>Sumatera Utara</v>
      </c>
      <c r="D564" s="68" t="str">
        <f>INDEX(Data_Assessment[],MATCH('Rekomendasi HAV'!$A564,Data_Assessment[[INDEX]:[INDEX]],0),MATCH('Rekomendasi HAV'!D$1,Data_Assessment[#Headers],0))</f>
        <v>LSIP - Dolok Estate</v>
      </c>
      <c r="E564" s="68">
        <f>INDEX(Data_Assessment[],MATCH('Rekomendasi HAV'!$B564,Data_Assessment[[NAME]:[NAME]],0),MATCH('Rekomendasi HAV'!E$1,Data_Assessment[#Headers],0))</f>
        <v>0</v>
      </c>
      <c r="F564" s="68"/>
      <c r="G564" s="68">
        <f>IF(ISNUMBER(SEARCH("DEV",Assessment[[#This Row],[JOB TARGET]])),SUBSTITUTE(Assessment[[#This Row],[JOB TARGET]],"DEV","EST"),Assessment[[#This Row],[JOB TARGET]])</f>
        <v>0</v>
      </c>
      <c r="H564" s="146" t="str" cm="1">
        <f t="array" aca="1" ref="H564" ca="1">IF(Assessment[[#This Row],[JOB TARGET]]="","Job Target Kosong",IF(COUNT(IF('Data Assessment'!$N564:$Z564-OFFSET(Standar!$B$2,MATCH(Assessment[[#This Row],[JOB TARGET
(EST)]],Standar[NAMA JABATAN],0)-1,1,1,13)&lt;0,1,""))&lt;=3,'9 Grid'!$B$4,IF(COUNT(IF('Data Assessment'!$N564:$Z564-OFFSET(Standar!$B$2,MATCH(Assessment[[#This Row],[JOB TARGET]],Standar[NAMA JABATAN],0)-1,1,1,13)&lt;0,1,""))&gt;=7,'9 Grid'!$B$6,'9 Grid'!$B$5)))</f>
        <v>Job Target Kosong</v>
      </c>
      <c r="I564" s="146" t="str">
        <f>IFERROR(IF(Data_Assessment[[#This Row],[IPP (3 YEARS AVERAGE)]]="","(IPP Belum Ada)",IF(Data_Assessment[[#This Row],[IPP (3 YEARS AVERAGE)]]&lt;2,'9 Grid'!$F$2,IF(Data_Assessment[[#This Row],[IPP (3 YEARS AVERAGE)]]&gt;=4,'9 Grid'!$D$2,'9 Grid'!$E$2))),"")</f>
        <v>Fully Competence Performance</v>
      </c>
      <c r="J564" s="146" t="str">
        <f ca="1">IFERROR(INDEX('9 Grid'!$D$4:$F$6,MATCH('Rekomendasi HAV'!H564,'9 Grid'!$B$4:$B$6,0),MATCH('Rekomendasi HAV'!I564,'9 Grid'!$D$2:$F$2,0)),"")</f>
        <v/>
      </c>
      <c r="K564" s="146" t="str">
        <f>IFERROR(INDEX('9 Grid'!$D$8:$F$8,1,MATCH('Rekomendasi HAV'!I564,'9 Grid'!$D$2:$F$2,0)),"")</f>
        <v>(ST) Within 12 - 18 month</v>
      </c>
      <c r="L564" s="146">
        <f>IF(ISNUMBER(SEARCH("EST",Assessment[[#This Row],[JOB TARGET]])),SUBSTITUTE(Assessment[[#This Row],[JOB TARGET]],"EST","DEV"),Assessment[[#This Row],[JOB TARGET]])</f>
        <v>0</v>
      </c>
      <c r="M564" s="146" t="str" cm="1">
        <f t="array" aca="1" ref="M564" ca="1">IF(Assessment[[#This Row],[JOB TARGET]]="","Job Target Kosong",IF(COUNT(IF('Data Assessment'!$N564:$Z564-OFFSET(Standar!$B$2,MATCH(Assessment[[#This Row],[JOB TARGET
(DEV)]],Standar[NAMA JABATAN],0)-1,1,1,13)&lt;0,1,""))&lt;=3,'9 Grid'!$B$4,IF(COUNT(IF('Data Assessment'!$N564:$Z564-OFFSET(Standar!$B$2,MATCH(Assessment[[#This Row],[JOB TARGET
(DEV)]],Standar[NAMA JABATAN],0)-1,1,1,13)&lt;0,1,""))&gt;=7,'9 Grid'!$B$6,'9 Grid'!$B$5)))</f>
        <v>Job Target Kosong</v>
      </c>
      <c r="N564" s="146" t="str">
        <f>IFERROR(IF(Data_Assessment[[#This Row],[IPP (3 YEARS AVERAGE)]]="","(IPP Belum Ada)",IF(Data_Assessment[[#This Row],[IPP (3 YEARS AVERAGE)]]&lt;2,'9 Grid'!$F$2,IF(Data_Assessment[[#This Row],[IPP (3 YEARS AVERAGE)]]&gt;=4,'9 Grid'!$D$2,'9 Grid'!$E$2))),"")</f>
        <v>Fully Competence Performance</v>
      </c>
      <c r="O564" s="146" t="str">
        <f ca="1">IFERROR(INDEX('9 Grid'!$D$4:$F$6,MATCH('Rekomendasi HAV'!M564,'9 Grid'!$B$4:$B$6,0),MATCH('Rekomendasi HAV'!N564,'9 Grid'!$D$2:$F$2,0)),"")</f>
        <v/>
      </c>
      <c r="P564" s="147" t="str">
        <f>IFERROR(INDEX('9 Grid'!$D$8:$F$8,1,MATCH('Rekomendasi HAV'!N564,'9 Grid'!$D$2:$F$2,0)),"")</f>
        <v>(ST) Within 12 - 18 month</v>
      </c>
    </row>
    <row r="565" spans="1:16" ht="14.25">
      <c r="A565" s="67">
        <v>564</v>
      </c>
      <c r="B565" s="68" t="str">
        <f>INDEX(Data_Assessment[],MATCH('Rekomendasi HAV'!$A565,Data_Assessment[[INDEX]:[INDEX]],0),MATCH('Rekomendasi HAV'!B$1,Data_Assessment[#Headers],0))</f>
        <v>Dedi Arfin</v>
      </c>
      <c r="C565" s="68" t="str">
        <f>INDEX(Data_Assessment[],MATCH('Rekomendasi HAV'!$A565,Data_Assessment[[INDEX]:[INDEX]],0),MATCH('Rekomendasi HAV'!C$1,Data_Assessment[#Headers],0))</f>
        <v>Sumatera Utara</v>
      </c>
      <c r="D565" s="68" t="str">
        <f>INDEX(Data_Assessment[],MATCH('Rekomendasi HAV'!$A565,Data_Assessment[[INDEX]:[INDEX]],0),MATCH('Rekomendasi HAV'!D$1,Data_Assessment[#Headers],0))</f>
        <v>LSIP - Turangie Palm Oil Mill</v>
      </c>
      <c r="E565" s="68">
        <f>INDEX(Data_Assessment[],MATCH('Rekomendasi HAV'!$B565,Data_Assessment[[NAME]:[NAME]],0),MATCH('Rekomendasi HAV'!E$1,Data_Assessment[#Headers],0))</f>
        <v>0</v>
      </c>
      <c r="F565" s="68"/>
      <c r="G565" s="68">
        <f>IF(ISNUMBER(SEARCH("DEV",Assessment[[#This Row],[JOB TARGET]])),SUBSTITUTE(Assessment[[#This Row],[JOB TARGET]],"DEV","EST"),Assessment[[#This Row],[JOB TARGET]])</f>
        <v>0</v>
      </c>
      <c r="H565" s="146" t="str" cm="1">
        <f t="array" aca="1" ref="H565" ca="1">IF(Assessment[[#This Row],[JOB TARGET]]="","Job Target Kosong",IF(COUNT(IF('Data Assessment'!$N565:$Z565-OFFSET(Standar!$B$2,MATCH(Assessment[[#This Row],[JOB TARGET
(EST)]],Standar[NAMA JABATAN],0)-1,1,1,13)&lt;0,1,""))&lt;=3,'9 Grid'!$B$4,IF(COUNT(IF('Data Assessment'!$N565:$Z565-OFFSET(Standar!$B$2,MATCH(Assessment[[#This Row],[JOB TARGET]],Standar[NAMA JABATAN],0)-1,1,1,13)&lt;0,1,""))&gt;=7,'9 Grid'!$B$6,'9 Grid'!$B$5)))</f>
        <v>Job Target Kosong</v>
      </c>
      <c r="I565" s="146" t="str">
        <f>IFERROR(IF(Data_Assessment[[#This Row],[IPP (3 YEARS AVERAGE)]]="","(IPP Belum Ada)",IF(Data_Assessment[[#This Row],[IPP (3 YEARS AVERAGE)]]&lt;2,'9 Grid'!$F$2,IF(Data_Assessment[[#This Row],[IPP (3 YEARS AVERAGE)]]&gt;=4,'9 Grid'!$D$2,'9 Grid'!$E$2))),"")</f>
        <v>Exceptional Performance</v>
      </c>
      <c r="J565" s="146" t="str">
        <f ca="1">IFERROR(INDEX('9 Grid'!$D$4:$F$6,MATCH('Rekomendasi HAV'!H565,'9 Grid'!$B$4:$B$6,0),MATCH('Rekomendasi HAV'!I565,'9 Grid'!$D$2:$F$2,0)),"")</f>
        <v/>
      </c>
      <c r="K565" s="146" t="str">
        <f>IFERROR(INDEX('9 Grid'!$D$8:$F$8,1,MATCH('Rekomendasi HAV'!I565,'9 Grid'!$D$2:$F$2,0)),"")</f>
        <v>(I) Immediately</v>
      </c>
      <c r="L565" s="146">
        <f>IF(ISNUMBER(SEARCH("EST",Assessment[[#This Row],[JOB TARGET]])),SUBSTITUTE(Assessment[[#This Row],[JOB TARGET]],"EST","DEV"),Assessment[[#This Row],[JOB TARGET]])</f>
        <v>0</v>
      </c>
      <c r="M565" s="146" t="str" cm="1">
        <f t="array" aca="1" ref="M565" ca="1">IF(Assessment[[#This Row],[JOB TARGET]]="","Job Target Kosong",IF(COUNT(IF('Data Assessment'!$N565:$Z565-OFFSET(Standar!$B$2,MATCH(Assessment[[#This Row],[JOB TARGET
(DEV)]],Standar[NAMA JABATAN],0)-1,1,1,13)&lt;0,1,""))&lt;=3,'9 Grid'!$B$4,IF(COUNT(IF('Data Assessment'!$N565:$Z565-OFFSET(Standar!$B$2,MATCH(Assessment[[#This Row],[JOB TARGET
(DEV)]],Standar[NAMA JABATAN],0)-1,1,1,13)&lt;0,1,""))&gt;=7,'9 Grid'!$B$6,'9 Grid'!$B$5)))</f>
        <v>Job Target Kosong</v>
      </c>
      <c r="N565" s="146" t="str">
        <f>IFERROR(IF(Data_Assessment[[#This Row],[IPP (3 YEARS AVERAGE)]]="","(IPP Belum Ada)",IF(Data_Assessment[[#This Row],[IPP (3 YEARS AVERAGE)]]&lt;2,'9 Grid'!$F$2,IF(Data_Assessment[[#This Row],[IPP (3 YEARS AVERAGE)]]&gt;=4,'9 Grid'!$D$2,'9 Grid'!$E$2))),"")</f>
        <v>Exceptional Performance</v>
      </c>
      <c r="O565" s="146" t="str">
        <f ca="1">IFERROR(INDEX('9 Grid'!$D$4:$F$6,MATCH('Rekomendasi HAV'!M565,'9 Grid'!$B$4:$B$6,0),MATCH('Rekomendasi HAV'!N565,'9 Grid'!$D$2:$F$2,0)),"")</f>
        <v/>
      </c>
      <c r="P565" s="147" t="str">
        <f>IFERROR(INDEX('9 Grid'!$D$8:$F$8,1,MATCH('Rekomendasi HAV'!N565,'9 Grid'!$D$2:$F$2,0)),"")</f>
        <v>(I) Immediately</v>
      </c>
    </row>
    <row r="566" spans="1:16" ht="28.5">
      <c r="A566" s="67">
        <v>565</v>
      </c>
      <c r="B566" s="68" t="str">
        <f>INDEX(Data_Assessment[],MATCH('Rekomendasi HAV'!$A566,Data_Assessment[[INDEX]:[INDEX]],0),MATCH('Rekomendasi HAV'!B$1,Data_Assessment[#Headers],0))</f>
        <v>Diah Retno</v>
      </c>
      <c r="C566" s="68" t="str">
        <f>INDEX(Data_Assessment[],MATCH('Rekomendasi HAV'!$A566,Data_Assessment[[INDEX]:[INDEX]],0),MATCH('Rekomendasi HAV'!C$1,Data_Assessment[#Headers],0))</f>
        <v>Sumatera Utara</v>
      </c>
      <c r="D566" s="68" t="str">
        <f>INDEX(Data_Assessment[],MATCH('Rekomendasi HAV'!$A566,Data_Assessment[[INDEX]:[INDEX]],0),MATCH('Rekomendasi HAV'!D$1,Data_Assessment[#Headers],0))</f>
        <v>LSIP - Dolok Estate</v>
      </c>
      <c r="E566" s="68">
        <f>INDEX(Data_Assessment[],MATCH('Rekomendasi HAV'!$B566,Data_Assessment[[NAME]:[NAME]],0),MATCH('Rekomendasi HAV'!E$1,Data_Assessment[#Headers],0))</f>
        <v>0</v>
      </c>
      <c r="F566" s="68"/>
      <c r="G566" s="68">
        <f>IF(ISNUMBER(SEARCH("DEV",Assessment[[#This Row],[JOB TARGET]])),SUBSTITUTE(Assessment[[#This Row],[JOB TARGET]],"DEV","EST"),Assessment[[#This Row],[JOB TARGET]])</f>
        <v>0</v>
      </c>
      <c r="H566" s="146" t="str" cm="1">
        <f t="array" aca="1" ref="H566" ca="1">IF(Assessment[[#This Row],[JOB TARGET]]="","Job Target Kosong",IF(COUNT(IF('Data Assessment'!$N566:$Z566-OFFSET(Standar!$B$2,MATCH(Assessment[[#This Row],[JOB TARGET
(EST)]],Standar[NAMA JABATAN],0)-1,1,1,13)&lt;0,1,""))&lt;=3,'9 Grid'!$B$4,IF(COUNT(IF('Data Assessment'!$N566:$Z566-OFFSET(Standar!$B$2,MATCH(Assessment[[#This Row],[JOB TARGET]],Standar[NAMA JABATAN],0)-1,1,1,13)&lt;0,1,""))&gt;=7,'9 Grid'!$B$6,'9 Grid'!$B$5)))</f>
        <v>Job Target Kosong</v>
      </c>
      <c r="I566" s="146" t="str">
        <f>IFERROR(IF(Data_Assessment[[#This Row],[IPP (3 YEARS AVERAGE)]]="","(IPP Belum Ada)",IF(Data_Assessment[[#This Row],[IPP (3 YEARS AVERAGE)]]&lt;2,'9 Grid'!$F$2,IF(Data_Assessment[[#This Row],[IPP (3 YEARS AVERAGE)]]&gt;=4,'9 Grid'!$D$2,'9 Grid'!$E$2))),"")</f>
        <v>Fully Competence Performance</v>
      </c>
      <c r="J566" s="146" t="str">
        <f ca="1">IFERROR(INDEX('9 Grid'!$D$4:$F$6,MATCH('Rekomendasi HAV'!H566,'9 Grid'!$B$4:$B$6,0),MATCH('Rekomendasi HAV'!I566,'9 Grid'!$D$2:$F$2,0)),"")</f>
        <v/>
      </c>
      <c r="K566" s="146" t="str">
        <f>IFERROR(INDEX('9 Grid'!$D$8:$F$8,1,MATCH('Rekomendasi HAV'!I566,'9 Grid'!$D$2:$F$2,0)),"")</f>
        <v>(ST) Within 12 - 18 month</v>
      </c>
      <c r="L566" s="146">
        <f>IF(ISNUMBER(SEARCH("EST",Assessment[[#This Row],[JOB TARGET]])),SUBSTITUTE(Assessment[[#This Row],[JOB TARGET]],"EST","DEV"),Assessment[[#This Row],[JOB TARGET]])</f>
        <v>0</v>
      </c>
      <c r="M566" s="146" t="str" cm="1">
        <f t="array" aca="1" ref="M566" ca="1">IF(Assessment[[#This Row],[JOB TARGET]]="","Job Target Kosong",IF(COUNT(IF('Data Assessment'!$N566:$Z566-OFFSET(Standar!$B$2,MATCH(Assessment[[#This Row],[JOB TARGET
(DEV)]],Standar[NAMA JABATAN],0)-1,1,1,13)&lt;0,1,""))&lt;=3,'9 Grid'!$B$4,IF(COUNT(IF('Data Assessment'!$N566:$Z566-OFFSET(Standar!$B$2,MATCH(Assessment[[#This Row],[JOB TARGET
(DEV)]],Standar[NAMA JABATAN],0)-1,1,1,13)&lt;0,1,""))&gt;=7,'9 Grid'!$B$6,'9 Grid'!$B$5)))</f>
        <v>Job Target Kosong</v>
      </c>
      <c r="N566" s="146" t="str">
        <f>IFERROR(IF(Data_Assessment[[#This Row],[IPP (3 YEARS AVERAGE)]]="","(IPP Belum Ada)",IF(Data_Assessment[[#This Row],[IPP (3 YEARS AVERAGE)]]&lt;2,'9 Grid'!$F$2,IF(Data_Assessment[[#This Row],[IPP (3 YEARS AVERAGE)]]&gt;=4,'9 Grid'!$D$2,'9 Grid'!$E$2))),"")</f>
        <v>Fully Competence Performance</v>
      </c>
      <c r="O566" s="146" t="str">
        <f ca="1">IFERROR(INDEX('9 Grid'!$D$4:$F$6,MATCH('Rekomendasi HAV'!M566,'9 Grid'!$B$4:$B$6,0),MATCH('Rekomendasi HAV'!N566,'9 Grid'!$D$2:$F$2,0)),"")</f>
        <v/>
      </c>
      <c r="P566" s="147" t="str">
        <f>IFERROR(INDEX('9 Grid'!$D$8:$F$8,1,MATCH('Rekomendasi HAV'!N566,'9 Grid'!$D$2:$F$2,0)),"")</f>
        <v>(ST) Within 12 - 18 month</v>
      </c>
    </row>
    <row r="567" spans="1:16" ht="28.5">
      <c r="A567" s="67">
        <v>566</v>
      </c>
      <c r="B567" s="68" t="str">
        <f>INDEX(Data_Assessment[],MATCH('Rekomendasi HAV'!$A567,Data_Assessment[[INDEX]:[INDEX]],0),MATCH('Rekomendasi HAV'!B$1,Data_Assessment[#Headers],0))</f>
        <v>Radius Ginting</v>
      </c>
      <c r="C567" s="68" t="str">
        <f>INDEX(Data_Assessment[],MATCH('Rekomendasi HAV'!$A567,Data_Assessment[[INDEX]:[INDEX]],0),MATCH('Rekomendasi HAV'!C$1,Data_Assessment[#Headers],0))</f>
        <v>Sumatera Utara</v>
      </c>
      <c r="D567" s="68" t="str">
        <f>INDEX(Data_Assessment[],MATCH('Rekomendasi HAV'!$A567,Data_Assessment[[INDEX]:[INDEX]],0),MATCH('Rekomendasi HAV'!D$1,Data_Assessment[#Headers],0))</f>
        <v>LSIP - Turangie Palm Oil Mill</v>
      </c>
      <c r="E567" s="68">
        <f>INDEX(Data_Assessment[],MATCH('Rekomendasi HAV'!$B567,Data_Assessment[[NAME]:[NAME]],0),MATCH('Rekomendasi HAV'!E$1,Data_Assessment[#Headers],0))</f>
        <v>0</v>
      </c>
      <c r="F567" s="68"/>
      <c r="G567" s="68">
        <f>IF(ISNUMBER(SEARCH("DEV",Assessment[[#This Row],[JOB TARGET]])),SUBSTITUTE(Assessment[[#This Row],[JOB TARGET]],"DEV","EST"),Assessment[[#This Row],[JOB TARGET]])</f>
        <v>0</v>
      </c>
      <c r="H567" s="146" t="str" cm="1">
        <f t="array" aca="1" ref="H567" ca="1">IF(Assessment[[#This Row],[JOB TARGET]]="","Job Target Kosong",IF(COUNT(IF('Data Assessment'!$N567:$Z567-OFFSET(Standar!$B$2,MATCH(Assessment[[#This Row],[JOB TARGET
(EST)]],Standar[NAMA JABATAN],0)-1,1,1,13)&lt;0,1,""))&lt;=3,'9 Grid'!$B$4,IF(COUNT(IF('Data Assessment'!$N567:$Z567-OFFSET(Standar!$B$2,MATCH(Assessment[[#This Row],[JOB TARGET]],Standar[NAMA JABATAN],0)-1,1,1,13)&lt;0,1,""))&gt;=7,'9 Grid'!$B$6,'9 Grid'!$B$5)))</f>
        <v>Job Target Kosong</v>
      </c>
      <c r="I567" s="146" t="str">
        <f>IFERROR(IF(Data_Assessment[[#This Row],[IPP (3 YEARS AVERAGE)]]="","(IPP Belum Ada)",IF(Data_Assessment[[#This Row],[IPP (3 YEARS AVERAGE)]]&lt;2,'9 Grid'!$F$2,IF(Data_Assessment[[#This Row],[IPP (3 YEARS AVERAGE)]]&gt;=4,'9 Grid'!$D$2,'9 Grid'!$E$2))),"")</f>
        <v>Fully Competence Performance</v>
      </c>
      <c r="J567" s="146" t="str">
        <f ca="1">IFERROR(INDEX('9 Grid'!$D$4:$F$6,MATCH('Rekomendasi HAV'!H567,'9 Grid'!$B$4:$B$6,0),MATCH('Rekomendasi HAV'!I567,'9 Grid'!$D$2:$F$2,0)),"")</f>
        <v/>
      </c>
      <c r="K567" s="146" t="str">
        <f>IFERROR(INDEX('9 Grid'!$D$8:$F$8,1,MATCH('Rekomendasi HAV'!I567,'9 Grid'!$D$2:$F$2,0)),"")</f>
        <v>(ST) Within 12 - 18 month</v>
      </c>
      <c r="L567" s="146">
        <f>IF(ISNUMBER(SEARCH("EST",Assessment[[#This Row],[JOB TARGET]])),SUBSTITUTE(Assessment[[#This Row],[JOB TARGET]],"EST","DEV"),Assessment[[#This Row],[JOB TARGET]])</f>
        <v>0</v>
      </c>
      <c r="M567" s="146" t="str" cm="1">
        <f t="array" aca="1" ref="M567" ca="1">IF(Assessment[[#This Row],[JOB TARGET]]="","Job Target Kosong",IF(COUNT(IF('Data Assessment'!$N567:$Z567-OFFSET(Standar!$B$2,MATCH(Assessment[[#This Row],[JOB TARGET
(DEV)]],Standar[NAMA JABATAN],0)-1,1,1,13)&lt;0,1,""))&lt;=3,'9 Grid'!$B$4,IF(COUNT(IF('Data Assessment'!$N567:$Z567-OFFSET(Standar!$B$2,MATCH(Assessment[[#This Row],[JOB TARGET
(DEV)]],Standar[NAMA JABATAN],0)-1,1,1,13)&lt;0,1,""))&gt;=7,'9 Grid'!$B$6,'9 Grid'!$B$5)))</f>
        <v>Job Target Kosong</v>
      </c>
      <c r="N567" s="146" t="str">
        <f>IFERROR(IF(Data_Assessment[[#This Row],[IPP (3 YEARS AVERAGE)]]="","(IPP Belum Ada)",IF(Data_Assessment[[#This Row],[IPP (3 YEARS AVERAGE)]]&lt;2,'9 Grid'!$F$2,IF(Data_Assessment[[#This Row],[IPP (3 YEARS AVERAGE)]]&gt;=4,'9 Grid'!$D$2,'9 Grid'!$E$2))),"")</f>
        <v>Fully Competence Performance</v>
      </c>
      <c r="O567" s="146" t="str">
        <f ca="1">IFERROR(INDEX('9 Grid'!$D$4:$F$6,MATCH('Rekomendasi HAV'!M567,'9 Grid'!$B$4:$B$6,0),MATCH('Rekomendasi HAV'!N567,'9 Grid'!$D$2:$F$2,0)),"")</f>
        <v/>
      </c>
      <c r="P567" s="147" t="str">
        <f>IFERROR(INDEX('9 Grid'!$D$8:$F$8,1,MATCH('Rekomendasi HAV'!N567,'9 Grid'!$D$2:$F$2,0)),"")</f>
        <v>(ST) Within 12 - 18 month</v>
      </c>
    </row>
    <row r="568" spans="1:16" ht="28.5">
      <c r="A568" s="67">
        <v>567</v>
      </c>
      <c r="B568" s="68" t="str">
        <f>INDEX(Data_Assessment[],MATCH('Rekomendasi HAV'!$A568,Data_Assessment[[INDEX]:[INDEX]],0),MATCH('Rekomendasi HAV'!B$1,Data_Assessment[#Headers],0))</f>
        <v>Budi Purwanto</v>
      </c>
      <c r="C568" s="68" t="str">
        <f>INDEX(Data_Assessment[],MATCH('Rekomendasi HAV'!$A568,Data_Assessment[[INDEX]:[INDEX]],0),MATCH('Rekomendasi HAV'!C$1,Data_Assessment[#Headers],0))</f>
        <v>Sumatera Utara</v>
      </c>
      <c r="D568" s="68" t="str">
        <f>INDEX(Data_Assessment[],MATCH('Rekomendasi HAV'!$A568,Data_Assessment[[INDEX]:[INDEX]],0),MATCH('Rekomendasi HAV'!D$1,Data_Assessment[#Headers],0))</f>
        <v>LSIP - Dolok Palm Oil Mill</v>
      </c>
      <c r="E568" s="68">
        <f>INDEX(Data_Assessment[],MATCH('Rekomendasi HAV'!$B568,Data_Assessment[[NAME]:[NAME]],0),MATCH('Rekomendasi HAV'!E$1,Data_Assessment[#Headers],0))</f>
        <v>0</v>
      </c>
      <c r="F568" s="68"/>
      <c r="G568" s="68">
        <f>IF(ISNUMBER(SEARCH("DEV",Assessment[[#This Row],[JOB TARGET]])),SUBSTITUTE(Assessment[[#This Row],[JOB TARGET]],"DEV","EST"),Assessment[[#This Row],[JOB TARGET]])</f>
        <v>0</v>
      </c>
      <c r="H568" s="146" t="str" cm="1">
        <f t="array" aca="1" ref="H568" ca="1">IF(Assessment[[#This Row],[JOB TARGET]]="","Job Target Kosong",IF(COUNT(IF('Data Assessment'!$N568:$Z568-OFFSET(Standar!$B$2,MATCH(Assessment[[#This Row],[JOB TARGET
(EST)]],Standar[NAMA JABATAN],0)-1,1,1,13)&lt;0,1,""))&lt;=3,'9 Grid'!$B$4,IF(COUNT(IF('Data Assessment'!$N568:$Z568-OFFSET(Standar!$B$2,MATCH(Assessment[[#This Row],[JOB TARGET]],Standar[NAMA JABATAN],0)-1,1,1,13)&lt;0,1,""))&gt;=7,'9 Grid'!$B$6,'9 Grid'!$B$5)))</f>
        <v>Job Target Kosong</v>
      </c>
      <c r="I568" s="146" t="str">
        <f>IFERROR(IF(Data_Assessment[[#This Row],[IPP (3 YEARS AVERAGE)]]="","(IPP Belum Ada)",IF(Data_Assessment[[#This Row],[IPP (3 YEARS AVERAGE)]]&lt;2,'9 Grid'!$F$2,IF(Data_Assessment[[#This Row],[IPP (3 YEARS AVERAGE)]]&gt;=4,'9 Grid'!$D$2,'9 Grid'!$E$2))),"")</f>
        <v>Fully Competence Performance</v>
      </c>
      <c r="J568" s="146" t="str">
        <f ca="1">IFERROR(INDEX('9 Grid'!$D$4:$F$6,MATCH('Rekomendasi HAV'!H568,'9 Grid'!$B$4:$B$6,0),MATCH('Rekomendasi HAV'!I568,'9 Grid'!$D$2:$F$2,0)),"")</f>
        <v/>
      </c>
      <c r="K568" s="146" t="str">
        <f>IFERROR(INDEX('9 Grid'!$D$8:$F$8,1,MATCH('Rekomendasi HAV'!I568,'9 Grid'!$D$2:$F$2,0)),"")</f>
        <v>(ST) Within 12 - 18 month</v>
      </c>
      <c r="L568" s="146">
        <f>IF(ISNUMBER(SEARCH("EST",Assessment[[#This Row],[JOB TARGET]])),SUBSTITUTE(Assessment[[#This Row],[JOB TARGET]],"EST","DEV"),Assessment[[#This Row],[JOB TARGET]])</f>
        <v>0</v>
      </c>
      <c r="M568" s="146" t="str" cm="1">
        <f t="array" aca="1" ref="M568" ca="1">IF(Assessment[[#This Row],[JOB TARGET]]="","Job Target Kosong",IF(COUNT(IF('Data Assessment'!$N568:$Z568-OFFSET(Standar!$B$2,MATCH(Assessment[[#This Row],[JOB TARGET
(DEV)]],Standar[NAMA JABATAN],0)-1,1,1,13)&lt;0,1,""))&lt;=3,'9 Grid'!$B$4,IF(COUNT(IF('Data Assessment'!$N568:$Z568-OFFSET(Standar!$B$2,MATCH(Assessment[[#This Row],[JOB TARGET
(DEV)]],Standar[NAMA JABATAN],0)-1,1,1,13)&lt;0,1,""))&gt;=7,'9 Grid'!$B$6,'9 Grid'!$B$5)))</f>
        <v>Job Target Kosong</v>
      </c>
      <c r="N568" s="146" t="str">
        <f>IFERROR(IF(Data_Assessment[[#This Row],[IPP (3 YEARS AVERAGE)]]="","(IPP Belum Ada)",IF(Data_Assessment[[#This Row],[IPP (3 YEARS AVERAGE)]]&lt;2,'9 Grid'!$F$2,IF(Data_Assessment[[#This Row],[IPP (3 YEARS AVERAGE)]]&gt;=4,'9 Grid'!$D$2,'9 Grid'!$E$2))),"")</f>
        <v>Fully Competence Performance</v>
      </c>
      <c r="O568" s="146" t="str">
        <f ca="1">IFERROR(INDEX('9 Grid'!$D$4:$F$6,MATCH('Rekomendasi HAV'!M568,'9 Grid'!$B$4:$B$6,0),MATCH('Rekomendasi HAV'!N568,'9 Grid'!$D$2:$F$2,0)),"")</f>
        <v/>
      </c>
      <c r="P568" s="147" t="str">
        <f>IFERROR(INDEX('9 Grid'!$D$8:$F$8,1,MATCH('Rekomendasi HAV'!N568,'9 Grid'!$D$2:$F$2,0)),"")</f>
        <v>(ST) Within 12 - 18 month</v>
      </c>
    </row>
    <row r="569" spans="1:16" ht="28.5">
      <c r="A569" s="67">
        <v>568</v>
      </c>
      <c r="B569" s="68" t="str">
        <f>INDEX(Data_Assessment[],MATCH('Rekomendasi HAV'!$A569,Data_Assessment[[INDEX]:[INDEX]],0),MATCH('Rekomendasi HAV'!B$1,Data_Assessment[#Headers],0))</f>
        <v>Pebri Romodon</v>
      </c>
      <c r="C569" s="68" t="str">
        <f>INDEX(Data_Assessment[],MATCH('Rekomendasi HAV'!$A569,Data_Assessment[[INDEX]:[INDEX]],0),MATCH('Rekomendasi HAV'!C$1,Data_Assessment[#Headers],0))</f>
        <v>Sumatera Utara</v>
      </c>
      <c r="D569" s="68" t="str">
        <f>INDEX(Data_Assessment[],MATCH('Rekomendasi HAV'!$A569,Data_Assessment[[INDEX]:[INDEX]],0),MATCH('Rekomendasi HAV'!D$1,Data_Assessment[#Headers],0))</f>
        <v>LSIP - Dolok Estate</v>
      </c>
      <c r="E569" s="68">
        <f>INDEX(Data_Assessment[],MATCH('Rekomendasi HAV'!$B569,Data_Assessment[[NAME]:[NAME]],0),MATCH('Rekomendasi HAV'!E$1,Data_Assessment[#Headers],0))</f>
        <v>0</v>
      </c>
      <c r="F569" s="68"/>
      <c r="G569" s="68">
        <f>IF(ISNUMBER(SEARCH("DEV",Assessment[[#This Row],[JOB TARGET]])),SUBSTITUTE(Assessment[[#This Row],[JOB TARGET]],"DEV","EST"),Assessment[[#This Row],[JOB TARGET]])</f>
        <v>0</v>
      </c>
      <c r="H569" s="146" t="str" cm="1">
        <f t="array" aca="1" ref="H569" ca="1">IF(Assessment[[#This Row],[JOB TARGET]]="","Job Target Kosong",IF(COUNT(IF('Data Assessment'!$N569:$Z569-OFFSET(Standar!$B$2,MATCH(Assessment[[#This Row],[JOB TARGET
(EST)]],Standar[NAMA JABATAN],0)-1,1,1,13)&lt;0,1,""))&lt;=3,'9 Grid'!$B$4,IF(COUNT(IF('Data Assessment'!$N569:$Z569-OFFSET(Standar!$B$2,MATCH(Assessment[[#This Row],[JOB TARGET]],Standar[NAMA JABATAN],0)-1,1,1,13)&lt;0,1,""))&gt;=7,'9 Grid'!$B$6,'9 Grid'!$B$5)))</f>
        <v>Job Target Kosong</v>
      </c>
      <c r="I569" s="146" t="str">
        <f>IFERROR(IF(Data_Assessment[[#This Row],[IPP (3 YEARS AVERAGE)]]="","(IPP Belum Ada)",IF(Data_Assessment[[#This Row],[IPP (3 YEARS AVERAGE)]]&lt;2,'9 Grid'!$F$2,IF(Data_Assessment[[#This Row],[IPP (3 YEARS AVERAGE)]]&gt;=4,'9 Grid'!$D$2,'9 Grid'!$E$2))),"")</f>
        <v>Fully Competence Performance</v>
      </c>
      <c r="J569" s="146" t="str">
        <f ca="1">IFERROR(INDEX('9 Grid'!$D$4:$F$6,MATCH('Rekomendasi HAV'!H569,'9 Grid'!$B$4:$B$6,0),MATCH('Rekomendasi HAV'!I569,'9 Grid'!$D$2:$F$2,0)),"")</f>
        <v/>
      </c>
      <c r="K569" s="146" t="str">
        <f>IFERROR(INDEX('9 Grid'!$D$8:$F$8,1,MATCH('Rekomendasi HAV'!I569,'9 Grid'!$D$2:$F$2,0)),"")</f>
        <v>(ST) Within 12 - 18 month</v>
      </c>
      <c r="L569" s="146">
        <f>IF(ISNUMBER(SEARCH("EST",Assessment[[#This Row],[JOB TARGET]])),SUBSTITUTE(Assessment[[#This Row],[JOB TARGET]],"EST","DEV"),Assessment[[#This Row],[JOB TARGET]])</f>
        <v>0</v>
      </c>
      <c r="M569" s="146" t="str" cm="1">
        <f t="array" aca="1" ref="M569" ca="1">IF(Assessment[[#This Row],[JOB TARGET]]="","Job Target Kosong",IF(COUNT(IF('Data Assessment'!$N569:$Z569-OFFSET(Standar!$B$2,MATCH(Assessment[[#This Row],[JOB TARGET
(DEV)]],Standar[NAMA JABATAN],0)-1,1,1,13)&lt;0,1,""))&lt;=3,'9 Grid'!$B$4,IF(COUNT(IF('Data Assessment'!$N569:$Z569-OFFSET(Standar!$B$2,MATCH(Assessment[[#This Row],[JOB TARGET
(DEV)]],Standar[NAMA JABATAN],0)-1,1,1,13)&lt;0,1,""))&gt;=7,'9 Grid'!$B$6,'9 Grid'!$B$5)))</f>
        <v>Job Target Kosong</v>
      </c>
      <c r="N569" s="146" t="str">
        <f>IFERROR(IF(Data_Assessment[[#This Row],[IPP (3 YEARS AVERAGE)]]="","(IPP Belum Ada)",IF(Data_Assessment[[#This Row],[IPP (3 YEARS AVERAGE)]]&lt;2,'9 Grid'!$F$2,IF(Data_Assessment[[#This Row],[IPP (3 YEARS AVERAGE)]]&gt;=4,'9 Grid'!$D$2,'9 Grid'!$E$2))),"")</f>
        <v>Fully Competence Performance</v>
      </c>
      <c r="O569" s="146" t="str">
        <f ca="1">IFERROR(INDEX('9 Grid'!$D$4:$F$6,MATCH('Rekomendasi HAV'!M569,'9 Grid'!$B$4:$B$6,0),MATCH('Rekomendasi HAV'!N569,'9 Grid'!$D$2:$F$2,0)),"")</f>
        <v/>
      </c>
      <c r="P569" s="147" t="str">
        <f>IFERROR(INDEX('9 Grid'!$D$8:$F$8,1,MATCH('Rekomendasi HAV'!N569,'9 Grid'!$D$2:$F$2,0)),"")</f>
        <v>(ST) Within 12 - 18 month</v>
      </c>
    </row>
    <row r="570" spans="1:16" ht="28.5">
      <c r="A570" s="67">
        <v>569</v>
      </c>
      <c r="B570" s="68" t="str">
        <f>INDEX(Data_Assessment[],MATCH('Rekomendasi HAV'!$A570,Data_Assessment[[INDEX]:[INDEX]],0),MATCH('Rekomendasi HAV'!B$1,Data_Assessment[#Headers],0))</f>
        <v>Bambang Irwansyah</v>
      </c>
      <c r="C570" s="68" t="str">
        <f>INDEX(Data_Assessment[],MATCH('Rekomendasi HAV'!$A570,Data_Assessment[[INDEX]:[INDEX]],0),MATCH('Rekomendasi HAV'!C$1,Data_Assessment[#Headers],0))</f>
        <v>Sumatera Utara</v>
      </c>
      <c r="D570" s="68" t="str">
        <f>INDEX(Data_Assessment[],MATCH('Rekomendasi HAV'!$A570,Data_Assessment[[INDEX]:[INDEX]],0),MATCH('Rekomendasi HAV'!D$1,Data_Assessment[#Headers],0))</f>
        <v>LSIP - Dolok Palm Oil Mill</v>
      </c>
      <c r="E570" s="68">
        <f>INDEX(Data_Assessment[],MATCH('Rekomendasi HAV'!$B570,Data_Assessment[[NAME]:[NAME]],0),MATCH('Rekomendasi HAV'!E$1,Data_Assessment[#Headers],0))</f>
        <v>0</v>
      </c>
      <c r="F570" s="68"/>
      <c r="G570" s="68">
        <f>IF(ISNUMBER(SEARCH("DEV",Assessment[[#This Row],[JOB TARGET]])),SUBSTITUTE(Assessment[[#This Row],[JOB TARGET]],"DEV","EST"),Assessment[[#This Row],[JOB TARGET]])</f>
        <v>0</v>
      </c>
      <c r="H570" s="146" t="str" cm="1">
        <f t="array" aca="1" ref="H570" ca="1">IF(Assessment[[#This Row],[JOB TARGET]]="","Job Target Kosong",IF(COUNT(IF('Data Assessment'!$N570:$Z570-OFFSET(Standar!$B$2,MATCH(Assessment[[#This Row],[JOB TARGET
(EST)]],Standar[NAMA JABATAN],0)-1,1,1,13)&lt;0,1,""))&lt;=3,'9 Grid'!$B$4,IF(COUNT(IF('Data Assessment'!$N570:$Z570-OFFSET(Standar!$B$2,MATCH(Assessment[[#This Row],[JOB TARGET]],Standar[NAMA JABATAN],0)-1,1,1,13)&lt;0,1,""))&gt;=7,'9 Grid'!$B$6,'9 Grid'!$B$5)))</f>
        <v>Job Target Kosong</v>
      </c>
      <c r="I570" s="146" t="str">
        <f>IFERROR(IF(Data_Assessment[[#This Row],[IPP (3 YEARS AVERAGE)]]="","(IPP Belum Ada)",IF(Data_Assessment[[#This Row],[IPP (3 YEARS AVERAGE)]]&lt;2,'9 Grid'!$F$2,IF(Data_Assessment[[#This Row],[IPP (3 YEARS AVERAGE)]]&gt;=4,'9 Grid'!$D$2,'9 Grid'!$E$2))),"")</f>
        <v>Fully Competence Performance</v>
      </c>
      <c r="J570" s="146" t="str">
        <f ca="1">IFERROR(INDEX('9 Grid'!$D$4:$F$6,MATCH('Rekomendasi HAV'!H570,'9 Grid'!$B$4:$B$6,0),MATCH('Rekomendasi HAV'!I570,'9 Grid'!$D$2:$F$2,0)),"")</f>
        <v/>
      </c>
      <c r="K570" s="146" t="str">
        <f>IFERROR(INDEX('9 Grid'!$D$8:$F$8,1,MATCH('Rekomendasi HAV'!I570,'9 Grid'!$D$2:$F$2,0)),"")</f>
        <v>(ST) Within 12 - 18 month</v>
      </c>
      <c r="L570" s="146">
        <f>IF(ISNUMBER(SEARCH("EST",Assessment[[#This Row],[JOB TARGET]])),SUBSTITUTE(Assessment[[#This Row],[JOB TARGET]],"EST","DEV"),Assessment[[#This Row],[JOB TARGET]])</f>
        <v>0</v>
      </c>
      <c r="M570" s="146" t="str" cm="1">
        <f t="array" aca="1" ref="M570" ca="1">IF(Assessment[[#This Row],[JOB TARGET]]="","Job Target Kosong",IF(COUNT(IF('Data Assessment'!$N570:$Z570-OFFSET(Standar!$B$2,MATCH(Assessment[[#This Row],[JOB TARGET
(DEV)]],Standar[NAMA JABATAN],0)-1,1,1,13)&lt;0,1,""))&lt;=3,'9 Grid'!$B$4,IF(COUNT(IF('Data Assessment'!$N570:$Z570-OFFSET(Standar!$B$2,MATCH(Assessment[[#This Row],[JOB TARGET
(DEV)]],Standar[NAMA JABATAN],0)-1,1,1,13)&lt;0,1,""))&gt;=7,'9 Grid'!$B$6,'9 Grid'!$B$5)))</f>
        <v>Job Target Kosong</v>
      </c>
      <c r="N570" s="146" t="str">
        <f>IFERROR(IF(Data_Assessment[[#This Row],[IPP (3 YEARS AVERAGE)]]="","(IPP Belum Ada)",IF(Data_Assessment[[#This Row],[IPP (3 YEARS AVERAGE)]]&lt;2,'9 Grid'!$F$2,IF(Data_Assessment[[#This Row],[IPP (3 YEARS AVERAGE)]]&gt;=4,'9 Grid'!$D$2,'9 Grid'!$E$2))),"")</f>
        <v>Fully Competence Performance</v>
      </c>
      <c r="O570" s="146" t="str">
        <f ca="1">IFERROR(INDEX('9 Grid'!$D$4:$F$6,MATCH('Rekomendasi HAV'!M570,'9 Grid'!$B$4:$B$6,0),MATCH('Rekomendasi HAV'!N570,'9 Grid'!$D$2:$F$2,0)),"")</f>
        <v/>
      </c>
      <c r="P570" s="147" t="str">
        <f>IFERROR(INDEX('9 Grid'!$D$8:$F$8,1,MATCH('Rekomendasi HAV'!N570,'9 Grid'!$D$2:$F$2,0)),"")</f>
        <v>(ST) Within 12 - 18 month</v>
      </c>
    </row>
    <row r="571" spans="1:16" ht="28.5">
      <c r="A571" s="67">
        <v>570</v>
      </c>
      <c r="B571" s="68" t="str">
        <f>INDEX(Data_Assessment[],MATCH('Rekomendasi HAV'!$A571,Data_Assessment[[INDEX]:[INDEX]],0),MATCH('Rekomendasi HAV'!B$1,Data_Assessment[#Headers],0))</f>
        <v>Herdiansyah Barus</v>
      </c>
      <c r="C571" s="68" t="str">
        <f>INDEX(Data_Assessment[],MATCH('Rekomendasi HAV'!$A571,Data_Assessment[[INDEX]:[INDEX]],0),MATCH('Rekomendasi HAV'!C$1,Data_Assessment[#Headers],0))</f>
        <v>Sumatera Utara</v>
      </c>
      <c r="D571" s="68" t="str">
        <f>INDEX(Data_Assessment[],MATCH('Rekomendasi HAV'!$A571,Data_Assessment[[INDEX]:[INDEX]],0),MATCH('Rekomendasi HAV'!D$1,Data_Assessment[#Headers],0))</f>
        <v>LSIP - Dolok Palm Oil Mill</v>
      </c>
      <c r="E571" s="68">
        <f>INDEX(Data_Assessment[],MATCH('Rekomendasi HAV'!$B571,Data_Assessment[[NAME]:[NAME]],0),MATCH('Rekomendasi HAV'!E$1,Data_Assessment[#Headers],0))</f>
        <v>0</v>
      </c>
      <c r="F571" s="68"/>
      <c r="G571" s="68">
        <f>IF(ISNUMBER(SEARCH("DEV",Assessment[[#This Row],[JOB TARGET]])),SUBSTITUTE(Assessment[[#This Row],[JOB TARGET]],"DEV","EST"),Assessment[[#This Row],[JOB TARGET]])</f>
        <v>0</v>
      </c>
      <c r="H571" s="146" t="str" cm="1">
        <f t="array" aca="1" ref="H571" ca="1">IF(Assessment[[#This Row],[JOB TARGET]]="","Job Target Kosong",IF(COUNT(IF('Data Assessment'!$N571:$Z571-OFFSET(Standar!$B$2,MATCH(Assessment[[#This Row],[JOB TARGET
(EST)]],Standar[NAMA JABATAN],0)-1,1,1,13)&lt;0,1,""))&lt;=3,'9 Grid'!$B$4,IF(COUNT(IF('Data Assessment'!$N571:$Z571-OFFSET(Standar!$B$2,MATCH(Assessment[[#This Row],[JOB TARGET]],Standar[NAMA JABATAN],0)-1,1,1,13)&lt;0,1,""))&gt;=7,'9 Grid'!$B$6,'9 Grid'!$B$5)))</f>
        <v>Job Target Kosong</v>
      </c>
      <c r="I571" s="146" t="str">
        <f>IFERROR(IF(Data_Assessment[[#This Row],[IPP (3 YEARS AVERAGE)]]="","(IPP Belum Ada)",IF(Data_Assessment[[#This Row],[IPP (3 YEARS AVERAGE)]]&lt;2,'9 Grid'!$F$2,IF(Data_Assessment[[#This Row],[IPP (3 YEARS AVERAGE)]]&gt;=4,'9 Grid'!$D$2,'9 Grid'!$E$2))),"")</f>
        <v>Fully Competence Performance</v>
      </c>
      <c r="J571" s="146" t="str">
        <f ca="1">IFERROR(INDEX('9 Grid'!$D$4:$F$6,MATCH('Rekomendasi HAV'!H571,'9 Grid'!$B$4:$B$6,0),MATCH('Rekomendasi HAV'!I571,'9 Grid'!$D$2:$F$2,0)),"")</f>
        <v/>
      </c>
      <c r="K571" s="146" t="str">
        <f>IFERROR(INDEX('9 Grid'!$D$8:$F$8,1,MATCH('Rekomendasi HAV'!I571,'9 Grid'!$D$2:$F$2,0)),"")</f>
        <v>(ST) Within 12 - 18 month</v>
      </c>
      <c r="L571" s="146">
        <f>IF(ISNUMBER(SEARCH("EST",Assessment[[#This Row],[JOB TARGET]])),SUBSTITUTE(Assessment[[#This Row],[JOB TARGET]],"EST","DEV"),Assessment[[#This Row],[JOB TARGET]])</f>
        <v>0</v>
      </c>
      <c r="M571" s="146" t="str" cm="1">
        <f t="array" aca="1" ref="M571" ca="1">IF(Assessment[[#This Row],[JOB TARGET]]="","Job Target Kosong",IF(COUNT(IF('Data Assessment'!$N571:$Z571-OFFSET(Standar!$B$2,MATCH(Assessment[[#This Row],[JOB TARGET
(DEV)]],Standar[NAMA JABATAN],0)-1,1,1,13)&lt;0,1,""))&lt;=3,'9 Grid'!$B$4,IF(COUNT(IF('Data Assessment'!$N571:$Z571-OFFSET(Standar!$B$2,MATCH(Assessment[[#This Row],[JOB TARGET
(DEV)]],Standar[NAMA JABATAN],0)-1,1,1,13)&lt;0,1,""))&gt;=7,'9 Grid'!$B$6,'9 Grid'!$B$5)))</f>
        <v>Job Target Kosong</v>
      </c>
      <c r="N571" s="146" t="str">
        <f>IFERROR(IF(Data_Assessment[[#This Row],[IPP (3 YEARS AVERAGE)]]="","(IPP Belum Ada)",IF(Data_Assessment[[#This Row],[IPP (3 YEARS AVERAGE)]]&lt;2,'9 Grid'!$F$2,IF(Data_Assessment[[#This Row],[IPP (3 YEARS AVERAGE)]]&gt;=4,'9 Grid'!$D$2,'9 Grid'!$E$2))),"")</f>
        <v>Fully Competence Performance</v>
      </c>
      <c r="O571" s="146" t="str">
        <f ca="1">IFERROR(INDEX('9 Grid'!$D$4:$F$6,MATCH('Rekomendasi HAV'!M571,'9 Grid'!$B$4:$B$6,0),MATCH('Rekomendasi HAV'!N571,'9 Grid'!$D$2:$F$2,0)),"")</f>
        <v/>
      </c>
      <c r="P571" s="147" t="str">
        <f>IFERROR(INDEX('9 Grid'!$D$8:$F$8,1,MATCH('Rekomendasi HAV'!N571,'9 Grid'!$D$2:$F$2,0)),"")</f>
        <v>(ST) Within 12 - 18 month</v>
      </c>
    </row>
    <row r="572" spans="1:16" ht="14.25">
      <c r="A572" s="67">
        <v>571</v>
      </c>
      <c r="B572" s="68" t="str">
        <f>INDEX(Data_Assessment[],MATCH('Rekomendasi HAV'!$A572,Data_Assessment[[INDEX]:[INDEX]],0),MATCH('Rekomendasi HAV'!B$1,Data_Assessment[#Headers],0))</f>
        <v>Rangkuti Simanjuntak</v>
      </c>
      <c r="C572" s="68" t="str">
        <f>INDEX(Data_Assessment[],MATCH('Rekomendasi HAV'!$A572,Data_Assessment[[INDEX]:[INDEX]],0),MATCH('Rekomendasi HAV'!C$1,Data_Assessment[#Headers],0))</f>
        <v>Sumatera Utara</v>
      </c>
      <c r="D572" s="68" t="str">
        <f>INDEX(Data_Assessment[],MATCH('Rekomendasi HAV'!$A572,Data_Assessment[[INDEX]:[INDEX]],0),MATCH('Rekomendasi HAV'!D$1,Data_Assessment[#Headers],0))</f>
        <v>LSIP - Gunung Malayu Palm Oil Mill</v>
      </c>
      <c r="E572" s="68">
        <f>INDEX(Data_Assessment[],MATCH('Rekomendasi HAV'!$B572,Data_Assessment[[NAME]:[NAME]],0),MATCH('Rekomendasi HAV'!E$1,Data_Assessment[#Headers],0))</f>
        <v>0</v>
      </c>
      <c r="F572" s="68"/>
      <c r="G572" s="68">
        <f>IF(ISNUMBER(SEARCH("DEV",Assessment[[#This Row],[JOB TARGET]])),SUBSTITUTE(Assessment[[#This Row],[JOB TARGET]],"DEV","EST"),Assessment[[#This Row],[JOB TARGET]])</f>
        <v>0</v>
      </c>
      <c r="H572" s="146" t="str" cm="1">
        <f t="array" aca="1" ref="H572" ca="1">IF(Assessment[[#This Row],[JOB TARGET]]="","Job Target Kosong",IF(COUNT(IF('Data Assessment'!$N572:$Z572-OFFSET(Standar!$B$2,MATCH(Assessment[[#This Row],[JOB TARGET
(EST)]],Standar[NAMA JABATAN],0)-1,1,1,13)&lt;0,1,""))&lt;=3,'9 Grid'!$B$4,IF(COUNT(IF('Data Assessment'!$N572:$Z572-OFFSET(Standar!$B$2,MATCH(Assessment[[#This Row],[JOB TARGET]],Standar[NAMA JABATAN],0)-1,1,1,13)&lt;0,1,""))&gt;=7,'9 Grid'!$B$6,'9 Grid'!$B$5)))</f>
        <v>Job Target Kosong</v>
      </c>
      <c r="I572" s="146" t="str">
        <f>IFERROR(IF(Data_Assessment[[#This Row],[IPP (3 YEARS AVERAGE)]]="","(IPP Belum Ada)",IF(Data_Assessment[[#This Row],[IPP (3 YEARS AVERAGE)]]&lt;2,'9 Grid'!$F$2,IF(Data_Assessment[[#This Row],[IPP (3 YEARS AVERAGE)]]&gt;=4,'9 Grid'!$D$2,'9 Grid'!$E$2))),"")</f>
        <v>Exceptional Performance</v>
      </c>
      <c r="J572" s="146" t="str">
        <f ca="1">IFERROR(INDEX('9 Grid'!$D$4:$F$6,MATCH('Rekomendasi HAV'!H572,'9 Grid'!$B$4:$B$6,0),MATCH('Rekomendasi HAV'!I572,'9 Grid'!$D$2:$F$2,0)),"")</f>
        <v/>
      </c>
      <c r="K572" s="146" t="str">
        <f>IFERROR(INDEX('9 Grid'!$D$8:$F$8,1,MATCH('Rekomendasi HAV'!I572,'9 Grid'!$D$2:$F$2,0)),"")</f>
        <v>(I) Immediately</v>
      </c>
      <c r="L572" s="146">
        <f>IF(ISNUMBER(SEARCH("EST",Assessment[[#This Row],[JOB TARGET]])),SUBSTITUTE(Assessment[[#This Row],[JOB TARGET]],"EST","DEV"),Assessment[[#This Row],[JOB TARGET]])</f>
        <v>0</v>
      </c>
      <c r="M572" s="146" t="str" cm="1">
        <f t="array" aca="1" ref="M572" ca="1">IF(Assessment[[#This Row],[JOB TARGET]]="","Job Target Kosong",IF(COUNT(IF('Data Assessment'!$N572:$Z572-OFFSET(Standar!$B$2,MATCH(Assessment[[#This Row],[JOB TARGET
(DEV)]],Standar[NAMA JABATAN],0)-1,1,1,13)&lt;0,1,""))&lt;=3,'9 Grid'!$B$4,IF(COUNT(IF('Data Assessment'!$N572:$Z572-OFFSET(Standar!$B$2,MATCH(Assessment[[#This Row],[JOB TARGET
(DEV)]],Standar[NAMA JABATAN],0)-1,1,1,13)&lt;0,1,""))&gt;=7,'9 Grid'!$B$6,'9 Grid'!$B$5)))</f>
        <v>Job Target Kosong</v>
      </c>
      <c r="N572" s="146" t="str">
        <f>IFERROR(IF(Data_Assessment[[#This Row],[IPP (3 YEARS AVERAGE)]]="","(IPP Belum Ada)",IF(Data_Assessment[[#This Row],[IPP (3 YEARS AVERAGE)]]&lt;2,'9 Grid'!$F$2,IF(Data_Assessment[[#This Row],[IPP (3 YEARS AVERAGE)]]&gt;=4,'9 Grid'!$D$2,'9 Grid'!$E$2))),"")</f>
        <v>Exceptional Performance</v>
      </c>
      <c r="O572" s="146" t="str">
        <f ca="1">IFERROR(INDEX('9 Grid'!$D$4:$F$6,MATCH('Rekomendasi HAV'!M572,'9 Grid'!$B$4:$B$6,0),MATCH('Rekomendasi HAV'!N572,'9 Grid'!$D$2:$F$2,0)),"")</f>
        <v/>
      </c>
      <c r="P572" s="147" t="str">
        <f>IFERROR(INDEX('9 Grid'!$D$8:$F$8,1,MATCH('Rekomendasi HAV'!N572,'9 Grid'!$D$2:$F$2,0)),"")</f>
        <v>(I) Immediately</v>
      </c>
    </row>
    <row r="573" spans="1:16" ht="14.25">
      <c r="A573" s="67">
        <v>572</v>
      </c>
      <c r="B573" s="68" t="str">
        <f>INDEX(Data_Assessment[],MATCH('Rekomendasi HAV'!$A573,Data_Assessment[[INDEX]:[INDEX]],0),MATCH('Rekomendasi HAV'!B$1,Data_Assessment[#Headers],0))</f>
        <v>Hariyadi</v>
      </c>
      <c r="C573" s="68" t="str">
        <f>INDEX(Data_Assessment[],MATCH('Rekomendasi HAV'!$A573,Data_Assessment[[INDEX]:[INDEX]],0),MATCH('Rekomendasi HAV'!C$1,Data_Assessment[#Headers],0))</f>
        <v>Sumatera Utara</v>
      </c>
      <c r="D573" s="68" t="str">
        <f>INDEX(Data_Assessment[],MATCH('Rekomendasi HAV'!$A573,Data_Assessment[[INDEX]:[INDEX]],0),MATCH('Rekomendasi HAV'!D$1,Data_Assessment[#Headers],0))</f>
        <v>LSIP - Gunung Malayu Palm Oil Mill</v>
      </c>
      <c r="E573" s="68">
        <f>INDEX(Data_Assessment[],MATCH('Rekomendasi HAV'!$B573,Data_Assessment[[NAME]:[NAME]],0),MATCH('Rekomendasi HAV'!E$1,Data_Assessment[#Headers],0))</f>
        <v>0</v>
      </c>
      <c r="F573" s="68"/>
      <c r="G573" s="68">
        <f>IF(ISNUMBER(SEARCH("DEV",Assessment[[#This Row],[JOB TARGET]])),SUBSTITUTE(Assessment[[#This Row],[JOB TARGET]],"DEV","EST"),Assessment[[#This Row],[JOB TARGET]])</f>
        <v>0</v>
      </c>
      <c r="H573" s="146" t="str" cm="1">
        <f t="array" aca="1" ref="H573" ca="1">IF(Assessment[[#This Row],[JOB TARGET]]="","Job Target Kosong",IF(COUNT(IF('Data Assessment'!$N573:$Z573-OFFSET(Standar!$B$2,MATCH(Assessment[[#This Row],[JOB TARGET
(EST)]],Standar[NAMA JABATAN],0)-1,1,1,13)&lt;0,1,""))&lt;=3,'9 Grid'!$B$4,IF(COUNT(IF('Data Assessment'!$N573:$Z573-OFFSET(Standar!$B$2,MATCH(Assessment[[#This Row],[JOB TARGET]],Standar[NAMA JABATAN],0)-1,1,1,13)&lt;0,1,""))&gt;=7,'9 Grid'!$B$6,'9 Grid'!$B$5)))</f>
        <v>Job Target Kosong</v>
      </c>
      <c r="I573" s="146" t="str">
        <f>IFERROR(IF(Data_Assessment[[#This Row],[IPP (3 YEARS AVERAGE)]]="","(IPP Belum Ada)",IF(Data_Assessment[[#This Row],[IPP (3 YEARS AVERAGE)]]&lt;2,'9 Grid'!$F$2,IF(Data_Assessment[[#This Row],[IPP (3 YEARS AVERAGE)]]&gt;=4,'9 Grid'!$D$2,'9 Grid'!$E$2))),"")</f>
        <v>Exceptional Performance</v>
      </c>
      <c r="J573" s="146" t="str">
        <f ca="1">IFERROR(INDEX('9 Grid'!$D$4:$F$6,MATCH('Rekomendasi HAV'!H573,'9 Grid'!$B$4:$B$6,0),MATCH('Rekomendasi HAV'!I573,'9 Grid'!$D$2:$F$2,0)),"")</f>
        <v/>
      </c>
      <c r="K573" s="146" t="str">
        <f>IFERROR(INDEX('9 Grid'!$D$8:$F$8,1,MATCH('Rekomendasi HAV'!I573,'9 Grid'!$D$2:$F$2,0)),"")</f>
        <v>(I) Immediately</v>
      </c>
      <c r="L573" s="146">
        <f>IF(ISNUMBER(SEARCH("EST",Assessment[[#This Row],[JOB TARGET]])),SUBSTITUTE(Assessment[[#This Row],[JOB TARGET]],"EST","DEV"),Assessment[[#This Row],[JOB TARGET]])</f>
        <v>0</v>
      </c>
      <c r="M573" s="146" t="str" cm="1">
        <f t="array" aca="1" ref="M573" ca="1">IF(Assessment[[#This Row],[JOB TARGET]]="","Job Target Kosong",IF(COUNT(IF('Data Assessment'!$N573:$Z573-OFFSET(Standar!$B$2,MATCH(Assessment[[#This Row],[JOB TARGET
(DEV)]],Standar[NAMA JABATAN],0)-1,1,1,13)&lt;0,1,""))&lt;=3,'9 Grid'!$B$4,IF(COUNT(IF('Data Assessment'!$N573:$Z573-OFFSET(Standar!$B$2,MATCH(Assessment[[#This Row],[JOB TARGET
(DEV)]],Standar[NAMA JABATAN],0)-1,1,1,13)&lt;0,1,""))&gt;=7,'9 Grid'!$B$6,'9 Grid'!$B$5)))</f>
        <v>Job Target Kosong</v>
      </c>
      <c r="N573" s="146" t="str">
        <f>IFERROR(IF(Data_Assessment[[#This Row],[IPP (3 YEARS AVERAGE)]]="","(IPP Belum Ada)",IF(Data_Assessment[[#This Row],[IPP (3 YEARS AVERAGE)]]&lt;2,'9 Grid'!$F$2,IF(Data_Assessment[[#This Row],[IPP (3 YEARS AVERAGE)]]&gt;=4,'9 Grid'!$D$2,'9 Grid'!$E$2))),"")</f>
        <v>Exceptional Performance</v>
      </c>
      <c r="O573" s="146" t="str">
        <f ca="1">IFERROR(INDEX('9 Grid'!$D$4:$F$6,MATCH('Rekomendasi HAV'!M573,'9 Grid'!$B$4:$B$6,0),MATCH('Rekomendasi HAV'!N573,'9 Grid'!$D$2:$F$2,0)),"")</f>
        <v/>
      </c>
      <c r="P573" s="147" t="str">
        <f>IFERROR(INDEX('9 Grid'!$D$8:$F$8,1,MATCH('Rekomendasi HAV'!N573,'9 Grid'!$D$2:$F$2,0)),"")</f>
        <v>(I) Immediately</v>
      </c>
    </row>
    <row r="574" spans="1:16" ht="14.25">
      <c r="A574" s="67">
        <v>573</v>
      </c>
      <c r="B574" s="68" t="str">
        <f>INDEX(Data_Assessment[],MATCH('Rekomendasi HAV'!$A574,Data_Assessment[[INDEX]:[INDEX]],0),MATCH('Rekomendasi HAV'!B$1,Data_Assessment[#Headers],0))</f>
        <v>Hadi Siswanto, Ir.</v>
      </c>
      <c r="C574" s="68" t="str">
        <f>INDEX(Data_Assessment[],MATCH('Rekomendasi HAV'!$A574,Data_Assessment[[INDEX]:[INDEX]],0),MATCH('Rekomendasi HAV'!C$1,Data_Assessment[#Headers],0))</f>
        <v>Sumatera Utara</v>
      </c>
      <c r="D574" s="68" t="str">
        <f>INDEX(Data_Assessment[],MATCH('Rekomendasi HAV'!$A574,Data_Assessment[[INDEX]:[INDEX]],0),MATCH('Rekomendasi HAV'!D$1,Data_Assessment[#Headers],0))</f>
        <v>LSIP - Gunung Malayu Estate</v>
      </c>
      <c r="E574" s="68">
        <f>INDEX(Data_Assessment[],MATCH('Rekomendasi HAV'!$B574,Data_Assessment[[NAME]:[NAME]],0),MATCH('Rekomendasi HAV'!E$1,Data_Assessment[#Headers],0))</f>
        <v>0</v>
      </c>
      <c r="F574" s="68"/>
      <c r="G574" s="68">
        <f>IF(ISNUMBER(SEARCH("DEV",Assessment[[#This Row],[JOB TARGET]])),SUBSTITUTE(Assessment[[#This Row],[JOB TARGET]],"DEV","EST"),Assessment[[#This Row],[JOB TARGET]])</f>
        <v>0</v>
      </c>
      <c r="H574" s="146" t="str" cm="1">
        <f t="array" aca="1" ref="H574" ca="1">IF(Assessment[[#This Row],[JOB TARGET]]="","Job Target Kosong",IF(COUNT(IF('Data Assessment'!$N574:$Z574-OFFSET(Standar!$B$2,MATCH(Assessment[[#This Row],[JOB TARGET
(EST)]],Standar[NAMA JABATAN],0)-1,1,1,13)&lt;0,1,""))&lt;=3,'9 Grid'!$B$4,IF(COUNT(IF('Data Assessment'!$N574:$Z574-OFFSET(Standar!$B$2,MATCH(Assessment[[#This Row],[JOB TARGET]],Standar[NAMA JABATAN],0)-1,1,1,13)&lt;0,1,""))&gt;=7,'9 Grid'!$B$6,'9 Grid'!$B$5)))</f>
        <v>Job Target Kosong</v>
      </c>
      <c r="I574" s="146" t="str">
        <f>IFERROR(IF(Data_Assessment[[#This Row],[IPP (3 YEARS AVERAGE)]]="","(IPP Belum Ada)",IF(Data_Assessment[[#This Row],[IPP (3 YEARS AVERAGE)]]&lt;2,'9 Grid'!$F$2,IF(Data_Assessment[[#This Row],[IPP (3 YEARS AVERAGE)]]&gt;=4,'9 Grid'!$D$2,'9 Grid'!$E$2))),"")</f>
        <v>Exceptional Performance</v>
      </c>
      <c r="J574" s="146" t="str">
        <f ca="1">IFERROR(INDEX('9 Grid'!$D$4:$F$6,MATCH('Rekomendasi HAV'!H574,'9 Grid'!$B$4:$B$6,0),MATCH('Rekomendasi HAV'!I574,'9 Grid'!$D$2:$F$2,0)),"")</f>
        <v/>
      </c>
      <c r="K574" s="146" t="str">
        <f>IFERROR(INDEX('9 Grid'!$D$8:$F$8,1,MATCH('Rekomendasi HAV'!I574,'9 Grid'!$D$2:$F$2,0)),"")</f>
        <v>(I) Immediately</v>
      </c>
      <c r="L574" s="146">
        <f>IF(ISNUMBER(SEARCH("EST",Assessment[[#This Row],[JOB TARGET]])),SUBSTITUTE(Assessment[[#This Row],[JOB TARGET]],"EST","DEV"),Assessment[[#This Row],[JOB TARGET]])</f>
        <v>0</v>
      </c>
      <c r="M574" s="146" t="str" cm="1">
        <f t="array" aca="1" ref="M574" ca="1">IF(Assessment[[#This Row],[JOB TARGET]]="","Job Target Kosong",IF(COUNT(IF('Data Assessment'!$N574:$Z574-OFFSET(Standar!$B$2,MATCH(Assessment[[#This Row],[JOB TARGET
(DEV)]],Standar[NAMA JABATAN],0)-1,1,1,13)&lt;0,1,""))&lt;=3,'9 Grid'!$B$4,IF(COUNT(IF('Data Assessment'!$N574:$Z574-OFFSET(Standar!$B$2,MATCH(Assessment[[#This Row],[JOB TARGET
(DEV)]],Standar[NAMA JABATAN],0)-1,1,1,13)&lt;0,1,""))&gt;=7,'9 Grid'!$B$6,'9 Grid'!$B$5)))</f>
        <v>Job Target Kosong</v>
      </c>
      <c r="N574" s="146" t="str">
        <f>IFERROR(IF(Data_Assessment[[#This Row],[IPP (3 YEARS AVERAGE)]]="","(IPP Belum Ada)",IF(Data_Assessment[[#This Row],[IPP (3 YEARS AVERAGE)]]&lt;2,'9 Grid'!$F$2,IF(Data_Assessment[[#This Row],[IPP (3 YEARS AVERAGE)]]&gt;=4,'9 Grid'!$D$2,'9 Grid'!$E$2))),"")</f>
        <v>Exceptional Performance</v>
      </c>
      <c r="O574" s="146" t="str">
        <f ca="1">IFERROR(INDEX('9 Grid'!$D$4:$F$6,MATCH('Rekomendasi HAV'!M574,'9 Grid'!$B$4:$B$6,0),MATCH('Rekomendasi HAV'!N574,'9 Grid'!$D$2:$F$2,0)),"")</f>
        <v/>
      </c>
      <c r="P574" s="147" t="str">
        <f>IFERROR(INDEX('9 Grid'!$D$8:$F$8,1,MATCH('Rekomendasi HAV'!N574,'9 Grid'!$D$2:$F$2,0)),"")</f>
        <v>(I) Immediately</v>
      </c>
    </row>
    <row r="575" spans="1:16" ht="28.5">
      <c r="A575" s="67">
        <v>574</v>
      </c>
      <c r="B575" s="68" t="str">
        <f>INDEX(Data_Assessment[],MATCH('Rekomendasi HAV'!$A575,Data_Assessment[[INDEX]:[INDEX]],0),MATCH('Rekomendasi HAV'!B$1,Data_Assessment[#Headers],0))</f>
        <v>Irvan Tanjung S.T.</v>
      </c>
      <c r="C575" s="68" t="str">
        <f>INDEX(Data_Assessment[],MATCH('Rekomendasi HAV'!$A575,Data_Assessment[[INDEX]:[INDEX]],0),MATCH('Rekomendasi HAV'!C$1,Data_Assessment[#Headers],0))</f>
        <v>Sumatera Utara</v>
      </c>
      <c r="D575" s="68" t="str">
        <f>INDEX(Data_Assessment[],MATCH('Rekomendasi HAV'!$A575,Data_Assessment[[INDEX]:[INDEX]],0),MATCH('Rekomendasi HAV'!D$1,Data_Assessment[#Headers],0))</f>
        <v>LSIP - Gunung Malayu Palm Oil Mill</v>
      </c>
      <c r="E575" s="68">
        <f>INDEX(Data_Assessment[],MATCH('Rekomendasi HAV'!$B575,Data_Assessment[[NAME]:[NAME]],0),MATCH('Rekomendasi HAV'!E$1,Data_Assessment[#Headers],0))</f>
        <v>0</v>
      </c>
      <c r="F575" s="68"/>
      <c r="G575" s="68">
        <f>IF(ISNUMBER(SEARCH("DEV",Assessment[[#This Row],[JOB TARGET]])),SUBSTITUTE(Assessment[[#This Row],[JOB TARGET]],"DEV","EST"),Assessment[[#This Row],[JOB TARGET]])</f>
        <v>0</v>
      </c>
      <c r="H575" s="146" t="str" cm="1">
        <f t="array" aca="1" ref="H575" ca="1">IF(Assessment[[#This Row],[JOB TARGET]]="","Job Target Kosong",IF(COUNT(IF('Data Assessment'!$N575:$Z575-OFFSET(Standar!$B$2,MATCH(Assessment[[#This Row],[JOB TARGET
(EST)]],Standar[NAMA JABATAN],0)-1,1,1,13)&lt;0,1,""))&lt;=3,'9 Grid'!$B$4,IF(COUNT(IF('Data Assessment'!$N575:$Z575-OFFSET(Standar!$B$2,MATCH(Assessment[[#This Row],[JOB TARGET]],Standar[NAMA JABATAN],0)-1,1,1,13)&lt;0,1,""))&gt;=7,'9 Grid'!$B$6,'9 Grid'!$B$5)))</f>
        <v>Job Target Kosong</v>
      </c>
      <c r="I575" s="146" t="str">
        <f>IFERROR(IF(Data_Assessment[[#This Row],[IPP (3 YEARS AVERAGE)]]="","(IPP Belum Ada)",IF(Data_Assessment[[#This Row],[IPP (3 YEARS AVERAGE)]]&lt;2,'9 Grid'!$F$2,IF(Data_Assessment[[#This Row],[IPP (3 YEARS AVERAGE)]]&gt;=4,'9 Grid'!$D$2,'9 Grid'!$E$2))),"")</f>
        <v>Fully Competence Performance</v>
      </c>
      <c r="J575" s="146" t="str">
        <f ca="1">IFERROR(INDEX('9 Grid'!$D$4:$F$6,MATCH('Rekomendasi HAV'!H575,'9 Grid'!$B$4:$B$6,0),MATCH('Rekomendasi HAV'!I575,'9 Grid'!$D$2:$F$2,0)),"")</f>
        <v/>
      </c>
      <c r="K575" s="146" t="str">
        <f>IFERROR(INDEX('9 Grid'!$D$8:$F$8,1,MATCH('Rekomendasi HAV'!I575,'9 Grid'!$D$2:$F$2,0)),"")</f>
        <v>(ST) Within 12 - 18 month</v>
      </c>
      <c r="L575" s="146">
        <f>IF(ISNUMBER(SEARCH("EST",Assessment[[#This Row],[JOB TARGET]])),SUBSTITUTE(Assessment[[#This Row],[JOB TARGET]],"EST","DEV"),Assessment[[#This Row],[JOB TARGET]])</f>
        <v>0</v>
      </c>
      <c r="M575" s="146" t="str" cm="1">
        <f t="array" aca="1" ref="M575" ca="1">IF(Assessment[[#This Row],[JOB TARGET]]="","Job Target Kosong",IF(COUNT(IF('Data Assessment'!$N575:$Z575-OFFSET(Standar!$B$2,MATCH(Assessment[[#This Row],[JOB TARGET
(DEV)]],Standar[NAMA JABATAN],0)-1,1,1,13)&lt;0,1,""))&lt;=3,'9 Grid'!$B$4,IF(COUNT(IF('Data Assessment'!$N575:$Z575-OFFSET(Standar!$B$2,MATCH(Assessment[[#This Row],[JOB TARGET
(DEV)]],Standar[NAMA JABATAN],0)-1,1,1,13)&lt;0,1,""))&gt;=7,'9 Grid'!$B$6,'9 Grid'!$B$5)))</f>
        <v>Job Target Kosong</v>
      </c>
      <c r="N575" s="146" t="str">
        <f>IFERROR(IF(Data_Assessment[[#This Row],[IPP (3 YEARS AVERAGE)]]="","(IPP Belum Ada)",IF(Data_Assessment[[#This Row],[IPP (3 YEARS AVERAGE)]]&lt;2,'9 Grid'!$F$2,IF(Data_Assessment[[#This Row],[IPP (3 YEARS AVERAGE)]]&gt;=4,'9 Grid'!$D$2,'9 Grid'!$E$2))),"")</f>
        <v>Fully Competence Performance</v>
      </c>
      <c r="O575" s="146" t="str">
        <f ca="1">IFERROR(INDEX('9 Grid'!$D$4:$F$6,MATCH('Rekomendasi HAV'!M575,'9 Grid'!$B$4:$B$6,0),MATCH('Rekomendasi HAV'!N575,'9 Grid'!$D$2:$F$2,0)),"")</f>
        <v/>
      </c>
      <c r="P575" s="147" t="str">
        <f>IFERROR(INDEX('9 Grid'!$D$8:$F$8,1,MATCH('Rekomendasi HAV'!N575,'9 Grid'!$D$2:$F$2,0)),"")</f>
        <v>(ST) Within 12 - 18 month</v>
      </c>
    </row>
    <row r="576" spans="1:16" ht="28.5">
      <c r="A576" s="67">
        <v>575</v>
      </c>
      <c r="B576" s="68" t="str">
        <f>INDEX(Data_Assessment[],MATCH('Rekomendasi HAV'!$A576,Data_Assessment[[INDEX]:[INDEX]],0),MATCH('Rekomendasi HAV'!B$1,Data_Assessment[#Headers],0))</f>
        <v>Nurhadi Masnur, SP</v>
      </c>
      <c r="C576" s="68" t="str">
        <f>INDEX(Data_Assessment[],MATCH('Rekomendasi HAV'!$A576,Data_Assessment[[INDEX]:[INDEX]],0),MATCH('Rekomendasi HAV'!C$1,Data_Assessment[#Headers],0))</f>
        <v>Sumatera Utara</v>
      </c>
      <c r="D576" s="68" t="str">
        <f>INDEX(Data_Assessment[],MATCH('Rekomendasi HAV'!$A576,Data_Assessment[[INDEX]:[INDEX]],0),MATCH('Rekomendasi HAV'!D$1,Data_Assessment[#Headers],0))</f>
        <v>LSIP - Gunung Malayu Estate</v>
      </c>
      <c r="E576" s="68">
        <f>INDEX(Data_Assessment[],MATCH('Rekomendasi HAV'!$B576,Data_Assessment[[NAME]:[NAME]],0),MATCH('Rekomendasi HAV'!E$1,Data_Assessment[#Headers],0))</f>
        <v>0</v>
      </c>
      <c r="F576" s="68"/>
      <c r="G576" s="68">
        <f>IF(ISNUMBER(SEARCH("DEV",Assessment[[#This Row],[JOB TARGET]])),SUBSTITUTE(Assessment[[#This Row],[JOB TARGET]],"DEV","EST"),Assessment[[#This Row],[JOB TARGET]])</f>
        <v>0</v>
      </c>
      <c r="H576" s="146" t="str" cm="1">
        <f t="array" aca="1" ref="H576" ca="1">IF(Assessment[[#This Row],[JOB TARGET]]="","Job Target Kosong",IF(COUNT(IF('Data Assessment'!$N576:$Z576-OFFSET(Standar!$B$2,MATCH(Assessment[[#This Row],[JOB TARGET
(EST)]],Standar[NAMA JABATAN],0)-1,1,1,13)&lt;0,1,""))&lt;=3,'9 Grid'!$B$4,IF(COUNT(IF('Data Assessment'!$N576:$Z576-OFFSET(Standar!$B$2,MATCH(Assessment[[#This Row],[JOB TARGET]],Standar[NAMA JABATAN],0)-1,1,1,13)&lt;0,1,""))&gt;=7,'9 Grid'!$B$6,'9 Grid'!$B$5)))</f>
        <v>Job Target Kosong</v>
      </c>
      <c r="I576" s="146" t="str">
        <f>IFERROR(IF(Data_Assessment[[#This Row],[IPP (3 YEARS AVERAGE)]]="","(IPP Belum Ada)",IF(Data_Assessment[[#This Row],[IPP (3 YEARS AVERAGE)]]&lt;2,'9 Grid'!$F$2,IF(Data_Assessment[[#This Row],[IPP (3 YEARS AVERAGE)]]&gt;=4,'9 Grid'!$D$2,'9 Grid'!$E$2))),"")</f>
        <v>Fully Competence Performance</v>
      </c>
      <c r="J576" s="146" t="str">
        <f ca="1">IFERROR(INDEX('9 Grid'!$D$4:$F$6,MATCH('Rekomendasi HAV'!H576,'9 Grid'!$B$4:$B$6,0),MATCH('Rekomendasi HAV'!I576,'9 Grid'!$D$2:$F$2,0)),"")</f>
        <v/>
      </c>
      <c r="K576" s="146" t="str">
        <f>IFERROR(INDEX('9 Grid'!$D$8:$F$8,1,MATCH('Rekomendasi HAV'!I576,'9 Grid'!$D$2:$F$2,0)),"")</f>
        <v>(ST) Within 12 - 18 month</v>
      </c>
      <c r="L576" s="146">
        <f>IF(ISNUMBER(SEARCH("EST",Assessment[[#This Row],[JOB TARGET]])),SUBSTITUTE(Assessment[[#This Row],[JOB TARGET]],"EST","DEV"),Assessment[[#This Row],[JOB TARGET]])</f>
        <v>0</v>
      </c>
      <c r="M576" s="146" t="str" cm="1">
        <f t="array" aca="1" ref="M576" ca="1">IF(Assessment[[#This Row],[JOB TARGET]]="","Job Target Kosong",IF(COUNT(IF('Data Assessment'!$N576:$Z576-OFFSET(Standar!$B$2,MATCH(Assessment[[#This Row],[JOB TARGET
(DEV)]],Standar[NAMA JABATAN],0)-1,1,1,13)&lt;0,1,""))&lt;=3,'9 Grid'!$B$4,IF(COUNT(IF('Data Assessment'!$N576:$Z576-OFFSET(Standar!$B$2,MATCH(Assessment[[#This Row],[JOB TARGET
(DEV)]],Standar[NAMA JABATAN],0)-1,1,1,13)&lt;0,1,""))&gt;=7,'9 Grid'!$B$6,'9 Grid'!$B$5)))</f>
        <v>Job Target Kosong</v>
      </c>
      <c r="N576" s="146" t="str">
        <f>IFERROR(IF(Data_Assessment[[#This Row],[IPP (3 YEARS AVERAGE)]]="","(IPP Belum Ada)",IF(Data_Assessment[[#This Row],[IPP (3 YEARS AVERAGE)]]&lt;2,'9 Grid'!$F$2,IF(Data_Assessment[[#This Row],[IPP (3 YEARS AVERAGE)]]&gt;=4,'9 Grid'!$D$2,'9 Grid'!$E$2))),"")</f>
        <v>Fully Competence Performance</v>
      </c>
      <c r="O576" s="146" t="str">
        <f ca="1">IFERROR(INDEX('9 Grid'!$D$4:$F$6,MATCH('Rekomendasi HAV'!M576,'9 Grid'!$B$4:$B$6,0),MATCH('Rekomendasi HAV'!N576,'9 Grid'!$D$2:$F$2,0)),"")</f>
        <v/>
      </c>
      <c r="P576" s="147" t="str">
        <f>IFERROR(INDEX('9 Grid'!$D$8:$F$8,1,MATCH('Rekomendasi HAV'!N576,'9 Grid'!$D$2:$F$2,0)),"")</f>
        <v>(ST) Within 12 - 18 month</v>
      </c>
    </row>
    <row r="577" spans="1:16" ht="28.5">
      <c r="A577" s="67">
        <v>576</v>
      </c>
      <c r="B577" s="68" t="str">
        <f>INDEX(Data_Assessment[],MATCH('Rekomendasi HAV'!$A577,Data_Assessment[[INDEX]:[INDEX]],0),MATCH('Rekomendasi HAV'!B$1,Data_Assessment[#Headers],0))</f>
        <v>M. Rifai</v>
      </c>
      <c r="C577" s="68" t="str">
        <f>INDEX(Data_Assessment[],MATCH('Rekomendasi HAV'!$A577,Data_Assessment[[INDEX]:[INDEX]],0),MATCH('Rekomendasi HAV'!C$1,Data_Assessment[#Headers],0))</f>
        <v>Sumatera Utara</v>
      </c>
      <c r="D577" s="68" t="str">
        <f>INDEX(Data_Assessment[],MATCH('Rekomendasi HAV'!$A577,Data_Assessment[[INDEX]:[INDEX]],0),MATCH('Rekomendasi HAV'!D$1,Data_Assessment[#Headers],0))</f>
        <v>LSIP - Sei Rumbiya Rubber Factory</v>
      </c>
      <c r="E577" s="68">
        <f>INDEX(Data_Assessment[],MATCH('Rekomendasi HAV'!$B577,Data_Assessment[[NAME]:[NAME]],0),MATCH('Rekomendasi HAV'!E$1,Data_Assessment[#Headers],0))</f>
        <v>0</v>
      </c>
      <c r="F577" s="68"/>
      <c r="G577" s="68">
        <f>IF(ISNUMBER(SEARCH("DEV",Assessment[[#This Row],[JOB TARGET]])),SUBSTITUTE(Assessment[[#This Row],[JOB TARGET]],"DEV","EST"),Assessment[[#This Row],[JOB TARGET]])</f>
        <v>0</v>
      </c>
      <c r="H577" s="146" t="str" cm="1">
        <f t="array" aca="1" ref="H577" ca="1">IF(Assessment[[#This Row],[JOB TARGET]]="","Job Target Kosong",IF(COUNT(IF('Data Assessment'!$N577:$Z577-OFFSET(Standar!$B$2,MATCH(Assessment[[#This Row],[JOB TARGET
(EST)]],Standar[NAMA JABATAN],0)-1,1,1,13)&lt;0,1,""))&lt;=3,'9 Grid'!$B$4,IF(COUNT(IF('Data Assessment'!$N577:$Z577-OFFSET(Standar!$B$2,MATCH(Assessment[[#This Row],[JOB TARGET]],Standar[NAMA JABATAN],0)-1,1,1,13)&lt;0,1,""))&gt;=7,'9 Grid'!$B$6,'9 Grid'!$B$5)))</f>
        <v>Job Target Kosong</v>
      </c>
      <c r="I577" s="146" t="str">
        <f>IFERROR(IF(Data_Assessment[[#This Row],[IPP (3 YEARS AVERAGE)]]="","(IPP Belum Ada)",IF(Data_Assessment[[#This Row],[IPP (3 YEARS AVERAGE)]]&lt;2,'9 Grid'!$F$2,IF(Data_Assessment[[#This Row],[IPP (3 YEARS AVERAGE)]]&gt;=4,'9 Grid'!$D$2,'9 Grid'!$E$2))),"")</f>
        <v>Fully Competence Performance</v>
      </c>
      <c r="J577" s="146" t="str">
        <f ca="1">IFERROR(INDEX('9 Grid'!$D$4:$F$6,MATCH('Rekomendasi HAV'!H577,'9 Grid'!$B$4:$B$6,0),MATCH('Rekomendasi HAV'!I577,'9 Grid'!$D$2:$F$2,0)),"")</f>
        <v/>
      </c>
      <c r="K577" s="146" t="str">
        <f>IFERROR(INDEX('9 Grid'!$D$8:$F$8,1,MATCH('Rekomendasi HAV'!I577,'9 Grid'!$D$2:$F$2,0)),"")</f>
        <v>(ST) Within 12 - 18 month</v>
      </c>
      <c r="L577" s="146">
        <f>IF(ISNUMBER(SEARCH("EST",Assessment[[#This Row],[JOB TARGET]])),SUBSTITUTE(Assessment[[#This Row],[JOB TARGET]],"EST","DEV"),Assessment[[#This Row],[JOB TARGET]])</f>
        <v>0</v>
      </c>
      <c r="M577" s="146" t="str" cm="1">
        <f t="array" aca="1" ref="M577" ca="1">IF(Assessment[[#This Row],[JOB TARGET]]="","Job Target Kosong",IF(COUNT(IF('Data Assessment'!$N577:$Z577-OFFSET(Standar!$B$2,MATCH(Assessment[[#This Row],[JOB TARGET
(DEV)]],Standar[NAMA JABATAN],0)-1,1,1,13)&lt;0,1,""))&lt;=3,'9 Grid'!$B$4,IF(COUNT(IF('Data Assessment'!$N577:$Z577-OFFSET(Standar!$B$2,MATCH(Assessment[[#This Row],[JOB TARGET
(DEV)]],Standar[NAMA JABATAN],0)-1,1,1,13)&lt;0,1,""))&gt;=7,'9 Grid'!$B$6,'9 Grid'!$B$5)))</f>
        <v>Job Target Kosong</v>
      </c>
      <c r="N577" s="146" t="str">
        <f>IFERROR(IF(Data_Assessment[[#This Row],[IPP (3 YEARS AVERAGE)]]="","(IPP Belum Ada)",IF(Data_Assessment[[#This Row],[IPP (3 YEARS AVERAGE)]]&lt;2,'9 Grid'!$F$2,IF(Data_Assessment[[#This Row],[IPP (3 YEARS AVERAGE)]]&gt;=4,'9 Grid'!$D$2,'9 Grid'!$E$2))),"")</f>
        <v>Fully Competence Performance</v>
      </c>
      <c r="O577" s="146" t="str">
        <f ca="1">IFERROR(INDEX('9 Grid'!$D$4:$F$6,MATCH('Rekomendasi HAV'!M577,'9 Grid'!$B$4:$B$6,0),MATCH('Rekomendasi HAV'!N577,'9 Grid'!$D$2:$F$2,0)),"")</f>
        <v/>
      </c>
      <c r="P577" s="147" t="str">
        <f>IFERROR(INDEX('9 Grid'!$D$8:$F$8,1,MATCH('Rekomendasi HAV'!N577,'9 Grid'!$D$2:$F$2,0)),"")</f>
        <v>(ST) Within 12 - 18 month</v>
      </c>
    </row>
    <row r="578" spans="1:16" ht="28.5">
      <c r="A578" s="67">
        <v>577</v>
      </c>
      <c r="B578" s="68" t="str">
        <f>INDEX(Data_Assessment[],MATCH('Rekomendasi HAV'!$A578,Data_Assessment[[INDEX]:[INDEX]],0),MATCH('Rekomendasi HAV'!B$1,Data_Assessment[#Headers],0))</f>
        <v>Akhmad Khairi Nasution, Ir.</v>
      </c>
      <c r="C578" s="68" t="str">
        <f>INDEX(Data_Assessment[],MATCH('Rekomendasi HAV'!$A578,Data_Assessment[[INDEX]:[INDEX]],0),MATCH('Rekomendasi HAV'!C$1,Data_Assessment[#Headers],0))</f>
        <v>Sumatera Utara</v>
      </c>
      <c r="D578" s="68" t="str">
        <f>INDEX(Data_Assessment[],MATCH('Rekomendasi HAV'!$A578,Data_Assessment[[INDEX]:[INDEX]],0),MATCH('Rekomendasi HAV'!D$1,Data_Assessment[#Headers],0))</f>
        <v>LSIP - Gunung Malayu Estate</v>
      </c>
      <c r="E578" s="68">
        <f>INDEX(Data_Assessment[],MATCH('Rekomendasi HAV'!$B578,Data_Assessment[[NAME]:[NAME]],0),MATCH('Rekomendasi HAV'!E$1,Data_Assessment[#Headers],0))</f>
        <v>0</v>
      </c>
      <c r="F578" s="68"/>
      <c r="G578" s="68">
        <f>IF(ISNUMBER(SEARCH("DEV",Assessment[[#This Row],[JOB TARGET]])),SUBSTITUTE(Assessment[[#This Row],[JOB TARGET]],"DEV","EST"),Assessment[[#This Row],[JOB TARGET]])</f>
        <v>0</v>
      </c>
      <c r="H578" s="146" t="str" cm="1">
        <f t="array" aca="1" ref="H578" ca="1">IF(Assessment[[#This Row],[JOB TARGET]]="","Job Target Kosong",IF(COUNT(IF('Data Assessment'!$N578:$Z578-OFFSET(Standar!$B$2,MATCH(Assessment[[#This Row],[JOB TARGET
(EST)]],Standar[NAMA JABATAN],0)-1,1,1,13)&lt;0,1,""))&lt;=3,'9 Grid'!$B$4,IF(COUNT(IF('Data Assessment'!$N578:$Z578-OFFSET(Standar!$B$2,MATCH(Assessment[[#This Row],[JOB TARGET]],Standar[NAMA JABATAN],0)-1,1,1,13)&lt;0,1,""))&gt;=7,'9 Grid'!$B$6,'9 Grid'!$B$5)))</f>
        <v>Job Target Kosong</v>
      </c>
      <c r="I578" s="146" t="str">
        <f>IFERROR(IF(Data_Assessment[[#This Row],[IPP (3 YEARS AVERAGE)]]="","(IPP Belum Ada)",IF(Data_Assessment[[#This Row],[IPP (3 YEARS AVERAGE)]]&lt;2,'9 Grid'!$F$2,IF(Data_Assessment[[#This Row],[IPP (3 YEARS AVERAGE)]]&gt;=4,'9 Grid'!$D$2,'9 Grid'!$E$2))),"")</f>
        <v>Fully Competence Performance</v>
      </c>
      <c r="J578" s="146" t="str">
        <f ca="1">IFERROR(INDEX('9 Grid'!$D$4:$F$6,MATCH('Rekomendasi HAV'!H578,'9 Grid'!$B$4:$B$6,0),MATCH('Rekomendasi HAV'!I578,'9 Grid'!$D$2:$F$2,0)),"")</f>
        <v/>
      </c>
      <c r="K578" s="146" t="str">
        <f>IFERROR(INDEX('9 Grid'!$D$8:$F$8,1,MATCH('Rekomendasi HAV'!I578,'9 Grid'!$D$2:$F$2,0)),"")</f>
        <v>(ST) Within 12 - 18 month</v>
      </c>
      <c r="L578" s="146">
        <f>IF(ISNUMBER(SEARCH("EST",Assessment[[#This Row],[JOB TARGET]])),SUBSTITUTE(Assessment[[#This Row],[JOB TARGET]],"EST","DEV"),Assessment[[#This Row],[JOB TARGET]])</f>
        <v>0</v>
      </c>
      <c r="M578" s="146" t="str" cm="1">
        <f t="array" aca="1" ref="M578" ca="1">IF(Assessment[[#This Row],[JOB TARGET]]="","Job Target Kosong",IF(COUNT(IF('Data Assessment'!$N578:$Z578-OFFSET(Standar!$B$2,MATCH(Assessment[[#This Row],[JOB TARGET
(DEV)]],Standar[NAMA JABATAN],0)-1,1,1,13)&lt;0,1,""))&lt;=3,'9 Grid'!$B$4,IF(COUNT(IF('Data Assessment'!$N578:$Z578-OFFSET(Standar!$B$2,MATCH(Assessment[[#This Row],[JOB TARGET
(DEV)]],Standar[NAMA JABATAN],0)-1,1,1,13)&lt;0,1,""))&gt;=7,'9 Grid'!$B$6,'9 Grid'!$B$5)))</f>
        <v>Job Target Kosong</v>
      </c>
      <c r="N578" s="146" t="str">
        <f>IFERROR(IF(Data_Assessment[[#This Row],[IPP (3 YEARS AVERAGE)]]="","(IPP Belum Ada)",IF(Data_Assessment[[#This Row],[IPP (3 YEARS AVERAGE)]]&lt;2,'9 Grid'!$F$2,IF(Data_Assessment[[#This Row],[IPP (3 YEARS AVERAGE)]]&gt;=4,'9 Grid'!$D$2,'9 Grid'!$E$2))),"")</f>
        <v>Fully Competence Performance</v>
      </c>
      <c r="O578" s="146" t="str">
        <f ca="1">IFERROR(INDEX('9 Grid'!$D$4:$F$6,MATCH('Rekomendasi HAV'!M578,'9 Grid'!$B$4:$B$6,0),MATCH('Rekomendasi HAV'!N578,'9 Grid'!$D$2:$F$2,0)),"")</f>
        <v/>
      </c>
      <c r="P578" s="147" t="str">
        <f>IFERROR(INDEX('9 Grid'!$D$8:$F$8,1,MATCH('Rekomendasi HAV'!N578,'9 Grid'!$D$2:$F$2,0)),"")</f>
        <v>(ST) Within 12 - 18 month</v>
      </c>
    </row>
    <row r="579" spans="1:16" ht="28.5">
      <c r="A579" s="67">
        <v>578</v>
      </c>
      <c r="B579" s="68" t="str">
        <f>INDEX(Data_Assessment[],MATCH('Rekomendasi HAV'!$A579,Data_Assessment[[INDEX]:[INDEX]],0),MATCH('Rekomendasi HAV'!B$1,Data_Assessment[#Headers],0))</f>
        <v>Efis Syafrijul Pulungan, Ir</v>
      </c>
      <c r="C579" s="68" t="str">
        <f>INDEX(Data_Assessment[],MATCH('Rekomendasi HAV'!$A579,Data_Assessment[[INDEX]:[INDEX]],0),MATCH('Rekomendasi HAV'!C$1,Data_Assessment[#Headers],0))</f>
        <v>Sumatera Selatan</v>
      </c>
      <c r="D579" s="68" t="str">
        <f>INDEX(Data_Assessment[],MATCH('Rekomendasi HAV'!$A579,Data_Assessment[[INDEX]:[INDEX]],0),MATCH('Rekomendasi HAV'!D$1,Data_Assessment[#Headers],0))</f>
        <v>LSIP - Sei Lakitan Palm Oil Mill</v>
      </c>
      <c r="E579" s="68">
        <f>INDEX(Data_Assessment[],MATCH('Rekomendasi HAV'!$B579,Data_Assessment[[NAME]:[NAME]],0),MATCH('Rekomendasi HAV'!E$1,Data_Assessment[#Headers],0))</f>
        <v>0</v>
      </c>
      <c r="F579" s="68"/>
      <c r="G579" s="68">
        <f>IF(ISNUMBER(SEARCH("DEV",Assessment[[#This Row],[JOB TARGET]])),SUBSTITUTE(Assessment[[#This Row],[JOB TARGET]],"DEV","EST"),Assessment[[#This Row],[JOB TARGET]])</f>
        <v>0</v>
      </c>
      <c r="H579" s="146" t="str" cm="1">
        <f t="array" aca="1" ref="H579" ca="1">IF(Assessment[[#This Row],[JOB TARGET]]="","Job Target Kosong",IF(COUNT(IF('Data Assessment'!$N579:$Z579-OFFSET(Standar!$B$2,MATCH(Assessment[[#This Row],[JOB TARGET
(EST)]],Standar[NAMA JABATAN],0)-1,1,1,13)&lt;0,1,""))&lt;=3,'9 Grid'!$B$4,IF(COUNT(IF('Data Assessment'!$N579:$Z579-OFFSET(Standar!$B$2,MATCH(Assessment[[#This Row],[JOB TARGET]],Standar[NAMA JABATAN],0)-1,1,1,13)&lt;0,1,""))&gt;=7,'9 Grid'!$B$6,'9 Grid'!$B$5)))</f>
        <v>Job Target Kosong</v>
      </c>
      <c r="I579" s="146" t="str">
        <f>IFERROR(IF(Data_Assessment[[#This Row],[IPP (3 YEARS AVERAGE)]]="","(IPP Belum Ada)",IF(Data_Assessment[[#This Row],[IPP (3 YEARS AVERAGE)]]&lt;2,'9 Grid'!$F$2,IF(Data_Assessment[[#This Row],[IPP (3 YEARS AVERAGE)]]&gt;=4,'9 Grid'!$D$2,'9 Grid'!$E$2))),"")</f>
        <v>Fully Competence Performance</v>
      </c>
      <c r="J579" s="146" t="str">
        <f ca="1">IFERROR(INDEX('9 Grid'!$D$4:$F$6,MATCH('Rekomendasi HAV'!H579,'9 Grid'!$B$4:$B$6,0),MATCH('Rekomendasi HAV'!I579,'9 Grid'!$D$2:$F$2,0)),"")</f>
        <v/>
      </c>
      <c r="K579" s="146" t="str">
        <f>IFERROR(INDEX('9 Grid'!$D$8:$F$8,1,MATCH('Rekomendasi HAV'!I579,'9 Grid'!$D$2:$F$2,0)),"")</f>
        <v>(ST) Within 12 - 18 month</v>
      </c>
      <c r="L579" s="146">
        <f>IF(ISNUMBER(SEARCH("EST",Assessment[[#This Row],[JOB TARGET]])),SUBSTITUTE(Assessment[[#This Row],[JOB TARGET]],"EST","DEV"),Assessment[[#This Row],[JOB TARGET]])</f>
        <v>0</v>
      </c>
      <c r="M579" s="146" t="str" cm="1">
        <f t="array" aca="1" ref="M579" ca="1">IF(Assessment[[#This Row],[JOB TARGET]]="","Job Target Kosong",IF(COUNT(IF('Data Assessment'!$N579:$Z579-OFFSET(Standar!$B$2,MATCH(Assessment[[#This Row],[JOB TARGET
(DEV)]],Standar[NAMA JABATAN],0)-1,1,1,13)&lt;0,1,""))&lt;=3,'9 Grid'!$B$4,IF(COUNT(IF('Data Assessment'!$N579:$Z579-OFFSET(Standar!$B$2,MATCH(Assessment[[#This Row],[JOB TARGET
(DEV)]],Standar[NAMA JABATAN],0)-1,1,1,13)&lt;0,1,""))&gt;=7,'9 Grid'!$B$6,'9 Grid'!$B$5)))</f>
        <v>Job Target Kosong</v>
      </c>
      <c r="N579" s="146" t="str">
        <f>IFERROR(IF(Data_Assessment[[#This Row],[IPP (3 YEARS AVERAGE)]]="","(IPP Belum Ada)",IF(Data_Assessment[[#This Row],[IPP (3 YEARS AVERAGE)]]&lt;2,'9 Grid'!$F$2,IF(Data_Assessment[[#This Row],[IPP (3 YEARS AVERAGE)]]&gt;=4,'9 Grid'!$D$2,'9 Grid'!$E$2))),"")</f>
        <v>Fully Competence Performance</v>
      </c>
      <c r="O579" s="146" t="str">
        <f ca="1">IFERROR(INDEX('9 Grid'!$D$4:$F$6,MATCH('Rekomendasi HAV'!M579,'9 Grid'!$B$4:$B$6,0),MATCH('Rekomendasi HAV'!N579,'9 Grid'!$D$2:$F$2,0)),"")</f>
        <v/>
      </c>
      <c r="P579" s="147" t="str">
        <f>IFERROR(INDEX('9 Grid'!$D$8:$F$8,1,MATCH('Rekomendasi HAV'!N579,'9 Grid'!$D$2:$F$2,0)),"")</f>
        <v>(ST) Within 12 - 18 month</v>
      </c>
    </row>
    <row r="580" spans="1:16" ht="14.25">
      <c r="A580" s="67">
        <v>579</v>
      </c>
      <c r="B580" s="68" t="str">
        <f>INDEX(Data_Assessment[],MATCH('Rekomendasi HAV'!$A580,Data_Assessment[[INDEX]:[INDEX]],0),MATCH('Rekomendasi HAV'!B$1,Data_Assessment[#Headers],0))</f>
        <v>M. Yamin, ST</v>
      </c>
      <c r="C580" s="68" t="str">
        <f>INDEX(Data_Assessment[],MATCH('Rekomendasi HAV'!$A580,Data_Assessment[[INDEX]:[INDEX]],0),MATCH('Rekomendasi HAV'!C$1,Data_Assessment[#Headers],0))</f>
        <v>Sumatera Selatan</v>
      </c>
      <c r="D580" s="68" t="str">
        <f>INDEX(Data_Assessment[],MATCH('Rekomendasi HAV'!$A580,Data_Assessment[[INDEX]:[INDEX]],0),MATCH('Rekomendasi HAV'!D$1,Data_Assessment[#Headers],0))</f>
        <v>LSIP - Sei Lakitan Palm Oil Mill</v>
      </c>
      <c r="E580" s="68">
        <f>INDEX(Data_Assessment[],MATCH('Rekomendasi HAV'!$B580,Data_Assessment[[NAME]:[NAME]],0),MATCH('Rekomendasi HAV'!E$1,Data_Assessment[#Headers],0))</f>
        <v>0</v>
      </c>
      <c r="F580" s="68"/>
      <c r="G580" s="68">
        <f>IF(ISNUMBER(SEARCH("DEV",Assessment[[#This Row],[JOB TARGET]])),SUBSTITUTE(Assessment[[#This Row],[JOB TARGET]],"DEV","EST"),Assessment[[#This Row],[JOB TARGET]])</f>
        <v>0</v>
      </c>
      <c r="H580" s="146" t="str" cm="1">
        <f t="array" aca="1" ref="H580" ca="1">IF(Assessment[[#This Row],[JOB TARGET]]="","Job Target Kosong",IF(COUNT(IF('Data Assessment'!$N580:$Z580-OFFSET(Standar!$B$2,MATCH(Assessment[[#This Row],[JOB TARGET
(EST)]],Standar[NAMA JABATAN],0)-1,1,1,13)&lt;0,1,""))&lt;=3,'9 Grid'!$B$4,IF(COUNT(IF('Data Assessment'!$N580:$Z580-OFFSET(Standar!$B$2,MATCH(Assessment[[#This Row],[JOB TARGET]],Standar[NAMA JABATAN],0)-1,1,1,13)&lt;0,1,""))&gt;=7,'9 Grid'!$B$6,'9 Grid'!$B$5)))</f>
        <v>Job Target Kosong</v>
      </c>
      <c r="I580" s="146" t="str">
        <f>IFERROR(IF(Data_Assessment[[#This Row],[IPP (3 YEARS AVERAGE)]]="","(IPP Belum Ada)",IF(Data_Assessment[[#This Row],[IPP (3 YEARS AVERAGE)]]&lt;2,'9 Grid'!$F$2,IF(Data_Assessment[[#This Row],[IPP (3 YEARS AVERAGE)]]&gt;=4,'9 Grid'!$D$2,'9 Grid'!$E$2))),"")</f>
        <v>Exceptional Performance</v>
      </c>
      <c r="J580" s="146" t="str">
        <f ca="1">IFERROR(INDEX('9 Grid'!$D$4:$F$6,MATCH('Rekomendasi HAV'!H580,'9 Grid'!$B$4:$B$6,0),MATCH('Rekomendasi HAV'!I580,'9 Grid'!$D$2:$F$2,0)),"")</f>
        <v/>
      </c>
      <c r="K580" s="146" t="str">
        <f>IFERROR(INDEX('9 Grid'!$D$8:$F$8,1,MATCH('Rekomendasi HAV'!I580,'9 Grid'!$D$2:$F$2,0)),"")</f>
        <v>(I) Immediately</v>
      </c>
      <c r="L580" s="146">
        <f>IF(ISNUMBER(SEARCH("EST",Assessment[[#This Row],[JOB TARGET]])),SUBSTITUTE(Assessment[[#This Row],[JOB TARGET]],"EST","DEV"),Assessment[[#This Row],[JOB TARGET]])</f>
        <v>0</v>
      </c>
      <c r="M580" s="146" t="str" cm="1">
        <f t="array" aca="1" ref="M580" ca="1">IF(Assessment[[#This Row],[JOB TARGET]]="","Job Target Kosong",IF(COUNT(IF('Data Assessment'!$N580:$Z580-OFFSET(Standar!$B$2,MATCH(Assessment[[#This Row],[JOB TARGET
(DEV)]],Standar[NAMA JABATAN],0)-1,1,1,13)&lt;0,1,""))&lt;=3,'9 Grid'!$B$4,IF(COUNT(IF('Data Assessment'!$N580:$Z580-OFFSET(Standar!$B$2,MATCH(Assessment[[#This Row],[JOB TARGET
(DEV)]],Standar[NAMA JABATAN],0)-1,1,1,13)&lt;0,1,""))&gt;=7,'9 Grid'!$B$6,'9 Grid'!$B$5)))</f>
        <v>Job Target Kosong</v>
      </c>
      <c r="N580" s="146" t="str">
        <f>IFERROR(IF(Data_Assessment[[#This Row],[IPP (3 YEARS AVERAGE)]]="","(IPP Belum Ada)",IF(Data_Assessment[[#This Row],[IPP (3 YEARS AVERAGE)]]&lt;2,'9 Grid'!$F$2,IF(Data_Assessment[[#This Row],[IPP (3 YEARS AVERAGE)]]&gt;=4,'9 Grid'!$D$2,'9 Grid'!$E$2))),"")</f>
        <v>Exceptional Performance</v>
      </c>
      <c r="O580" s="146" t="str">
        <f ca="1">IFERROR(INDEX('9 Grid'!$D$4:$F$6,MATCH('Rekomendasi HAV'!M580,'9 Grid'!$B$4:$B$6,0),MATCH('Rekomendasi HAV'!N580,'9 Grid'!$D$2:$F$2,0)),"")</f>
        <v/>
      </c>
      <c r="P580" s="147" t="str">
        <f>IFERROR(INDEX('9 Grid'!$D$8:$F$8,1,MATCH('Rekomendasi HAV'!N580,'9 Grid'!$D$2:$F$2,0)),"")</f>
        <v>(I) Immediately</v>
      </c>
    </row>
    <row r="581" spans="1:16" ht="28.5">
      <c r="A581" s="67">
        <v>580</v>
      </c>
      <c r="B581" s="68" t="str">
        <f>INDEX(Data_Assessment[],MATCH('Rekomendasi HAV'!$A581,Data_Assessment[[INDEX]:[INDEX]],0),MATCH('Rekomendasi HAV'!B$1,Data_Assessment[#Headers],0))</f>
        <v>Ferry Anggriawan, SC</v>
      </c>
      <c r="C581" s="68" t="str">
        <f>INDEX(Data_Assessment[],MATCH('Rekomendasi HAV'!$A581,Data_Assessment[[INDEX]:[INDEX]],0),MATCH('Rekomendasi HAV'!C$1,Data_Assessment[#Headers],0))</f>
        <v>Sumatera Utara</v>
      </c>
      <c r="D581" s="68" t="str">
        <f>INDEX(Data_Assessment[],MATCH('Rekomendasi HAV'!$A581,Data_Assessment[[INDEX]:[INDEX]],0),MATCH('Rekomendasi HAV'!D$1,Data_Assessment[#Headers],0))</f>
        <v>LSIP - Gunung Malayu Estate</v>
      </c>
      <c r="E581" s="68">
        <f>INDEX(Data_Assessment[],MATCH('Rekomendasi HAV'!$B581,Data_Assessment[[NAME]:[NAME]],0),MATCH('Rekomendasi HAV'!E$1,Data_Assessment[#Headers],0))</f>
        <v>0</v>
      </c>
      <c r="F581" s="68"/>
      <c r="G581" s="68">
        <f>IF(ISNUMBER(SEARCH("DEV",Assessment[[#This Row],[JOB TARGET]])),SUBSTITUTE(Assessment[[#This Row],[JOB TARGET]],"DEV","EST"),Assessment[[#This Row],[JOB TARGET]])</f>
        <v>0</v>
      </c>
      <c r="H581" s="146" t="str" cm="1">
        <f t="array" aca="1" ref="H581" ca="1">IF(Assessment[[#This Row],[JOB TARGET]]="","Job Target Kosong",IF(COUNT(IF('Data Assessment'!$N581:$Z581-OFFSET(Standar!$B$2,MATCH(Assessment[[#This Row],[JOB TARGET
(EST)]],Standar[NAMA JABATAN],0)-1,1,1,13)&lt;0,1,""))&lt;=3,'9 Grid'!$B$4,IF(COUNT(IF('Data Assessment'!$N581:$Z581-OFFSET(Standar!$B$2,MATCH(Assessment[[#This Row],[JOB TARGET]],Standar[NAMA JABATAN],0)-1,1,1,13)&lt;0,1,""))&gt;=7,'9 Grid'!$B$6,'9 Grid'!$B$5)))</f>
        <v>Job Target Kosong</v>
      </c>
      <c r="I581" s="146" t="str">
        <f>IFERROR(IF(Data_Assessment[[#This Row],[IPP (3 YEARS AVERAGE)]]="","(IPP Belum Ada)",IF(Data_Assessment[[#This Row],[IPP (3 YEARS AVERAGE)]]&lt;2,'9 Grid'!$F$2,IF(Data_Assessment[[#This Row],[IPP (3 YEARS AVERAGE)]]&gt;=4,'9 Grid'!$D$2,'9 Grid'!$E$2))),"")</f>
        <v>Fully Competence Performance</v>
      </c>
      <c r="J581" s="146" t="str">
        <f ca="1">IFERROR(INDEX('9 Grid'!$D$4:$F$6,MATCH('Rekomendasi HAV'!H581,'9 Grid'!$B$4:$B$6,0),MATCH('Rekomendasi HAV'!I581,'9 Grid'!$D$2:$F$2,0)),"")</f>
        <v/>
      </c>
      <c r="K581" s="146" t="str">
        <f>IFERROR(INDEX('9 Grid'!$D$8:$F$8,1,MATCH('Rekomendasi HAV'!I581,'9 Grid'!$D$2:$F$2,0)),"")</f>
        <v>(ST) Within 12 - 18 month</v>
      </c>
      <c r="L581" s="146">
        <f>IF(ISNUMBER(SEARCH("EST",Assessment[[#This Row],[JOB TARGET]])),SUBSTITUTE(Assessment[[#This Row],[JOB TARGET]],"EST","DEV"),Assessment[[#This Row],[JOB TARGET]])</f>
        <v>0</v>
      </c>
      <c r="M581" s="146" t="str" cm="1">
        <f t="array" aca="1" ref="M581" ca="1">IF(Assessment[[#This Row],[JOB TARGET]]="","Job Target Kosong",IF(COUNT(IF('Data Assessment'!$N581:$Z581-OFFSET(Standar!$B$2,MATCH(Assessment[[#This Row],[JOB TARGET
(DEV)]],Standar[NAMA JABATAN],0)-1,1,1,13)&lt;0,1,""))&lt;=3,'9 Grid'!$B$4,IF(COUNT(IF('Data Assessment'!$N581:$Z581-OFFSET(Standar!$B$2,MATCH(Assessment[[#This Row],[JOB TARGET
(DEV)]],Standar[NAMA JABATAN],0)-1,1,1,13)&lt;0,1,""))&gt;=7,'9 Grid'!$B$6,'9 Grid'!$B$5)))</f>
        <v>Job Target Kosong</v>
      </c>
      <c r="N581" s="146" t="str">
        <f>IFERROR(IF(Data_Assessment[[#This Row],[IPP (3 YEARS AVERAGE)]]="","(IPP Belum Ada)",IF(Data_Assessment[[#This Row],[IPP (3 YEARS AVERAGE)]]&lt;2,'9 Grid'!$F$2,IF(Data_Assessment[[#This Row],[IPP (3 YEARS AVERAGE)]]&gt;=4,'9 Grid'!$D$2,'9 Grid'!$E$2))),"")</f>
        <v>Fully Competence Performance</v>
      </c>
      <c r="O581" s="146" t="str">
        <f ca="1">IFERROR(INDEX('9 Grid'!$D$4:$F$6,MATCH('Rekomendasi HAV'!M581,'9 Grid'!$B$4:$B$6,0),MATCH('Rekomendasi HAV'!N581,'9 Grid'!$D$2:$F$2,0)),"")</f>
        <v/>
      </c>
      <c r="P581" s="147" t="str">
        <f>IFERROR(INDEX('9 Grid'!$D$8:$F$8,1,MATCH('Rekomendasi HAV'!N581,'9 Grid'!$D$2:$F$2,0)),"")</f>
        <v>(ST) Within 12 - 18 month</v>
      </c>
    </row>
    <row r="582" spans="1:16" ht="28.5">
      <c r="A582" s="67">
        <v>581</v>
      </c>
      <c r="B582" s="68" t="str">
        <f>INDEX(Data_Assessment[],MATCH('Rekomendasi HAV'!$A582,Data_Assessment[[INDEX]:[INDEX]],0),MATCH('Rekomendasi HAV'!B$1,Data_Assessment[#Headers],0))</f>
        <v>Mhd. Riza Bangun</v>
      </c>
      <c r="C582" s="68" t="str">
        <f>INDEX(Data_Assessment[],MATCH('Rekomendasi HAV'!$A582,Data_Assessment[[INDEX]:[INDEX]],0),MATCH('Rekomendasi HAV'!C$1,Data_Assessment[#Headers],0))</f>
        <v>Sumatera Selatan</v>
      </c>
      <c r="D582" s="68" t="str">
        <f>INDEX(Data_Assessment[],MATCH('Rekomendasi HAV'!$A582,Data_Assessment[[INDEX]:[INDEX]],0),MATCH('Rekomendasi HAV'!D$1,Data_Assessment[#Headers],0))</f>
        <v>LSIP - Sei Lakitan Palm Oil Mill</v>
      </c>
      <c r="E582" s="68">
        <f>INDEX(Data_Assessment[],MATCH('Rekomendasi HAV'!$B582,Data_Assessment[[NAME]:[NAME]],0),MATCH('Rekomendasi HAV'!E$1,Data_Assessment[#Headers],0))</f>
        <v>0</v>
      </c>
      <c r="F582" s="68"/>
      <c r="G582" s="68">
        <f>IF(ISNUMBER(SEARCH("DEV",Assessment[[#This Row],[JOB TARGET]])),SUBSTITUTE(Assessment[[#This Row],[JOB TARGET]],"DEV","EST"),Assessment[[#This Row],[JOB TARGET]])</f>
        <v>0</v>
      </c>
      <c r="H582" s="146" t="str" cm="1">
        <f t="array" aca="1" ref="H582" ca="1">IF(Assessment[[#This Row],[JOB TARGET]]="","Job Target Kosong",IF(COUNT(IF('Data Assessment'!$N582:$Z582-OFFSET(Standar!$B$2,MATCH(Assessment[[#This Row],[JOB TARGET
(EST)]],Standar[NAMA JABATAN],0)-1,1,1,13)&lt;0,1,""))&lt;=3,'9 Grid'!$B$4,IF(COUNT(IF('Data Assessment'!$N582:$Z582-OFFSET(Standar!$B$2,MATCH(Assessment[[#This Row],[JOB TARGET]],Standar[NAMA JABATAN],0)-1,1,1,13)&lt;0,1,""))&gt;=7,'9 Grid'!$B$6,'9 Grid'!$B$5)))</f>
        <v>Job Target Kosong</v>
      </c>
      <c r="I582" s="146" t="str">
        <f>IFERROR(IF(Data_Assessment[[#This Row],[IPP (3 YEARS AVERAGE)]]="","(IPP Belum Ada)",IF(Data_Assessment[[#This Row],[IPP (3 YEARS AVERAGE)]]&lt;2,'9 Grid'!$F$2,IF(Data_Assessment[[#This Row],[IPP (3 YEARS AVERAGE)]]&gt;=4,'9 Grid'!$D$2,'9 Grid'!$E$2))),"")</f>
        <v>Fully Competence Performance</v>
      </c>
      <c r="J582" s="146" t="str">
        <f ca="1">IFERROR(INDEX('9 Grid'!$D$4:$F$6,MATCH('Rekomendasi HAV'!H582,'9 Grid'!$B$4:$B$6,0),MATCH('Rekomendasi HAV'!I582,'9 Grid'!$D$2:$F$2,0)),"")</f>
        <v/>
      </c>
      <c r="K582" s="146" t="str">
        <f>IFERROR(INDEX('9 Grid'!$D$8:$F$8,1,MATCH('Rekomendasi HAV'!I582,'9 Grid'!$D$2:$F$2,0)),"")</f>
        <v>(ST) Within 12 - 18 month</v>
      </c>
      <c r="L582" s="146">
        <f>IF(ISNUMBER(SEARCH("EST",Assessment[[#This Row],[JOB TARGET]])),SUBSTITUTE(Assessment[[#This Row],[JOB TARGET]],"EST","DEV"),Assessment[[#This Row],[JOB TARGET]])</f>
        <v>0</v>
      </c>
      <c r="M582" s="146" t="str" cm="1">
        <f t="array" aca="1" ref="M582" ca="1">IF(Assessment[[#This Row],[JOB TARGET]]="","Job Target Kosong",IF(COUNT(IF('Data Assessment'!$N582:$Z582-OFFSET(Standar!$B$2,MATCH(Assessment[[#This Row],[JOB TARGET
(DEV)]],Standar[NAMA JABATAN],0)-1,1,1,13)&lt;0,1,""))&lt;=3,'9 Grid'!$B$4,IF(COUNT(IF('Data Assessment'!$N582:$Z582-OFFSET(Standar!$B$2,MATCH(Assessment[[#This Row],[JOB TARGET
(DEV)]],Standar[NAMA JABATAN],0)-1,1,1,13)&lt;0,1,""))&gt;=7,'9 Grid'!$B$6,'9 Grid'!$B$5)))</f>
        <v>Job Target Kosong</v>
      </c>
      <c r="N582" s="146" t="str">
        <f>IFERROR(IF(Data_Assessment[[#This Row],[IPP (3 YEARS AVERAGE)]]="","(IPP Belum Ada)",IF(Data_Assessment[[#This Row],[IPP (3 YEARS AVERAGE)]]&lt;2,'9 Grid'!$F$2,IF(Data_Assessment[[#This Row],[IPP (3 YEARS AVERAGE)]]&gt;=4,'9 Grid'!$D$2,'9 Grid'!$E$2))),"")</f>
        <v>Fully Competence Performance</v>
      </c>
      <c r="O582" s="146" t="str">
        <f ca="1">IFERROR(INDEX('9 Grid'!$D$4:$F$6,MATCH('Rekomendasi HAV'!M582,'9 Grid'!$B$4:$B$6,0),MATCH('Rekomendasi HAV'!N582,'9 Grid'!$D$2:$F$2,0)),"")</f>
        <v/>
      </c>
      <c r="P582" s="147" t="str">
        <f>IFERROR(INDEX('9 Grid'!$D$8:$F$8,1,MATCH('Rekomendasi HAV'!N582,'9 Grid'!$D$2:$F$2,0)),"")</f>
        <v>(ST) Within 12 - 18 month</v>
      </c>
    </row>
    <row r="583" spans="1:16" ht="28.5">
      <c r="A583" s="67">
        <v>582</v>
      </c>
      <c r="B583" s="68" t="str">
        <f>INDEX(Data_Assessment[],MATCH('Rekomendasi HAV'!$A583,Data_Assessment[[INDEX]:[INDEX]],0),MATCH('Rekomendasi HAV'!B$1,Data_Assessment[#Headers],0))</f>
        <v>Arfan</v>
      </c>
      <c r="C583" s="68" t="str">
        <f>INDEX(Data_Assessment[],MATCH('Rekomendasi HAV'!$A583,Data_Assessment[[INDEX]:[INDEX]],0),MATCH('Rekomendasi HAV'!C$1,Data_Assessment[#Headers],0))</f>
        <v>Sumatera Selatan</v>
      </c>
      <c r="D583" s="68" t="str">
        <f>INDEX(Data_Assessment[],MATCH('Rekomendasi HAV'!$A583,Data_Assessment[[INDEX]:[INDEX]],0),MATCH('Rekomendasi HAV'!D$1,Data_Assessment[#Headers],0))</f>
        <v>LSIP - Belani Elok Palm Oil Mill</v>
      </c>
      <c r="E583" s="68">
        <f>INDEX(Data_Assessment[],MATCH('Rekomendasi HAV'!$B583,Data_Assessment[[NAME]:[NAME]],0),MATCH('Rekomendasi HAV'!E$1,Data_Assessment[#Headers],0))</f>
        <v>0</v>
      </c>
      <c r="F583" s="68"/>
      <c r="G583" s="68">
        <f>IF(ISNUMBER(SEARCH("DEV",Assessment[[#This Row],[JOB TARGET]])),SUBSTITUTE(Assessment[[#This Row],[JOB TARGET]],"DEV","EST"),Assessment[[#This Row],[JOB TARGET]])</f>
        <v>0</v>
      </c>
      <c r="H583" s="146" t="str" cm="1">
        <f t="array" aca="1" ref="H583" ca="1">IF(Assessment[[#This Row],[JOB TARGET]]="","Job Target Kosong",IF(COUNT(IF('Data Assessment'!$N583:$Z583-OFFSET(Standar!$B$2,MATCH(Assessment[[#This Row],[JOB TARGET
(EST)]],Standar[NAMA JABATAN],0)-1,1,1,13)&lt;0,1,""))&lt;=3,'9 Grid'!$B$4,IF(COUNT(IF('Data Assessment'!$N583:$Z583-OFFSET(Standar!$B$2,MATCH(Assessment[[#This Row],[JOB TARGET]],Standar[NAMA JABATAN],0)-1,1,1,13)&lt;0,1,""))&gt;=7,'9 Grid'!$B$6,'9 Grid'!$B$5)))</f>
        <v>Job Target Kosong</v>
      </c>
      <c r="I583" s="146" t="str">
        <f>IFERROR(IF(Data_Assessment[[#This Row],[IPP (3 YEARS AVERAGE)]]="","(IPP Belum Ada)",IF(Data_Assessment[[#This Row],[IPP (3 YEARS AVERAGE)]]&lt;2,'9 Grid'!$F$2,IF(Data_Assessment[[#This Row],[IPP (3 YEARS AVERAGE)]]&gt;=4,'9 Grid'!$D$2,'9 Grid'!$E$2))),"")</f>
        <v>Fully Competence Performance</v>
      </c>
      <c r="J583" s="146" t="str">
        <f ca="1">IFERROR(INDEX('9 Grid'!$D$4:$F$6,MATCH('Rekomendasi HAV'!H583,'9 Grid'!$B$4:$B$6,0),MATCH('Rekomendasi HAV'!I583,'9 Grid'!$D$2:$F$2,0)),"")</f>
        <v/>
      </c>
      <c r="K583" s="146" t="str">
        <f>IFERROR(INDEX('9 Grid'!$D$8:$F$8,1,MATCH('Rekomendasi HAV'!I583,'9 Grid'!$D$2:$F$2,0)),"")</f>
        <v>(ST) Within 12 - 18 month</v>
      </c>
      <c r="L583" s="146">
        <f>IF(ISNUMBER(SEARCH("EST",Assessment[[#This Row],[JOB TARGET]])),SUBSTITUTE(Assessment[[#This Row],[JOB TARGET]],"EST","DEV"),Assessment[[#This Row],[JOB TARGET]])</f>
        <v>0</v>
      </c>
      <c r="M583" s="146" t="str" cm="1">
        <f t="array" aca="1" ref="M583" ca="1">IF(Assessment[[#This Row],[JOB TARGET]]="","Job Target Kosong",IF(COUNT(IF('Data Assessment'!$N583:$Z583-OFFSET(Standar!$B$2,MATCH(Assessment[[#This Row],[JOB TARGET
(DEV)]],Standar[NAMA JABATAN],0)-1,1,1,13)&lt;0,1,""))&lt;=3,'9 Grid'!$B$4,IF(COUNT(IF('Data Assessment'!$N583:$Z583-OFFSET(Standar!$B$2,MATCH(Assessment[[#This Row],[JOB TARGET
(DEV)]],Standar[NAMA JABATAN],0)-1,1,1,13)&lt;0,1,""))&gt;=7,'9 Grid'!$B$6,'9 Grid'!$B$5)))</f>
        <v>Job Target Kosong</v>
      </c>
      <c r="N583" s="146" t="str">
        <f>IFERROR(IF(Data_Assessment[[#This Row],[IPP (3 YEARS AVERAGE)]]="","(IPP Belum Ada)",IF(Data_Assessment[[#This Row],[IPP (3 YEARS AVERAGE)]]&lt;2,'9 Grid'!$F$2,IF(Data_Assessment[[#This Row],[IPP (3 YEARS AVERAGE)]]&gt;=4,'9 Grid'!$D$2,'9 Grid'!$E$2))),"")</f>
        <v>Fully Competence Performance</v>
      </c>
      <c r="O583" s="146" t="str">
        <f ca="1">IFERROR(INDEX('9 Grid'!$D$4:$F$6,MATCH('Rekomendasi HAV'!M583,'9 Grid'!$B$4:$B$6,0),MATCH('Rekomendasi HAV'!N583,'9 Grid'!$D$2:$F$2,0)),"")</f>
        <v/>
      </c>
      <c r="P583" s="147" t="str">
        <f>IFERROR(INDEX('9 Grid'!$D$8:$F$8,1,MATCH('Rekomendasi HAV'!N583,'9 Grid'!$D$2:$F$2,0)),"")</f>
        <v>(ST) Within 12 - 18 month</v>
      </c>
    </row>
    <row r="584" spans="1:16" ht="28.5">
      <c r="A584" s="67">
        <v>583</v>
      </c>
      <c r="B584" s="68" t="str">
        <f>INDEX(Data_Assessment[],MATCH('Rekomendasi HAV'!$A584,Data_Assessment[[INDEX]:[INDEX]],0),MATCH('Rekomendasi HAV'!B$1,Data_Assessment[#Headers],0))</f>
        <v>Joko Malis</v>
      </c>
      <c r="C584" s="68" t="str">
        <f>INDEX(Data_Assessment[],MATCH('Rekomendasi HAV'!$A584,Data_Assessment[[INDEX]:[INDEX]],0),MATCH('Rekomendasi HAV'!C$1,Data_Assessment[#Headers],0))</f>
        <v>Sumatera Selatan</v>
      </c>
      <c r="D584" s="68" t="str">
        <f>INDEX(Data_Assessment[],MATCH('Rekomendasi HAV'!$A584,Data_Assessment[[INDEX]:[INDEX]],0),MATCH('Rekomendasi HAV'!D$1,Data_Assessment[#Headers],0))</f>
        <v>LSIP - Belani Elok Palm Oil Mill</v>
      </c>
      <c r="E584" s="68">
        <f>INDEX(Data_Assessment[],MATCH('Rekomendasi HAV'!$B584,Data_Assessment[[NAME]:[NAME]],0),MATCH('Rekomendasi HAV'!E$1,Data_Assessment[#Headers],0))</f>
        <v>0</v>
      </c>
      <c r="F584" s="68"/>
      <c r="G584" s="68">
        <f>IF(ISNUMBER(SEARCH("DEV",Assessment[[#This Row],[JOB TARGET]])),SUBSTITUTE(Assessment[[#This Row],[JOB TARGET]],"DEV","EST"),Assessment[[#This Row],[JOB TARGET]])</f>
        <v>0</v>
      </c>
      <c r="H584" s="146" t="str" cm="1">
        <f t="array" aca="1" ref="H584" ca="1">IF(Assessment[[#This Row],[JOB TARGET]]="","Job Target Kosong",IF(COUNT(IF('Data Assessment'!$N584:$Z584-OFFSET(Standar!$B$2,MATCH(Assessment[[#This Row],[JOB TARGET
(EST)]],Standar[NAMA JABATAN],0)-1,1,1,13)&lt;0,1,""))&lt;=3,'9 Grid'!$B$4,IF(COUNT(IF('Data Assessment'!$N584:$Z584-OFFSET(Standar!$B$2,MATCH(Assessment[[#This Row],[JOB TARGET]],Standar[NAMA JABATAN],0)-1,1,1,13)&lt;0,1,""))&gt;=7,'9 Grid'!$B$6,'9 Grid'!$B$5)))</f>
        <v>Job Target Kosong</v>
      </c>
      <c r="I584" s="146" t="str">
        <f>IFERROR(IF(Data_Assessment[[#This Row],[IPP (3 YEARS AVERAGE)]]="","(IPP Belum Ada)",IF(Data_Assessment[[#This Row],[IPP (3 YEARS AVERAGE)]]&lt;2,'9 Grid'!$F$2,IF(Data_Assessment[[#This Row],[IPP (3 YEARS AVERAGE)]]&gt;=4,'9 Grid'!$D$2,'9 Grid'!$E$2))),"")</f>
        <v>Fully Competence Performance</v>
      </c>
      <c r="J584" s="146" t="str">
        <f ca="1">IFERROR(INDEX('9 Grid'!$D$4:$F$6,MATCH('Rekomendasi HAV'!H584,'9 Grid'!$B$4:$B$6,0),MATCH('Rekomendasi HAV'!I584,'9 Grid'!$D$2:$F$2,0)),"")</f>
        <v/>
      </c>
      <c r="K584" s="146" t="str">
        <f>IFERROR(INDEX('9 Grid'!$D$8:$F$8,1,MATCH('Rekomendasi HAV'!I584,'9 Grid'!$D$2:$F$2,0)),"")</f>
        <v>(ST) Within 12 - 18 month</v>
      </c>
      <c r="L584" s="146">
        <f>IF(ISNUMBER(SEARCH("EST",Assessment[[#This Row],[JOB TARGET]])),SUBSTITUTE(Assessment[[#This Row],[JOB TARGET]],"EST","DEV"),Assessment[[#This Row],[JOB TARGET]])</f>
        <v>0</v>
      </c>
      <c r="M584" s="146" t="str" cm="1">
        <f t="array" aca="1" ref="M584" ca="1">IF(Assessment[[#This Row],[JOB TARGET]]="","Job Target Kosong",IF(COUNT(IF('Data Assessment'!$N584:$Z584-OFFSET(Standar!$B$2,MATCH(Assessment[[#This Row],[JOB TARGET
(DEV)]],Standar[NAMA JABATAN],0)-1,1,1,13)&lt;0,1,""))&lt;=3,'9 Grid'!$B$4,IF(COUNT(IF('Data Assessment'!$N584:$Z584-OFFSET(Standar!$B$2,MATCH(Assessment[[#This Row],[JOB TARGET
(DEV)]],Standar[NAMA JABATAN],0)-1,1,1,13)&lt;0,1,""))&gt;=7,'9 Grid'!$B$6,'9 Grid'!$B$5)))</f>
        <v>Job Target Kosong</v>
      </c>
      <c r="N584" s="146" t="str">
        <f>IFERROR(IF(Data_Assessment[[#This Row],[IPP (3 YEARS AVERAGE)]]="","(IPP Belum Ada)",IF(Data_Assessment[[#This Row],[IPP (3 YEARS AVERAGE)]]&lt;2,'9 Grid'!$F$2,IF(Data_Assessment[[#This Row],[IPP (3 YEARS AVERAGE)]]&gt;=4,'9 Grid'!$D$2,'9 Grid'!$E$2))),"")</f>
        <v>Fully Competence Performance</v>
      </c>
      <c r="O584" s="146" t="str">
        <f ca="1">IFERROR(INDEX('9 Grid'!$D$4:$F$6,MATCH('Rekomendasi HAV'!M584,'9 Grid'!$B$4:$B$6,0),MATCH('Rekomendasi HAV'!N584,'9 Grid'!$D$2:$F$2,0)),"")</f>
        <v/>
      </c>
      <c r="P584" s="147" t="str">
        <f>IFERROR(INDEX('9 Grid'!$D$8:$F$8,1,MATCH('Rekomendasi HAV'!N584,'9 Grid'!$D$2:$F$2,0)),"")</f>
        <v>(ST) Within 12 - 18 month</v>
      </c>
    </row>
    <row r="585" spans="1:16" ht="28.5">
      <c r="A585" s="67">
        <v>584</v>
      </c>
      <c r="B585" s="68" t="str">
        <f>INDEX(Data_Assessment[],MATCH('Rekomendasi HAV'!$A585,Data_Assessment[[INDEX]:[INDEX]],0),MATCH('Rekomendasi HAV'!B$1,Data_Assessment[#Headers],0))</f>
        <v>Dian Syahputra</v>
      </c>
      <c r="C585" s="68" t="str">
        <f>INDEX(Data_Assessment[],MATCH('Rekomendasi HAV'!$A585,Data_Assessment[[INDEX]:[INDEX]],0),MATCH('Rekomendasi HAV'!C$1,Data_Assessment[#Headers],0))</f>
        <v>Sumatera Selatan</v>
      </c>
      <c r="D585" s="68" t="str">
        <f>INDEX(Data_Assessment[],MATCH('Rekomendasi HAV'!$A585,Data_Assessment[[INDEX]:[INDEX]],0),MATCH('Rekomendasi HAV'!D$1,Data_Assessment[#Headers],0))</f>
        <v>LSIP - Belani Elok Palm Oil Mill</v>
      </c>
      <c r="E585" s="68">
        <f>INDEX(Data_Assessment[],MATCH('Rekomendasi HAV'!$B585,Data_Assessment[[NAME]:[NAME]],0),MATCH('Rekomendasi HAV'!E$1,Data_Assessment[#Headers],0))</f>
        <v>0</v>
      </c>
      <c r="F585" s="68"/>
      <c r="G585" s="68">
        <f>IF(ISNUMBER(SEARCH("DEV",Assessment[[#This Row],[JOB TARGET]])),SUBSTITUTE(Assessment[[#This Row],[JOB TARGET]],"DEV","EST"),Assessment[[#This Row],[JOB TARGET]])</f>
        <v>0</v>
      </c>
      <c r="H585" s="146" t="str" cm="1">
        <f t="array" aca="1" ref="H585" ca="1">IF(Assessment[[#This Row],[JOB TARGET]]="","Job Target Kosong",IF(COUNT(IF('Data Assessment'!$N585:$Z585-OFFSET(Standar!$B$2,MATCH(Assessment[[#This Row],[JOB TARGET
(EST)]],Standar[NAMA JABATAN],0)-1,1,1,13)&lt;0,1,""))&lt;=3,'9 Grid'!$B$4,IF(COUNT(IF('Data Assessment'!$N585:$Z585-OFFSET(Standar!$B$2,MATCH(Assessment[[#This Row],[JOB TARGET]],Standar[NAMA JABATAN],0)-1,1,1,13)&lt;0,1,""))&gt;=7,'9 Grid'!$B$6,'9 Grid'!$B$5)))</f>
        <v>Job Target Kosong</v>
      </c>
      <c r="I585" s="146" t="str">
        <f>IFERROR(IF(Data_Assessment[[#This Row],[IPP (3 YEARS AVERAGE)]]="","(IPP Belum Ada)",IF(Data_Assessment[[#This Row],[IPP (3 YEARS AVERAGE)]]&lt;2,'9 Grid'!$F$2,IF(Data_Assessment[[#This Row],[IPP (3 YEARS AVERAGE)]]&gt;=4,'9 Grid'!$D$2,'9 Grid'!$E$2))),"")</f>
        <v>Fully Competence Performance</v>
      </c>
      <c r="J585" s="146" t="str">
        <f ca="1">IFERROR(INDEX('9 Grid'!$D$4:$F$6,MATCH('Rekomendasi HAV'!H585,'9 Grid'!$B$4:$B$6,0),MATCH('Rekomendasi HAV'!I585,'9 Grid'!$D$2:$F$2,0)),"")</f>
        <v/>
      </c>
      <c r="K585" s="146" t="str">
        <f>IFERROR(INDEX('9 Grid'!$D$8:$F$8,1,MATCH('Rekomendasi HAV'!I585,'9 Grid'!$D$2:$F$2,0)),"")</f>
        <v>(ST) Within 12 - 18 month</v>
      </c>
      <c r="L585" s="146">
        <f>IF(ISNUMBER(SEARCH("EST",Assessment[[#This Row],[JOB TARGET]])),SUBSTITUTE(Assessment[[#This Row],[JOB TARGET]],"EST","DEV"),Assessment[[#This Row],[JOB TARGET]])</f>
        <v>0</v>
      </c>
      <c r="M585" s="146" t="str" cm="1">
        <f t="array" aca="1" ref="M585" ca="1">IF(Assessment[[#This Row],[JOB TARGET]]="","Job Target Kosong",IF(COUNT(IF('Data Assessment'!$N585:$Z585-OFFSET(Standar!$B$2,MATCH(Assessment[[#This Row],[JOB TARGET
(DEV)]],Standar[NAMA JABATAN],0)-1,1,1,13)&lt;0,1,""))&lt;=3,'9 Grid'!$B$4,IF(COUNT(IF('Data Assessment'!$N585:$Z585-OFFSET(Standar!$B$2,MATCH(Assessment[[#This Row],[JOB TARGET
(DEV)]],Standar[NAMA JABATAN],0)-1,1,1,13)&lt;0,1,""))&gt;=7,'9 Grid'!$B$6,'9 Grid'!$B$5)))</f>
        <v>Job Target Kosong</v>
      </c>
      <c r="N585" s="146" t="str">
        <f>IFERROR(IF(Data_Assessment[[#This Row],[IPP (3 YEARS AVERAGE)]]="","(IPP Belum Ada)",IF(Data_Assessment[[#This Row],[IPP (3 YEARS AVERAGE)]]&lt;2,'9 Grid'!$F$2,IF(Data_Assessment[[#This Row],[IPP (3 YEARS AVERAGE)]]&gt;=4,'9 Grid'!$D$2,'9 Grid'!$E$2))),"")</f>
        <v>Fully Competence Performance</v>
      </c>
      <c r="O585" s="146" t="str">
        <f ca="1">IFERROR(INDEX('9 Grid'!$D$4:$F$6,MATCH('Rekomendasi HAV'!M585,'9 Grid'!$B$4:$B$6,0),MATCH('Rekomendasi HAV'!N585,'9 Grid'!$D$2:$F$2,0)),"")</f>
        <v/>
      </c>
      <c r="P585" s="147" t="str">
        <f>IFERROR(INDEX('9 Grid'!$D$8:$F$8,1,MATCH('Rekomendasi HAV'!N585,'9 Grid'!$D$2:$F$2,0)),"")</f>
        <v>(ST) Within 12 - 18 month</v>
      </c>
    </row>
    <row r="586" spans="1:16" ht="28.5">
      <c r="A586" s="67">
        <v>585</v>
      </c>
      <c r="B586" s="68" t="str">
        <f>INDEX(Data_Assessment[],MATCH('Rekomendasi HAV'!$A586,Data_Assessment[[INDEX]:[INDEX]],0),MATCH('Rekomendasi HAV'!B$1,Data_Assessment[#Headers],0))</f>
        <v>Bambang Heriawan, Ir</v>
      </c>
      <c r="C586" s="68" t="str">
        <f>INDEX(Data_Assessment[],MATCH('Rekomendasi HAV'!$A586,Data_Assessment[[INDEX]:[INDEX]],0),MATCH('Rekomendasi HAV'!C$1,Data_Assessment[#Headers],0))</f>
        <v>Sumatera Selatan</v>
      </c>
      <c r="D586" s="68" t="str">
        <f>INDEX(Data_Assessment[],MATCH('Rekomendasi HAV'!$A586,Data_Assessment[[INDEX]:[INDEX]],0),MATCH('Rekomendasi HAV'!D$1,Data_Assessment[#Headers],0))</f>
        <v>LSIP - Terawas Indah Palm Oil Mill</v>
      </c>
      <c r="E586" s="68">
        <f>INDEX(Data_Assessment[],MATCH('Rekomendasi HAV'!$B586,Data_Assessment[[NAME]:[NAME]],0),MATCH('Rekomendasi HAV'!E$1,Data_Assessment[#Headers],0))</f>
        <v>0</v>
      </c>
      <c r="F586" s="68"/>
      <c r="G586" s="68">
        <f>IF(ISNUMBER(SEARCH("DEV",Assessment[[#This Row],[JOB TARGET]])),SUBSTITUTE(Assessment[[#This Row],[JOB TARGET]],"DEV","EST"),Assessment[[#This Row],[JOB TARGET]])</f>
        <v>0</v>
      </c>
      <c r="H586" s="146" t="str" cm="1">
        <f t="array" aca="1" ref="H586" ca="1">IF(Assessment[[#This Row],[JOB TARGET]]="","Job Target Kosong",IF(COUNT(IF('Data Assessment'!$N586:$Z586-OFFSET(Standar!$B$2,MATCH(Assessment[[#This Row],[JOB TARGET
(EST)]],Standar[NAMA JABATAN],0)-1,1,1,13)&lt;0,1,""))&lt;=3,'9 Grid'!$B$4,IF(COUNT(IF('Data Assessment'!$N586:$Z586-OFFSET(Standar!$B$2,MATCH(Assessment[[#This Row],[JOB TARGET]],Standar[NAMA JABATAN],0)-1,1,1,13)&lt;0,1,""))&gt;=7,'9 Grid'!$B$6,'9 Grid'!$B$5)))</f>
        <v>Job Target Kosong</v>
      </c>
      <c r="I586" s="146" t="str">
        <f>IFERROR(IF(Data_Assessment[[#This Row],[IPP (3 YEARS AVERAGE)]]="","(IPP Belum Ada)",IF(Data_Assessment[[#This Row],[IPP (3 YEARS AVERAGE)]]&lt;2,'9 Grid'!$F$2,IF(Data_Assessment[[#This Row],[IPP (3 YEARS AVERAGE)]]&gt;=4,'9 Grid'!$D$2,'9 Grid'!$E$2))),"")</f>
        <v>Fully Competence Performance</v>
      </c>
      <c r="J586" s="146" t="str">
        <f ca="1">IFERROR(INDEX('9 Grid'!$D$4:$F$6,MATCH('Rekomendasi HAV'!H586,'9 Grid'!$B$4:$B$6,0),MATCH('Rekomendasi HAV'!I586,'9 Grid'!$D$2:$F$2,0)),"")</f>
        <v/>
      </c>
      <c r="K586" s="146" t="str">
        <f>IFERROR(INDEX('9 Grid'!$D$8:$F$8,1,MATCH('Rekomendasi HAV'!I586,'9 Grid'!$D$2:$F$2,0)),"")</f>
        <v>(ST) Within 12 - 18 month</v>
      </c>
      <c r="L586" s="146">
        <f>IF(ISNUMBER(SEARCH("EST",Assessment[[#This Row],[JOB TARGET]])),SUBSTITUTE(Assessment[[#This Row],[JOB TARGET]],"EST","DEV"),Assessment[[#This Row],[JOB TARGET]])</f>
        <v>0</v>
      </c>
      <c r="M586" s="146" t="str" cm="1">
        <f t="array" aca="1" ref="M586" ca="1">IF(Assessment[[#This Row],[JOB TARGET]]="","Job Target Kosong",IF(COUNT(IF('Data Assessment'!$N586:$Z586-OFFSET(Standar!$B$2,MATCH(Assessment[[#This Row],[JOB TARGET
(DEV)]],Standar[NAMA JABATAN],0)-1,1,1,13)&lt;0,1,""))&lt;=3,'9 Grid'!$B$4,IF(COUNT(IF('Data Assessment'!$N586:$Z586-OFFSET(Standar!$B$2,MATCH(Assessment[[#This Row],[JOB TARGET
(DEV)]],Standar[NAMA JABATAN],0)-1,1,1,13)&lt;0,1,""))&gt;=7,'9 Grid'!$B$6,'9 Grid'!$B$5)))</f>
        <v>Job Target Kosong</v>
      </c>
      <c r="N586" s="146" t="str">
        <f>IFERROR(IF(Data_Assessment[[#This Row],[IPP (3 YEARS AVERAGE)]]="","(IPP Belum Ada)",IF(Data_Assessment[[#This Row],[IPP (3 YEARS AVERAGE)]]&lt;2,'9 Grid'!$F$2,IF(Data_Assessment[[#This Row],[IPP (3 YEARS AVERAGE)]]&gt;=4,'9 Grid'!$D$2,'9 Grid'!$E$2))),"")</f>
        <v>Fully Competence Performance</v>
      </c>
      <c r="O586" s="146" t="str">
        <f ca="1">IFERROR(INDEX('9 Grid'!$D$4:$F$6,MATCH('Rekomendasi HAV'!M586,'9 Grid'!$B$4:$B$6,0),MATCH('Rekomendasi HAV'!N586,'9 Grid'!$D$2:$F$2,0)),"")</f>
        <v/>
      </c>
      <c r="P586" s="147" t="str">
        <f>IFERROR(INDEX('9 Grid'!$D$8:$F$8,1,MATCH('Rekomendasi HAV'!N586,'9 Grid'!$D$2:$F$2,0)),"")</f>
        <v>(ST) Within 12 - 18 month</v>
      </c>
    </row>
    <row r="587" spans="1:16" ht="14.25">
      <c r="A587" s="67">
        <v>586</v>
      </c>
      <c r="B587" s="68" t="str">
        <f>INDEX(Data_Assessment[],MATCH('Rekomendasi HAV'!$A587,Data_Assessment[[INDEX]:[INDEX]],0),MATCH('Rekomendasi HAV'!B$1,Data_Assessment[#Headers],0))</f>
        <v>Bahara Tua Tobing</v>
      </c>
      <c r="C587" s="68" t="str">
        <f>INDEX(Data_Assessment[],MATCH('Rekomendasi HAV'!$A587,Data_Assessment[[INDEX]:[INDEX]],0),MATCH('Rekomendasi HAV'!C$1,Data_Assessment[#Headers],0))</f>
        <v>Sumatera Selatan</v>
      </c>
      <c r="D587" s="68" t="str">
        <f>INDEX(Data_Assessment[],MATCH('Rekomendasi HAV'!$A587,Data_Assessment[[INDEX]:[INDEX]],0),MATCH('Rekomendasi HAV'!D$1,Data_Assessment[#Headers],0))</f>
        <v>LSIP - Tirta Agung Palm Oil Mill</v>
      </c>
      <c r="E587" s="68">
        <f>INDEX(Data_Assessment[],MATCH('Rekomendasi HAV'!$B587,Data_Assessment[[NAME]:[NAME]],0),MATCH('Rekomendasi HAV'!E$1,Data_Assessment[#Headers],0))</f>
        <v>0</v>
      </c>
      <c r="F587" s="68"/>
      <c r="G587" s="68">
        <f>IF(ISNUMBER(SEARCH("DEV",Assessment[[#This Row],[JOB TARGET]])),SUBSTITUTE(Assessment[[#This Row],[JOB TARGET]],"DEV","EST"),Assessment[[#This Row],[JOB TARGET]])</f>
        <v>0</v>
      </c>
      <c r="H587" s="146" t="str" cm="1">
        <f t="array" aca="1" ref="H587" ca="1">IF(Assessment[[#This Row],[JOB TARGET]]="","Job Target Kosong",IF(COUNT(IF('Data Assessment'!$N587:$Z587-OFFSET(Standar!$B$2,MATCH(Assessment[[#This Row],[JOB TARGET
(EST)]],Standar[NAMA JABATAN],0)-1,1,1,13)&lt;0,1,""))&lt;=3,'9 Grid'!$B$4,IF(COUNT(IF('Data Assessment'!$N587:$Z587-OFFSET(Standar!$B$2,MATCH(Assessment[[#This Row],[JOB TARGET]],Standar[NAMA JABATAN],0)-1,1,1,13)&lt;0,1,""))&gt;=7,'9 Grid'!$B$6,'9 Grid'!$B$5)))</f>
        <v>Job Target Kosong</v>
      </c>
      <c r="I587" s="146" t="str">
        <f>IFERROR(IF(Data_Assessment[[#This Row],[IPP (3 YEARS AVERAGE)]]="","(IPP Belum Ada)",IF(Data_Assessment[[#This Row],[IPP (3 YEARS AVERAGE)]]&lt;2,'9 Grid'!$F$2,IF(Data_Assessment[[#This Row],[IPP (3 YEARS AVERAGE)]]&gt;=4,'9 Grid'!$D$2,'9 Grid'!$E$2))),"")</f>
        <v>Exceptional Performance</v>
      </c>
      <c r="J587" s="146" t="str">
        <f ca="1">IFERROR(INDEX('9 Grid'!$D$4:$F$6,MATCH('Rekomendasi HAV'!H587,'9 Grid'!$B$4:$B$6,0),MATCH('Rekomendasi HAV'!I587,'9 Grid'!$D$2:$F$2,0)),"")</f>
        <v/>
      </c>
      <c r="K587" s="146" t="str">
        <f>IFERROR(INDEX('9 Grid'!$D$8:$F$8,1,MATCH('Rekomendasi HAV'!I587,'9 Grid'!$D$2:$F$2,0)),"")</f>
        <v>(I) Immediately</v>
      </c>
      <c r="L587" s="146">
        <f>IF(ISNUMBER(SEARCH("EST",Assessment[[#This Row],[JOB TARGET]])),SUBSTITUTE(Assessment[[#This Row],[JOB TARGET]],"EST","DEV"),Assessment[[#This Row],[JOB TARGET]])</f>
        <v>0</v>
      </c>
      <c r="M587" s="146" t="str" cm="1">
        <f t="array" aca="1" ref="M587" ca="1">IF(Assessment[[#This Row],[JOB TARGET]]="","Job Target Kosong",IF(COUNT(IF('Data Assessment'!$N587:$Z587-OFFSET(Standar!$B$2,MATCH(Assessment[[#This Row],[JOB TARGET
(DEV)]],Standar[NAMA JABATAN],0)-1,1,1,13)&lt;0,1,""))&lt;=3,'9 Grid'!$B$4,IF(COUNT(IF('Data Assessment'!$N587:$Z587-OFFSET(Standar!$B$2,MATCH(Assessment[[#This Row],[JOB TARGET
(DEV)]],Standar[NAMA JABATAN],0)-1,1,1,13)&lt;0,1,""))&gt;=7,'9 Grid'!$B$6,'9 Grid'!$B$5)))</f>
        <v>Job Target Kosong</v>
      </c>
      <c r="N587" s="146" t="str">
        <f>IFERROR(IF(Data_Assessment[[#This Row],[IPP (3 YEARS AVERAGE)]]="","(IPP Belum Ada)",IF(Data_Assessment[[#This Row],[IPP (3 YEARS AVERAGE)]]&lt;2,'9 Grid'!$F$2,IF(Data_Assessment[[#This Row],[IPP (3 YEARS AVERAGE)]]&gt;=4,'9 Grid'!$D$2,'9 Grid'!$E$2))),"")</f>
        <v>Exceptional Performance</v>
      </c>
      <c r="O587" s="146" t="str">
        <f ca="1">IFERROR(INDEX('9 Grid'!$D$4:$F$6,MATCH('Rekomendasi HAV'!M587,'9 Grid'!$B$4:$B$6,0),MATCH('Rekomendasi HAV'!N587,'9 Grid'!$D$2:$F$2,0)),"")</f>
        <v/>
      </c>
      <c r="P587" s="147" t="str">
        <f>IFERROR(INDEX('9 Grid'!$D$8:$F$8,1,MATCH('Rekomendasi HAV'!N587,'9 Grid'!$D$2:$F$2,0)),"")</f>
        <v>(I) Immediately</v>
      </c>
    </row>
    <row r="588" spans="1:16" ht="14.25">
      <c r="A588" s="67">
        <v>587</v>
      </c>
      <c r="B588" s="68" t="str">
        <f>INDEX(Data_Assessment[],MATCH('Rekomendasi HAV'!$A588,Data_Assessment[[INDEX]:[INDEX]],0),MATCH('Rekomendasi HAV'!B$1,Data_Assessment[#Headers],0))</f>
        <v>Basuki Eka Jaya, Ir.</v>
      </c>
      <c r="C588" s="68" t="str">
        <f>INDEX(Data_Assessment[],MATCH('Rekomendasi HAV'!$A588,Data_Assessment[[INDEX]:[INDEX]],0),MATCH('Rekomendasi HAV'!C$1,Data_Assessment[#Headers],0))</f>
        <v>Sumatera Utara</v>
      </c>
      <c r="D588" s="68" t="str">
        <f>INDEX(Data_Assessment[],MATCH('Rekomendasi HAV'!$A588,Data_Assessment[[INDEX]:[INDEX]],0),MATCH('Rekomendasi HAV'!D$1,Data_Assessment[#Headers],0))</f>
        <v>LSIP - Sei Rumbiya Estate</v>
      </c>
      <c r="E588" s="68">
        <f>INDEX(Data_Assessment[],MATCH('Rekomendasi HAV'!$B588,Data_Assessment[[NAME]:[NAME]],0),MATCH('Rekomendasi HAV'!E$1,Data_Assessment[#Headers],0))</f>
        <v>0</v>
      </c>
      <c r="F588" s="68"/>
      <c r="G588" s="68">
        <f>IF(ISNUMBER(SEARCH("DEV",Assessment[[#This Row],[JOB TARGET]])),SUBSTITUTE(Assessment[[#This Row],[JOB TARGET]],"DEV","EST"),Assessment[[#This Row],[JOB TARGET]])</f>
        <v>0</v>
      </c>
      <c r="H588" s="146" t="str" cm="1">
        <f t="array" aca="1" ref="H588" ca="1">IF(Assessment[[#This Row],[JOB TARGET]]="","Job Target Kosong",IF(COUNT(IF('Data Assessment'!$N588:$Z588-OFFSET(Standar!$B$2,MATCH(Assessment[[#This Row],[JOB TARGET
(EST)]],Standar[NAMA JABATAN],0)-1,1,1,13)&lt;0,1,""))&lt;=3,'9 Grid'!$B$4,IF(COUNT(IF('Data Assessment'!$N588:$Z588-OFFSET(Standar!$B$2,MATCH(Assessment[[#This Row],[JOB TARGET]],Standar[NAMA JABATAN],0)-1,1,1,13)&lt;0,1,""))&gt;=7,'9 Grid'!$B$6,'9 Grid'!$B$5)))</f>
        <v>Job Target Kosong</v>
      </c>
      <c r="I588" s="146" t="str">
        <f>IFERROR(IF(Data_Assessment[[#This Row],[IPP (3 YEARS AVERAGE)]]="","(IPP Belum Ada)",IF(Data_Assessment[[#This Row],[IPP (3 YEARS AVERAGE)]]&lt;2,'9 Grid'!$F$2,IF(Data_Assessment[[#This Row],[IPP (3 YEARS AVERAGE)]]&gt;=4,'9 Grid'!$D$2,'9 Grid'!$E$2))),"")</f>
        <v>Exceptional Performance</v>
      </c>
      <c r="J588" s="146" t="str">
        <f ca="1">IFERROR(INDEX('9 Grid'!$D$4:$F$6,MATCH('Rekomendasi HAV'!H588,'9 Grid'!$B$4:$B$6,0),MATCH('Rekomendasi HAV'!I588,'9 Grid'!$D$2:$F$2,0)),"")</f>
        <v/>
      </c>
      <c r="K588" s="146" t="str">
        <f>IFERROR(INDEX('9 Grid'!$D$8:$F$8,1,MATCH('Rekomendasi HAV'!I588,'9 Grid'!$D$2:$F$2,0)),"")</f>
        <v>(I) Immediately</v>
      </c>
      <c r="L588" s="146">
        <f>IF(ISNUMBER(SEARCH("EST",Assessment[[#This Row],[JOB TARGET]])),SUBSTITUTE(Assessment[[#This Row],[JOB TARGET]],"EST","DEV"),Assessment[[#This Row],[JOB TARGET]])</f>
        <v>0</v>
      </c>
      <c r="M588" s="146" t="str" cm="1">
        <f t="array" aca="1" ref="M588" ca="1">IF(Assessment[[#This Row],[JOB TARGET]]="","Job Target Kosong",IF(COUNT(IF('Data Assessment'!$N588:$Z588-OFFSET(Standar!$B$2,MATCH(Assessment[[#This Row],[JOB TARGET
(DEV)]],Standar[NAMA JABATAN],0)-1,1,1,13)&lt;0,1,""))&lt;=3,'9 Grid'!$B$4,IF(COUNT(IF('Data Assessment'!$N588:$Z588-OFFSET(Standar!$B$2,MATCH(Assessment[[#This Row],[JOB TARGET
(DEV)]],Standar[NAMA JABATAN],0)-1,1,1,13)&lt;0,1,""))&gt;=7,'9 Grid'!$B$6,'9 Grid'!$B$5)))</f>
        <v>Job Target Kosong</v>
      </c>
      <c r="N588" s="146" t="str">
        <f>IFERROR(IF(Data_Assessment[[#This Row],[IPP (3 YEARS AVERAGE)]]="","(IPP Belum Ada)",IF(Data_Assessment[[#This Row],[IPP (3 YEARS AVERAGE)]]&lt;2,'9 Grid'!$F$2,IF(Data_Assessment[[#This Row],[IPP (3 YEARS AVERAGE)]]&gt;=4,'9 Grid'!$D$2,'9 Grid'!$E$2))),"")</f>
        <v>Exceptional Performance</v>
      </c>
      <c r="O588" s="146" t="str">
        <f ca="1">IFERROR(INDEX('9 Grid'!$D$4:$F$6,MATCH('Rekomendasi HAV'!M588,'9 Grid'!$B$4:$B$6,0),MATCH('Rekomendasi HAV'!N588,'9 Grid'!$D$2:$F$2,0)),"")</f>
        <v/>
      </c>
      <c r="P588" s="147" t="str">
        <f>IFERROR(INDEX('9 Grid'!$D$8:$F$8,1,MATCH('Rekomendasi HAV'!N588,'9 Grid'!$D$2:$F$2,0)),"")</f>
        <v>(I) Immediately</v>
      </c>
    </row>
    <row r="589" spans="1:16" ht="14.25">
      <c r="A589" s="67">
        <v>588</v>
      </c>
      <c r="B589" s="68" t="str">
        <f>INDEX(Data_Assessment[],MATCH('Rekomendasi HAV'!$A589,Data_Assessment[[INDEX]:[INDEX]],0),MATCH('Rekomendasi HAV'!B$1,Data_Assessment[#Headers],0))</f>
        <v>Catur Riyadi</v>
      </c>
      <c r="C589" s="68" t="str">
        <f>INDEX(Data_Assessment[],MATCH('Rekomendasi HAV'!$A589,Data_Assessment[[INDEX]:[INDEX]],0),MATCH('Rekomendasi HAV'!C$1,Data_Assessment[#Headers],0))</f>
        <v>Sumatera Selatan</v>
      </c>
      <c r="D589" s="68" t="str">
        <f>INDEX(Data_Assessment[],MATCH('Rekomendasi HAV'!$A589,Data_Assessment[[INDEX]:[INDEX]],0),MATCH('Rekomendasi HAV'!D$1,Data_Assessment[#Headers],0))</f>
        <v>LSIP - Tirta Agung Palm Oil Mill</v>
      </c>
      <c r="E589" s="68">
        <f>INDEX(Data_Assessment[],MATCH('Rekomendasi HAV'!$B589,Data_Assessment[[NAME]:[NAME]],0),MATCH('Rekomendasi HAV'!E$1,Data_Assessment[#Headers],0))</f>
        <v>0</v>
      </c>
      <c r="F589" s="68"/>
      <c r="G589" s="68">
        <f>IF(ISNUMBER(SEARCH("DEV",Assessment[[#This Row],[JOB TARGET]])),SUBSTITUTE(Assessment[[#This Row],[JOB TARGET]],"DEV","EST"),Assessment[[#This Row],[JOB TARGET]])</f>
        <v>0</v>
      </c>
      <c r="H589" s="146" t="str" cm="1">
        <f t="array" aca="1" ref="H589" ca="1">IF(Assessment[[#This Row],[JOB TARGET]]="","Job Target Kosong",IF(COUNT(IF('Data Assessment'!$N589:$Z589-OFFSET(Standar!$B$2,MATCH(Assessment[[#This Row],[JOB TARGET
(EST)]],Standar[NAMA JABATAN],0)-1,1,1,13)&lt;0,1,""))&lt;=3,'9 Grid'!$B$4,IF(COUNT(IF('Data Assessment'!$N589:$Z589-OFFSET(Standar!$B$2,MATCH(Assessment[[#This Row],[JOB TARGET]],Standar[NAMA JABATAN],0)-1,1,1,13)&lt;0,1,""))&gt;=7,'9 Grid'!$B$6,'9 Grid'!$B$5)))</f>
        <v>Job Target Kosong</v>
      </c>
      <c r="I589" s="146" t="str">
        <f>IFERROR(IF(Data_Assessment[[#This Row],[IPP (3 YEARS AVERAGE)]]="","(IPP Belum Ada)",IF(Data_Assessment[[#This Row],[IPP (3 YEARS AVERAGE)]]&lt;2,'9 Grid'!$F$2,IF(Data_Assessment[[#This Row],[IPP (3 YEARS AVERAGE)]]&gt;=4,'9 Grid'!$D$2,'9 Grid'!$E$2))),"")</f>
        <v>Exceptional Performance</v>
      </c>
      <c r="J589" s="146" t="str">
        <f ca="1">IFERROR(INDEX('9 Grid'!$D$4:$F$6,MATCH('Rekomendasi HAV'!H589,'9 Grid'!$B$4:$B$6,0),MATCH('Rekomendasi HAV'!I589,'9 Grid'!$D$2:$F$2,0)),"")</f>
        <v/>
      </c>
      <c r="K589" s="146" t="str">
        <f>IFERROR(INDEX('9 Grid'!$D$8:$F$8,1,MATCH('Rekomendasi HAV'!I589,'9 Grid'!$D$2:$F$2,0)),"")</f>
        <v>(I) Immediately</v>
      </c>
      <c r="L589" s="146">
        <f>IF(ISNUMBER(SEARCH("EST",Assessment[[#This Row],[JOB TARGET]])),SUBSTITUTE(Assessment[[#This Row],[JOB TARGET]],"EST","DEV"),Assessment[[#This Row],[JOB TARGET]])</f>
        <v>0</v>
      </c>
      <c r="M589" s="146" t="str" cm="1">
        <f t="array" aca="1" ref="M589" ca="1">IF(Assessment[[#This Row],[JOB TARGET]]="","Job Target Kosong",IF(COUNT(IF('Data Assessment'!$N589:$Z589-OFFSET(Standar!$B$2,MATCH(Assessment[[#This Row],[JOB TARGET
(DEV)]],Standar[NAMA JABATAN],0)-1,1,1,13)&lt;0,1,""))&lt;=3,'9 Grid'!$B$4,IF(COUNT(IF('Data Assessment'!$N589:$Z589-OFFSET(Standar!$B$2,MATCH(Assessment[[#This Row],[JOB TARGET
(DEV)]],Standar[NAMA JABATAN],0)-1,1,1,13)&lt;0,1,""))&gt;=7,'9 Grid'!$B$6,'9 Grid'!$B$5)))</f>
        <v>Job Target Kosong</v>
      </c>
      <c r="N589" s="146" t="str">
        <f>IFERROR(IF(Data_Assessment[[#This Row],[IPP (3 YEARS AVERAGE)]]="","(IPP Belum Ada)",IF(Data_Assessment[[#This Row],[IPP (3 YEARS AVERAGE)]]&lt;2,'9 Grid'!$F$2,IF(Data_Assessment[[#This Row],[IPP (3 YEARS AVERAGE)]]&gt;=4,'9 Grid'!$D$2,'9 Grid'!$E$2))),"")</f>
        <v>Exceptional Performance</v>
      </c>
      <c r="O589" s="146" t="str">
        <f ca="1">IFERROR(INDEX('9 Grid'!$D$4:$F$6,MATCH('Rekomendasi HAV'!M589,'9 Grid'!$B$4:$B$6,0),MATCH('Rekomendasi HAV'!N589,'9 Grid'!$D$2:$F$2,0)),"")</f>
        <v/>
      </c>
      <c r="P589" s="147" t="str">
        <f>IFERROR(INDEX('9 Grid'!$D$8:$F$8,1,MATCH('Rekomendasi HAV'!N589,'9 Grid'!$D$2:$F$2,0)),"")</f>
        <v>(I) Immediately</v>
      </c>
    </row>
    <row r="590" spans="1:16" ht="28.5">
      <c r="A590" s="67">
        <v>589</v>
      </c>
      <c r="B590" s="68" t="str">
        <f>INDEX(Data_Assessment[],MATCH('Rekomendasi HAV'!$A590,Data_Assessment[[INDEX]:[INDEX]],0),MATCH('Rekomendasi HAV'!B$1,Data_Assessment[#Headers],0))</f>
        <v>Mahmudi Nasution, Ir.</v>
      </c>
      <c r="C590" s="68" t="str">
        <f>INDEX(Data_Assessment[],MATCH('Rekomendasi HAV'!$A590,Data_Assessment[[INDEX]:[INDEX]],0),MATCH('Rekomendasi HAV'!C$1,Data_Assessment[#Headers],0))</f>
        <v>Sumatera Utara</v>
      </c>
      <c r="D590" s="68" t="str">
        <f>INDEX(Data_Assessment[],MATCH('Rekomendasi HAV'!$A590,Data_Assessment[[INDEX]:[INDEX]],0),MATCH('Rekomendasi HAV'!D$1,Data_Assessment[#Headers],0))</f>
        <v>LSIP - Sei Rumbiya Estate</v>
      </c>
      <c r="E590" s="68">
        <f>INDEX(Data_Assessment[],MATCH('Rekomendasi HAV'!$B590,Data_Assessment[[NAME]:[NAME]],0),MATCH('Rekomendasi HAV'!E$1,Data_Assessment[#Headers],0))</f>
        <v>0</v>
      </c>
      <c r="F590" s="68"/>
      <c r="G590" s="68">
        <f>IF(ISNUMBER(SEARCH("DEV",Assessment[[#This Row],[JOB TARGET]])),SUBSTITUTE(Assessment[[#This Row],[JOB TARGET]],"DEV","EST"),Assessment[[#This Row],[JOB TARGET]])</f>
        <v>0</v>
      </c>
      <c r="H590" s="146" t="str" cm="1">
        <f t="array" aca="1" ref="H590" ca="1">IF(Assessment[[#This Row],[JOB TARGET]]="","Job Target Kosong",IF(COUNT(IF('Data Assessment'!$N590:$Z590-OFFSET(Standar!$B$2,MATCH(Assessment[[#This Row],[JOB TARGET
(EST)]],Standar[NAMA JABATAN],0)-1,1,1,13)&lt;0,1,""))&lt;=3,'9 Grid'!$B$4,IF(COUNT(IF('Data Assessment'!$N590:$Z590-OFFSET(Standar!$B$2,MATCH(Assessment[[#This Row],[JOB TARGET]],Standar[NAMA JABATAN],0)-1,1,1,13)&lt;0,1,""))&gt;=7,'9 Grid'!$B$6,'9 Grid'!$B$5)))</f>
        <v>Job Target Kosong</v>
      </c>
      <c r="I590" s="146" t="str">
        <f>IFERROR(IF(Data_Assessment[[#This Row],[IPP (3 YEARS AVERAGE)]]="","(IPP Belum Ada)",IF(Data_Assessment[[#This Row],[IPP (3 YEARS AVERAGE)]]&lt;2,'9 Grid'!$F$2,IF(Data_Assessment[[#This Row],[IPP (3 YEARS AVERAGE)]]&gt;=4,'9 Grid'!$D$2,'9 Grid'!$E$2))),"")</f>
        <v>Fully Competence Performance</v>
      </c>
      <c r="J590" s="146" t="str">
        <f ca="1">IFERROR(INDEX('9 Grid'!$D$4:$F$6,MATCH('Rekomendasi HAV'!H590,'9 Grid'!$B$4:$B$6,0),MATCH('Rekomendasi HAV'!I590,'9 Grid'!$D$2:$F$2,0)),"")</f>
        <v/>
      </c>
      <c r="K590" s="146" t="str">
        <f>IFERROR(INDEX('9 Grid'!$D$8:$F$8,1,MATCH('Rekomendasi HAV'!I590,'9 Grid'!$D$2:$F$2,0)),"")</f>
        <v>(ST) Within 12 - 18 month</v>
      </c>
      <c r="L590" s="146">
        <f>IF(ISNUMBER(SEARCH("EST",Assessment[[#This Row],[JOB TARGET]])),SUBSTITUTE(Assessment[[#This Row],[JOB TARGET]],"EST","DEV"),Assessment[[#This Row],[JOB TARGET]])</f>
        <v>0</v>
      </c>
      <c r="M590" s="146" t="str" cm="1">
        <f t="array" aca="1" ref="M590" ca="1">IF(Assessment[[#This Row],[JOB TARGET]]="","Job Target Kosong",IF(COUNT(IF('Data Assessment'!$N590:$Z590-OFFSET(Standar!$B$2,MATCH(Assessment[[#This Row],[JOB TARGET
(DEV)]],Standar[NAMA JABATAN],0)-1,1,1,13)&lt;0,1,""))&lt;=3,'9 Grid'!$B$4,IF(COUNT(IF('Data Assessment'!$N590:$Z590-OFFSET(Standar!$B$2,MATCH(Assessment[[#This Row],[JOB TARGET
(DEV)]],Standar[NAMA JABATAN],0)-1,1,1,13)&lt;0,1,""))&gt;=7,'9 Grid'!$B$6,'9 Grid'!$B$5)))</f>
        <v>Job Target Kosong</v>
      </c>
      <c r="N590" s="146" t="str">
        <f>IFERROR(IF(Data_Assessment[[#This Row],[IPP (3 YEARS AVERAGE)]]="","(IPP Belum Ada)",IF(Data_Assessment[[#This Row],[IPP (3 YEARS AVERAGE)]]&lt;2,'9 Grid'!$F$2,IF(Data_Assessment[[#This Row],[IPP (3 YEARS AVERAGE)]]&gt;=4,'9 Grid'!$D$2,'9 Grid'!$E$2))),"")</f>
        <v>Fully Competence Performance</v>
      </c>
      <c r="O590" s="146" t="str">
        <f ca="1">IFERROR(INDEX('9 Grid'!$D$4:$F$6,MATCH('Rekomendasi HAV'!M590,'9 Grid'!$B$4:$B$6,0),MATCH('Rekomendasi HAV'!N590,'9 Grid'!$D$2:$F$2,0)),"")</f>
        <v/>
      </c>
      <c r="P590" s="147" t="str">
        <f>IFERROR(INDEX('9 Grid'!$D$8:$F$8,1,MATCH('Rekomendasi HAV'!N590,'9 Grid'!$D$2:$F$2,0)),"")</f>
        <v>(ST) Within 12 - 18 month</v>
      </c>
    </row>
    <row r="591" spans="1:16" ht="28.5">
      <c r="A591" s="67">
        <v>590</v>
      </c>
      <c r="B591" s="68" t="str">
        <f>INDEX(Data_Assessment[],MATCH('Rekomendasi HAV'!$A591,Data_Assessment[[INDEX]:[INDEX]],0),MATCH('Rekomendasi HAV'!B$1,Data_Assessment[#Headers],0))</f>
        <v>Ahmad Zazili</v>
      </c>
      <c r="C591" s="68" t="str">
        <f>INDEX(Data_Assessment[],MATCH('Rekomendasi HAV'!$A591,Data_Assessment[[INDEX]:[INDEX]],0),MATCH('Rekomendasi HAV'!C$1,Data_Assessment[#Headers],0))</f>
        <v>Sumatera Selatan</v>
      </c>
      <c r="D591" s="68" t="str">
        <f>INDEX(Data_Assessment[],MATCH('Rekomendasi HAV'!$A591,Data_Assessment[[INDEX]:[INDEX]],0),MATCH('Rekomendasi HAV'!D$1,Data_Assessment[#Headers],0))</f>
        <v>LSIP - Tirta Agung Palm Oil Mill</v>
      </c>
      <c r="E591" s="68">
        <f>INDEX(Data_Assessment[],MATCH('Rekomendasi HAV'!$B591,Data_Assessment[[NAME]:[NAME]],0),MATCH('Rekomendasi HAV'!E$1,Data_Assessment[#Headers],0))</f>
        <v>0</v>
      </c>
      <c r="F591" s="68"/>
      <c r="G591" s="68">
        <f>IF(ISNUMBER(SEARCH("DEV",Assessment[[#This Row],[JOB TARGET]])),SUBSTITUTE(Assessment[[#This Row],[JOB TARGET]],"DEV","EST"),Assessment[[#This Row],[JOB TARGET]])</f>
        <v>0</v>
      </c>
      <c r="H591" s="146" t="str" cm="1">
        <f t="array" aca="1" ref="H591" ca="1">IF(Assessment[[#This Row],[JOB TARGET]]="","Job Target Kosong",IF(COUNT(IF('Data Assessment'!$N591:$Z591-OFFSET(Standar!$B$2,MATCH(Assessment[[#This Row],[JOB TARGET
(EST)]],Standar[NAMA JABATAN],0)-1,1,1,13)&lt;0,1,""))&lt;=3,'9 Grid'!$B$4,IF(COUNT(IF('Data Assessment'!$N591:$Z591-OFFSET(Standar!$B$2,MATCH(Assessment[[#This Row],[JOB TARGET]],Standar[NAMA JABATAN],0)-1,1,1,13)&lt;0,1,""))&gt;=7,'9 Grid'!$B$6,'9 Grid'!$B$5)))</f>
        <v>Job Target Kosong</v>
      </c>
      <c r="I591" s="146" t="str">
        <f>IFERROR(IF(Data_Assessment[[#This Row],[IPP (3 YEARS AVERAGE)]]="","(IPP Belum Ada)",IF(Data_Assessment[[#This Row],[IPP (3 YEARS AVERAGE)]]&lt;2,'9 Grid'!$F$2,IF(Data_Assessment[[#This Row],[IPP (3 YEARS AVERAGE)]]&gt;=4,'9 Grid'!$D$2,'9 Grid'!$E$2))),"")</f>
        <v>Fully Competence Performance</v>
      </c>
      <c r="J591" s="146" t="str">
        <f ca="1">IFERROR(INDEX('9 Grid'!$D$4:$F$6,MATCH('Rekomendasi HAV'!H591,'9 Grid'!$B$4:$B$6,0),MATCH('Rekomendasi HAV'!I591,'9 Grid'!$D$2:$F$2,0)),"")</f>
        <v/>
      </c>
      <c r="K591" s="146" t="str">
        <f>IFERROR(INDEX('9 Grid'!$D$8:$F$8,1,MATCH('Rekomendasi HAV'!I591,'9 Grid'!$D$2:$F$2,0)),"")</f>
        <v>(ST) Within 12 - 18 month</v>
      </c>
      <c r="L591" s="146">
        <f>IF(ISNUMBER(SEARCH("EST",Assessment[[#This Row],[JOB TARGET]])),SUBSTITUTE(Assessment[[#This Row],[JOB TARGET]],"EST","DEV"),Assessment[[#This Row],[JOB TARGET]])</f>
        <v>0</v>
      </c>
      <c r="M591" s="146" t="str" cm="1">
        <f t="array" aca="1" ref="M591" ca="1">IF(Assessment[[#This Row],[JOB TARGET]]="","Job Target Kosong",IF(COUNT(IF('Data Assessment'!$N591:$Z591-OFFSET(Standar!$B$2,MATCH(Assessment[[#This Row],[JOB TARGET
(DEV)]],Standar[NAMA JABATAN],0)-1,1,1,13)&lt;0,1,""))&lt;=3,'9 Grid'!$B$4,IF(COUNT(IF('Data Assessment'!$N591:$Z591-OFFSET(Standar!$B$2,MATCH(Assessment[[#This Row],[JOB TARGET
(DEV)]],Standar[NAMA JABATAN],0)-1,1,1,13)&lt;0,1,""))&gt;=7,'9 Grid'!$B$6,'9 Grid'!$B$5)))</f>
        <v>Job Target Kosong</v>
      </c>
      <c r="N591" s="146" t="str">
        <f>IFERROR(IF(Data_Assessment[[#This Row],[IPP (3 YEARS AVERAGE)]]="","(IPP Belum Ada)",IF(Data_Assessment[[#This Row],[IPP (3 YEARS AVERAGE)]]&lt;2,'9 Grid'!$F$2,IF(Data_Assessment[[#This Row],[IPP (3 YEARS AVERAGE)]]&gt;=4,'9 Grid'!$D$2,'9 Grid'!$E$2))),"")</f>
        <v>Fully Competence Performance</v>
      </c>
      <c r="O591" s="146" t="str">
        <f ca="1">IFERROR(INDEX('9 Grid'!$D$4:$F$6,MATCH('Rekomendasi HAV'!M591,'9 Grid'!$B$4:$B$6,0),MATCH('Rekomendasi HAV'!N591,'9 Grid'!$D$2:$F$2,0)),"")</f>
        <v/>
      </c>
      <c r="P591" s="147" t="str">
        <f>IFERROR(INDEX('9 Grid'!$D$8:$F$8,1,MATCH('Rekomendasi HAV'!N591,'9 Grid'!$D$2:$F$2,0)),"")</f>
        <v>(ST) Within 12 - 18 month</v>
      </c>
    </row>
    <row r="592" spans="1:16" ht="28.5">
      <c r="A592" s="67">
        <v>591</v>
      </c>
      <c r="B592" s="68" t="str">
        <f>INDEX(Data_Assessment[],MATCH('Rekomendasi HAV'!$A592,Data_Assessment[[INDEX]:[INDEX]],0),MATCH('Rekomendasi HAV'!B$1,Data_Assessment[#Headers],0))</f>
        <v>Ardiyanto, Ir.</v>
      </c>
      <c r="C592" s="68" t="str">
        <f>INDEX(Data_Assessment[],MATCH('Rekomendasi HAV'!$A592,Data_Assessment[[INDEX]:[INDEX]],0),MATCH('Rekomendasi HAV'!C$1,Data_Assessment[#Headers],0))</f>
        <v>Sumatera Utara</v>
      </c>
      <c r="D592" s="68" t="str">
        <f>INDEX(Data_Assessment[],MATCH('Rekomendasi HAV'!$A592,Data_Assessment[[INDEX]:[INDEX]],0),MATCH('Rekomendasi HAV'!D$1,Data_Assessment[#Headers],0))</f>
        <v>LSIP - Sei Rumbiya Estate</v>
      </c>
      <c r="E592" s="68">
        <f>INDEX(Data_Assessment[],MATCH('Rekomendasi HAV'!$B592,Data_Assessment[[NAME]:[NAME]],0),MATCH('Rekomendasi HAV'!E$1,Data_Assessment[#Headers],0))</f>
        <v>0</v>
      </c>
      <c r="F592" s="68"/>
      <c r="G592" s="68">
        <f>IF(ISNUMBER(SEARCH("DEV",Assessment[[#This Row],[JOB TARGET]])),SUBSTITUTE(Assessment[[#This Row],[JOB TARGET]],"DEV","EST"),Assessment[[#This Row],[JOB TARGET]])</f>
        <v>0</v>
      </c>
      <c r="H592" s="146" t="str" cm="1">
        <f t="array" aca="1" ref="H592" ca="1">IF(Assessment[[#This Row],[JOB TARGET]]="","Job Target Kosong",IF(COUNT(IF('Data Assessment'!$N592:$Z592-OFFSET(Standar!$B$2,MATCH(Assessment[[#This Row],[JOB TARGET
(EST)]],Standar[NAMA JABATAN],0)-1,1,1,13)&lt;0,1,""))&lt;=3,'9 Grid'!$B$4,IF(COUNT(IF('Data Assessment'!$N592:$Z592-OFFSET(Standar!$B$2,MATCH(Assessment[[#This Row],[JOB TARGET]],Standar[NAMA JABATAN],0)-1,1,1,13)&lt;0,1,""))&gt;=7,'9 Grid'!$B$6,'9 Grid'!$B$5)))</f>
        <v>Job Target Kosong</v>
      </c>
      <c r="I592" s="146" t="str">
        <f>IFERROR(IF(Data_Assessment[[#This Row],[IPP (3 YEARS AVERAGE)]]="","(IPP Belum Ada)",IF(Data_Assessment[[#This Row],[IPP (3 YEARS AVERAGE)]]&lt;2,'9 Grid'!$F$2,IF(Data_Assessment[[#This Row],[IPP (3 YEARS AVERAGE)]]&gt;=4,'9 Grid'!$D$2,'9 Grid'!$E$2))),"")</f>
        <v>Fully Competence Performance</v>
      </c>
      <c r="J592" s="146" t="str">
        <f ca="1">IFERROR(INDEX('9 Grid'!$D$4:$F$6,MATCH('Rekomendasi HAV'!H592,'9 Grid'!$B$4:$B$6,0),MATCH('Rekomendasi HAV'!I592,'9 Grid'!$D$2:$F$2,0)),"")</f>
        <v/>
      </c>
      <c r="K592" s="146" t="str">
        <f>IFERROR(INDEX('9 Grid'!$D$8:$F$8,1,MATCH('Rekomendasi HAV'!I592,'9 Grid'!$D$2:$F$2,0)),"")</f>
        <v>(ST) Within 12 - 18 month</v>
      </c>
      <c r="L592" s="146">
        <f>IF(ISNUMBER(SEARCH("EST",Assessment[[#This Row],[JOB TARGET]])),SUBSTITUTE(Assessment[[#This Row],[JOB TARGET]],"EST","DEV"),Assessment[[#This Row],[JOB TARGET]])</f>
        <v>0</v>
      </c>
      <c r="M592" s="146" t="str" cm="1">
        <f t="array" aca="1" ref="M592" ca="1">IF(Assessment[[#This Row],[JOB TARGET]]="","Job Target Kosong",IF(COUNT(IF('Data Assessment'!$N592:$Z592-OFFSET(Standar!$B$2,MATCH(Assessment[[#This Row],[JOB TARGET
(DEV)]],Standar[NAMA JABATAN],0)-1,1,1,13)&lt;0,1,""))&lt;=3,'9 Grid'!$B$4,IF(COUNT(IF('Data Assessment'!$N592:$Z592-OFFSET(Standar!$B$2,MATCH(Assessment[[#This Row],[JOB TARGET
(DEV)]],Standar[NAMA JABATAN],0)-1,1,1,13)&lt;0,1,""))&gt;=7,'9 Grid'!$B$6,'9 Grid'!$B$5)))</f>
        <v>Job Target Kosong</v>
      </c>
      <c r="N592" s="146" t="str">
        <f>IFERROR(IF(Data_Assessment[[#This Row],[IPP (3 YEARS AVERAGE)]]="","(IPP Belum Ada)",IF(Data_Assessment[[#This Row],[IPP (3 YEARS AVERAGE)]]&lt;2,'9 Grid'!$F$2,IF(Data_Assessment[[#This Row],[IPP (3 YEARS AVERAGE)]]&gt;=4,'9 Grid'!$D$2,'9 Grid'!$E$2))),"")</f>
        <v>Fully Competence Performance</v>
      </c>
      <c r="O592" s="146" t="str">
        <f ca="1">IFERROR(INDEX('9 Grid'!$D$4:$F$6,MATCH('Rekomendasi HAV'!M592,'9 Grid'!$B$4:$B$6,0),MATCH('Rekomendasi HAV'!N592,'9 Grid'!$D$2:$F$2,0)),"")</f>
        <v/>
      </c>
      <c r="P592" s="147" t="str">
        <f>IFERROR(INDEX('9 Grid'!$D$8:$F$8,1,MATCH('Rekomendasi HAV'!N592,'9 Grid'!$D$2:$F$2,0)),"")</f>
        <v>(ST) Within 12 - 18 month</v>
      </c>
    </row>
    <row r="593" spans="1:16" ht="28.5">
      <c r="A593" s="67">
        <v>592</v>
      </c>
      <c r="B593" s="68" t="str">
        <f>INDEX(Data_Assessment[],MATCH('Rekomendasi HAV'!$A593,Data_Assessment[[INDEX]:[INDEX]],0),MATCH('Rekomendasi HAV'!B$1,Data_Assessment[#Headers],0))</f>
        <v>Harun Antonius Surbakti</v>
      </c>
      <c r="C593" s="68" t="str">
        <f>INDEX(Data_Assessment[],MATCH('Rekomendasi HAV'!$A593,Data_Assessment[[INDEX]:[INDEX]],0),MATCH('Rekomendasi HAV'!C$1,Data_Assessment[#Headers],0))</f>
        <v>Sumatera Selatan</v>
      </c>
      <c r="D593" s="68" t="str">
        <f>INDEX(Data_Assessment[],MATCH('Rekomendasi HAV'!$A593,Data_Assessment[[INDEX]:[INDEX]],0),MATCH('Rekomendasi HAV'!D$1,Data_Assessment[#Headers],0))</f>
        <v>LSIP - Cengal Rubber Factory</v>
      </c>
      <c r="E593" s="68">
        <f>INDEX(Data_Assessment[],MATCH('Rekomendasi HAV'!$B593,Data_Assessment[[NAME]:[NAME]],0),MATCH('Rekomendasi HAV'!E$1,Data_Assessment[#Headers],0))</f>
        <v>0</v>
      </c>
      <c r="F593" s="68"/>
      <c r="G593" s="68">
        <f>IF(ISNUMBER(SEARCH("DEV",Assessment[[#This Row],[JOB TARGET]])),SUBSTITUTE(Assessment[[#This Row],[JOB TARGET]],"DEV","EST"),Assessment[[#This Row],[JOB TARGET]])</f>
        <v>0</v>
      </c>
      <c r="H593" s="146" t="str" cm="1">
        <f t="array" aca="1" ref="H593" ca="1">IF(Assessment[[#This Row],[JOB TARGET]]="","Job Target Kosong",IF(COUNT(IF('Data Assessment'!$N593:$Z593-OFFSET(Standar!$B$2,MATCH(Assessment[[#This Row],[JOB TARGET
(EST)]],Standar[NAMA JABATAN],0)-1,1,1,13)&lt;0,1,""))&lt;=3,'9 Grid'!$B$4,IF(COUNT(IF('Data Assessment'!$N593:$Z593-OFFSET(Standar!$B$2,MATCH(Assessment[[#This Row],[JOB TARGET]],Standar[NAMA JABATAN],0)-1,1,1,13)&lt;0,1,""))&gt;=7,'9 Grid'!$B$6,'9 Grid'!$B$5)))</f>
        <v>Job Target Kosong</v>
      </c>
      <c r="I593" s="146" t="str">
        <f>IFERROR(IF(Data_Assessment[[#This Row],[IPP (3 YEARS AVERAGE)]]="","(IPP Belum Ada)",IF(Data_Assessment[[#This Row],[IPP (3 YEARS AVERAGE)]]&lt;2,'9 Grid'!$F$2,IF(Data_Assessment[[#This Row],[IPP (3 YEARS AVERAGE)]]&gt;=4,'9 Grid'!$D$2,'9 Grid'!$E$2))),"")</f>
        <v>Fully Competence Performance</v>
      </c>
      <c r="J593" s="146" t="str">
        <f ca="1">IFERROR(INDEX('9 Grid'!$D$4:$F$6,MATCH('Rekomendasi HAV'!H593,'9 Grid'!$B$4:$B$6,0),MATCH('Rekomendasi HAV'!I593,'9 Grid'!$D$2:$F$2,0)),"")</f>
        <v/>
      </c>
      <c r="K593" s="146" t="str">
        <f>IFERROR(INDEX('9 Grid'!$D$8:$F$8,1,MATCH('Rekomendasi HAV'!I593,'9 Grid'!$D$2:$F$2,0)),"")</f>
        <v>(ST) Within 12 - 18 month</v>
      </c>
      <c r="L593" s="146">
        <f>IF(ISNUMBER(SEARCH("EST",Assessment[[#This Row],[JOB TARGET]])),SUBSTITUTE(Assessment[[#This Row],[JOB TARGET]],"EST","DEV"),Assessment[[#This Row],[JOB TARGET]])</f>
        <v>0</v>
      </c>
      <c r="M593" s="146" t="str" cm="1">
        <f t="array" aca="1" ref="M593" ca="1">IF(Assessment[[#This Row],[JOB TARGET]]="","Job Target Kosong",IF(COUNT(IF('Data Assessment'!$N593:$Z593-OFFSET(Standar!$B$2,MATCH(Assessment[[#This Row],[JOB TARGET
(DEV)]],Standar[NAMA JABATAN],0)-1,1,1,13)&lt;0,1,""))&lt;=3,'9 Grid'!$B$4,IF(COUNT(IF('Data Assessment'!$N593:$Z593-OFFSET(Standar!$B$2,MATCH(Assessment[[#This Row],[JOB TARGET
(DEV)]],Standar[NAMA JABATAN],0)-1,1,1,13)&lt;0,1,""))&gt;=7,'9 Grid'!$B$6,'9 Grid'!$B$5)))</f>
        <v>Job Target Kosong</v>
      </c>
      <c r="N593" s="146" t="str">
        <f>IFERROR(IF(Data_Assessment[[#This Row],[IPP (3 YEARS AVERAGE)]]="","(IPP Belum Ada)",IF(Data_Assessment[[#This Row],[IPP (3 YEARS AVERAGE)]]&lt;2,'9 Grid'!$F$2,IF(Data_Assessment[[#This Row],[IPP (3 YEARS AVERAGE)]]&gt;=4,'9 Grid'!$D$2,'9 Grid'!$E$2))),"")</f>
        <v>Fully Competence Performance</v>
      </c>
      <c r="O593" s="146" t="str">
        <f ca="1">IFERROR(INDEX('9 Grid'!$D$4:$F$6,MATCH('Rekomendasi HAV'!M593,'9 Grid'!$B$4:$B$6,0),MATCH('Rekomendasi HAV'!N593,'9 Grid'!$D$2:$F$2,0)),"")</f>
        <v/>
      </c>
      <c r="P593" s="147" t="str">
        <f>IFERROR(INDEX('9 Grid'!$D$8:$F$8,1,MATCH('Rekomendasi HAV'!N593,'9 Grid'!$D$2:$F$2,0)),"")</f>
        <v>(ST) Within 12 - 18 month</v>
      </c>
    </row>
    <row r="594" spans="1:16" ht="14.25">
      <c r="A594" s="67">
        <v>593</v>
      </c>
      <c r="B594" s="68" t="str">
        <f>INDEX(Data_Assessment[],MATCH('Rekomendasi HAV'!$A594,Data_Assessment[[INDEX]:[INDEX]],0),MATCH('Rekomendasi HAV'!B$1,Data_Assessment[#Headers],0))</f>
        <v>Muchlisin</v>
      </c>
      <c r="C594" s="68" t="str">
        <f>INDEX(Data_Assessment[],MATCH('Rekomendasi HAV'!$A594,Data_Assessment[[INDEX]:[INDEX]],0),MATCH('Rekomendasi HAV'!C$1,Data_Assessment[#Headers],0))</f>
        <v>Sumatera Utara</v>
      </c>
      <c r="D594" s="68" t="str">
        <f>INDEX(Data_Assessment[],MATCH('Rekomendasi HAV'!$A594,Data_Assessment[[INDEX]:[INDEX]],0),MATCH('Rekomendasi HAV'!D$1,Data_Assessment[#Headers],0))</f>
        <v>LSIP - Sei Rumbiya Estate</v>
      </c>
      <c r="E594" s="68">
        <f>INDEX(Data_Assessment[],MATCH('Rekomendasi HAV'!$B594,Data_Assessment[[NAME]:[NAME]],0),MATCH('Rekomendasi HAV'!E$1,Data_Assessment[#Headers],0))</f>
        <v>0</v>
      </c>
      <c r="F594" s="68"/>
      <c r="G594" s="68">
        <f>IF(ISNUMBER(SEARCH("DEV",Assessment[[#This Row],[JOB TARGET]])),SUBSTITUTE(Assessment[[#This Row],[JOB TARGET]],"DEV","EST"),Assessment[[#This Row],[JOB TARGET]])</f>
        <v>0</v>
      </c>
      <c r="H594" s="146" t="str" cm="1">
        <f t="array" aca="1" ref="H594" ca="1">IF(Assessment[[#This Row],[JOB TARGET]]="","Job Target Kosong",IF(COUNT(IF('Data Assessment'!$N594:$Z594-OFFSET(Standar!$B$2,MATCH(Assessment[[#This Row],[JOB TARGET
(EST)]],Standar[NAMA JABATAN],0)-1,1,1,13)&lt;0,1,""))&lt;=3,'9 Grid'!$B$4,IF(COUNT(IF('Data Assessment'!$N594:$Z594-OFFSET(Standar!$B$2,MATCH(Assessment[[#This Row],[JOB TARGET]],Standar[NAMA JABATAN],0)-1,1,1,13)&lt;0,1,""))&gt;=7,'9 Grid'!$B$6,'9 Grid'!$B$5)))</f>
        <v>Job Target Kosong</v>
      </c>
      <c r="I594" s="146" t="str">
        <f>IFERROR(IF(Data_Assessment[[#This Row],[IPP (3 YEARS AVERAGE)]]="","(IPP Belum Ada)",IF(Data_Assessment[[#This Row],[IPP (3 YEARS AVERAGE)]]&lt;2,'9 Grid'!$F$2,IF(Data_Assessment[[#This Row],[IPP (3 YEARS AVERAGE)]]&gt;=4,'9 Grid'!$D$2,'9 Grid'!$E$2))),"")</f>
        <v>Exceptional Performance</v>
      </c>
      <c r="J594" s="146" t="str">
        <f ca="1">IFERROR(INDEX('9 Grid'!$D$4:$F$6,MATCH('Rekomendasi HAV'!H594,'9 Grid'!$B$4:$B$6,0),MATCH('Rekomendasi HAV'!I594,'9 Grid'!$D$2:$F$2,0)),"")</f>
        <v/>
      </c>
      <c r="K594" s="146" t="str">
        <f>IFERROR(INDEX('9 Grid'!$D$8:$F$8,1,MATCH('Rekomendasi HAV'!I594,'9 Grid'!$D$2:$F$2,0)),"")</f>
        <v>(I) Immediately</v>
      </c>
      <c r="L594" s="146">
        <f>IF(ISNUMBER(SEARCH("EST",Assessment[[#This Row],[JOB TARGET]])),SUBSTITUTE(Assessment[[#This Row],[JOB TARGET]],"EST","DEV"),Assessment[[#This Row],[JOB TARGET]])</f>
        <v>0</v>
      </c>
      <c r="M594" s="146" t="str" cm="1">
        <f t="array" aca="1" ref="M594" ca="1">IF(Assessment[[#This Row],[JOB TARGET]]="","Job Target Kosong",IF(COUNT(IF('Data Assessment'!$N594:$Z594-OFFSET(Standar!$B$2,MATCH(Assessment[[#This Row],[JOB TARGET
(DEV)]],Standar[NAMA JABATAN],0)-1,1,1,13)&lt;0,1,""))&lt;=3,'9 Grid'!$B$4,IF(COUNT(IF('Data Assessment'!$N594:$Z594-OFFSET(Standar!$B$2,MATCH(Assessment[[#This Row],[JOB TARGET
(DEV)]],Standar[NAMA JABATAN],0)-1,1,1,13)&lt;0,1,""))&gt;=7,'9 Grid'!$B$6,'9 Grid'!$B$5)))</f>
        <v>Job Target Kosong</v>
      </c>
      <c r="N594" s="146" t="str">
        <f>IFERROR(IF(Data_Assessment[[#This Row],[IPP (3 YEARS AVERAGE)]]="","(IPP Belum Ada)",IF(Data_Assessment[[#This Row],[IPP (3 YEARS AVERAGE)]]&lt;2,'9 Grid'!$F$2,IF(Data_Assessment[[#This Row],[IPP (3 YEARS AVERAGE)]]&gt;=4,'9 Grid'!$D$2,'9 Grid'!$E$2))),"")</f>
        <v>Exceptional Performance</v>
      </c>
      <c r="O594" s="146" t="str">
        <f ca="1">IFERROR(INDEX('9 Grid'!$D$4:$F$6,MATCH('Rekomendasi HAV'!M594,'9 Grid'!$B$4:$B$6,0),MATCH('Rekomendasi HAV'!N594,'9 Grid'!$D$2:$F$2,0)),"")</f>
        <v/>
      </c>
      <c r="P594" s="147" t="str">
        <f>IFERROR(INDEX('9 Grid'!$D$8:$F$8,1,MATCH('Rekomendasi HAV'!N594,'9 Grid'!$D$2:$F$2,0)),"")</f>
        <v>(I) Immediately</v>
      </c>
    </row>
    <row r="595" spans="1:16" ht="14.25">
      <c r="A595" s="67">
        <v>594</v>
      </c>
      <c r="B595" s="68" t="str">
        <f>INDEX(Data_Assessment[],MATCH('Rekomendasi HAV'!$A595,Data_Assessment[[INDEX]:[INDEX]],0),MATCH('Rekomendasi HAV'!B$1,Data_Assessment[#Headers],0))</f>
        <v>Parhan Asyura</v>
      </c>
      <c r="C595" s="68" t="str">
        <f>INDEX(Data_Assessment[],MATCH('Rekomendasi HAV'!$A595,Data_Assessment[[INDEX]:[INDEX]],0),MATCH('Rekomendasi HAV'!C$1,Data_Assessment[#Headers],0))</f>
        <v>Sumatera Selatan</v>
      </c>
      <c r="D595" s="68" t="str">
        <f>INDEX(Data_Assessment[],MATCH('Rekomendasi HAV'!$A595,Data_Assessment[[INDEX]:[INDEX]],0),MATCH('Rekomendasi HAV'!D$1,Data_Assessment[#Headers],0))</f>
        <v>LSIP - Kencana Sari Palm Oil Mill</v>
      </c>
      <c r="E595" s="68">
        <f>INDEX(Data_Assessment[],MATCH('Rekomendasi HAV'!$B595,Data_Assessment[[NAME]:[NAME]],0),MATCH('Rekomendasi HAV'!E$1,Data_Assessment[#Headers],0))</f>
        <v>0</v>
      </c>
      <c r="F595" s="68"/>
      <c r="G595" s="68">
        <f>IF(ISNUMBER(SEARCH("DEV",Assessment[[#This Row],[JOB TARGET]])),SUBSTITUTE(Assessment[[#This Row],[JOB TARGET]],"DEV","EST"),Assessment[[#This Row],[JOB TARGET]])</f>
        <v>0</v>
      </c>
      <c r="H595" s="146" t="str" cm="1">
        <f t="array" aca="1" ref="H595" ca="1">IF(Assessment[[#This Row],[JOB TARGET]]="","Job Target Kosong",IF(COUNT(IF('Data Assessment'!$N595:$Z595-OFFSET(Standar!$B$2,MATCH(Assessment[[#This Row],[JOB TARGET
(EST)]],Standar[NAMA JABATAN],0)-1,1,1,13)&lt;0,1,""))&lt;=3,'9 Grid'!$B$4,IF(COUNT(IF('Data Assessment'!$N595:$Z595-OFFSET(Standar!$B$2,MATCH(Assessment[[#This Row],[JOB TARGET]],Standar[NAMA JABATAN],0)-1,1,1,13)&lt;0,1,""))&gt;=7,'9 Grid'!$B$6,'9 Grid'!$B$5)))</f>
        <v>Job Target Kosong</v>
      </c>
      <c r="I595" s="146" t="str">
        <f>IFERROR(IF(Data_Assessment[[#This Row],[IPP (3 YEARS AVERAGE)]]="","(IPP Belum Ada)",IF(Data_Assessment[[#This Row],[IPP (3 YEARS AVERAGE)]]&lt;2,'9 Grid'!$F$2,IF(Data_Assessment[[#This Row],[IPP (3 YEARS AVERAGE)]]&gt;=4,'9 Grid'!$D$2,'9 Grid'!$E$2))),"")</f>
        <v>Exceptional Performance</v>
      </c>
      <c r="J595" s="146" t="str">
        <f ca="1">IFERROR(INDEX('9 Grid'!$D$4:$F$6,MATCH('Rekomendasi HAV'!H595,'9 Grid'!$B$4:$B$6,0),MATCH('Rekomendasi HAV'!I595,'9 Grid'!$D$2:$F$2,0)),"")</f>
        <v/>
      </c>
      <c r="K595" s="146" t="str">
        <f>IFERROR(INDEX('9 Grid'!$D$8:$F$8,1,MATCH('Rekomendasi HAV'!I595,'9 Grid'!$D$2:$F$2,0)),"")</f>
        <v>(I) Immediately</v>
      </c>
      <c r="L595" s="146">
        <f>IF(ISNUMBER(SEARCH("EST",Assessment[[#This Row],[JOB TARGET]])),SUBSTITUTE(Assessment[[#This Row],[JOB TARGET]],"EST","DEV"),Assessment[[#This Row],[JOB TARGET]])</f>
        <v>0</v>
      </c>
      <c r="M595" s="146" t="str" cm="1">
        <f t="array" aca="1" ref="M595" ca="1">IF(Assessment[[#This Row],[JOB TARGET]]="","Job Target Kosong",IF(COUNT(IF('Data Assessment'!$N595:$Z595-OFFSET(Standar!$B$2,MATCH(Assessment[[#This Row],[JOB TARGET
(DEV)]],Standar[NAMA JABATAN],0)-1,1,1,13)&lt;0,1,""))&lt;=3,'9 Grid'!$B$4,IF(COUNT(IF('Data Assessment'!$N595:$Z595-OFFSET(Standar!$B$2,MATCH(Assessment[[#This Row],[JOB TARGET
(DEV)]],Standar[NAMA JABATAN],0)-1,1,1,13)&lt;0,1,""))&gt;=7,'9 Grid'!$B$6,'9 Grid'!$B$5)))</f>
        <v>Job Target Kosong</v>
      </c>
      <c r="N595" s="146" t="str">
        <f>IFERROR(IF(Data_Assessment[[#This Row],[IPP (3 YEARS AVERAGE)]]="","(IPP Belum Ada)",IF(Data_Assessment[[#This Row],[IPP (3 YEARS AVERAGE)]]&lt;2,'9 Grid'!$F$2,IF(Data_Assessment[[#This Row],[IPP (3 YEARS AVERAGE)]]&gt;=4,'9 Grid'!$D$2,'9 Grid'!$E$2))),"")</f>
        <v>Exceptional Performance</v>
      </c>
      <c r="O595" s="146" t="str">
        <f ca="1">IFERROR(INDEX('9 Grid'!$D$4:$F$6,MATCH('Rekomendasi HAV'!M595,'9 Grid'!$B$4:$B$6,0),MATCH('Rekomendasi HAV'!N595,'9 Grid'!$D$2:$F$2,0)),"")</f>
        <v/>
      </c>
      <c r="P595" s="147" t="str">
        <f>IFERROR(INDEX('9 Grid'!$D$8:$F$8,1,MATCH('Rekomendasi HAV'!N595,'9 Grid'!$D$2:$F$2,0)),"")</f>
        <v>(I) Immediately</v>
      </c>
    </row>
    <row r="596" spans="1:16" ht="28.5">
      <c r="A596" s="67">
        <v>595</v>
      </c>
      <c r="B596" s="68" t="str">
        <f>INDEX(Data_Assessment[],MATCH('Rekomendasi HAV'!$A596,Data_Assessment[[INDEX]:[INDEX]],0),MATCH('Rekomendasi HAV'!B$1,Data_Assessment[#Headers],0))</f>
        <v>Sumantri</v>
      </c>
      <c r="C596" s="68" t="str">
        <f>INDEX(Data_Assessment[],MATCH('Rekomendasi HAV'!$A596,Data_Assessment[[INDEX]:[INDEX]],0),MATCH('Rekomendasi HAV'!C$1,Data_Assessment[#Headers],0))</f>
        <v>Sumatera Selatan</v>
      </c>
      <c r="D596" s="68" t="str">
        <f>INDEX(Data_Assessment[],MATCH('Rekomendasi HAV'!$A596,Data_Assessment[[INDEX]:[INDEX]],0),MATCH('Rekomendasi HAV'!D$1,Data_Assessment[#Headers],0))</f>
        <v>LSIP - Kencana Sari Palm Oil Mill</v>
      </c>
      <c r="E596" s="68">
        <f>INDEX(Data_Assessment[],MATCH('Rekomendasi HAV'!$B596,Data_Assessment[[NAME]:[NAME]],0),MATCH('Rekomendasi HAV'!E$1,Data_Assessment[#Headers],0))</f>
        <v>0</v>
      </c>
      <c r="F596" s="68"/>
      <c r="G596" s="68">
        <f>IF(ISNUMBER(SEARCH("DEV",Assessment[[#This Row],[JOB TARGET]])),SUBSTITUTE(Assessment[[#This Row],[JOB TARGET]],"DEV","EST"),Assessment[[#This Row],[JOB TARGET]])</f>
        <v>0</v>
      </c>
      <c r="H596" s="146" t="str" cm="1">
        <f t="array" aca="1" ref="H596" ca="1">IF(Assessment[[#This Row],[JOB TARGET]]="","Job Target Kosong",IF(COUNT(IF('Data Assessment'!$N596:$Z596-OFFSET(Standar!$B$2,MATCH(Assessment[[#This Row],[JOB TARGET
(EST)]],Standar[NAMA JABATAN],0)-1,1,1,13)&lt;0,1,""))&lt;=3,'9 Grid'!$B$4,IF(COUNT(IF('Data Assessment'!$N596:$Z596-OFFSET(Standar!$B$2,MATCH(Assessment[[#This Row],[JOB TARGET]],Standar[NAMA JABATAN],0)-1,1,1,13)&lt;0,1,""))&gt;=7,'9 Grid'!$B$6,'9 Grid'!$B$5)))</f>
        <v>Job Target Kosong</v>
      </c>
      <c r="I596" s="146" t="str">
        <f>IFERROR(IF(Data_Assessment[[#This Row],[IPP (3 YEARS AVERAGE)]]="","(IPP Belum Ada)",IF(Data_Assessment[[#This Row],[IPP (3 YEARS AVERAGE)]]&lt;2,'9 Grid'!$F$2,IF(Data_Assessment[[#This Row],[IPP (3 YEARS AVERAGE)]]&gt;=4,'9 Grid'!$D$2,'9 Grid'!$E$2))),"")</f>
        <v>Fully Competence Performance</v>
      </c>
      <c r="J596" s="146" t="str">
        <f ca="1">IFERROR(INDEX('9 Grid'!$D$4:$F$6,MATCH('Rekomendasi HAV'!H596,'9 Grid'!$B$4:$B$6,0),MATCH('Rekomendasi HAV'!I596,'9 Grid'!$D$2:$F$2,0)),"")</f>
        <v/>
      </c>
      <c r="K596" s="146" t="str">
        <f>IFERROR(INDEX('9 Grid'!$D$8:$F$8,1,MATCH('Rekomendasi HAV'!I596,'9 Grid'!$D$2:$F$2,0)),"")</f>
        <v>(ST) Within 12 - 18 month</v>
      </c>
      <c r="L596" s="146">
        <f>IF(ISNUMBER(SEARCH("EST",Assessment[[#This Row],[JOB TARGET]])),SUBSTITUTE(Assessment[[#This Row],[JOB TARGET]],"EST","DEV"),Assessment[[#This Row],[JOB TARGET]])</f>
        <v>0</v>
      </c>
      <c r="M596" s="146" t="str" cm="1">
        <f t="array" aca="1" ref="M596" ca="1">IF(Assessment[[#This Row],[JOB TARGET]]="","Job Target Kosong",IF(COUNT(IF('Data Assessment'!$N596:$Z596-OFFSET(Standar!$B$2,MATCH(Assessment[[#This Row],[JOB TARGET
(DEV)]],Standar[NAMA JABATAN],0)-1,1,1,13)&lt;0,1,""))&lt;=3,'9 Grid'!$B$4,IF(COUNT(IF('Data Assessment'!$N596:$Z596-OFFSET(Standar!$B$2,MATCH(Assessment[[#This Row],[JOB TARGET
(DEV)]],Standar[NAMA JABATAN],0)-1,1,1,13)&lt;0,1,""))&gt;=7,'9 Grid'!$B$6,'9 Grid'!$B$5)))</f>
        <v>Job Target Kosong</v>
      </c>
      <c r="N596" s="146" t="str">
        <f>IFERROR(IF(Data_Assessment[[#This Row],[IPP (3 YEARS AVERAGE)]]="","(IPP Belum Ada)",IF(Data_Assessment[[#This Row],[IPP (3 YEARS AVERAGE)]]&lt;2,'9 Grid'!$F$2,IF(Data_Assessment[[#This Row],[IPP (3 YEARS AVERAGE)]]&gt;=4,'9 Grid'!$D$2,'9 Grid'!$E$2))),"")</f>
        <v>Fully Competence Performance</v>
      </c>
      <c r="O596" s="146" t="str">
        <f ca="1">IFERROR(INDEX('9 Grid'!$D$4:$F$6,MATCH('Rekomendasi HAV'!M596,'9 Grid'!$B$4:$B$6,0),MATCH('Rekomendasi HAV'!N596,'9 Grid'!$D$2:$F$2,0)),"")</f>
        <v/>
      </c>
      <c r="P596" s="147" t="str">
        <f>IFERROR(INDEX('9 Grid'!$D$8:$F$8,1,MATCH('Rekomendasi HAV'!N596,'9 Grid'!$D$2:$F$2,0)),"")</f>
        <v>(ST) Within 12 - 18 month</v>
      </c>
    </row>
    <row r="597" spans="1:16" ht="28.5">
      <c r="A597" s="67">
        <v>596</v>
      </c>
      <c r="B597" s="68" t="str">
        <f>INDEX(Data_Assessment[],MATCH('Rekomendasi HAV'!$A597,Data_Assessment[[INDEX]:[INDEX]],0),MATCH('Rekomendasi HAV'!B$1,Data_Assessment[#Headers],0))</f>
        <v>Wesly Pasaribu</v>
      </c>
      <c r="C597" s="68" t="str">
        <f>INDEX(Data_Assessment[],MATCH('Rekomendasi HAV'!$A597,Data_Assessment[[INDEX]:[INDEX]],0),MATCH('Rekomendasi HAV'!C$1,Data_Assessment[#Headers],0))</f>
        <v>Sumatera Selatan</v>
      </c>
      <c r="D597" s="68" t="str">
        <f>INDEX(Data_Assessment[],MATCH('Rekomendasi HAV'!$A597,Data_Assessment[[INDEX]:[INDEX]],0),MATCH('Rekomendasi HAV'!D$1,Data_Assessment[#Headers],0))</f>
        <v>LSIP - Kencana Sari Palm Oil Mill</v>
      </c>
      <c r="E597" s="68">
        <f>INDEX(Data_Assessment[],MATCH('Rekomendasi HAV'!$B597,Data_Assessment[[NAME]:[NAME]],0),MATCH('Rekomendasi HAV'!E$1,Data_Assessment[#Headers],0))</f>
        <v>0</v>
      </c>
      <c r="F597" s="68"/>
      <c r="G597" s="68">
        <f>IF(ISNUMBER(SEARCH("DEV",Assessment[[#This Row],[JOB TARGET]])),SUBSTITUTE(Assessment[[#This Row],[JOB TARGET]],"DEV","EST"),Assessment[[#This Row],[JOB TARGET]])</f>
        <v>0</v>
      </c>
      <c r="H597" s="146" t="str" cm="1">
        <f t="array" aca="1" ref="H597" ca="1">IF(Assessment[[#This Row],[JOB TARGET]]="","Job Target Kosong",IF(COUNT(IF('Data Assessment'!$N597:$Z597-OFFSET(Standar!$B$2,MATCH(Assessment[[#This Row],[JOB TARGET
(EST)]],Standar[NAMA JABATAN],0)-1,1,1,13)&lt;0,1,""))&lt;=3,'9 Grid'!$B$4,IF(COUNT(IF('Data Assessment'!$N597:$Z597-OFFSET(Standar!$B$2,MATCH(Assessment[[#This Row],[JOB TARGET]],Standar[NAMA JABATAN],0)-1,1,1,13)&lt;0,1,""))&gt;=7,'9 Grid'!$B$6,'9 Grid'!$B$5)))</f>
        <v>Job Target Kosong</v>
      </c>
      <c r="I597" s="146" t="str">
        <f>IFERROR(IF(Data_Assessment[[#This Row],[IPP (3 YEARS AVERAGE)]]="","(IPP Belum Ada)",IF(Data_Assessment[[#This Row],[IPP (3 YEARS AVERAGE)]]&lt;2,'9 Grid'!$F$2,IF(Data_Assessment[[#This Row],[IPP (3 YEARS AVERAGE)]]&gt;=4,'9 Grid'!$D$2,'9 Grid'!$E$2))),"")</f>
        <v>Fully Competence Performance</v>
      </c>
      <c r="J597" s="146" t="str">
        <f ca="1">IFERROR(INDEX('9 Grid'!$D$4:$F$6,MATCH('Rekomendasi HAV'!H597,'9 Grid'!$B$4:$B$6,0),MATCH('Rekomendasi HAV'!I597,'9 Grid'!$D$2:$F$2,0)),"")</f>
        <v/>
      </c>
      <c r="K597" s="146" t="str">
        <f>IFERROR(INDEX('9 Grid'!$D$8:$F$8,1,MATCH('Rekomendasi HAV'!I597,'9 Grid'!$D$2:$F$2,0)),"")</f>
        <v>(ST) Within 12 - 18 month</v>
      </c>
      <c r="L597" s="146">
        <f>IF(ISNUMBER(SEARCH("EST",Assessment[[#This Row],[JOB TARGET]])),SUBSTITUTE(Assessment[[#This Row],[JOB TARGET]],"EST","DEV"),Assessment[[#This Row],[JOB TARGET]])</f>
        <v>0</v>
      </c>
      <c r="M597" s="146" t="str" cm="1">
        <f t="array" aca="1" ref="M597" ca="1">IF(Assessment[[#This Row],[JOB TARGET]]="","Job Target Kosong",IF(COUNT(IF('Data Assessment'!$N597:$Z597-OFFSET(Standar!$B$2,MATCH(Assessment[[#This Row],[JOB TARGET
(DEV)]],Standar[NAMA JABATAN],0)-1,1,1,13)&lt;0,1,""))&lt;=3,'9 Grid'!$B$4,IF(COUNT(IF('Data Assessment'!$N597:$Z597-OFFSET(Standar!$B$2,MATCH(Assessment[[#This Row],[JOB TARGET
(DEV)]],Standar[NAMA JABATAN],0)-1,1,1,13)&lt;0,1,""))&gt;=7,'9 Grid'!$B$6,'9 Grid'!$B$5)))</f>
        <v>Job Target Kosong</v>
      </c>
      <c r="N597" s="146" t="str">
        <f>IFERROR(IF(Data_Assessment[[#This Row],[IPP (3 YEARS AVERAGE)]]="","(IPP Belum Ada)",IF(Data_Assessment[[#This Row],[IPP (3 YEARS AVERAGE)]]&lt;2,'9 Grid'!$F$2,IF(Data_Assessment[[#This Row],[IPP (3 YEARS AVERAGE)]]&gt;=4,'9 Grid'!$D$2,'9 Grid'!$E$2))),"")</f>
        <v>Fully Competence Performance</v>
      </c>
      <c r="O597" s="146" t="str">
        <f ca="1">IFERROR(INDEX('9 Grid'!$D$4:$F$6,MATCH('Rekomendasi HAV'!M597,'9 Grid'!$B$4:$B$6,0),MATCH('Rekomendasi HAV'!N597,'9 Grid'!$D$2:$F$2,0)),"")</f>
        <v/>
      </c>
      <c r="P597" s="147" t="str">
        <f>IFERROR(INDEX('9 Grid'!$D$8:$F$8,1,MATCH('Rekomendasi HAV'!N597,'9 Grid'!$D$2:$F$2,0)),"")</f>
        <v>(ST) Within 12 - 18 month</v>
      </c>
    </row>
    <row r="598" spans="1:16" ht="14.25">
      <c r="A598" s="67">
        <v>597</v>
      </c>
      <c r="B598" s="68" t="str">
        <f>INDEX(Data_Assessment[],MATCH('Rekomendasi HAV'!$A598,Data_Assessment[[INDEX]:[INDEX]],0),MATCH('Rekomendasi HAV'!B$1,Data_Assessment[#Headers],0))</f>
        <v>T. Arliansyah</v>
      </c>
      <c r="C598" s="68" t="str">
        <f>INDEX(Data_Assessment[],MATCH('Rekomendasi HAV'!$A598,Data_Assessment[[INDEX]:[INDEX]],0),MATCH('Rekomendasi HAV'!C$1,Data_Assessment[#Headers],0))</f>
        <v>Kalimantan Timur</v>
      </c>
      <c r="D598" s="68" t="str">
        <f>INDEX(Data_Assessment[],MATCH('Rekomendasi HAV'!$A598,Data_Assessment[[INDEX]:[INDEX]],0),MATCH('Rekomendasi HAV'!D$1,Data_Assessment[#Headers],0))</f>
        <v>LSIP - Pahu Makmur Palm Oil Mill</v>
      </c>
      <c r="E598" s="68">
        <f>INDEX(Data_Assessment[],MATCH('Rekomendasi HAV'!$B598,Data_Assessment[[NAME]:[NAME]],0),MATCH('Rekomendasi HAV'!E$1,Data_Assessment[#Headers],0))</f>
        <v>0</v>
      </c>
      <c r="F598" s="68"/>
      <c r="G598" s="68">
        <f>IF(ISNUMBER(SEARCH("DEV",Assessment[[#This Row],[JOB TARGET]])),SUBSTITUTE(Assessment[[#This Row],[JOB TARGET]],"DEV","EST"),Assessment[[#This Row],[JOB TARGET]])</f>
        <v>0</v>
      </c>
      <c r="H598" s="146" t="str" cm="1">
        <f t="array" aca="1" ref="H598" ca="1">IF(Assessment[[#This Row],[JOB TARGET]]="","Job Target Kosong",IF(COUNT(IF('Data Assessment'!$N598:$Z598-OFFSET(Standar!$B$2,MATCH(Assessment[[#This Row],[JOB TARGET
(EST)]],Standar[NAMA JABATAN],0)-1,1,1,13)&lt;0,1,""))&lt;=3,'9 Grid'!$B$4,IF(COUNT(IF('Data Assessment'!$N598:$Z598-OFFSET(Standar!$B$2,MATCH(Assessment[[#This Row],[JOB TARGET]],Standar[NAMA JABATAN],0)-1,1,1,13)&lt;0,1,""))&gt;=7,'9 Grid'!$B$6,'9 Grid'!$B$5)))</f>
        <v>Job Target Kosong</v>
      </c>
      <c r="I598" s="146" t="str">
        <f>IFERROR(IF(Data_Assessment[[#This Row],[IPP (3 YEARS AVERAGE)]]="","(IPP Belum Ada)",IF(Data_Assessment[[#This Row],[IPP (3 YEARS AVERAGE)]]&lt;2,'9 Grid'!$F$2,IF(Data_Assessment[[#This Row],[IPP (3 YEARS AVERAGE)]]&gt;=4,'9 Grid'!$D$2,'9 Grid'!$E$2))),"")</f>
        <v>Exceptional Performance</v>
      </c>
      <c r="J598" s="146" t="str">
        <f ca="1">IFERROR(INDEX('9 Grid'!$D$4:$F$6,MATCH('Rekomendasi HAV'!H598,'9 Grid'!$B$4:$B$6,0),MATCH('Rekomendasi HAV'!I598,'9 Grid'!$D$2:$F$2,0)),"")</f>
        <v/>
      </c>
      <c r="K598" s="146" t="str">
        <f>IFERROR(INDEX('9 Grid'!$D$8:$F$8,1,MATCH('Rekomendasi HAV'!I598,'9 Grid'!$D$2:$F$2,0)),"")</f>
        <v>(I) Immediately</v>
      </c>
      <c r="L598" s="146">
        <f>IF(ISNUMBER(SEARCH("EST",Assessment[[#This Row],[JOB TARGET]])),SUBSTITUTE(Assessment[[#This Row],[JOB TARGET]],"EST","DEV"),Assessment[[#This Row],[JOB TARGET]])</f>
        <v>0</v>
      </c>
      <c r="M598" s="146" t="str" cm="1">
        <f t="array" aca="1" ref="M598" ca="1">IF(Assessment[[#This Row],[JOB TARGET]]="","Job Target Kosong",IF(COUNT(IF('Data Assessment'!$N598:$Z598-OFFSET(Standar!$B$2,MATCH(Assessment[[#This Row],[JOB TARGET
(DEV)]],Standar[NAMA JABATAN],0)-1,1,1,13)&lt;0,1,""))&lt;=3,'9 Grid'!$B$4,IF(COUNT(IF('Data Assessment'!$N598:$Z598-OFFSET(Standar!$B$2,MATCH(Assessment[[#This Row],[JOB TARGET
(DEV)]],Standar[NAMA JABATAN],0)-1,1,1,13)&lt;0,1,""))&gt;=7,'9 Grid'!$B$6,'9 Grid'!$B$5)))</f>
        <v>Job Target Kosong</v>
      </c>
      <c r="N598" s="146" t="str">
        <f>IFERROR(IF(Data_Assessment[[#This Row],[IPP (3 YEARS AVERAGE)]]="","(IPP Belum Ada)",IF(Data_Assessment[[#This Row],[IPP (3 YEARS AVERAGE)]]&lt;2,'9 Grid'!$F$2,IF(Data_Assessment[[#This Row],[IPP (3 YEARS AVERAGE)]]&gt;=4,'9 Grid'!$D$2,'9 Grid'!$E$2))),"")</f>
        <v>Exceptional Performance</v>
      </c>
      <c r="O598" s="146" t="str">
        <f ca="1">IFERROR(INDEX('9 Grid'!$D$4:$F$6,MATCH('Rekomendasi HAV'!M598,'9 Grid'!$B$4:$B$6,0),MATCH('Rekomendasi HAV'!N598,'9 Grid'!$D$2:$F$2,0)),"")</f>
        <v/>
      </c>
      <c r="P598" s="147" t="str">
        <f>IFERROR(INDEX('9 Grid'!$D$8:$F$8,1,MATCH('Rekomendasi HAV'!N598,'9 Grid'!$D$2:$F$2,0)),"")</f>
        <v>(I) Immediately</v>
      </c>
    </row>
    <row r="599" spans="1:16" ht="28.5">
      <c r="A599" s="67">
        <v>598</v>
      </c>
      <c r="B599" s="68" t="str">
        <f>INDEX(Data_Assessment[],MATCH('Rekomendasi HAV'!$A599,Data_Assessment[[INDEX]:[INDEX]],0),MATCH('Rekomendasi HAV'!B$1,Data_Assessment[#Headers],0))</f>
        <v>Sofiyan Yuliansyah Rangkuti</v>
      </c>
      <c r="C599" s="68" t="str">
        <f>INDEX(Data_Assessment[],MATCH('Rekomendasi HAV'!$A599,Data_Assessment[[INDEX]:[INDEX]],0),MATCH('Rekomendasi HAV'!C$1,Data_Assessment[#Headers],0))</f>
        <v>Sumatera Utara</v>
      </c>
      <c r="D599" s="68" t="str">
        <f>INDEX(Data_Assessment[],MATCH('Rekomendasi HAV'!$A599,Data_Assessment[[INDEX]:[INDEX]],0),MATCH('Rekomendasi HAV'!D$1,Data_Assessment[#Headers],0))</f>
        <v>LSIP - Sei Rumbiya Estate</v>
      </c>
      <c r="E599" s="68">
        <f>INDEX(Data_Assessment[],MATCH('Rekomendasi HAV'!$B599,Data_Assessment[[NAME]:[NAME]],0),MATCH('Rekomendasi HAV'!E$1,Data_Assessment[#Headers],0))</f>
        <v>0</v>
      </c>
      <c r="F599" s="68"/>
      <c r="G599" s="68">
        <f>IF(ISNUMBER(SEARCH("DEV",Assessment[[#This Row],[JOB TARGET]])),SUBSTITUTE(Assessment[[#This Row],[JOB TARGET]],"DEV","EST"),Assessment[[#This Row],[JOB TARGET]])</f>
        <v>0</v>
      </c>
      <c r="H599" s="146" t="str" cm="1">
        <f t="array" aca="1" ref="H599" ca="1">IF(Assessment[[#This Row],[JOB TARGET]]="","Job Target Kosong",IF(COUNT(IF('Data Assessment'!$N599:$Z599-OFFSET(Standar!$B$2,MATCH(Assessment[[#This Row],[JOB TARGET
(EST)]],Standar[NAMA JABATAN],0)-1,1,1,13)&lt;0,1,""))&lt;=3,'9 Grid'!$B$4,IF(COUNT(IF('Data Assessment'!$N599:$Z599-OFFSET(Standar!$B$2,MATCH(Assessment[[#This Row],[JOB TARGET]],Standar[NAMA JABATAN],0)-1,1,1,13)&lt;0,1,""))&gt;=7,'9 Grid'!$B$6,'9 Grid'!$B$5)))</f>
        <v>Job Target Kosong</v>
      </c>
      <c r="I599" s="146" t="str">
        <f>IFERROR(IF(Data_Assessment[[#This Row],[IPP (3 YEARS AVERAGE)]]="","(IPP Belum Ada)",IF(Data_Assessment[[#This Row],[IPP (3 YEARS AVERAGE)]]&lt;2,'9 Grid'!$F$2,IF(Data_Assessment[[#This Row],[IPP (3 YEARS AVERAGE)]]&gt;=4,'9 Grid'!$D$2,'9 Grid'!$E$2))),"")</f>
        <v>Fully Competence Performance</v>
      </c>
      <c r="J599" s="146" t="str">
        <f ca="1">IFERROR(INDEX('9 Grid'!$D$4:$F$6,MATCH('Rekomendasi HAV'!H599,'9 Grid'!$B$4:$B$6,0),MATCH('Rekomendasi HAV'!I599,'9 Grid'!$D$2:$F$2,0)),"")</f>
        <v/>
      </c>
      <c r="K599" s="146" t="str">
        <f>IFERROR(INDEX('9 Grid'!$D$8:$F$8,1,MATCH('Rekomendasi HAV'!I599,'9 Grid'!$D$2:$F$2,0)),"")</f>
        <v>(ST) Within 12 - 18 month</v>
      </c>
      <c r="L599" s="146">
        <f>IF(ISNUMBER(SEARCH("EST",Assessment[[#This Row],[JOB TARGET]])),SUBSTITUTE(Assessment[[#This Row],[JOB TARGET]],"EST","DEV"),Assessment[[#This Row],[JOB TARGET]])</f>
        <v>0</v>
      </c>
      <c r="M599" s="146" t="str" cm="1">
        <f t="array" aca="1" ref="M599" ca="1">IF(Assessment[[#This Row],[JOB TARGET]]="","Job Target Kosong",IF(COUNT(IF('Data Assessment'!$N599:$Z599-OFFSET(Standar!$B$2,MATCH(Assessment[[#This Row],[JOB TARGET
(DEV)]],Standar[NAMA JABATAN],0)-1,1,1,13)&lt;0,1,""))&lt;=3,'9 Grid'!$B$4,IF(COUNT(IF('Data Assessment'!$N599:$Z599-OFFSET(Standar!$B$2,MATCH(Assessment[[#This Row],[JOB TARGET
(DEV)]],Standar[NAMA JABATAN],0)-1,1,1,13)&lt;0,1,""))&gt;=7,'9 Grid'!$B$6,'9 Grid'!$B$5)))</f>
        <v>Job Target Kosong</v>
      </c>
      <c r="N599" s="146" t="str">
        <f>IFERROR(IF(Data_Assessment[[#This Row],[IPP (3 YEARS AVERAGE)]]="","(IPP Belum Ada)",IF(Data_Assessment[[#This Row],[IPP (3 YEARS AVERAGE)]]&lt;2,'9 Grid'!$F$2,IF(Data_Assessment[[#This Row],[IPP (3 YEARS AVERAGE)]]&gt;=4,'9 Grid'!$D$2,'9 Grid'!$E$2))),"")</f>
        <v>Fully Competence Performance</v>
      </c>
      <c r="O599" s="146" t="str">
        <f ca="1">IFERROR(INDEX('9 Grid'!$D$4:$F$6,MATCH('Rekomendasi HAV'!M599,'9 Grid'!$B$4:$B$6,0),MATCH('Rekomendasi HAV'!N599,'9 Grid'!$D$2:$F$2,0)),"")</f>
        <v/>
      </c>
      <c r="P599" s="147" t="str">
        <f>IFERROR(INDEX('9 Grid'!$D$8:$F$8,1,MATCH('Rekomendasi HAV'!N599,'9 Grid'!$D$2:$F$2,0)),"")</f>
        <v>(ST) Within 12 - 18 month</v>
      </c>
    </row>
    <row r="600" spans="1:16" ht="28.5">
      <c r="A600" s="67">
        <v>599</v>
      </c>
      <c r="B600" s="68" t="str">
        <f>INDEX(Data_Assessment[],MATCH('Rekomendasi HAV'!$A600,Data_Assessment[[INDEX]:[INDEX]],0),MATCH('Rekomendasi HAV'!B$1,Data_Assessment[#Headers],0))</f>
        <v>Wawan Heru Kusmawan, ST</v>
      </c>
      <c r="C600" s="68" t="str">
        <f>INDEX(Data_Assessment[],MATCH('Rekomendasi HAV'!$A600,Data_Assessment[[INDEX]:[INDEX]],0),MATCH('Rekomendasi HAV'!C$1,Data_Assessment[#Headers],0))</f>
        <v>Kalimantan Timur</v>
      </c>
      <c r="D600" s="68" t="str">
        <f>INDEX(Data_Assessment[],MATCH('Rekomendasi HAV'!$A600,Data_Assessment[[INDEX]:[INDEX]],0),MATCH('Rekomendasi HAV'!D$1,Data_Assessment[#Headers],0))</f>
        <v>LSIP - Pahu Makmur Palm Oil Mill</v>
      </c>
      <c r="E600" s="68">
        <f>INDEX(Data_Assessment[],MATCH('Rekomendasi HAV'!$B600,Data_Assessment[[NAME]:[NAME]],0),MATCH('Rekomendasi HAV'!E$1,Data_Assessment[#Headers],0))</f>
        <v>0</v>
      </c>
      <c r="F600" s="68"/>
      <c r="G600" s="68">
        <f>IF(ISNUMBER(SEARCH("DEV",Assessment[[#This Row],[JOB TARGET]])),SUBSTITUTE(Assessment[[#This Row],[JOB TARGET]],"DEV","EST"),Assessment[[#This Row],[JOB TARGET]])</f>
        <v>0</v>
      </c>
      <c r="H600" s="146" t="str" cm="1">
        <f t="array" aca="1" ref="H600" ca="1">IF(Assessment[[#This Row],[JOB TARGET]]="","Job Target Kosong",IF(COUNT(IF('Data Assessment'!$N600:$Z600-OFFSET(Standar!$B$2,MATCH(Assessment[[#This Row],[JOB TARGET
(EST)]],Standar[NAMA JABATAN],0)-1,1,1,13)&lt;0,1,""))&lt;=3,'9 Grid'!$B$4,IF(COUNT(IF('Data Assessment'!$N600:$Z600-OFFSET(Standar!$B$2,MATCH(Assessment[[#This Row],[JOB TARGET]],Standar[NAMA JABATAN],0)-1,1,1,13)&lt;0,1,""))&gt;=7,'9 Grid'!$B$6,'9 Grid'!$B$5)))</f>
        <v>Job Target Kosong</v>
      </c>
      <c r="I600" s="146" t="str">
        <f>IFERROR(IF(Data_Assessment[[#This Row],[IPP (3 YEARS AVERAGE)]]="","(IPP Belum Ada)",IF(Data_Assessment[[#This Row],[IPP (3 YEARS AVERAGE)]]&lt;2,'9 Grid'!$F$2,IF(Data_Assessment[[#This Row],[IPP (3 YEARS AVERAGE)]]&gt;=4,'9 Grid'!$D$2,'9 Grid'!$E$2))),"")</f>
        <v>Fully Competence Performance</v>
      </c>
      <c r="J600" s="146" t="str">
        <f ca="1">IFERROR(INDEX('9 Grid'!$D$4:$F$6,MATCH('Rekomendasi HAV'!H600,'9 Grid'!$B$4:$B$6,0),MATCH('Rekomendasi HAV'!I600,'9 Grid'!$D$2:$F$2,0)),"")</f>
        <v/>
      </c>
      <c r="K600" s="146" t="str">
        <f>IFERROR(INDEX('9 Grid'!$D$8:$F$8,1,MATCH('Rekomendasi HAV'!I600,'9 Grid'!$D$2:$F$2,0)),"")</f>
        <v>(ST) Within 12 - 18 month</v>
      </c>
      <c r="L600" s="146">
        <f>IF(ISNUMBER(SEARCH("EST",Assessment[[#This Row],[JOB TARGET]])),SUBSTITUTE(Assessment[[#This Row],[JOB TARGET]],"EST","DEV"),Assessment[[#This Row],[JOB TARGET]])</f>
        <v>0</v>
      </c>
      <c r="M600" s="146" t="str" cm="1">
        <f t="array" aca="1" ref="M600" ca="1">IF(Assessment[[#This Row],[JOB TARGET]]="","Job Target Kosong",IF(COUNT(IF('Data Assessment'!$N600:$Z600-OFFSET(Standar!$B$2,MATCH(Assessment[[#This Row],[JOB TARGET
(DEV)]],Standar[NAMA JABATAN],0)-1,1,1,13)&lt;0,1,""))&lt;=3,'9 Grid'!$B$4,IF(COUNT(IF('Data Assessment'!$N600:$Z600-OFFSET(Standar!$B$2,MATCH(Assessment[[#This Row],[JOB TARGET
(DEV)]],Standar[NAMA JABATAN],0)-1,1,1,13)&lt;0,1,""))&gt;=7,'9 Grid'!$B$6,'9 Grid'!$B$5)))</f>
        <v>Job Target Kosong</v>
      </c>
      <c r="N600" s="146" t="str">
        <f>IFERROR(IF(Data_Assessment[[#This Row],[IPP (3 YEARS AVERAGE)]]="","(IPP Belum Ada)",IF(Data_Assessment[[#This Row],[IPP (3 YEARS AVERAGE)]]&lt;2,'9 Grid'!$F$2,IF(Data_Assessment[[#This Row],[IPP (3 YEARS AVERAGE)]]&gt;=4,'9 Grid'!$D$2,'9 Grid'!$E$2))),"")</f>
        <v>Fully Competence Performance</v>
      </c>
      <c r="O600" s="146" t="str">
        <f ca="1">IFERROR(INDEX('9 Grid'!$D$4:$F$6,MATCH('Rekomendasi HAV'!M600,'9 Grid'!$B$4:$B$6,0),MATCH('Rekomendasi HAV'!N600,'9 Grid'!$D$2:$F$2,0)),"")</f>
        <v/>
      </c>
      <c r="P600" s="147" t="str">
        <f>IFERROR(INDEX('9 Grid'!$D$8:$F$8,1,MATCH('Rekomendasi HAV'!N600,'9 Grid'!$D$2:$F$2,0)),"")</f>
        <v>(ST) Within 12 - 18 month</v>
      </c>
    </row>
    <row r="601" spans="1:16" ht="28.5">
      <c r="A601" s="67">
        <v>600</v>
      </c>
      <c r="B601" s="68" t="str">
        <f>INDEX(Data_Assessment[],MATCH('Rekomendasi HAV'!$A601,Data_Assessment[[INDEX]:[INDEX]],0),MATCH('Rekomendasi HAV'!B$1,Data_Assessment[#Headers],0))</f>
        <v>Teddi Atmaja MS</v>
      </c>
      <c r="C601" s="68" t="str">
        <f>INDEX(Data_Assessment[],MATCH('Rekomendasi HAV'!$A601,Data_Assessment[[INDEX]:[INDEX]],0),MATCH('Rekomendasi HAV'!C$1,Data_Assessment[#Headers],0))</f>
        <v>Kalimantan Timur</v>
      </c>
      <c r="D601" s="68" t="str">
        <f>INDEX(Data_Assessment[],MATCH('Rekomendasi HAV'!$A601,Data_Assessment[[INDEX]:[INDEX]],0),MATCH('Rekomendasi HAV'!D$1,Data_Assessment[#Headers],0))</f>
        <v>LSIP - Pahu Makmur Palm Oil Mill</v>
      </c>
      <c r="E601" s="68">
        <f>INDEX(Data_Assessment[],MATCH('Rekomendasi HAV'!$B601,Data_Assessment[[NAME]:[NAME]],0),MATCH('Rekomendasi HAV'!E$1,Data_Assessment[#Headers],0))</f>
        <v>0</v>
      </c>
      <c r="F601" s="68"/>
      <c r="G601" s="68">
        <f>IF(ISNUMBER(SEARCH("DEV",Assessment[[#This Row],[JOB TARGET]])),SUBSTITUTE(Assessment[[#This Row],[JOB TARGET]],"DEV","EST"),Assessment[[#This Row],[JOB TARGET]])</f>
        <v>0</v>
      </c>
      <c r="H601" s="146" t="str" cm="1">
        <f t="array" aca="1" ref="H601" ca="1">IF(Assessment[[#This Row],[JOB TARGET]]="","Job Target Kosong",IF(COUNT(IF('Data Assessment'!$N601:$Z601-OFFSET(Standar!$B$2,MATCH(Assessment[[#This Row],[JOB TARGET
(EST)]],Standar[NAMA JABATAN],0)-1,1,1,13)&lt;0,1,""))&lt;=3,'9 Grid'!$B$4,IF(COUNT(IF('Data Assessment'!$N601:$Z601-OFFSET(Standar!$B$2,MATCH(Assessment[[#This Row],[JOB TARGET]],Standar[NAMA JABATAN],0)-1,1,1,13)&lt;0,1,""))&gt;=7,'9 Grid'!$B$6,'9 Grid'!$B$5)))</f>
        <v>Job Target Kosong</v>
      </c>
      <c r="I601" s="146" t="str">
        <f>IFERROR(IF(Data_Assessment[[#This Row],[IPP (3 YEARS AVERAGE)]]="","(IPP Belum Ada)",IF(Data_Assessment[[#This Row],[IPP (3 YEARS AVERAGE)]]&lt;2,'9 Grid'!$F$2,IF(Data_Assessment[[#This Row],[IPP (3 YEARS AVERAGE)]]&gt;=4,'9 Grid'!$D$2,'9 Grid'!$E$2))),"")</f>
        <v>Fully Competence Performance</v>
      </c>
      <c r="J601" s="146" t="str">
        <f ca="1">IFERROR(INDEX('9 Grid'!$D$4:$F$6,MATCH('Rekomendasi HAV'!H601,'9 Grid'!$B$4:$B$6,0),MATCH('Rekomendasi HAV'!I601,'9 Grid'!$D$2:$F$2,0)),"")</f>
        <v/>
      </c>
      <c r="K601" s="146" t="str">
        <f>IFERROR(INDEX('9 Grid'!$D$8:$F$8,1,MATCH('Rekomendasi HAV'!I601,'9 Grid'!$D$2:$F$2,0)),"")</f>
        <v>(ST) Within 12 - 18 month</v>
      </c>
      <c r="L601" s="146">
        <f>IF(ISNUMBER(SEARCH("EST",Assessment[[#This Row],[JOB TARGET]])),SUBSTITUTE(Assessment[[#This Row],[JOB TARGET]],"EST","DEV"),Assessment[[#This Row],[JOB TARGET]])</f>
        <v>0</v>
      </c>
      <c r="M601" s="146" t="str" cm="1">
        <f t="array" aca="1" ref="M601" ca="1">IF(Assessment[[#This Row],[JOB TARGET]]="","Job Target Kosong",IF(COUNT(IF('Data Assessment'!$N601:$Z601-OFFSET(Standar!$B$2,MATCH(Assessment[[#This Row],[JOB TARGET
(DEV)]],Standar[NAMA JABATAN],0)-1,1,1,13)&lt;0,1,""))&lt;=3,'9 Grid'!$B$4,IF(COUNT(IF('Data Assessment'!$N601:$Z601-OFFSET(Standar!$B$2,MATCH(Assessment[[#This Row],[JOB TARGET
(DEV)]],Standar[NAMA JABATAN],0)-1,1,1,13)&lt;0,1,""))&gt;=7,'9 Grid'!$B$6,'9 Grid'!$B$5)))</f>
        <v>Job Target Kosong</v>
      </c>
      <c r="N601" s="146" t="str">
        <f>IFERROR(IF(Data_Assessment[[#This Row],[IPP (3 YEARS AVERAGE)]]="","(IPP Belum Ada)",IF(Data_Assessment[[#This Row],[IPP (3 YEARS AVERAGE)]]&lt;2,'9 Grid'!$F$2,IF(Data_Assessment[[#This Row],[IPP (3 YEARS AVERAGE)]]&gt;=4,'9 Grid'!$D$2,'9 Grid'!$E$2))),"")</f>
        <v>Fully Competence Performance</v>
      </c>
      <c r="O601" s="146" t="str">
        <f ca="1">IFERROR(INDEX('9 Grid'!$D$4:$F$6,MATCH('Rekomendasi HAV'!M601,'9 Grid'!$B$4:$B$6,0),MATCH('Rekomendasi HAV'!N601,'9 Grid'!$D$2:$F$2,0)),"")</f>
        <v/>
      </c>
      <c r="P601" s="147" t="str">
        <f>IFERROR(INDEX('9 Grid'!$D$8:$F$8,1,MATCH('Rekomendasi HAV'!N601,'9 Grid'!$D$2:$F$2,0)),"")</f>
        <v>(ST) Within 12 - 18 month</v>
      </c>
    </row>
    <row r="602" spans="1:16" ht="28.5">
      <c r="A602" s="67">
        <v>601</v>
      </c>
      <c r="B602" s="68" t="str">
        <f>INDEX(Data_Assessment[],MATCH('Rekomendasi HAV'!$A602,Data_Assessment[[INDEX]:[INDEX]],0),MATCH('Rekomendasi HAV'!B$1,Data_Assessment[#Headers],0))</f>
        <v>Mahdian Suwito</v>
      </c>
      <c r="C602" s="68" t="str">
        <f>INDEX(Data_Assessment[],MATCH('Rekomendasi HAV'!$A602,Data_Assessment[[INDEX]:[INDEX]],0),MATCH('Rekomendasi HAV'!C$1,Data_Assessment[#Headers],0))</f>
        <v>Sumatera Selatan</v>
      </c>
      <c r="D602" s="68" t="str">
        <f>INDEX(Data_Assessment[],MATCH('Rekomendasi HAV'!$A602,Data_Assessment[[INDEX]:[INDEX]],0),MATCH('Rekomendasi HAV'!D$1,Data_Assessment[#Headers],0))</f>
        <v>LSIP - Pahu Makmur Palm Oil Mill</v>
      </c>
      <c r="E602" s="68">
        <f>INDEX(Data_Assessment[],MATCH('Rekomendasi HAV'!$B602,Data_Assessment[[NAME]:[NAME]],0),MATCH('Rekomendasi HAV'!E$1,Data_Assessment[#Headers],0))</f>
        <v>0</v>
      </c>
      <c r="F602" s="68"/>
      <c r="G602" s="68">
        <f>IF(ISNUMBER(SEARCH("DEV",Assessment[[#This Row],[JOB TARGET]])),SUBSTITUTE(Assessment[[#This Row],[JOB TARGET]],"DEV","EST"),Assessment[[#This Row],[JOB TARGET]])</f>
        <v>0</v>
      </c>
      <c r="H602" s="146" t="str" cm="1">
        <f t="array" aca="1" ref="H602" ca="1">IF(Assessment[[#This Row],[JOB TARGET]]="","Job Target Kosong",IF(COUNT(IF('Data Assessment'!$N602:$Z602-OFFSET(Standar!$B$2,MATCH(Assessment[[#This Row],[JOB TARGET
(EST)]],Standar[NAMA JABATAN],0)-1,1,1,13)&lt;0,1,""))&lt;=3,'9 Grid'!$B$4,IF(COUNT(IF('Data Assessment'!$N602:$Z602-OFFSET(Standar!$B$2,MATCH(Assessment[[#This Row],[JOB TARGET]],Standar[NAMA JABATAN],0)-1,1,1,13)&lt;0,1,""))&gt;=7,'9 Grid'!$B$6,'9 Grid'!$B$5)))</f>
        <v>Job Target Kosong</v>
      </c>
      <c r="I602" s="146" t="str">
        <f>IFERROR(IF(Data_Assessment[[#This Row],[IPP (3 YEARS AVERAGE)]]="","(IPP Belum Ada)",IF(Data_Assessment[[#This Row],[IPP (3 YEARS AVERAGE)]]&lt;2,'9 Grid'!$F$2,IF(Data_Assessment[[#This Row],[IPP (3 YEARS AVERAGE)]]&gt;=4,'9 Grid'!$D$2,'9 Grid'!$E$2))),"")</f>
        <v>Fully Competence Performance</v>
      </c>
      <c r="J602" s="146" t="str">
        <f ca="1">IFERROR(INDEX('9 Grid'!$D$4:$F$6,MATCH('Rekomendasi HAV'!H602,'9 Grid'!$B$4:$B$6,0),MATCH('Rekomendasi HAV'!I602,'9 Grid'!$D$2:$F$2,0)),"")</f>
        <v/>
      </c>
      <c r="K602" s="146" t="str">
        <f>IFERROR(INDEX('9 Grid'!$D$8:$F$8,1,MATCH('Rekomendasi HAV'!I602,'9 Grid'!$D$2:$F$2,0)),"")</f>
        <v>(ST) Within 12 - 18 month</v>
      </c>
      <c r="L602" s="146">
        <f>IF(ISNUMBER(SEARCH("EST",Assessment[[#This Row],[JOB TARGET]])),SUBSTITUTE(Assessment[[#This Row],[JOB TARGET]],"EST","DEV"),Assessment[[#This Row],[JOB TARGET]])</f>
        <v>0</v>
      </c>
      <c r="M602" s="146" t="str" cm="1">
        <f t="array" aca="1" ref="M602" ca="1">IF(Assessment[[#This Row],[JOB TARGET]]="","Job Target Kosong",IF(COUNT(IF('Data Assessment'!$N602:$Z602-OFFSET(Standar!$B$2,MATCH(Assessment[[#This Row],[JOB TARGET
(DEV)]],Standar[NAMA JABATAN],0)-1,1,1,13)&lt;0,1,""))&lt;=3,'9 Grid'!$B$4,IF(COUNT(IF('Data Assessment'!$N602:$Z602-OFFSET(Standar!$B$2,MATCH(Assessment[[#This Row],[JOB TARGET
(DEV)]],Standar[NAMA JABATAN],0)-1,1,1,13)&lt;0,1,""))&gt;=7,'9 Grid'!$B$6,'9 Grid'!$B$5)))</f>
        <v>Job Target Kosong</v>
      </c>
      <c r="N602" s="146" t="str">
        <f>IFERROR(IF(Data_Assessment[[#This Row],[IPP (3 YEARS AVERAGE)]]="","(IPP Belum Ada)",IF(Data_Assessment[[#This Row],[IPP (3 YEARS AVERAGE)]]&lt;2,'9 Grid'!$F$2,IF(Data_Assessment[[#This Row],[IPP (3 YEARS AVERAGE)]]&gt;=4,'9 Grid'!$D$2,'9 Grid'!$E$2))),"")</f>
        <v>Fully Competence Performance</v>
      </c>
      <c r="O602" s="146" t="str">
        <f ca="1">IFERROR(INDEX('9 Grid'!$D$4:$F$6,MATCH('Rekomendasi HAV'!M602,'9 Grid'!$B$4:$B$6,0),MATCH('Rekomendasi HAV'!N602,'9 Grid'!$D$2:$F$2,0)),"")</f>
        <v/>
      </c>
      <c r="P602" s="147" t="str">
        <f>IFERROR(INDEX('9 Grid'!$D$8:$F$8,1,MATCH('Rekomendasi HAV'!N602,'9 Grid'!$D$2:$F$2,0)),"")</f>
        <v>(ST) Within 12 - 18 month</v>
      </c>
    </row>
    <row r="603" spans="1:16" ht="28.5">
      <c r="A603" s="67">
        <v>602</v>
      </c>
      <c r="B603" s="68" t="str">
        <f>INDEX(Data_Assessment[],MATCH('Rekomendasi HAV'!$A603,Data_Assessment[[INDEX]:[INDEX]],0),MATCH('Rekomendasi HAV'!B$1,Data_Assessment[#Headers],0))</f>
        <v>Yoseph Jan Phieter Pakpahan</v>
      </c>
      <c r="C603" s="68" t="str">
        <f>INDEX(Data_Assessment[],MATCH('Rekomendasi HAV'!$A603,Data_Assessment[[INDEX]:[INDEX]],0),MATCH('Rekomendasi HAV'!C$1,Data_Assessment[#Headers],0))</f>
        <v>Kalimantan Timur</v>
      </c>
      <c r="D603" s="68" t="str">
        <f>INDEX(Data_Assessment[],MATCH('Rekomendasi HAV'!$A603,Data_Assessment[[INDEX]:[INDEX]],0),MATCH('Rekomendasi HAV'!D$1,Data_Assessment[#Headers],0))</f>
        <v>LSIP - Issuy Makmur Palm Oil Mill</v>
      </c>
      <c r="E603" s="68">
        <f>INDEX(Data_Assessment[],MATCH('Rekomendasi HAV'!$B603,Data_Assessment[[NAME]:[NAME]],0),MATCH('Rekomendasi HAV'!E$1,Data_Assessment[#Headers],0))</f>
        <v>0</v>
      </c>
      <c r="F603" s="68"/>
      <c r="G603" s="68">
        <f>IF(ISNUMBER(SEARCH("DEV",Assessment[[#This Row],[JOB TARGET]])),SUBSTITUTE(Assessment[[#This Row],[JOB TARGET]],"DEV","EST"),Assessment[[#This Row],[JOB TARGET]])</f>
        <v>0</v>
      </c>
      <c r="H603" s="146" t="str" cm="1">
        <f t="array" aca="1" ref="H603" ca="1">IF(Assessment[[#This Row],[JOB TARGET]]="","Job Target Kosong",IF(COUNT(IF('Data Assessment'!$N603:$Z603-OFFSET(Standar!$B$2,MATCH(Assessment[[#This Row],[JOB TARGET
(EST)]],Standar[NAMA JABATAN],0)-1,1,1,13)&lt;0,1,""))&lt;=3,'9 Grid'!$B$4,IF(COUNT(IF('Data Assessment'!$N603:$Z603-OFFSET(Standar!$B$2,MATCH(Assessment[[#This Row],[JOB TARGET]],Standar[NAMA JABATAN],0)-1,1,1,13)&lt;0,1,""))&gt;=7,'9 Grid'!$B$6,'9 Grid'!$B$5)))</f>
        <v>Job Target Kosong</v>
      </c>
      <c r="I603" s="146" t="str">
        <f>IFERROR(IF(Data_Assessment[[#This Row],[IPP (3 YEARS AVERAGE)]]="","(IPP Belum Ada)",IF(Data_Assessment[[#This Row],[IPP (3 YEARS AVERAGE)]]&lt;2,'9 Grid'!$F$2,IF(Data_Assessment[[#This Row],[IPP (3 YEARS AVERAGE)]]&gt;=4,'9 Grid'!$D$2,'9 Grid'!$E$2))),"")</f>
        <v>Fully Competence Performance</v>
      </c>
      <c r="J603" s="146" t="str">
        <f ca="1">IFERROR(INDEX('9 Grid'!$D$4:$F$6,MATCH('Rekomendasi HAV'!H603,'9 Grid'!$B$4:$B$6,0),MATCH('Rekomendasi HAV'!I603,'9 Grid'!$D$2:$F$2,0)),"")</f>
        <v/>
      </c>
      <c r="K603" s="146" t="str">
        <f>IFERROR(INDEX('9 Grid'!$D$8:$F$8,1,MATCH('Rekomendasi HAV'!I603,'9 Grid'!$D$2:$F$2,0)),"")</f>
        <v>(ST) Within 12 - 18 month</v>
      </c>
      <c r="L603" s="146">
        <f>IF(ISNUMBER(SEARCH("EST",Assessment[[#This Row],[JOB TARGET]])),SUBSTITUTE(Assessment[[#This Row],[JOB TARGET]],"EST","DEV"),Assessment[[#This Row],[JOB TARGET]])</f>
        <v>0</v>
      </c>
      <c r="M603" s="146" t="str" cm="1">
        <f t="array" aca="1" ref="M603" ca="1">IF(Assessment[[#This Row],[JOB TARGET]]="","Job Target Kosong",IF(COUNT(IF('Data Assessment'!$N603:$Z603-OFFSET(Standar!$B$2,MATCH(Assessment[[#This Row],[JOB TARGET
(DEV)]],Standar[NAMA JABATAN],0)-1,1,1,13)&lt;0,1,""))&lt;=3,'9 Grid'!$B$4,IF(COUNT(IF('Data Assessment'!$N603:$Z603-OFFSET(Standar!$B$2,MATCH(Assessment[[#This Row],[JOB TARGET
(DEV)]],Standar[NAMA JABATAN],0)-1,1,1,13)&lt;0,1,""))&gt;=7,'9 Grid'!$B$6,'9 Grid'!$B$5)))</f>
        <v>Job Target Kosong</v>
      </c>
      <c r="N603" s="146" t="str">
        <f>IFERROR(IF(Data_Assessment[[#This Row],[IPP (3 YEARS AVERAGE)]]="","(IPP Belum Ada)",IF(Data_Assessment[[#This Row],[IPP (3 YEARS AVERAGE)]]&lt;2,'9 Grid'!$F$2,IF(Data_Assessment[[#This Row],[IPP (3 YEARS AVERAGE)]]&gt;=4,'9 Grid'!$D$2,'9 Grid'!$E$2))),"")</f>
        <v>Fully Competence Performance</v>
      </c>
      <c r="O603" s="146" t="str">
        <f ca="1">IFERROR(INDEX('9 Grid'!$D$4:$F$6,MATCH('Rekomendasi HAV'!M603,'9 Grid'!$B$4:$B$6,0),MATCH('Rekomendasi HAV'!N603,'9 Grid'!$D$2:$F$2,0)),"")</f>
        <v/>
      </c>
      <c r="P603" s="147" t="str">
        <f>IFERROR(INDEX('9 Grid'!$D$8:$F$8,1,MATCH('Rekomendasi HAV'!N603,'9 Grid'!$D$2:$F$2,0)),"")</f>
        <v>(ST) Within 12 - 18 month</v>
      </c>
    </row>
    <row r="604" spans="1:16" ht="28.5">
      <c r="A604" s="67">
        <v>603</v>
      </c>
      <c r="B604" s="68" t="str">
        <f>INDEX(Data_Assessment[],MATCH('Rekomendasi HAV'!$A604,Data_Assessment[[INDEX]:[INDEX]],0),MATCH('Rekomendasi HAV'!B$1,Data_Assessment[#Headers],0))</f>
        <v>Afrianto</v>
      </c>
      <c r="C604" s="68" t="str">
        <f>INDEX(Data_Assessment[],MATCH('Rekomendasi HAV'!$A604,Data_Assessment[[INDEX]:[INDEX]],0),MATCH('Rekomendasi HAV'!C$1,Data_Assessment[#Headers],0))</f>
        <v>Kalimantan Timur</v>
      </c>
      <c r="D604" s="68" t="str">
        <f>INDEX(Data_Assessment[],MATCH('Rekomendasi HAV'!$A604,Data_Assessment[[INDEX]:[INDEX]],0),MATCH('Rekomendasi HAV'!D$1,Data_Assessment[#Headers],0))</f>
        <v>LSIP - Issuy Makmur Palm Oil Mill</v>
      </c>
      <c r="E604" s="68">
        <f>INDEX(Data_Assessment[],MATCH('Rekomendasi HAV'!$B604,Data_Assessment[[NAME]:[NAME]],0),MATCH('Rekomendasi HAV'!E$1,Data_Assessment[#Headers],0))</f>
        <v>0</v>
      </c>
      <c r="F604" s="68"/>
      <c r="G604" s="68">
        <f>IF(ISNUMBER(SEARCH("DEV",Assessment[[#This Row],[JOB TARGET]])),SUBSTITUTE(Assessment[[#This Row],[JOB TARGET]],"DEV","EST"),Assessment[[#This Row],[JOB TARGET]])</f>
        <v>0</v>
      </c>
      <c r="H604" s="146" t="str" cm="1">
        <f t="array" aca="1" ref="H604" ca="1">IF(Assessment[[#This Row],[JOB TARGET]]="","Job Target Kosong",IF(COUNT(IF('Data Assessment'!$N604:$Z604-OFFSET(Standar!$B$2,MATCH(Assessment[[#This Row],[JOB TARGET
(EST)]],Standar[NAMA JABATAN],0)-1,1,1,13)&lt;0,1,""))&lt;=3,'9 Grid'!$B$4,IF(COUNT(IF('Data Assessment'!$N604:$Z604-OFFSET(Standar!$B$2,MATCH(Assessment[[#This Row],[JOB TARGET]],Standar[NAMA JABATAN],0)-1,1,1,13)&lt;0,1,""))&gt;=7,'9 Grid'!$B$6,'9 Grid'!$B$5)))</f>
        <v>Job Target Kosong</v>
      </c>
      <c r="I604" s="146" t="str">
        <f>IFERROR(IF(Data_Assessment[[#This Row],[IPP (3 YEARS AVERAGE)]]="","(IPP Belum Ada)",IF(Data_Assessment[[#This Row],[IPP (3 YEARS AVERAGE)]]&lt;2,'9 Grid'!$F$2,IF(Data_Assessment[[#This Row],[IPP (3 YEARS AVERAGE)]]&gt;=4,'9 Grid'!$D$2,'9 Grid'!$E$2))),"")</f>
        <v>Fully Competence Performance</v>
      </c>
      <c r="J604" s="146" t="str">
        <f ca="1">IFERROR(INDEX('9 Grid'!$D$4:$F$6,MATCH('Rekomendasi HAV'!H604,'9 Grid'!$B$4:$B$6,0),MATCH('Rekomendasi HAV'!I604,'9 Grid'!$D$2:$F$2,0)),"")</f>
        <v/>
      </c>
      <c r="K604" s="146" t="str">
        <f>IFERROR(INDEX('9 Grid'!$D$8:$F$8,1,MATCH('Rekomendasi HAV'!I604,'9 Grid'!$D$2:$F$2,0)),"")</f>
        <v>(ST) Within 12 - 18 month</v>
      </c>
      <c r="L604" s="146">
        <f>IF(ISNUMBER(SEARCH("EST",Assessment[[#This Row],[JOB TARGET]])),SUBSTITUTE(Assessment[[#This Row],[JOB TARGET]],"EST","DEV"),Assessment[[#This Row],[JOB TARGET]])</f>
        <v>0</v>
      </c>
      <c r="M604" s="146" t="str" cm="1">
        <f t="array" aca="1" ref="M604" ca="1">IF(Assessment[[#This Row],[JOB TARGET]]="","Job Target Kosong",IF(COUNT(IF('Data Assessment'!$N604:$Z604-OFFSET(Standar!$B$2,MATCH(Assessment[[#This Row],[JOB TARGET
(DEV)]],Standar[NAMA JABATAN],0)-1,1,1,13)&lt;0,1,""))&lt;=3,'9 Grid'!$B$4,IF(COUNT(IF('Data Assessment'!$N604:$Z604-OFFSET(Standar!$B$2,MATCH(Assessment[[#This Row],[JOB TARGET
(DEV)]],Standar[NAMA JABATAN],0)-1,1,1,13)&lt;0,1,""))&gt;=7,'9 Grid'!$B$6,'9 Grid'!$B$5)))</f>
        <v>Job Target Kosong</v>
      </c>
      <c r="N604" s="146" t="str">
        <f>IFERROR(IF(Data_Assessment[[#This Row],[IPP (3 YEARS AVERAGE)]]="","(IPP Belum Ada)",IF(Data_Assessment[[#This Row],[IPP (3 YEARS AVERAGE)]]&lt;2,'9 Grid'!$F$2,IF(Data_Assessment[[#This Row],[IPP (3 YEARS AVERAGE)]]&gt;=4,'9 Grid'!$D$2,'9 Grid'!$E$2))),"")</f>
        <v>Fully Competence Performance</v>
      </c>
      <c r="O604" s="146" t="str">
        <f ca="1">IFERROR(INDEX('9 Grid'!$D$4:$F$6,MATCH('Rekomendasi HAV'!M604,'9 Grid'!$B$4:$B$6,0),MATCH('Rekomendasi HAV'!N604,'9 Grid'!$D$2:$F$2,0)),"")</f>
        <v/>
      </c>
      <c r="P604" s="147" t="str">
        <f>IFERROR(INDEX('9 Grid'!$D$8:$F$8,1,MATCH('Rekomendasi HAV'!N604,'9 Grid'!$D$2:$F$2,0)),"")</f>
        <v>(ST) Within 12 - 18 month</v>
      </c>
    </row>
    <row r="605" spans="1:16" ht="28.5">
      <c r="A605" s="67">
        <v>604</v>
      </c>
      <c r="B605" s="68" t="str">
        <f>INDEX(Data_Assessment[],MATCH('Rekomendasi HAV'!$A605,Data_Assessment[[INDEX]:[INDEX]],0),MATCH('Rekomendasi HAV'!B$1,Data_Assessment[#Headers],0))</f>
        <v>Dewi Widyastuti, SP</v>
      </c>
      <c r="C605" s="68" t="str">
        <f>INDEX(Data_Assessment[],MATCH('Rekomendasi HAV'!$A605,Data_Assessment[[INDEX]:[INDEX]],0),MATCH('Rekomendasi HAV'!C$1,Data_Assessment[#Headers],0))</f>
        <v>Jawa Barat</v>
      </c>
      <c r="D605" s="68" t="str">
        <f>INDEX(Data_Assessment[],MATCH('Rekomendasi HAV'!$A605,Data_Assessment[[INDEX]:[INDEX]],0),MATCH('Rekomendasi HAV'!D$1,Data_Assessment[#Headers],0))</f>
        <v>LSIP - Kertasarie Estate</v>
      </c>
      <c r="E605" s="68">
        <f>INDEX(Data_Assessment[],MATCH('Rekomendasi HAV'!$B605,Data_Assessment[[NAME]:[NAME]],0),MATCH('Rekomendasi HAV'!E$1,Data_Assessment[#Headers],0))</f>
        <v>0</v>
      </c>
      <c r="F605" s="68"/>
      <c r="G605" s="68">
        <f>IF(ISNUMBER(SEARCH("DEV",Assessment[[#This Row],[JOB TARGET]])),SUBSTITUTE(Assessment[[#This Row],[JOB TARGET]],"DEV","EST"),Assessment[[#This Row],[JOB TARGET]])</f>
        <v>0</v>
      </c>
      <c r="H605" s="146" t="str" cm="1">
        <f t="array" aca="1" ref="H605" ca="1">IF(Assessment[[#This Row],[JOB TARGET]]="","Job Target Kosong",IF(COUNT(IF('Data Assessment'!$N605:$Z605-OFFSET(Standar!$B$2,MATCH(Assessment[[#This Row],[JOB TARGET
(EST)]],Standar[NAMA JABATAN],0)-1,1,1,13)&lt;0,1,""))&lt;=3,'9 Grid'!$B$4,IF(COUNT(IF('Data Assessment'!$N605:$Z605-OFFSET(Standar!$B$2,MATCH(Assessment[[#This Row],[JOB TARGET]],Standar[NAMA JABATAN],0)-1,1,1,13)&lt;0,1,""))&gt;=7,'9 Grid'!$B$6,'9 Grid'!$B$5)))</f>
        <v>Job Target Kosong</v>
      </c>
      <c r="I605" s="146" t="str">
        <f>IFERROR(IF(Data_Assessment[[#This Row],[IPP (3 YEARS AVERAGE)]]="","(IPP Belum Ada)",IF(Data_Assessment[[#This Row],[IPP (3 YEARS AVERAGE)]]&lt;2,'9 Grid'!$F$2,IF(Data_Assessment[[#This Row],[IPP (3 YEARS AVERAGE)]]&gt;=4,'9 Grid'!$D$2,'9 Grid'!$E$2))),"")</f>
        <v>Fully Competence Performance</v>
      </c>
      <c r="J605" s="146" t="str">
        <f ca="1">IFERROR(INDEX('9 Grid'!$D$4:$F$6,MATCH('Rekomendasi HAV'!H605,'9 Grid'!$B$4:$B$6,0),MATCH('Rekomendasi HAV'!I605,'9 Grid'!$D$2:$F$2,0)),"")</f>
        <v/>
      </c>
      <c r="K605" s="146" t="str">
        <f>IFERROR(INDEX('9 Grid'!$D$8:$F$8,1,MATCH('Rekomendasi HAV'!I605,'9 Grid'!$D$2:$F$2,0)),"")</f>
        <v>(ST) Within 12 - 18 month</v>
      </c>
      <c r="L605" s="146">
        <f>IF(ISNUMBER(SEARCH("EST",Assessment[[#This Row],[JOB TARGET]])),SUBSTITUTE(Assessment[[#This Row],[JOB TARGET]],"EST","DEV"),Assessment[[#This Row],[JOB TARGET]])</f>
        <v>0</v>
      </c>
      <c r="M605" s="146" t="str" cm="1">
        <f t="array" aca="1" ref="M605" ca="1">IF(Assessment[[#This Row],[JOB TARGET]]="","Job Target Kosong",IF(COUNT(IF('Data Assessment'!$N605:$Z605-OFFSET(Standar!$B$2,MATCH(Assessment[[#This Row],[JOB TARGET
(DEV)]],Standar[NAMA JABATAN],0)-1,1,1,13)&lt;0,1,""))&lt;=3,'9 Grid'!$B$4,IF(COUNT(IF('Data Assessment'!$N605:$Z605-OFFSET(Standar!$B$2,MATCH(Assessment[[#This Row],[JOB TARGET
(DEV)]],Standar[NAMA JABATAN],0)-1,1,1,13)&lt;0,1,""))&gt;=7,'9 Grid'!$B$6,'9 Grid'!$B$5)))</f>
        <v>Job Target Kosong</v>
      </c>
      <c r="N605" s="146" t="str">
        <f>IFERROR(IF(Data_Assessment[[#This Row],[IPP (3 YEARS AVERAGE)]]="","(IPP Belum Ada)",IF(Data_Assessment[[#This Row],[IPP (3 YEARS AVERAGE)]]&lt;2,'9 Grid'!$F$2,IF(Data_Assessment[[#This Row],[IPP (3 YEARS AVERAGE)]]&gt;=4,'9 Grid'!$D$2,'9 Grid'!$E$2))),"")</f>
        <v>Fully Competence Performance</v>
      </c>
      <c r="O605" s="146" t="str">
        <f ca="1">IFERROR(INDEX('9 Grid'!$D$4:$F$6,MATCH('Rekomendasi HAV'!M605,'9 Grid'!$B$4:$B$6,0),MATCH('Rekomendasi HAV'!N605,'9 Grid'!$D$2:$F$2,0)),"")</f>
        <v/>
      </c>
      <c r="P605" s="147" t="str">
        <f>IFERROR(INDEX('9 Grid'!$D$8:$F$8,1,MATCH('Rekomendasi HAV'!N605,'9 Grid'!$D$2:$F$2,0)),"")</f>
        <v>(ST) Within 12 - 18 month</v>
      </c>
    </row>
    <row r="606" spans="1:16" ht="28.5">
      <c r="A606" s="67">
        <v>605</v>
      </c>
      <c r="B606" s="68" t="str">
        <f>INDEX(Data_Assessment[],MATCH('Rekomendasi HAV'!$A606,Data_Assessment[[INDEX]:[INDEX]],0),MATCH('Rekomendasi HAV'!B$1,Data_Assessment[#Headers],0))</f>
        <v>Sinar Mulia Munthe</v>
      </c>
      <c r="C606" s="68" t="str">
        <f>INDEX(Data_Assessment[],MATCH('Rekomendasi HAV'!$A606,Data_Assessment[[INDEX]:[INDEX]],0),MATCH('Rekomendasi HAV'!C$1,Data_Assessment[#Headers],0))</f>
        <v>Sulawesi Selatan</v>
      </c>
      <c r="D606" s="68" t="str">
        <f>INDEX(Data_Assessment[],MATCH('Rekomendasi HAV'!$A606,Data_Assessment[[INDEX]:[INDEX]],0),MATCH('Rekomendasi HAV'!D$1,Data_Assessment[#Headers],0))</f>
        <v>LSIP - Palangisang Rubber Factory</v>
      </c>
      <c r="E606" s="68">
        <f>INDEX(Data_Assessment[],MATCH('Rekomendasi HAV'!$B606,Data_Assessment[[NAME]:[NAME]],0),MATCH('Rekomendasi HAV'!E$1,Data_Assessment[#Headers],0))</f>
        <v>0</v>
      </c>
      <c r="F606" s="68"/>
      <c r="G606" s="68">
        <f>IF(ISNUMBER(SEARCH("DEV",Assessment[[#This Row],[JOB TARGET]])),SUBSTITUTE(Assessment[[#This Row],[JOB TARGET]],"DEV","EST"),Assessment[[#This Row],[JOB TARGET]])</f>
        <v>0</v>
      </c>
      <c r="H606" s="146" t="str" cm="1">
        <f t="array" aca="1" ref="H606" ca="1">IF(Assessment[[#This Row],[JOB TARGET]]="","Job Target Kosong",IF(COUNT(IF('Data Assessment'!$N606:$Z606-OFFSET(Standar!$B$2,MATCH(Assessment[[#This Row],[JOB TARGET
(EST)]],Standar[NAMA JABATAN],0)-1,1,1,13)&lt;0,1,""))&lt;=3,'9 Grid'!$B$4,IF(COUNT(IF('Data Assessment'!$N606:$Z606-OFFSET(Standar!$B$2,MATCH(Assessment[[#This Row],[JOB TARGET]],Standar[NAMA JABATAN],0)-1,1,1,13)&lt;0,1,""))&gt;=7,'9 Grid'!$B$6,'9 Grid'!$B$5)))</f>
        <v>Job Target Kosong</v>
      </c>
      <c r="I606" s="146" t="str">
        <f>IFERROR(IF(Data_Assessment[[#This Row],[IPP (3 YEARS AVERAGE)]]="","(IPP Belum Ada)",IF(Data_Assessment[[#This Row],[IPP (3 YEARS AVERAGE)]]&lt;2,'9 Grid'!$F$2,IF(Data_Assessment[[#This Row],[IPP (3 YEARS AVERAGE)]]&gt;=4,'9 Grid'!$D$2,'9 Grid'!$E$2))),"")</f>
        <v>Fully Competence Performance</v>
      </c>
      <c r="J606" s="146" t="str">
        <f ca="1">IFERROR(INDEX('9 Grid'!$D$4:$F$6,MATCH('Rekomendasi HAV'!H606,'9 Grid'!$B$4:$B$6,0),MATCH('Rekomendasi HAV'!I606,'9 Grid'!$D$2:$F$2,0)),"")</f>
        <v/>
      </c>
      <c r="K606" s="146" t="str">
        <f>IFERROR(INDEX('9 Grid'!$D$8:$F$8,1,MATCH('Rekomendasi HAV'!I606,'9 Grid'!$D$2:$F$2,0)),"")</f>
        <v>(ST) Within 12 - 18 month</v>
      </c>
      <c r="L606" s="146">
        <f>IF(ISNUMBER(SEARCH("EST",Assessment[[#This Row],[JOB TARGET]])),SUBSTITUTE(Assessment[[#This Row],[JOB TARGET]],"EST","DEV"),Assessment[[#This Row],[JOB TARGET]])</f>
        <v>0</v>
      </c>
      <c r="M606" s="146" t="str" cm="1">
        <f t="array" aca="1" ref="M606" ca="1">IF(Assessment[[#This Row],[JOB TARGET]]="","Job Target Kosong",IF(COUNT(IF('Data Assessment'!$N606:$Z606-OFFSET(Standar!$B$2,MATCH(Assessment[[#This Row],[JOB TARGET
(DEV)]],Standar[NAMA JABATAN],0)-1,1,1,13)&lt;0,1,""))&lt;=3,'9 Grid'!$B$4,IF(COUNT(IF('Data Assessment'!$N606:$Z606-OFFSET(Standar!$B$2,MATCH(Assessment[[#This Row],[JOB TARGET
(DEV)]],Standar[NAMA JABATAN],0)-1,1,1,13)&lt;0,1,""))&gt;=7,'9 Grid'!$B$6,'9 Grid'!$B$5)))</f>
        <v>Job Target Kosong</v>
      </c>
      <c r="N606" s="146" t="str">
        <f>IFERROR(IF(Data_Assessment[[#This Row],[IPP (3 YEARS AVERAGE)]]="","(IPP Belum Ada)",IF(Data_Assessment[[#This Row],[IPP (3 YEARS AVERAGE)]]&lt;2,'9 Grid'!$F$2,IF(Data_Assessment[[#This Row],[IPP (3 YEARS AVERAGE)]]&gt;=4,'9 Grid'!$D$2,'9 Grid'!$E$2))),"")</f>
        <v>Fully Competence Performance</v>
      </c>
      <c r="O606" s="146" t="str">
        <f ca="1">IFERROR(INDEX('9 Grid'!$D$4:$F$6,MATCH('Rekomendasi HAV'!M606,'9 Grid'!$B$4:$B$6,0),MATCH('Rekomendasi HAV'!N606,'9 Grid'!$D$2:$F$2,0)),"")</f>
        <v/>
      </c>
      <c r="P606" s="147" t="str">
        <f>IFERROR(INDEX('9 Grid'!$D$8:$F$8,1,MATCH('Rekomendasi HAV'!N606,'9 Grid'!$D$2:$F$2,0)),"")</f>
        <v>(ST) Within 12 - 18 month</v>
      </c>
    </row>
    <row r="607" spans="1:16" ht="28.5">
      <c r="A607" s="67">
        <v>606</v>
      </c>
      <c r="B607" s="68" t="str">
        <f>INDEX(Data_Assessment[],MATCH('Rekomendasi HAV'!$A607,Data_Assessment[[INDEX]:[INDEX]],0),MATCH('Rekomendasi HAV'!B$1,Data_Assessment[#Headers],0))</f>
        <v>Muhammad Endra Sukma Sadly</v>
      </c>
      <c r="C607" s="68" t="str">
        <f>INDEX(Data_Assessment[],MATCH('Rekomendasi HAV'!$A607,Data_Assessment[[INDEX]:[INDEX]],0),MATCH('Rekomendasi HAV'!C$1,Data_Assessment[#Headers],0))</f>
        <v>Jawa Barat</v>
      </c>
      <c r="D607" s="68" t="str">
        <f>INDEX(Data_Assessment[],MATCH('Rekomendasi HAV'!$A607,Data_Assessment[[INDEX]:[INDEX]],0),MATCH('Rekomendasi HAV'!D$1,Data_Assessment[#Headers],0))</f>
        <v>LSIP - Kertasarie Estate</v>
      </c>
      <c r="E607" s="68">
        <f>INDEX(Data_Assessment[],MATCH('Rekomendasi HAV'!$B607,Data_Assessment[[NAME]:[NAME]],0),MATCH('Rekomendasi HAV'!E$1,Data_Assessment[#Headers],0))</f>
        <v>0</v>
      </c>
      <c r="F607" s="68"/>
      <c r="G607" s="68">
        <f>IF(ISNUMBER(SEARCH("DEV",Assessment[[#This Row],[JOB TARGET]])),SUBSTITUTE(Assessment[[#This Row],[JOB TARGET]],"DEV","EST"),Assessment[[#This Row],[JOB TARGET]])</f>
        <v>0</v>
      </c>
      <c r="H607" s="146" t="str" cm="1">
        <f t="array" aca="1" ref="H607" ca="1">IF(Assessment[[#This Row],[JOB TARGET]]="","Job Target Kosong",IF(COUNT(IF('Data Assessment'!$N607:$Z607-OFFSET(Standar!$B$2,MATCH(Assessment[[#This Row],[JOB TARGET
(EST)]],Standar[NAMA JABATAN],0)-1,1,1,13)&lt;0,1,""))&lt;=3,'9 Grid'!$B$4,IF(COUNT(IF('Data Assessment'!$N607:$Z607-OFFSET(Standar!$B$2,MATCH(Assessment[[#This Row],[JOB TARGET]],Standar[NAMA JABATAN],0)-1,1,1,13)&lt;0,1,""))&gt;=7,'9 Grid'!$B$6,'9 Grid'!$B$5)))</f>
        <v>Job Target Kosong</v>
      </c>
      <c r="I607" s="146" t="str">
        <f>IFERROR(IF(Data_Assessment[[#This Row],[IPP (3 YEARS AVERAGE)]]="","(IPP Belum Ada)",IF(Data_Assessment[[#This Row],[IPP (3 YEARS AVERAGE)]]&lt;2,'9 Grid'!$F$2,IF(Data_Assessment[[#This Row],[IPP (3 YEARS AVERAGE)]]&gt;=4,'9 Grid'!$D$2,'9 Grid'!$E$2))),"")</f>
        <v>Fully Competence Performance</v>
      </c>
      <c r="J607" s="146" t="str">
        <f ca="1">IFERROR(INDEX('9 Grid'!$D$4:$F$6,MATCH('Rekomendasi HAV'!H607,'9 Grid'!$B$4:$B$6,0),MATCH('Rekomendasi HAV'!I607,'9 Grid'!$D$2:$F$2,0)),"")</f>
        <v/>
      </c>
      <c r="K607" s="146" t="str">
        <f>IFERROR(INDEX('9 Grid'!$D$8:$F$8,1,MATCH('Rekomendasi HAV'!I607,'9 Grid'!$D$2:$F$2,0)),"")</f>
        <v>(ST) Within 12 - 18 month</v>
      </c>
      <c r="L607" s="146">
        <f>IF(ISNUMBER(SEARCH("EST",Assessment[[#This Row],[JOB TARGET]])),SUBSTITUTE(Assessment[[#This Row],[JOB TARGET]],"EST","DEV"),Assessment[[#This Row],[JOB TARGET]])</f>
        <v>0</v>
      </c>
      <c r="M607" s="146" t="str" cm="1">
        <f t="array" aca="1" ref="M607" ca="1">IF(Assessment[[#This Row],[JOB TARGET]]="","Job Target Kosong",IF(COUNT(IF('Data Assessment'!$N607:$Z607-OFFSET(Standar!$B$2,MATCH(Assessment[[#This Row],[JOB TARGET
(DEV)]],Standar[NAMA JABATAN],0)-1,1,1,13)&lt;0,1,""))&lt;=3,'9 Grid'!$B$4,IF(COUNT(IF('Data Assessment'!$N607:$Z607-OFFSET(Standar!$B$2,MATCH(Assessment[[#This Row],[JOB TARGET
(DEV)]],Standar[NAMA JABATAN],0)-1,1,1,13)&lt;0,1,""))&gt;=7,'9 Grid'!$B$6,'9 Grid'!$B$5)))</f>
        <v>Job Target Kosong</v>
      </c>
      <c r="N607" s="146" t="str">
        <f>IFERROR(IF(Data_Assessment[[#This Row],[IPP (3 YEARS AVERAGE)]]="","(IPP Belum Ada)",IF(Data_Assessment[[#This Row],[IPP (3 YEARS AVERAGE)]]&lt;2,'9 Grid'!$F$2,IF(Data_Assessment[[#This Row],[IPP (3 YEARS AVERAGE)]]&gt;=4,'9 Grid'!$D$2,'9 Grid'!$E$2))),"")</f>
        <v>Fully Competence Performance</v>
      </c>
      <c r="O607" s="146" t="str">
        <f ca="1">IFERROR(INDEX('9 Grid'!$D$4:$F$6,MATCH('Rekomendasi HAV'!M607,'9 Grid'!$B$4:$B$6,0),MATCH('Rekomendasi HAV'!N607,'9 Grid'!$D$2:$F$2,0)),"")</f>
        <v/>
      </c>
      <c r="P607" s="147" t="str">
        <f>IFERROR(INDEX('9 Grid'!$D$8:$F$8,1,MATCH('Rekomendasi HAV'!N607,'9 Grid'!$D$2:$F$2,0)),"")</f>
        <v>(ST) Within 12 - 18 month</v>
      </c>
    </row>
    <row r="608" spans="1:16" ht="28.5">
      <c r="A608" s="67">
        <v>607</v>
      </c>
      <c r="B608" s="68" t="str">
        <f>INDEX(Data_Assessment[],MATCH('Rekomendasi HAV'!$A608,Data_Assessment[[INDEX]:[INDEX]],0),MATCH('Rekomendasi HAV'!B$1,Data_Assessment[#Headers],0))</f>
        <v>Sihar Manurung</v>
      </c>
      <c r="C608" s="68" t="str">
        <f>INDEX(Data_Assessment[],MATCH('Rekomendasi HAV'!$A608,Data_Assessment[[INDEX]:[INDEX]],0),MATCH('Rekomendasi HAV'!C$1,Data_Assessment[#Headers],0))</f>
        <v>Sulawesi Selatan</v>
      </c>
      <c r="D608" s="68" t="str">
        <f>INDEX(Data_Assessment[],MATCH('Rekomendasi HAV'!$A608,Data_Assessment[[INDEX]:[INDEX]],0),MATCH('Rekomendasi HAV'!D$1,Data_Assessment[#Headers],0))</f>
        <v>LSIP - Palangisang Rubber Factory</v>
      </c>
      <c r="E608" s="68">
        <f>INDEX(Data_Assessment[],MATCH('Rekomendasi HAV'!$B608,Data_Assessment[[NAME]:[NAME]],0),MATCH('Rekomendasi HAV'!E$1,Data_Assessment[#Headers],0))</f>
        <v>0</v>
      </c>
      <c r="F608" s="68"/>
      <c r="G608" s="68">
        <f>IF(ISNUMBER(SEARCH("DEV",Assessment[[#This Row],[JOB TARGET]])),SUBSTITUTE(Assessment[[#This Row],[JOB TARGET]],"DEV","EST"),Assessment[[#This Row],[JOB TARGET]])</f>
        <v>0</v>
      </c>
      <c r="H608" s="146" t="str" cm="1">
        <f t="array" aca="1" ref="H608" ca="1">IF(Assessment[[#This Row],[JOB TARGET]]="","Job Target Kosong",IF(COUNT(IF('Data Assessment'!$N608:$Z608-OFFSET(Standar!$B$2,MATCH(Assessment[[#This Row],[JOB TARGET
(EST)]],Standar[NAMA JABATAN],0)-1,1,1,13)&lt;0,1,""))&lt;=3,'9 Grid'!$B$4,IF(COUNT(IF('Data Assessment'!$N608:$Z608-OFFSET(Standar!$B$2,MATCH(Assessment[[#This Row],[JOB TARGET]],Standar[NAMA JABATAN],0)-1,1,1,13)&lt;0,1,""))&gt;=7,'9 Grid'!$B$6,'9 Grid'!$B$5)))</f>
        <v>Job Target Kosong</v>
      </c>
      <c r="I608" s="146" t="str">
        <f>IFERROR(IF(Data_Assessment[[#This Row],[IPP (3 YEARS AVERAGE)]]="","(IPP Belum Ada)",IF(Data_Assessment[[#This Row],[IPP (3 YEARS AVERAGE)]]&lt;2,'9 Grid'!$F$2,IF(Data_Assessment[[#This Row],[IPP (3 YEARS AVERAGE)]]&gt;=4,'9 Grid'!$D$2,'9 Grid'!$E$2))),"")</f>
        <v>Fully Competence Performance</v>
      </c>
      <c r="J608" s="146" t="str">
        <f ca="1">IFERROR(INDEX('9 Grid'!$D$4:$F$6,MATCH('Rekomendasi HAV'!H608,'9 Grid'!$B$4:$B$6,0),MATCH('Rekomendasi HAV'!I608,'9 Grid'!$D$2:$F$2,0)),"")</f>
        <v/>
      </c>
      <c r="K608" s="146" t="str">
        <f>IFERROR(INDEX('9 Grid'!$D$8:$F$8,1,MATCH('Rekomendasi HAV'!I608,'9 Grid'!$D$2:$F$2,0)),"")</f>
        <v>(ST) Within 12 - 18 month</v>
      </c>
      <c r="L608" s="146">
        <f>IF(ISNUMBER(SEARCH("EST",Assessment[[#This Row],[JOB TARGET]])),SUBSTITUTE(Assessment[[#This Row],[JOB TARGET]],"EST","DEV"),Assessment[[#This Row],[JOB TARGET]])</f>
        <v>0</v>
      </c>
      <c r="M608" s="146" t="str" cm="1">
        <f t="array" aca="1" ref="M608" ca="1">IF(Assessment[[#This Row],[JOB TARGET]]="","Job Target Kosong",IF(COUNT(IF('Data Assessment'!$N608:$Z608-OFFSET(Standar!$B$2,MATCH(Assessment[[#This Row],[JOB TARGET
(DEV)]],Standar[NAMA JABATAN],0)-1,1,1,13)&lt;0,1,""))&lt;=3,'9 Grid'!$B$4,IF(COUNT(IF('Data Assessment'!$N608:$Z608-OFFSET(Standar!$B$2,MATCH(Assessment[[#This Row],[JOB TARGET
(DEV)]],Standar[NAMA JABATAN],0)-1,1,1,13)&lt;0,1,""))&gt;=7,'9 Grid'!$B$6,'9 Grid'!$B$5)))</f>
        <v>Job Target Kosong</v>
      </c>
      <c r="N608" s="146" t="str">
        <f>IFERROR(IF(Data_Assessment[[#This Row],[IPP (3 YEARS AVERAGE)]]="","(IPP Belum Ada)",IF(Data_Assessment[[#This Row],[IPP (3 YEARS AVERAGE)]]&lt;2,'9 Grid'!$F$2,IF(Data_Assessment[[#This Row],[IPP (3 YEARS AVERAGE)]]&gt;=4,'9 Grid'!$D$2,'9 Grid'!$E$2))),"")</f>
        <v>Fully Competence Performance</v>
      </c>
      <c r="O608" s="146" t="str">
        <f ca="1">IFERROR(INDEX('9 Grid'!$D$4:$F$6,MATCH('Rekomendasi HAV'!M608,'9 Grid'!$B$4:$B$6,0),MATCH('Rekomendasi HAV'!N608,'9 Grid'!$D$2:$F$2,0)),"")</f>
        <v/>
      </c>
      <c r="P608" s="147" t="str">
        <f>IFERROR(INDEX('9 Grid'!$D$8:$F$8,1,MATCH('Rekomendasi HAV'!N608,'9 Grid'!$D$2:$F$2,0)),"")</f>
        <v>(ST) Within 12 - 18 month</v>
      </c>
    </row>
    <row r="609" spans="1:16" ht="28.5">
      <c r="A609" s="67">
        <v>608</v>
      </c>
      <c r="B609" s="68" t="str">
        <f>INDEX(Data_Assessment[],MATCH('Rekomendasi HAV'!$A609,Data_Assessment[[INDEX]:[INDEX]],0),MATCH('Rekomendasi HAV'!B$1,Data_Assessment[#Headers],0))</f>
        <v>Dicky Budiman</v>
      </c>
      <c r="C609" s="68" t="str">
        <f>INDEX(Data_Assessment[],MATCH('Rekomendasi HAV'!$A609,Data_Assessment[[INDEX]:[INDEX]],0),MATCH('Rekomendasi HAV'!C$1,Data_Assessment[#Headers],0))</f>
        <v>Jawa Barat</v>
      </c>
      <c r="D609" s="68" t="str">
        <f>INDEX(Data_Assessment[],MATCH('Rekomendasi HAV'!$A609,Data_Assessment[[INDEX]:[INDEX]],0),MATCH('Rekomendasi HAV'!D$1,Data_Assessment[#Headers],0))</f>
        <v>LSIP - Kertasarie Estate</v>
      </c>
      <c r="E609" s="68">
        <f>INDEX(Data_Assessment[],MATCH('Rekomendasi HAV'!$B609,Data_Assessment[[NAME]:[NAME]],0),MATCH('Rekomendasi HAV'!E$1,Data_Assessment[#Headers],0))</f>
        <v>0</v>
      </c>
      <c r="F609" s="68"/>
      <c r="G609" s="68">
        <f>IF(ISNUMBER(SEARCH("DEV",Assessment[[#This Row],[JOB TARGET]])),SUBSTITUTE(Assessment[[#This Row],[JOB TARGET]],"DEV","EST"),Assessment[[#This Row],[JOB TARGET]])</f>
        <v>0</v>
      </c>
      <c r="H609" s="146" t="str" cm="1">
        <f t="array" aca="1" ref="H609" ca="1">IF(Assessment[[#This Row],[JOB TARGET]]="","Job Target Kosong",IF(COUNT(IF('Data Assessment'!$N609:$Z609-OFFSET(Standar!$B$2,MATCH(Assessment[[#This Row],[JOB TARGET
(EST)]],Standar[NAMA JABATAN],0)-1,1,1,13)&lt;0,1,""))&lt;=3,'9 Grid'!$B$4,IF(COUNT(IF('Data Assessment'!$N609:$Z609-OFFSET(Standar!$B$2,MATCH(Assessment[[#This Row],[JOB TARGET]],Standar[NAMA JABATAN],0)-1,1,1,13)&lt;0,1,""))&gt;=7,'9 Grid'!$B$6,'9 Grid'!$B$5)))</f>
        <v>Job Target Kosong</v>
      </c>
      <c r="I609" s="146" t="str">
        <f>IFERROR(IF(Data_Assessment[[#This Row],[IPP (3 YEARS AVERAGE)]]="","(IPP Belum Ada)",IF(Data_Assessment[[#This Row],[IPP (3 YEARS AVERAGE)]]&lt;2,'9 Grid'!$F$2,IF(Data_Assessment[[#This Row],[IPP (3 YEARS AVERAGE)]]&gt;=4,'9 Grid'!$D$2,'9 Grid'!$E$2))),"")</f>
        <v>Fully Competence Performance</v>
      </c>
      <c r="J609" s="146" t="str">
        <f ca="1">IFERROR(INDEX('9 Grid'!$D$4:$F$6,MATCH('Rekomendasi HAV'!H609,'9 Grid'!$B$4:$B$6,0),MATCH('Rekomendasi HAV'!I609,'9 Grid'!$D$2:$F$2,0)),"")</f>
        <v/>
      </c>
      <c r="K609" s="146" t="str">
        <f>IFERROR(INDEX('9 Grid'!$D$8:$F$8,1,MATCH('Rekomendasi HAV'!I609,'9 Grid'!$D$2:$F$2,0)),"")</f>
        <v>(ST) Within 12 - 18 month</v>
      </c>
      <c r="L609" s="146">
        <f>IF(ISNUMBER(SEARCH("EST",Assessment[[#This Row],[JOB TARGET]])),SUBSTITUTE(Assessment[[#This Row],[JOB TARGET]],"EST","DEV"),Assessment[[#This Row],[JOB TARGET]])</f>
        <v>0</v>
      </c>
      <c r="M609" s="146" t="str" cm="1">
        <f t="array" aca="1" ref="M609" ca="1">IF(Assessment[[#This Row],[JOB TARGET]]="","Job Target Kosong",IF(COUNT(IF('Data Assessment'!$N609:$Z609-OFFSET(Standar!$B$2,MATCH(Assessment[[#This Row],[JOB TARGET
(DEV)]],Standar[NAMA JABATAN],0)-1,1,1,13)&lt;0,1,""))&lt;=3,'9 Grid'!$B$4,IF(COUNT(IF('Data Assessment'!$N609:$Z609-OFFSET(Standar!$B$2,MATCH(Assessment[[#This Row],[JOB TARGET
(DEV)]],Standar[NAMA JABATAN],0)-1,1,1,13)&lt;0,1,""))&gt;=7,'9 Grid'!$B$6,'9 Grid'!$B$5)))</f>
        <v>Job Target Kosong</v>
      </c>
      <c r="N609" s="146" t="str">
        <f>IFERROR(IF(Data_Assessment[[#This Row],[IPP (3 YEARS AVERAGE)]]="","(IPP Belum Ada)",IF(Data_Assessment[[#This Row],[IPP (3 YEARS AVERAGE)]]&lt;2,'9 Grid'!$F$2,IF(Data_Assessment[[#This Row],[IPP (3 YEARS AVERAGE)]]&gt;=4,'9 Grid'!$D$2,'9 Grid'!$E$2))),"")</f>
        <v>Fully Competence Performance</v>
      </c>
      <c r="O609" s="146" t="str">
        <f ca="1">IFERROR(INDEX('9 Grid'!$D$4:$F$6,MATCH('Rekomendasi HAV'!M609,'9 Grid'!$B$4:$B$6,0),MATCH('Rekomendasi HAV'!N609,'9 Grid'!$D$2:$F$2,0)),"")</f>
        <v/>
      </c>
      <c r="P609" s="147" t="str">
        <f>IFERROR(INDEX('9 Grid'!$D$8:$F$8,1,MATCH('Rekomendasi HAV'!N609,'9 Grid'!$D$2:$F$2,0)),"")</f>
        <v>(ST) Within 12 - 18 month</v>
      </c>
    </row>
    <row r="610" spans="1:16" ht="14.25">
      <c r="A610" s="67">
        <v>609</v>
      </c>
      <c r="B610" s="68" t="str">
        <f>INDEX(Data_Assessment[],MATCH('Rekomendasi HAV'!$A610,Data_Assessment[[INDEX]:[INDEX]],0),MATCH('Rekomendasi HAV'!B$1,Data_Assessment[#Headers],0))</f>
        <v>Rusden Pandiangan</v>
      </c>
      <c r="C610" s="68" t="str">
        <f>INDEX(Data_Assessment[],MATCH('Rekomendasi HAV'!$A610,Data_Assessment[[INDEX]:[INDEX]],0),MATCH('Rekomendasi HAV'!C$1,Data_Assessment[#Headers],0))</f>
        <v>Jawa Barat</v>
      </c>
      <c r="D610" s="68" t="str">
        <f>INDEX(Data_Assessment[],MATCH('Rekomendasi HAV'!$A610,Data_Assessment[[INDEX]:[INDEX]],0),MATCH('Rekomendasi HAV'!D$1,Data_Assessment[#Headers],0))</f>
        <v>LSIP - Kertasarie Factory</v>
      </c>
      <c r="E610" s="68">
        <f>INDEX(Data_Assessment[],MATCH('Rekomendasi HAV'!$B610,Data_Assessment[[NAME]:[NAME]],0),MATCH('Rekomendasi HAV'!E$1,Data_Assessment[#Headers],0))</f>
        <v>0</v>
      </c>
      <c r="F610" s="68"/>
      <c r="G610" s="68">
        <f>IF(ISNUMBER(SEARCH("DEV",Assessment[[#This Row],[JOB TARGET]])),SUBSTITUTE(Assessment[[#This Row],[JOB TARGET]],"DEV","EST"),Assessment[[#This Row],[JOB TARGET]])</f>
        <v>0</v>
      </c>
      <c r="H610" s="146" t="str" cm="1">
        <f t="array" aca="1" ref="H610" ca="1">IF(Assessment[[#This Row],[JOB TARGET]]="","Job Target Kosong",IF(COUNT(IF('Data Assessment'!$N610:$Z610-OFFSET(Standar!$B$2,MATCH(Assessment[[#This Row],[JOB TARGET
(EST)]],Standar[NAMA JABATAN],0)-1,1,1,13)&lt;0,1,""))&lt;=3,'9 Grid'!$B$4,IF(COUNT(IF('Data Assessment'!$N610:$Z610-OFFSET(Standar!$B$2,MATCH(Assessment[[#This Row],[JOB TARGET]],Standar[NAMA JABATAN],0)-1,1,1,13)&lt;0,1,""))&gt;=7,'9 Grid'!$B$6,'9 Grid'!$B$5)))</f>
        <v>Job Target Kosong</v>
      </c>
      <c r="I610" s="146" t="str">
        <f>IFERROR(IF(Data_Assessment[[#This Row],[IPP (3 YEARS AVERAGE)]]="","(IPP Belum Ada)",IF(Data_Assessment[[#This Row],[IPP (3 YEARS AVERAGE)]]&lt;2,'9 Grid'!$F$2,IF(Data_Assessment[[#This Row],[IPP (3 YEARS AVERAGE)]]&gt;=4,'9 Grid'!$D$2,'9 Grid'!$E$2))),"")</f>
        <v>Exceptional Performance</v>
      </c>
      <c r="J610" s="146" t="str">
        <f ca="1">IFERROR(INDEX('9 Grid'!$D$4:$F$6,MATCH('Rekomendasi HAV'!H610,'9 Grid'!$B$4:$B$6,0),MATCH('Rekomendasi HAV'!I610,'9 Grid'!$D$2:$F$2,0)),"")</f>
        <v/>
      </c>
      <c r="K610" s="146" t="str">
        <f>IFERROR(INDEX('9 Grid'!$D$8:$F$8,1,MATCH('Rekomendasi HAV'!I610,'9 Grid'!$D$2:$F$2,0)),"")</f>
        <v>(I) Immediately</v>
      </c>
      <c r="L610" s="146">
        <f>IF(ISNUMBER(SEARCH("EST",Assessment[[#This Row],[JOB TARGET]])),SUBSTITUTE(Assessment[[#This Row],[JOB TARGET]],"EST","DEV"),Assessment[[#This Row],[JOB TARGET]])</f>
        <v>0</v>
      </c>
      <c r="M610" s="146" t="str" cm="1">
        <f t="array" aca="1" ref="M610" ca="1">IF(Assessment[[#This Row],[JOB TARGET]]="","Job Target Kosong",IF(COUNT(IF('Data Assessment'!$N610:$Z610-OFFSET(Standar!$B$2,MATCH(Assessment[[#This Row],[JOB TARGET
(DEV)]],Standar[NAMA JABATAN],0)-1,1,1,13)&lt;0,1,""))&lt;=3,'9 Grid'!$B$4,IF(COUNT(IF('Data Assessment'!$N610:$Z610-OFFSET(Standar!$B$2,MATCH(Assessment[[#This Row],[JOB TARGET
(DEV)]],Standar[NAMA JABATAN],0)-1,1,1,13)&lt;0,1,""))&gt;=7,'9 Grid'!$B$6,'9 Grid'!$B$5)))</f>
        <v>Job Target Kosong</v>
      </c>
      <c r="N610" s="146" t="str">
        <f>IFERROR(IF(Data_Assessment[[#This Row],[IPP (3 YEARS AVERAGE)]]="","(IPP Belum Ada)",IF(Data_Assessment[[#This Row],[IPP (3 YEARS AVERAGE)]]&lt;2,'9 Grid'!$F$2,IF(Data_Assessment[[#This Row],[IPP (3 YEARS AVERAGE)]]&gt;=4,'9 Grid'!$D$2,'9 Grid'!$E$2))),"")</f>
        <v>Exceptional Performance</v>
      </c>
      <c r="O610" s="146" t="str">
        <f ca="1">IFERROR(INDEX('9 Grid'!$D$4:$F$6,MATCH('Rekomendasi HAV'!M610,'9 Grid'!$B$4:$B$6,0),MATCH('Rekomendasi HAV'!N610,'9 Grid'!$D$2:$F$2,0)),"")</f>
        <v/>
      </c>
      <c r="P610" s="147" t="str">
        <f>IFERROR(INDEX('9 Grid'!$D$8:$F$8,1,MATCH('Rekomendasi HAV'!N610,'9 Grid'!$D$2:$F$2,0)),"")</f>
        <v>(I) Immediately</v>
      </c>
    </row>
    <row r="611" spans="1:16" ht="28.5">
      <c r="A611" s="67">
        <v>610</v>
      </c>
      <c r="B611" s="68" t="str">
        <f>INDEX(Data_Assessment[],MATCH('Rekomendasi HAV'!$A611,Data_Assessment[[INDEX]:[INDEX]],0),MATCH('Rekomendasi HAV'!B$1,Data_Assessment[#Headers],0))</f>
        <v>Fadly Gunawan, Ir.</v>
      </c>
      <c r="C611" s="68" t="str">
        <f>INDEX(Data_Assessment[],MATCH('Rekomendasi HAV'!$A611,Data_Assessment[[INDEX]:[INDEX]],0),MATCH('Rekomendasi HAV'!C$1,Data_Assessment[#Headers],0))</f>
        <v>Jawa Timur</v>
      </c>
      <c r="D611" s="68" t="str">
        <f>INDEX(Data_Assessment[],MATCH('Rekomendasi HAV'!$A611,Data_Assessment[[INDEX]:[INDEX]],0),MATCH('Rekomendasi HAV'!D$1,Data_Assessment[#Headers],0))</f>
        <v>LSIP - Treblasala Factory</v>
      </c>
      <c r="E611" s="68">
        <f>INDEX(Data_Assessment[],MATCH('Rekomendasi HAV'!$B611,Data_Assessment[[NAME]:[NAME]],0),MATCH('Rekomendasi HAV'!E$1,Data_Assessment[#Headers],0))</f>
        <v>0</v>
      </c>
      <c r="F611" s="68"/>
      <c r="G611" s="68">
        <f>IF(ISNUMBER(SEARCH("DEV",Assessment[[#This Row],[JOB TARGET]])),SUBSTITUTE(Assessment[[#This Row],[JOB TARGET]],"DEV","EST"),Assessment[[#This Row],[JOB TARGET]])</f>
        <v>0</v>
      </c>
      <c r="H611" s="146" t="str" cm="1">
        <f t="array" aca="1" ref="H611" ca="1">IF(Assessment[[#This Row],[JOB TARGET]]="","Job Target Kosong",IF(COUNT(IF('Data Assessment'!$N611:$Z611-OFFSET(Standar!$B$2,MATCH(Assessment[[#This Row],[JOB TARGET
(EST)]],Standar[NAMA JABATAN],0)-1,1,1,13)&lt;0,1,""))&lt;=3,'9 Grid'!$B$4,IF(COUNT(IF('Data Assessment'!$N611:$Z611-OFFSET(Standar!$B$2,MATCH(Assessment[[#This Row],[JOB TARGET]],Standar[NAMA JABATAN],0)-1,1,1,13)&lt;0,1,""))&gt;=7,'9 Grid'!$B$6,'9 Grid'!$B$5)))</f>
        <v>Job Target Kosong</v>
      </c>
      <c r="I611" s="146" t="str">
        <f>IFERROR(IF(Data_Assessment[[#This Row],[IPP (3 YEARS AVERAGE)]]="","(IPP Belum Ada)",IF(Data_Assessment[[#This Row],[IPP (3 YEARS AVERAGE)]]&lt;2,'9 Grid'!$F$2,IF(Data_Assessment[[#This Row],[IPP (3 YEARS AVERAGE)]]&gt;=4,'9 Grid'!$D$2,'9 Grid'!$E$2))),"")</f>
        <v>Fully Competence Performance</v>
      </c>
      <c r="J611" s="146" t="str">
        <f ca="1">IFERROR(INDEX('9 Grid'!$D$4:$F$6,MATCH('Rekomendasi HAV'!H611,'9 Grid'!$B$4:$B$6,0),MATCH('Rekomendasi HAV'!I611,'9 Grid'!$D$2:$F$2,0)),"")</f>
        <v/>
      </c>
      <c r="K611" s="146" t="str">
        <f>IFERROR(INDEX('9 Grid'!$D$8:$F$8,1,MATCH('Rekomendasi HAV'!I611,'9 Grid'!$D$2:$F$2,0)),"")</f>
        <v>(ST) Within 12 - 18 month</v>
      </c>
      <c r="L611" s="146">
        <f>IF(ISNUMBER(SEARCH("EST",Assessment[[#This Row],[JOB TARGET]])),SUBSTITUTE(Assessment[[#This Row],[JOB TARGET]],"EST","DEV"),Assessment[[#This Row],[JOB TARGET]])</f>
        <v>0</v>
      </c>
      <c r="M611" s="146" t="str" cm="1">
        <f t="array" aca="1" ref="M611" ca="1">IF(Assessment[[#This Row],[JOB TARGET]]="","Job Target Kosong",IF(COUNT(IF('Data Assessment'!$N611:$Z611-OFFSET(Standar!$B$2,MATCH(Assessment[[#This Row],[JOB TARGET
(DEV)]],Standar[NAMA JABATAN],0)-1,1,1,13)&lt;0,1,""))&lt;=3,'9 Grid'!$B$4,IF(COUNT(IF('Data Assessment'!$N611:$Z611-OFFSET(Standar!$B$2,MATCH(Assessment[[#This Row],[JOB TARGET
(DEV)]],Standar[NAMA JABATAN],0)-1,1,1,13)&lt;0,1,""))&gt;=7,'9 Grid'!$B$6,'9 Grid'!$B$5)))</f>
        <v>Job Target Kosong</v>
      </c>
      <c r="N611" s="146" t="str">
        <f>IFERROR(IF(Data_Assessment[[#This Row],[IPP (3 YEARS AVERAGE)]]="","(IPP Belum Ada)",IF(Data_Assessment[[#This Row],[IPP (3 YEARS AVERAGE)]]&lt;2,'9 Grid'!$F$2,IF(Data_Assessment[[#This Row],[IPP (3 YEARS AVERAGE)]]&gt;=4,'9 Grid'!$D$2,'9 Grid'!$E$2))),"")</f>
        <v>Fully Competence Performance</v>
      </c>
      <c r="O611" s="146" t="str">
        <f ca="1">IFERROR(INDEX('9 Grid'!$D$4:$F$6,MATCH('Rekomendasi HAV'!M611,'9 Grid'!$B$4:$B$6,0),MATCH('Rekomendasi HAV'!N611,'9 Grid'!$D$2:$F$2,0)),"")</f>
        <v/>
      </c>
      <c r="P611" s="147" t="str">
        <f>IFERROR(INDEX('9 Grid'!$D$8:$F$8,1,MATCH('Rekomendasi HAV'!N611,'9 Grid'!$D$2:$F$2,0)),"")</f>
        <v>(ST) Within 12 - 18 month</v>
      </c>
    </row>
    <row r="612" spans="1:16" ht="14.25">
      <c r="A612" s="67">
        <v>611</v>
      </c>
      <c r="B612" s="68" t="str">
        <f>INDEX(Data_Assessment[],MATCH('Rekomendasi HAV'!$A612,Data_Assessment[[INDEX]:[INDEX]],0),MATCH('Rekomendasi HAV'!B$1,Data_Assessment[#Headers],0))</f>
        <v>Hot Maruli Tua Damanik</v>
      </c>
      <c r="C612" s="68" t="str">
        <f>INDEX(Data_Assessment[],MATCH('Rekomendasi HAV'!$A612,Data_Assessment[[INDEX]:[INDEX]],0),MATCH('Rekomendasi HAV'!C$1,Data_Assessment[#Headers],0))</f>
        <v>Sulawesi Selatan</v>
      </c>
      <c r="D612" s="68" t="str">
        <f>INDEX(Data_Assessment[],MATCH('Rekomendasi HAV'!$A612,Data_Assessment[[INDEX]:[INDEX]],0),MATCH('Rekomendasi HAV'!D$1,Data_Assessment[#Headers],0))</f>
        <v>LSIP - Balombessie Estate</v>
      </c>
      <c r="E612" s="68">
        <f>INDEX(Data_Assessment[],MATCH('Rekomendasi HAV'!$B612,Data_Assessment[[NAME]:[NAME]],0),MATCH('Rekomendasi HAV'!E$1,Data_Assessment[#Headers],0))</f>
        <v>0</v>
      </c>
      <c r="F612" s="68"/>
      <c r="G612" s="68">
        <f>IF(ISNUMBER(SEARCH("DEV",Assessment[[#This Row],[JOB TARGET]])),SUBSTITUTE(Assessment[[#This Row],[JOB TARGET]],"DEV","EST"),Assessment[[#This Row],[JOB TARGET]])</f>
        <v>0</v>
      </c>
      <c r="H612" s="146" t="str" cm="1">
        <f t="array" aca="1" ref="H612" ca="1">IF(Assessment[[#This Row],[JOB TARGET]]="","Job Target Kosong",IF(COUNT(IF('Data Assessment'!$N612:$Z612-OFFSET(Standar!$B$2,MATCH(Assessment[[#This Row],[JOB TARGET
(EST)]],Standar[NAMA JABATAN],0)-1,1,1,13)&lt;0,1,""))&lt;=3,'9 Grid'!$B$4,IF(COUNT(IF('Data Assessment'!$N612:$Z612-OFFSET(Standar!$B$2,MATCH(Assessment[[#This Row],[JOB TARGET]],Standar[NAMA JABATAN],0)-1,1,1,13)&lt;0,1,""))&gt;=7,'9 Grid'!$B$6,'9 Grid'!$B$5)))</f>
        <v>Job Target Kosong</v>
      </c>
      <c r="I612" s="146" t="str">
        <f>IFERROR(IF(Data_Assessment[[#This Row],[IPP (3 YEARS AVERAGE)]]="","(IPP Belum Ada)",IF(Data_Assessment[[#This Row],[IPP (3 YEARS AVERAGE)]]&lt;2,'9 Grid'!$F$2,IF(Data_Assessment[[#This Row],[IPP (3 YEARS AVERAGE)]]&gt;=4,'9 Grid'!$D$2,'9 Grid'!$E$2))),"")</f>
        <v>Exceptional Performance</v>
      </c>
      <c r="J612" s="146" t="str">
        <f ca="1">IFERROR(INDEX('9 Grid'!$D$4:$F$6,MATCH('Rekomendasi HAV'!H612,'9 Grid'!$B$4:$B$6,0),MATCH('Rekomendasi HAV'!I612,'9 Grid'!$D$2:$F$2,0)),"")</f>
        <v/>
      </c>
      <c r="K612" s="146" t="str">
        <f>IFERROR(INDEX('9 Grid'!$D$8:$F$8,1,MATCH('Rekomendasi HAV'!I612,'9 Grid'!$D$2:$F$2,0)),"")</f>
        <v>(I) Immediately</v>
      </c>
      <c r="L612" s="146">
        <f>IF(ISNUMBER(SEARCH("EST",Assessment[[#This Row],[JOB TARGET]])),SUBSTITUTE(Assessment[[#This Row],[JOB TARGET]],"EST","DEV"),Assessment[[#This Row],[JOB TARGET]])</f>
        <v>0</v>
      </c>
      <c r="M612" s="146" t="str" cm="1">
        <f t="array" aca="1" ref="M612" ca="1">IF(Assessment[[#This Row],[JOB TARGET]]="","Job Target Kosong",IF(COUNT(IF('Data Assessment'!$N612:$Z612-OFFSET(Standar!$B$2,MATCH(Assessment[[#This Row],[JOB TARGET
(DEV)]],Standar[NAMA JABATAN],0)-1,1,1,13)&lt;0,1,""))&lt;=3,'9 Grid'!$B$4,IF(COUNT(IF('Data Assessment'!$N612:$Z612-OFFSET(Standar!$B$2,MATCH(Assessment[[#This Row],[JOB TARGET
(DEV)]],Standar[NAMA JABATAN],0)-1,1,1,13)&lt;0,1,""))&gt;=7,'9 Grid'!$B$6,'9 Grid'!$B$5)))</f>
        <v>Job Target Kosong</v>
      </c>
      <c r="N612" s="146" t="str">
        <f>IFERROR(IF(Data_Assessment[[#This Row],[IPP (3 YEARS AVERAGE)]]="","(IPP Belum Ada)",IF(Data_Assessment[[#This Row],[IPP (3 YEARS AVERAGE)]]&lt;2,'9 Grid'!$F$2,IF(Data_Assessment[[#This Row],[IPP (3 YEARS AVERAGE)]]&gt;=4,'9 Grid'!$D$2,'9 Grid'!$E$2))),"")</f>
        <v>Exceptional Performance</v>
      </c>
      <c r="O612" s="146" t="str">
        <f ca="1">IFERROR(INDEX('9 Grid'!$D$4:$F$6,MATCH('Rekomendasi HAV'!M612,'9 Grid'!$B$4:$B$6,0),MATCH('Rekomendasi HAV'!N612,'9 Grid'!$D$2:$F$2,0)),"")</f>
        <v/>
      </c>
      <c r="P612" s="147" t="str">
        <f>IFERROR(INDEX('9 Grid'!$D$8:$F$8,1,MATCH('Rekomendasi HAV'!N612,'9 Grid'!$D$2:$F$2,0)),"")</f>
        <v>(I) Immediately</v>
      </c>
    </row>
    <row r="613" spans="1:16" ht="28.5">
      <c r="A613" s="67">
        <v>612</v>
      </c>
      <c r="B613" s="68" t="str">
        <f>INDEX(Data_Assessment[],MATCH('Rekomendasi HAV'!$A613,Data_Assessment[[INDEX]:[INDEX]],0),MATCH('Rekomendasi HAV'!B$1,Data_Assessment[#Headers],0))</f>
        <v>Andi La Tenri Ruwa</v>
      </c>
      <c r="C613" s="68" t="str">
        <f>INDEX(Data_Assessment[],MATCH('Rekomendasi HAV'!$A613,Data_Assessment[[INDEX]:[INDEX]],0),MATCH('Rekomendasi HAV'!C$1,Data_Assessment[#Headers],0))</f>
        <v>Jawa Timur</v>
      </c>
      <c r="D613" s="68" t="str">
        <f>INDEX(Data_Assessment[],MATCH('Rekomendasi HAV'!$A613,Data_Assessment[[INDEX]:[INDEX]],0),MATCH('Rekomendasi HAV'!D$1,Data_Assessment[#Headers],0))</f>
        <v>LSIP - Treblasala Estate</v>
      </c>
      <c r="E613" s="68">
        <f>INDEX(Data_Assessment[],MATCH('Rekomendasi HAV'!$B613,Data_Assessment[[NAME]:[NAME]],0),MATCH('Rekomendasi HAV'!E$1,Data_Assessment[#Headers],0))</f>
        <v>0</v>
      </c>
      <c r="F613" s="68"/>
      <c r="G613" s="68">
        <f>IF(ISNUMBER(SEARCH("DEV",Assessment[[#This Row],[JOB TARGET]])),SUBSTITUTE(Assessment[[#This Row],[JOB TARGET]],"DEV","EST"),Assessment[[#This Row],[JOB TARGET]])</f>
        <v>0</v>
      </c>
      <c r="H613" s="146" t="str" cm="1">
        <f t="array" aca="1" ref="H613" ca="1">IF(Assessment[[#This Row],[JOB TARGET]]="","Job Target Kosong",IF(COUNT(IF('Data Assessment'!$N613:$Z613-OFFSET(Standar!$B$2,MATCH(Assessment[[#This Row],[JOB TARGET
(EST)]],Standar[NAMA JABATAN],0)-1,1,1,13)&lt;0,1,""))&lt;=3,'9 Grid'!$B$4,IF(COUNT(IF('Data Assessment'!$N613:$Z613-OFFSET(Standar!$B$2,MATCH(Assessment[[#This Row],[JOB TARGET]],Standar[NAMA JABATAN],0)-1,1,1,13)&lt;0,1,""))&gt;=7,'9 Grid'!$B$6,'9 Grid'!$B$5)))</f>
        <v>Job Target Kosong</v>
      </c>
      <c r="I613" s="146" t="str">
        <f>IFERROR(IF(Data_Assessment[[#This Row],[IPP (3 YEARS AVERAGE)]]="","(IPP Belum Ada)",IF(Data_Assessment[[#This Row],[IPP (3 YEARS AVERAGE)]]&lt;2,'9 Grid'!$F$2,IF(Data_Assessment[[#This Row],[IPP (3 YEARS AVERAGE)]]&gt;=4,'9 Grid'!$D$2,'9 Grid'!$E$2))),"")</f>
        <v>Fully Competence Performance</v>
      </c>
      <c r="J613" s="146" t="str">
        <f ca="1">IFERROR(INDEX('9 Grid'!$D$4:$F$6,MATCH('Rekomendasi HAV'!H613,'9 Grid'!$B$4:$B$6,0),MATCH('Rekomendasi HAV'!I613,'9 Grid'!$D$2:$F$2,0)),"")</f>
        <v/>
      </c>
      <c r="K613" s="146" t="str">
        <f>IFERROR(INDEX('9 Grid'!$D$8:$F$8,1,MATCH('Rekomendasi HAV'!I613,'9 Grid'!$D$2:$F$2,0)),"")</f>
        <v>(ST) Within 12 - 18 month</v>
      </c>
      <c r="L613" s="146">
        <f>IF(ISNUMBER(SEARCH("EST",Assessment[[#This Row],[JOB TARGET]])),SUBSTITUTE(Assessment[[#This Row],[JOB TARGET]],"EST","DEV"),Assessment[[#This Row],[JOB TARGET]])</f>
        <v>0</v>
      </c>
      <c r="M613" s="146" t="str" cm="1">
        <f t="array" aca="1" ref="M613" ca="1">IF(Assessment[[#This Row],[JOB TARGET]]="","Job Target Kosong",IF(COUNT(IF('Data Assessment'!$N613:$Z613-OFFSET(Standar!$B$2,MATCH(Assessment[[#This Row],[JOB TARGET
(DEV)]],Standar[NAMA JABATAN],0)-1,1,1,13)&lt;0,1,""))&lt;=3,'9 Grid'!$B$4,IF(COUNT(IF('Data Assessment'!$N613:$Z613-OFFSET(Standar!$B$2,MATCH(Assessment[[#This Row],[JOB TARGET
(DEV)]],Standar[NAMA JABATAN],0)-1,1,1,13)&lt;0,1,""))&gt;=7,'9 Grid'!$B$6,'9 Grid'!$B$5)))</f>
        <v>Job Target Kosong</v>
      </c>
      <c r="N613" s="146" t="str">
        <f>IFERROR(IF(Data_Assessment[[#This Row],[IPP (3 YEARS AVERAGE)]]="","(IPP Belum Ada)",IF(Data_Assessment[[#This Row],[IPP (3 YEARS AVERAGE)]]&lt;2,'9 Grid'!$F$2,IF(Data_Assessment[[#This Row],[IPP (3 YEARS AVERAGE)]]&gt;=4,'9 Grid'!$D$2,'9 Grid'!$E$2))),"")</f>
        <v>Fully Competence Performance</v>
      </c>
      <c r="O613" s="146" t="str">
        <f ca="1">IFERROR(INDEX('9 Grid'!$D$4:$F$6,MATCH('Rekomendasi HAV'!M613,'9 Grid'!$B$4:$B$6,0),MATCH('Rekomendasi HAV'!N613,'9 Grid'!$D$2:$F$2,0)),"")</f>
        <v/>
      </c>
      <c r="P613" s="147" t="str">
        <f>IFERROR(INDEX('9 Grid'!$D$8:$F$8,1,MATCH('Rekomendasi HAV'!N613,'9 Grid'!$D$2:$F$2,0)),"")</f>
        <v>(ST) Within 12 - 18 month</v>
      </c>
    </row>
    <row r="614" spans="1:16" ht="28.5">
      <c r="A614" s="67">
        <v>613</v>
      </c>
      <c r="B614" s="68" t="str">
        <f>INDEX(Data_Assessment[],MATCH('Rekomendasi HAV'!$A614,Data_Assessment[[INDEX]:[INDEX]],0),MATCH('Rekomendasi HAV'!B$1,Data_Assessment[#Headers],0))</f>
        <v>Osten Panjaitan, Ir.</v>
      </c>
      <c r="C614" s="68" t="str">
        <f>INDEX(Data_Assessment[],MATCH('Rekomendasi HAV'!$A614,Data_Assessment[[INDEX]:[INDEX]],0),MATCH('Rekomendasi HAV'!C$1,Data_Assessment[#Headers],0))</f>
        <v>Sulawesi Selatan</v>
      </c>
      <c r="D614" s="68" t="str">
        <f>INDEX(Data_Assessment[],MATCH('Rekomendasi HAV'!$A614,Data_Assessment[[INDEX]:[INDEX]],0),MATCH('Rekomendasi HAV'!D$1,Data_Assessment[#Headers],0))</f>
        <v>LSIP - PalangIsang Estate</v>
      </c>
      <c r="E614" s="68">
        <f>INDEX(Data_Assessment[],MATCH('Rekomendasi HAV'!$B614,Data_Assessment[[NAME]:[NAME]],0),MATCH('Rekomendasi HAV'!E$1,Data_Assessment[#Headers],0))</f>
        <v>0</v>
      </c>
      <c r="F614" s="68"/>
      <c r="G614" s="68">
        <f>IF(ISNUMBER(SEARCH("DEV",Assessment[[#This Row],[JOB TARGET]])),SUBSTITUTE(Assessment[[#This Row],[JOB TARGET]],"DEV","EST"),Assessment[[#This Row],[JOB TARGET]])</f>
        <v>0</v>
      </c>
      <c r="H614" s="146" t="str" cm="1">
        <f t="array" aca="1" ref="H614" ca="1">IF(Assessment[[#This Row],[JOB TARGET]]="","Job Target Kosong",IF(COUNT(IF('Data Assessment'!$N614:$Z614-OFFSET(Standar!$B$2,MATCH(Assessment[[#This Row],[JOB TARGET
(EST)]],Standar[NAMA JABATAN],0)-1,1,1,13)&lt;0,1,""))&lt;=3,'9 Grid'!$B$4,IF(COUNT(IF('Data Assessment'!$N614:$Z614-OFFSET(Standar!$B$2,MATCH(Assessment[[#This Row],[JOB TARGET]],Standar[NAMA JABATAN],0)-1,1,1,13)&lt;0,1,""))&gt;=7,'9 Grid'!$B$6,'9 Grid'!$B$5)))</f>
        <v>Job Target Kosong</v>
      </c>
      <c r="I614" s="146" t="str">
        <f>IFERROR(IF(Data_Assessment[[#This Row],[IPP (3 YEARS AVERAGE)]]="","(IPP Belum Ada)",IF(Data_Assessment[[#This Row],[IPP (3 YEARS AVERAGE)]]&lt;2,'9 Grid'!$F$2,IF(Data_Assessment[[#This Row],[IPP (3 YEARS AVERAGE)]]&gt;=4,'9 Grid'!$D$2,'9 Grid'!$E$2))),"")</f>
        <v>Fully Competence Performance</v>
      </c>
      <c r="J614" s="146" t="str">
        <f ca="1">IFERROR(INDEX('9 Grid'!$D$4:$F$6,MATCH('Rekomendasi HAV'!H614,'9 Grid'!$B$4:$B$6,0),MATCH('Rekomendasi HAV'!I614,'9 Grid'!$D$2:$F$2,0)),"")</f>
        <v/>
      </c>
      <c r="K614" s="146" t="str">
        <f>IFERROR(INDEX('9 Grid'!$D$8:$F$8,1,MATCH('Rekomendasi HAV'!I614,'9 Grid'!$D$2:$F$2,0)),"")</f>
        <v>(ST) Within 12 - 18 month</v>
      </c>
      <c r="L614" s="146">
        <f>IF(ISNUMBER(SEARCH("EST",Assessment[[#This Row],[JOB TARGET]])),SUBSTITUTE(Assessment[[#This Row],[JOB TARGET]],"EST","DEV"),Assessment[[#This Row],[JOB TARGET]])</f>
        <v>0</v>
      </c>
      <c r="M614" s="146" t="str" cm="1">
        <f t="array" aca="1" ref="M614" ca="1">IF(Assessment[[#This Row],[JOB TARGET]]="","Job Target Kosong",IF(COUNT(IF('Data Assessment'!$N614:$Z614-OFFSET(Standar!$B$2,MATCH(Assessment[[#This Row],[JOB TARGET
(DEV)]],Standar[NAMA JABATAN],0)-1,1,1,13)&lt;0,1,""))&lt;=3,'9 Grid'!$B$4,IF(COUNT(IF('Data Assessment'!$N614:$Z614-OFFSET(Standar!$B$2,MATCH(Assessment[[#This Row],[JOB TARGET
(DEV)]],Standar[NAMA JABATAN],0)-1,1,1,13)&lt;0,1,""))&gt;=7,'9 Grid'!$B$6,'9 Grid'!$B$5)))</f>
        <v>Job Target Kosong</v>
      </c>
      <c r="N614" s="146" t="str">
        <f>IFERROR(IF(Data_Assessment[[#This Row],[IPP (3 YEARS AVERAGE)]]="","(IPP Belum Ada)",IF(Data_Assessment[[#This Row],[IPP (3 YEARS AVERAGE)]]&lt;2,'9 Grid'!$F$2,IF(Data_Assessment[[#This Row],[IPP (3 YEARS AVERAGE)]]&gt;=4,'9 Grid'!$D$2,'9 Grid'!$E$2))),"")</f>
        <v>Fully Competence Performance</v>
      </c>
      <c r="O614" s="146" t="str">
        <f ca="1">IFERROR(INDEX('9 Grid'!$D$4:$F$6,MATCH('Rekomendasi HAV'!M614,'9 Grid'!$B$4:$B$6,0),MATCH('Rekomendasi HAV'!N614,'9 Grid'!$D$2:$F$2,0)),"")</f>
        <v/>
      </c>
      <c r="P614" s="147" t="str">
        <f>IFERROR(INDEX('9 Grid'!$D$8:$F$8,1,MATCH('Rekomendasi HAV'!N614,'9 Grid'!$D$2:$F$2,0)),"")</f>
        <v>(ST) Within 12 - 18 month</v>
      </c>
    </row>
    <row r="615" spans="1:16" ht="28.5">
      <c r="A615" s="67">
        <v>614</v>
      </c>
      <c r="B615" s="68" t="str">
        <f>INDEX(Data_Assessment[],MATCH('Rekomendasi HAV'!$A615,Data_Assessment[[INDEX]:[INDEX]],0),MATCH('Rekomendasi HAV'!B$1,Data_Assessment[#Headers],0))</f>
        <v>Ros Subagyo</v>
      </c>
      <c r="C615" s="68" t="str">
        <f>INDEX(Data_Assessment[],MATCH('Rekomendasi HAV'!$A615,Data_Assessment[[INDEX]:[INDEX]],0),MATCH('Rekomendasi HAV'!C$1,Data_Assessment[#Headers],0))</f>
        <v>Jawa Timur</v>
      </c>
      <c r="D615" s="68" t="str">
        <f>INDEX(Data_Assessment[],MATCH('Rekomendasi HAV'!$A615,Data_Assessment[[INDEX]:[INDEX]],0),MATCH('Rekomendasi HAV'!D$1,Data_Assessment[#Headers],0))</f>
        <v>LSIP - Treblasala Estate</v>
      </c>
      <c r="E615" s="68">
        <f>INDEX(Data_Assessment[],MATCH('Rekomendasi HAV'!$B615,Data_Assessment[[NAME]:[NAME]],0),MATCH('Rekomendasi HAV'!E$1,Data_Assessment[#Headers],0))</f>
        <v>0</v>
      </c>
      <c r="F615" s="68"/>
      <c r="G615" s="68">
        <f>IF(ISNUMBER(SEARCH("DEV",Assessment[[#This Row],[JOB TARGET]])),SUBSTITUTE(Assessment[[#This Row],[JOB TARGET]],"DEV","EST"),Assessment[[#This Row],[JOB TARGET]])</f>
        <v>0</v>
      </c>
      <c r="H615" s="146" t="str" cm="1">
        <f t="array" aca="1" ref="H615" ca="1">IF(Assessment[[#This Row],[JOB TARGET]]="","Job Target Kosong",IF(COUNT(IF('Data Assessment'!$N615:$Z615-OFFSET(Standar!$B$2,MATCH(Assessment[[#This Row],[JOB TARGET
(EST)]],Standar[NAMA JABATAN],0)-1,1,1,13)&lt;0,1,""))&lt;=3,'9 Grid'!$B$4,IF(COUNT(IF('Data Assessment'!$N615:$Z615-OFFSET(Standar!$B$2,MATCH(Assessment[[#This Row],[JOB TARGET]],Standar[NAMA JABATAN],0)-1,1,1,13)&lt;0,1,""))&gt;=7,'9 Grid'!$B$6,'9 Grid'!$B$5)))</f>
        <v>Job Target Kosong</v>
      </c>
      <c r="I615" s="146" t="str">
        <f>IFERROR(IF(Data_Assessment[[#This Row],[IPP (3 YEARS AVERAGE)]]="","(IPP Belum Ada)",IF(Data_Assessment[[#This Row],[IPP (3 YEARS AVERAGE)]]&lt;2,'9 Grid'!$F$2,IF(Data_Assessment[[#This Row],[IPP (3 YEARS AVERAGE)]]&gt;=4,'9 Grid'!$D$2,'9 Grid'!$E$2))),"")</f>
        <v>Fully Competence Performance</v>
      </c>
      <c r="J615" s="146" t="str">
        <f ca="1">IFERROR(INDEX('9 Grid'!$D$4:$F$6,MATCH('Rekomendasi HAV'!H615,'9 Grid'!$B$4:$B$6,0),MATCH('Rekomendasi HAV'!I615,'9 Grid'!$D$2:$F$2,0)),"")</f>
        <v/>
      </c>
      <c r="K615" s="146" t="str">
        <f>IFERROR(INDEX('9 Grid'!$D$8:$F$8,1,MATCH('Rekomendasi HAV'!I615,'9 Grid'!$D$2:$F$2,0)),"")</f>
        <v>(ST) Within 12 - 18 month</v>
      </c>
      <c r="L615" s="146">
        <f>IF(ISNUMBER(SEARCH("EST",Assessment[[#This Row],[JOB TARGET]])),SUBSTITUTE(Assessment[[#This Row],[JOB TARGET]],"EST","DEV"),Assessment[[#This Row],[JOB TARGET]])</f>
        <v>0</v>
      </c>
      <c r="M615" s="146" t="str" cm="1">
        <f t="array" aca="1" ref="M615" ca="1">IF(Assessment[[#This Row],[JOB TARGET]]="","Job Target Kosong",IF(COUNT(IF('Data Assessment'!$N615:$Z615-OFFSET(Standar!$B$2,MATCH(Assessment[[#This Row],[JOB TARGET
(DEV)]],Standar[NAMA JABATAN],0)-1,1,1,13)&lt;0,1,""))&lt;=3,'9 Grid'!$B$4,IF(COUNT(IF('Data Assessment'!$N615:$Z615-OFFSET(Standar!$B$2,MATCH(Assessment[[#This Row],[JOB TARGET
(DEV)]],Standar[NAMA JABATAN],0)-1,1,1,13)&lt;0,1,""))&gt;=7,'9 Grid'!$B$6,'9 Grid'!$B$5)))</f>
        <v>Job Target Kosong</v>
      </c>
      <c r="N615" s="146" t="str">
        <f>IFERROR(IF(Data_Assessment[[#This Row],[IPP (3 YEARS AVERAGE)]]="","(IPP Belum Ada)",IF(Data_Assessment[[#This Row],[IPP (3 YEARS AVERAGE)]]&lt;2,'9 Grid'!$F$2,IF(Data_Assessment[[#This Row],[IPP (3 YEARS AVERAGE)]]&gt;=4,'9 Grid'!$D$2,'9 Grid'!$E$2))),"")</f>
        <v>Fully Competence Performance</v>
      </c>
      <c r="O615" s="146" t="str">
        <f ca="1">IFERROR(INDEX('9 Grid'!$D$4:$F$6,MATCH('Rekomendasi HAV'!M615,'9 Grid'!$B$4:$B$6,0),MATCH('Rekomendasi HAV'!N615,'9 Grid'!$D$2:$F$2,0)),"")</f>
        <v/>
      </c>
      <c r="P615" s="147" t="str">
        <f>IFERROR(INDEX('9 Grid'!$D$8:$F$8,1,MATCH('Rekomendasi HAV'!N615,'9 Grid'!$D$2:$F$2,0)),"")</f>
        <v>(ST) Within 12 - 18 month</v>
      </c>
    </row>
    <row r="616" spans="1:16" ht="28.5">
      <c r="A616" s="67">
        <v>615</v>
      </c>
      <c r="B616" s="68" t="str">
        <f>INDEX(Data_Assessment[],MATCH('Rekomendasi HAV'!$A616,Data_Assessment[[INDEX]:[INDEX]],0),MATCH('Rekomendasi HAV'!B$1,Data_Assessment[#Headers],0))</f>
        <v>M. Zulfikri</v>
      </c>
      <c r="C616" s="68" t="str">
        <f>INDEX(Data_Assessment[],MATCH('Rekomendasi HAV'!$A616,Data_Assessment[[INDEX]:[INDEX]],0),MATCH('Rekomendasi HAV'!C$1,Data_Assessment[#Headers],0))</f>
        <v>Sulawesi Selatan</v>
      </c>
      <c r="D616" s="68" t="str">
        <f>INDEX(Data_Assessment[],MATCH('Rekomendasi HAV'!$A616,Data_Assessment[[INDEX]:[INDEX]],0),MATCH('Rekomendasi HAV'!D$1,Data_Assessment[#Headers],0))</f>
        <v>LSIP - PalangIsang Estate</v>
      </c>
      <c r="E616" s="68">
        <f>INDEX(Data_Assessment[],MATCH('Rekomendasi HAV'!$B616,Data_Assessment[[NAME]:[NAME]],0),MATCH('Rekomendasi HAV'!E$1,Data_Assessment[#Headers],0))</f>
        <v>0</v>
      </c>
      <c r="F616" s="68"/>
      <c r="G616" s="68">
        <f>IF(ISNUMBER(SEARCH("DEV",Assessment[[#This Row],[JOB TARGET]])),SUBSTITUTE(Assessment[[#This Row],[JOB TARGET]],"DEV","EST"),Assessment[[#This Row],[JOB TARGET]])</f>
        <v>0</v>
      </c>
      <c r="H616" s="146" t="str" cm="1">
        <f t="array" aca="1" ref="H616" ca="1">IF(Assessment[[#This Row],[JOB TARGET]]="","Job Target Kosong",IF(COUNT(IF('Data Assessment'!$N616:$Z616-OFFSET(Standar!$B$2,MATCH(Assessment[[#This Row],[JOB TARGET
(EST)]],Standar[NAMA JABATAN],0)-1,1,1,13)&lt;0,1,""))&lt;=3,'9 Grid'!$B$4,IF(COUNT(IF('Data Assessment'!$N616:$Z616-OFFSET(Standar!$B$2,MATCH(Assessment[[#This Row],[JOB TARGET]],Standar[NAMA JABATAN],0)-1,1,1,13)&lt;0,1,""))&gt;=7,'9 Grid'!$B$6,'9 Grid'!$B$5)))</f>
        <v>Job Target Kosong</v>
      </c>
      <c r="I616" s="146" t="str">
        <f>IFERROR(IF(Data_Assessment[[#This Row],[IPP (3 YEARS AVERAGE)]]="","(IPP Belum Ada)",IF(Data_Assessment[[#This Row],[IPP (3 YEARS AVERAGE)]]&lt;2,'9 Grid'!$F$2,IF(Data_Assessment[[#This Row],[IPP (3 YEARS AVERAGE)]]&gt;=4,'9 Grid'!$D$2,'9 Grid'!$E$2))),"")</f>
        <v>Fully Competence Performance</v>
      </c>
      <c r="J616" s="146" t="str">
        <f ca="1">IFERROR(INDEX('9 Grid'!$D$4:$F$6,MATCH('Rekomendasi HAV'!H616,'9 Grid'!$B$4:$B$6,0),MATCH('Rekomendasi HAV'!I616,'9 Grid'!$D$2:$F$2,0)),"")</f>
        <v/>
      </c>
      <c r="K616" s="146" t="str">
        <f>IFERROR(INDEX('9 Grid'!$D$8:$F$8,1,MATCH('Rekomendasi HAV'!I616,'9 Grid'!$D$2:$F$2,0)),"")</f>
        <v>(ST) Within 12 - 18 month</v>
      </c>
      <c r="L616" s="146">
        <f>IF(ISNUMBER(SEARCH("EST",Assessment[[#This Row],[JOB TARGET]])),SUBSTITUTE(Assessment[[#This Row],[JOB TARGET]],"EST","DEV"),Assessment[[#This Row],[JOB TARGET]])</f>
        <v>0</v>
      </c>
      <c r="M616" s="146" t="str" cm="1">
        <f t="array" aca="1" ref="M616" ca="1">IF(Assessment[[#This Row],[JOB TARGET]]="","Job Target Kosong",IF(COUNT(IF('Data Assessment'!$N616:$Z616-OFFSET(Standar!$B$2,MATCH(Assessment[[#This Row],[JOB TARGET
(DEV)]],Standar[NAMA JABATAN],0)-1,1,1,13)&lt;0,1,""))&lt;=3,'9 Grid'!$B$4,IF(COUNT(IF('Data Assessment'!$N616:$Z616-OFFSET(Standar!$B$2,MATCH(Assessment[[#This Row],[JOB TARGET
(DEV)]],Standar[NAMA JABATAN],0)-1,1,1,13)&lt;0,1,""))&gt;=7,'9 Grid'!$B$6,'9 Grid'!$B$5)))</f>
        <v>Job Target Kosong</v>
      </c>
      <c r="N616" s="146" t="str">
        <f>IFERROR(IF(Data_Assessment[[#This Row],[IPP (3 YEARS AVERAGE)]]="","(IPP Belum Ada)",IF(Data_Assessment[[#This Row],[IPP (3 YEARS AVERAGE)]]&lt;2,'9 Grid'!$F$2,IF(Data_Assessment[[#This Row],[IPP (3 YEARS AVERAGE)]]&gt;=4,'9 Grid'!$D$2,'9 Grid'!$E$2))),"")</f>
        <v>Fully Competence Performance</v>
      </c>
      <c r="O616" s="146" t="str">
        <f ca="1">IFERROR(INDEX('9 Grid'!$D$4:$F$6,MATCH('Rekomendasi HAV'!M616,'9 Grid'!$B$4:$B$6,0),MATCH('Rekomendasi HAV'!N616,'9 Grid'!$D$2:$F$2,0)),"")</f>
        <v/>
      </c>
      <c r="P616" s="147" t="str">
        <f>IFERROR(INDEX('9 Grid'!$D$8:$F$8,1,MATCH('Rekomendasi HAV'!N616,'9 Grid'!$D$2:$F$2,0)),"")</f>
        <v>(ST) Within 12 - 18 month</v>
      </c>
    </row>
    <row r="617" spans="1:16" ht="28.5">
      <c r="A617" s="67">
        <v>616</v>
      </c>
      <c r="B617" s="68" t="str">
        <f>INDEX(Data_Assessment[],MATCH('Rekomendasi HAV'!$A617,Data_Assessment[[INDEX]:[INDEX]],0),MATCH('Rekomendasi HAV'!B$1,Data_Assessment[#Headers],0))</f>
        <v>Syafri, SP</v>
      </c>
      <c r="C617" s="68" t="str">
        <f>INDEX(Data_Assessment[],MATCH('Rekomendasi HAV'!$A617,Data_Assessment[[INDEX]:[INDEX]],0),MATCH('Rekomendasi HAV'!C$1,Data_Assessment[#Headers],0))</f>
        <v>Jawa Timur</v>
      </c>
      <c r="D617" s="68" t="str">
        <f>INDEX(Data_Assessment[],MATCH('Rekomendasi HAV'!$A617,Data_Assessment[[INDEX]:[INDEX]],0),MATCH('Rekomendasi HAV'!D$1,Data_Assessment[#Headers],0))</f>
        <v>LSIP - Treblasala Estate</v>
      </c>
      <c r="E617" s="68">
        <f>INDEX(Data_Assessment[],MATCH('Rekomendasi HAV'!$B617,Data_Assessment[[NAME]:[NAME]],0),MATCH('Rekomendasi HAV'!E$1,Data_Assessment[#Headers],0))</f>
        <v>0</v>
      </c>
      <c r="F617" s="68"/>
      <c r="G617" s="68">
        <f>IF(ISNUMBER(SEARCH("DEV",Assessment[[#This Row],[JOB TARGET]])),SUBSTITUTE(Assessment[[#This Row],[JOB TARGET]],"DEV","EST"),Assessment[[#This Row],[JOB TARGET]])</f>
        <v>0</v>
      </c>
      <c r="H617" s="146" t="str" cm="1">
        <f t="array" aca="1" ref="H617" ca="1">IF(Assessment[[#This Row],[JOB TARGET]]="","Job Target Kosong",IF(COUNT(IF('Data Assessment'!$N617:$Z617-OFFSET(Standar!$B$2,MATCH(Assessment[[#This Row],[JOB TARGET
(EST)]],Standar[NAMA JABATAN],0)-1,1,1,13)&lt;0,1,""))&lt;=3,'9 Grid'!$B$4,IF(COUNT(IF('Data Assessment'!$N617:$Z617-OFFSET(Standar!$B$2,MATCH(Assessment[[#This Row],[JOB TARGET]],Standar[NAMA JABATAN],0)-1,1,1,13)&lt;0,1,""))&gt;=7,'9 Grid'!$B$6,'9 Grid'!$B$5)))</f>
        <v>Job Target Kosong</v>
      </c>
      <c r="I617" s="146" t="str">
        <f>IFERROR(IF(Data_Assessment[[#This Row],[IPP (3 YEARS AVERAGE)]]="","(IPP Belum Ada)",IF(Data_Assessment[[#This Row],[IPP (3 YEARS AVERAGE)]]&lt;2,'9 Grid'!$F$2,IF(Data_Assessment[[#This Row],[IPP (3 YEARS AVERAGE)]]&gt;=4,'9 Grid'!$D$2,'9 Grid'!$E$2))),"")</f>
        <v>Fully Competence Performance</v>
      </c>
      <c r="J617" s="146" t="str">
        <f ca="1">IFERROR(INDEX('9 Grid'!$D$4:$F$6,MATCH('Rekomendasi HAV'!H617,'9 Grid'!$B$4:$B$6,0),MATCH('Rekomendasi HAV'!I617,'9 Grid'!$D$2:$F$2,0)),"")</f>
        <v/>
      </c>
      <c r="K617" s="146" t="str">
        <f>IFERROR(INDEX('9 Grid'!$D$8:$F$8,1,MATCH('Rekomendasi HAV'!I617,'9 Grid'!$D$2:$F$2,0)),"")</f>
        <v>(ST) Within 12 - 18 month</v>
      </c>
      <c r="L617" s="146">
        <f>IF(ISNUMBER(SEARCH("EST",Assessment[[#This Row],[JOB TARGET]])),SUBSTITUTE(Assessment[[#This Row],[JOB TARGET]],"EST","DEV"),Assessment[[#This Row],[JOB TARGET]])</f>
        <v>0</v>
      </c>
      <c r="M617" s="146" t="str" cm="1">
        <f t="array" aca="1" ref="M617" ca="1">IF(Assessment[[#This Row],[JOB TARGET]]="","Job Target Kosong",IF(COUNT(IF('Data Assessment'!$N617:$Z617-OFFSET(Standar!$B$2,MATCH(Assessment[[#This Row],[JOB TARGET
(DEV)]],Standar[NAMA JABATAN],0)-1,1,1,13)&lt;0,1,""))&lt;=3,'9 Grid'!$B$4,IF(COUNT(IF('Data Assessment'!$N617:$Z617-OFFSET(Standar!$B$2,MATCH(Assessment[[#This Row],[JOB TARGET
(DEV)]],Standar[NAMA JABATAN],0)-1,1,1,13)&lt;0,1,""))&gt;=7,'9 Grid'!$B$6,'9 Grid'!$B$5)))</f>
        <v>Job Target Kosong</v>
      </c>
      <c r="N617" s="146" t="str">
        <f>IFERROR(IF(Data_Assessment[[#This Row],[IPP (3 YEARS AVERAGE)]]="","(IPP Belum Ada)",IF(Data_Assessment[[#This Row],[IPP (3 YEARS AVERAGE)]]&lt;2,'9 Grid'!$F$2,IF(Data_Assessment[[#This Row],[IPP (3 YEARS AVERAGE)]]&gt;=4,'9 Grid'!$D$2,'9 Grid'!$E$2))),"")</f>
        <v>Fully Competence Performance</v>
      </c>
      <c r="O617" s="146" t="str">
        <f ca="1">IFERROR(INDEX('9 Grid'!$D$4:$F$6,MATCH('Rekomendasi HAV'!M617,'9 Grid'!$B$4:$B$6,0),MATCH('Rekomendasi HAV'!N617,'9 Grid'!$D$2:$F$2,0)),"")</f>
        <v/>
      </c>
      <c r="P617" s="147" t="str">
        <f>IFERROR(INDEX('9 Grid'!$D$8:$F$8,1,MATCH('Rekomendasi HAV'!N617,'9 Grid'!$D$2:$F$2,0)),"")</f>
        <v>(ST) Within 12 - 18 month</v>
      </c>
    </row>
    <row r="618" spans="1:16" ht="28.5">
      <c r="A618" s="67">
        <v>617</v>
      </c>
      <c r="B618" s="68" t="str">
        <f>INDEX(Data_Assessment[],MATCH('Rekomendasi HAV'!$A618,Data_Assessment[[INDEX]:[INDEX]],0),MATCH('Rekomendasi HAV'!B$1,Data_Assessment[#Headers],0))</f>
        <v>Nanang Masyudi</v>
      </c>
      <c r="C618" s="68" t="str">
        <f>INDEX(Data_Assessment[],MATCH('Rekomendasi HAV'!$A618,Data_Assessment[[INDEX]:[INDEX]],0),MATCH('Rekomendasi HAV'!C$1,Data_Assessment[#Headers],0))</f>
        <v>Jawa Timur</v>
      </c>
      <c r="D618" s="68" t="str">
        <f>INDEX(Data_Assessment[],MATCH('Rekomendasi HAV'!$A618,Data_Assessment[[INDEX]:[INDEX]],0),MATCH('Rekomendasi HAV'!D$1,Data_Assessment[#Headers],0))</f>
        <v>LSIP - Treblasala Estate</v>
      </c>
      <c r="E618" s="68">
        <f>INDEX(Data_Assessment[],MATCH('Rekomendasi HAV'!$B618,Data_Assessment[[NAME]:[NAME]],0),MATCH('Rekomendasi HAV'!E$1,Data_Assessment[#Headers],0))</f>
        <v>0</v>
      </c>
      <c r="F618" s="68"/>
      <c r="G618" s="68">
        <f>IF(ISNUMBER(SEARCH("DEV",Assessment[[#This Row],[JOB TARGET]])),SUBSTITUTE(Assessment[[#This Row],[JOB TARGET]],"DEV","EST"),Assessment[[#This Row],[JOB TARGET]])</f>
        <v>0</v>
      </c>
      <c r="H618" s="146" t="str" cm="1">
        <f t="array" aca="1" ref="H618" ca="1">IF(Assessment[[#This Row],[JOB TARGET]]="","Job Target Kosong",IF(COUNT(IF('Data Assessment'!$N618:$Z618-OFFSET(Standar!$B$2,MATCH(Assessment[[#This Row],[JOB TARGET
(EST)]],Standar[NAMA JABATAN],0)-1,1,1,13)&lt;0,1,""))&lt;=3,'9 Grid'!$B$4,IF(COUNT(IF('Data Assessment'!$N618:$Z618-OFFSET(Standar!$B$2,MATCH(Assessment[[#This Row],[JOB TARGET]],Standar[NAMA JABATAN],0)-1,1,1,13)&lt;0,1,""))&gt;=7,'9 Grid'!$B$6,'9 Grid'!$B$5)))</f>
        <v>Job Target Kosong</v>
      </c>
      <c r="I618" s="146" t="str">
        <f>IFERROR(IF(Data_Assessment[[#This Row],[IPP (3 YEARS AVERAGE)]]="","(IPP Belum Ada)",IF(Data_Assessment[[#This Row],[IPP (3 YEARS AVERAGE)]]&lt;2,'9 Grid'!$F$2,IF(Data_Assessment[[#This Row],[IPP (3 YEARS AVERAGE)]]&gt;=4,'9 Grid'!$D$2,'9 Grid'!$E$2))),"")</f>
        <v>Fully Competence Performance</v>
      </c>
      <c r="J618" s="146" t="str">
        <f ca="1">IFERROR(INDEX('9 Grid'!$D$4:$F$6,MATCH('Rekomendasi HAV'!H618,'9 Grid'!$B$4:$B$6,0),MATCH('Rekomendasi HAV'!I618,'9 Grid'!$D$2:$F$2,0)),"")</f>
        <v/>
      </c>
      <c r="K618" s="146" t="str">
        <f>IFERROR(INDEX('9 Grid'!$D$8:$F$8,1,MATCH('Rekomendasi HAV'!I618,'9 Grid'!$D$2:$F$2,0)),"")</f>
        <v>(ST) Within 12 - 18 month</v>
      </c>
      <c r="L618" s="146">
        <f>IF(ISNUMBER(SEARCH("EST",Assessment[[#This Row],[JOB TARGET]])),SUBSTITUTE(Assessment[[#This Row],[JOB TARGET]],"EST","DEV"),Assessment[[#This Row],[JOB TARGET]])</f>
        <v>0</v>
      </c>
      <c r="M618" s="146" t="str" cm="1">
        <f t="array" aca="1" ref="M618" ca="1">IF(Assessment[[#This Row],[JOB TARGET]]="","Job Target Kosong",IF(COUNT(IF('Data Assessment'!$N618:$Z618-OFFSET(Standar!$B$2,MATCH(Assessment[[#This Row],[JOB TARGET
(DEV)]],Standar[NAMA JABATAN],0)-1,1,1,13)&lt;0,1,""))&lt;=3,'9 Grid'!$B$4,IF(COUNT(IF('Data Assessment'!$N618:$Z618-OFFSET(Standar!$B$2,MATCH(Assessment[[#This Row],[JOB TARGET
(DEV)]],Standar[NAMA JABATAN],0)-1,1,1,13)&lt;0,1,""))&gt;=7,'9 Grid'!$B$6,'9 Grid'!$B$5)))</f>
        <v>Job Target Kosong</v>
      </c>
      <c r="N618" s="146" t="str">
        <f>IFERROR(IF(Data_Assessment[[#This Row],[IPP (3 YEARS AVERAGE)]]="","(IPP Belum Ada)",IF(Data_Assessment[[#This Row],[IPP (3 YEARS AVERAGE)]]&lt;2,'9 Grid'!$F$2,IF(Data_Assessment[[#This Row],[IPP (3 YEARS AVERAGE)]]&gt;=4,'9 Grid'!$D$2,'9 Grid'!$E$2))),"")</f>
        <v>Fully Competence Performance</v>
      </c>
      <c r="O618" s="146" t="str">
        <f ca="1">IFERROR(INDEX('9 Grid'!$D$4:$F$6,MATCH('Rekomendasi HAV'!M618,'9 Grid'!$B$4:$B$6,0),MATCH('Rekomendasi HAV'!N618,'9 Grid'!$D$2:$F$2,0)),"")</f>
        <v/>
      </c>
      <c r="P618" s="147" t="str">
        <f>IFERROR(INDEX('9 Grid'!$D$8:$F$8,1,MATCH('Rekomendasi HAV'!N618,'9 Grid'!$D$2:$F$2,0)),"")</f>
        <v>(ST) Within 12 - 18 month</v>
      </c>
    </row>
    <row r="619" spans="1:16" ht="28.5">
      <c r="A619" s="67">
        <v>618</v>
      </c>
      <c r="B619" s="68" t="str">
        <f>INDEX(Data_Assessment[],MATCH('Rekomendasi HAV'!$A619,Data_Assessment[[INDEX]:[INDEX]],0),MATCH('Rekomendasi HAV'!B$1,Data_Assessment[#Headers],0))</f>
        <v>Muhammad Syafruddin</v>
      </c>
      <c r="C619" s="68" t="str">
        <f>INDEX(Data_Assessment[],MATCH('Rekomendasi HAV'!$A619,Data_Assessment[[INDEX]:[INDEX]],0),MATCH('Rekomendasi HAV'!C$1,Data_Assessment[#Headers],0))</f>
        <v>Jawa Timur</v>
      </c>
      <c r="D619" s="68" t="str">
        <f>INDEX(Data_Assessment[],MATCH('Rekomendasi HAV'!$A619,Data_Assessment[[INDEX]:[INDEX]],0),MATCH('Rekomendasi HAV'!D$1,Data_Assessment[#Headers],0))</f>
        <v>LSIP - Treblasala Estate</v>
      </c>
      <c r="E619" s="68">
        <f>INDEX(Data_Assessment[],MATCH('Rekomendasi HAV'!$B619,Data_Assessment[[NAME]:[NAME]],0),MATCH('Rekomendasi HAV'!E$1,Data_Assessment[#Headers],0))</f>
        <v>0</v>
      </c>
      <c r="F619" s="68"/>
      <c r="G619" s="68">
        <f>IF(ISNUMBER(SEARCH("DEV",Assessment[[#This Row],[JOB TARGET]])),SUBSTITUTE(Assessment[[#This Row],[JOB TARGET]],"DEV","EST"),Assessment[[#This Row],[JOB TARGET]])</f>
        <v>0</v>
      </c>
      <c r="H619" s="146" t="str" cm="1">
        <f t="array" aca="1" ref="H619" ca="1">IF(Assessment[[#This Row],[JOB TARGET]]="","Job Target Kosong",IF(COUNT(IF('Data Assessment'!$N619:$Z619-OFFSET(Standar!$B$2,MATCH(Assessment[[#This Row],[JOB TARGET
(EST)]],Standar[NAMA JABATAN],0)-1,1,1,13)&lt;0,1,""))&lt;=3,'9 Grid'!$B$4,IF(COUNT(IF('Data Assessment'!$N619:$Z619-OFFSET(Standar!$B$2,MATCH(Assessment[[#This Row],[JOB TARGET]],Standar[NAMA JABATAN],0)-1,1,1,13)&lt;0,1,""))&gt;=7,'9 Grid'!$B$6,'9 Grid'!$B$5)))</f>
        <v>Job Target Kosong</v>
      </c>
      <c r="I619" s="146" t="str">
        <f>IFERROR(IF(Data_Assessment[[#This Row],[IPP (3 YEARS AVERAGE)]]="","(IPP Belum Ada)",IF(Data_Assessment[[#This Row],[IPP (3 YEARS AVERAGE)]]&lt;2,'9 Grid'!$F$2,IF(Data_Assessment[[#This Row],[IPP (3 YEARS AVERAGE)]]&gt;=4,'9 Grid'!$D$2,'9 Grid'!$E$2))),"")</f>
        <v>Fully Competence Performance</v>
      </c>
      <c r="J619" s="146" t="str">
        <f ca="1">IFERROR(INDEX('9 Grid'!$D$4:$F$6,MATCH('Rekomendasi HAV'!H619,'9 Grid'!$B$4:$B$6,0),MATCH('Rekomendasi HAV'!I619,'9 Grid'!$D$2:$F$2,0)),"")</f>
        <v/>
      </c>
      <c r="K619" s="146" t="str">
        <f>IFERROR(INDEX('9 Grid'!$D$8:$F$8,1,MATCH('Rekomendasi HAV'!I619,'9 Grid'!$D$2:$F$2,0)),"")</f>
        <v>(ST) Within 12 - 18 month</v>
      </c>
      <c r="L619" s="146">
        <f>IF(ISNUMBER(SEARCH("EST",Assessment[[#This Row],[JOB TARGET]])),SUBSTITUTE(Assessment[[#This Row],[JOB TARGET]],"EST","DEV"),Assessment[[#This Row],[JOB TARGET]])</f>
        <v>0</v>
      </c>
      <c r="M619" s="146" t="str" cm="1">
        <f t="array" aca="1" ref="M619" ca="1">IF(Assessment[[#This Row],[JOB TARGET]]="","Job Target Kosong",IF(COUNT(IF('Data Assessment'!$N619:$Z619-OFFSET(Standar!$B$2,MATCH(Assessment[[#This Row],[JOB TARGET
(DEV)]],Standar[NAMA JABATAN],0)-1,1,1,13)&lt;0,1,""))&lt;=3,'9 Grid'!$B$4,IF(COUNT(IF('Data Assessment'!$N619:$Z619-OFFSET(Standar!$B$2,MATCH(Assessment[[#This Row],[JOB TARGET
(DEV)]],Standar[NAMA JABATAN],0)-1,1,1,13)&lt;0,1,""))&gt;=7,'9 Grid'!$B$6,'9 Grid'!$B$5)))</f>
        <v>Job Target Kosong</v>
      </c>
      <c r="N619" s="146" t="str">
        <f>IFERROR(IF(Data_Assessment[[#This Row],[IPP (3 YEARS AVERAGE)]]="","(IPP Belum Ada)",IF(Data_Assessment[[#This Row],[IPP (3 YEARS AVERAGE)]]&lt;2,'9 Grid'!$F$2,IF(Data_Assessment[[#This Row],[IPP (3 YEARS AVERAGE)]]&gt;=4,'9 Grid'!$D$2,'9 Grid'!$E$2))),"")</f>
        <v>Fully Competence Performance</v>
      </c>
      <c r="O619" s="146" t="str">
        <f ca="1">IFERROR(INDEX('9 Grid'!$D$4:$F$6,MATCH('Rekomendasi HAV'!M619,'9 Grid'!$B$4:$B$6,0),MATCH('Rekomendasi HAV'!N619,'9 Grid'!$D$2:$F$2,0)),"")</f>
        <v/>
      </c>
      <c r="P619" s="147" t="str">
        <f>IFERROR(INDEX('9 Grid'!$D$8:$F$8,1,MATCH('Rekomendasi HAV'!N619,'9 Grid'!$D$2:$F$2,0)),"")</f>
        <v>(ST) Within 12 - 18 month</v>
      </c>
    </row>
    <row r="620" spans="1:16" ht="28.5">
      <c r="A620" s="67">
        <v>619</v>
      </c>
      <c r="B620" s="68" t="str">
        <f>INDEX(Data_Assessment[],MATCH('Rekomendasi HAV'!$A620,Data_Assessment[[INDEX]:[INDEX]],0),MATCH('Rekomendasi HAV'!B$1,Data_Assessment[#Headers],0))</f>
        <v>Hazrianda Muda Siregar</v>
      </c>
      <c r="C620" s="68" t="str">
        <f>INDEX(Data_Assessment[],MATCH('Rekomendasi HAV'!$A620,Data_Assessment[[INDEX]:[INDEX]],0),MATCH('Rekomendasi HAV'!C$1,Data_Assessment[#Headers],0))</f>
        <v>Jawa Timur</v>
      </c>
      <c r="D620" s="68" t="str">
        <f>INDEX(Data_Assessment[],MATCH('Rekomendasi HAV'!$A620,Data_Assessment[[INDEX]:[INDEX]],0),MATCH('Rekomendasi HAV'!D$1,Data_Assessment[#Headers],0))</f>
        <v>LSIP - Treblasala Estate</v>
      </c>
      <c r="E620" s="68">
        <f>INDEX(Data_Assessment[],MATCH('Rekomendasi HAV'!$B620,Data_Assessment[[NAME]:[NAME]],0),MATCH('Rekomendasi HAV'!E$1,Data_Assessment[#Headers],0))</f>
        <v>0</v>
      </c>
      <c r="F620" s="68"/>
      <c r="G620" s="68">
        <f>IF(ISNUMBER(SEARCH("DEV",Assessment[[#This Row],[JOB TARGET]])),SUBSTITUTE(Assessment[[#This Row],[JOB TARGET]],"DEV","EST"),Assessment[[#This Row],[JOB TARGET]])</f>
        <v>0</v>
      </c>
      <c r="H620" s="146" t="str" cm="1">
        <f t="array" aca="1" ref="H620" ca="1">IF(Assessment[[#This Row],[JOB TARGET]]="","Job Target Kosong",IF(COUNT(IF('Data Assessment'!$N620:$Z620-OFFSET(Standar!$B$2,MATCH(Assessment[[#This Row],[JOB TARGET
(EST)]],Standar[NAMA JABATAN],0)-1,1,1,13)&lt;0,1,""))&lt;=3,'9 Grid'!$B$4,IF(COUNT(IF('Data Assessment'!$N620:$Z620-OFFSET(Standar!$B$2,MATCH(Assessment[[#This Row],[JOB TARGET]],Standar[NAMA JABATAN],0)-1,1,1,13)&lt;0,1,""))&gt;=7,'9 Grid'!$B$6,'9 Grid'!$B$5)))</f>
        <v>Job Target Kosong</v>
      </c>
      <c r="I620" s="146" t="str">
        <f>IFERROR(IF(Data_Assessment[[#This Row],[IPP (3 YEARS AVERAGE)]]="","(IPP Belum Ada)",IF(Data_Assessment[[#This Row],[IPP (3 YEARS AVERAGE)]]&lt;2,'9 Grid'!$F$2,IF(Data_Assessment[[#This Row],[IPP (3 YEARS AVERAGE)]]&gt;=4,'9 Grid'!$D$2,'9 Grid'!$E$2))),"")</f>
        <v>Fully Competence Performance</v>
      </c>
      <c r="J620" s="146" t="str">
        <f ca="1">IFERROR(INDEX('9 Grid'!$D$4:$F$6,MATCH('Rekomendasi HAV'!H620,'9 Grid'!$B$4:$B$6,0),MATCH('Rekomendasi HAV'!I620,'9 Grid'!$D$2:$F$2,0)),"")</f>
        <v/>
      </c>
      <c r="K620" s="146" t="str">
        <f>IFERROR(INDEX('9 Grid'!$D$8:$F$8,1,MATCH('Rekomendasi HAV'!I620,'9 Grid'!$D$2:$F$2,0)),"")</f>
        <v>(ST) Within 12 - 18 month</v>
      </c>
      <c r="L620" s="146">
        <f>IF(ISNUMBER(SEARCH("EST",Assessment[[#This Row],[JOB TARGET]])),SUBSTITUTE(Assessment[[#This Row],[JOB TARGET]],"EST","DEV"),Assessment[[#This Row],[JOB TARGET]])</f>
        <v>0</v>
      </c>
      <c r="M620" s="146" t="str" cm="1">
        <f t="array" aca="1" ref="M620" ca="1">IF(Assessment[[#This Row],[JOB TARGET]]="","Job Target Kosong",IF(COUNT(IF('Data Assessment'!$N620:$Z620-OFFSET(Standar!$B$2,MATCH(Assessment[[#This Row],[JOB TARGET
(DEV)]],Standar[NAMA JABATAN],0)-1,1,1,13)&lt;0,1,""))&lt;=3,'9 Grid'!$B$4,IF(COUNT(IF('Data Assessment'!$N620:$Z620-OFFSET(Standar!$B$2,MATCH(Assessment[[#This Row],[JOB TARGET
(DEV)]],Standar[NAMA JABATAN],0)-1,1,1,13)&lt;0,1,""))&gt;=7,'9 Grid'!$B$6,'9 Grid'!$B$5)))</f>
        <v>Job Target Kosong</v>
      </c>
      <c r="N620" s="146" t="str">
        <f>IFERROR(IF(Data_Assessment[[#This Row],[IPP (3 YEARS AVERAGE)]]="","(IPP Belum Ada)",IF(Data_Assessment[[#This Row],[IPP (3 YEARS AVERAGE)]]&lt;2,'9 Grid'!$F$2,IF(Data_Assessment[[#This Row],[IPP (3 YEARS AVERAGE)]]&gt;=4,'9 Grid'!$D$2,'9 Grid'!$E$2))),"")</f>
        <v>Fully Competence Performance</v>
      </c>
      <c r="O620" s="146" t="str">
        <f ca="1">IFERROR(INDEX('9 Grid'!$D$4:$F$6,MATCH('Rekomendasi HAV'!M620,'9 Grid'!$B$4:$B$6,0),MATCH('Rekomendasi HAV'!N620,'9 Grid'!$D$2:$F$2,0)),"")</f>
        <v/>
      </c>
      <c r="P620" s="147" t="str">
        <f>IFERROR(INDEX('9 Grid'!$D$8:$F$8,1,MATCH('Rekomendasi HAV'!N620,'9 Grid'!$D$2:$F$2,0)),"")</f>
        <v>(ST) Within 12 - 18 month</v>
      </c>
    </row>
    <row r="621" spans="1:16" ht="28.5">
      <c r="A621" s="67">
        <v>620</v>
      </c>
      <c r="B621" s="68" t="str">
        <f>INDEX(Data_Assessment[],MATCH('Rekomendasi HAV'!$A621,Data_Assessment[[INDEX]:[INDEX]],0),MATCH('Rekomendasi HAV'!B$1,Data_Assessment[#Headers],0))</f>
        <v>Tarmizi Sihotang</v>
      </c>
      <c r="C621" s="68" t="str">
        <f>INDEX(Data_Assessment[],MATCH('Rekomendasi HAV'!$A621,Data_Assessment[[INDEX]:[INDEX]],0),MATCH('Rekomendasi HAV'!C$1,Data_Assessment[#Headers],0))</f>
        <v>Sulawesi Utara</v>
      </c>
      <c r="D621" s="68" t="str">
        <f>INDEX(Data_Assessment[],MATCH('Rekomendasi HAV'!$A621,Data_Assessment[[INDEX]:[INDEX]],0),MATCH('Rekomendasi HAV'!D$1,Data_Assessment[#Headers],0))</f>
        <v>LSIP - Pungkol Estate</v>
      </c>
      <c r="E621" s="68">
        <f>INDEX(Data_Assessment[],MATCH('Rekomendasi HAV'!$B621,Data_Assessment[[NAME]:[NAME]],0),MATCH('Rekomendasi HAV'!E$1,Data_Assessment[#Headers],0))</f>
        <v>0</v>
      </c>
      <c r="F621" s="68"/>
      <c r="G621" s="68">
        <f>IF(ISNUMBER(SEARCH("DEV",Assessment[[#This Row],[JOB TARGET]])),SUBSTITUTE(Assessment[[#This Row],[JOB TARGET]],"DEV","EST"),Assessment[[#This Row],[JOB TARGET]])</f>
        <v>0</v>
      </c>
      <c r="H621" s="146" t="str" cm="1">
        <f t="array" aca="1" ref="H621" ca="1">IF(Assessment[[#This Row],[JOB TARGET]]="","Job Target Kosong",IF(COUNT(IF('Data Assessment'!$N621:$Z621-OFFSET(Standar!$B$2,MATCH(Assessment[[#This Row],[JOB TARGET
(EST)]],Standar[NAMA JABATAN],0)-1,1,1,13)&lt;0,1,""))&lt;=3,'9 Grid'!$B$4,IF(COUNT(IF('Data Assessment'!$N621:$Z621-OFFSET(Standar!$B$2,MATCH(Assessment[[#This Row],[JOB TARGET]],Standar[NAMA JABATAN],0)-1,1,1,13)&lt;0,1,""))&gt;=7,'9 Grid'!$B$6,'9 Grid'!$B$5)))</f>
        <v>Job Target Kosong</v>
      </c>
      <c r="I621" s="146" t="str">
        <f>IFERROR(IF(Data_Assessment[[#This Row],[IPP (3 YEARS AVERAGE)]]="","(IPP Belum Ada)",IF(Data_Assessment[[#This Row],[IPP (3 YEARS AVERAGE)]]&lt;2,'9 Grid'!$F$2,IF(Data_Assessment[[#This Row],[IPP (3 YEARS AVERAGE)]]&gt;=4,'9 Grid'!$D$2,'9 Grid'!$E$2))),"")</f>
        <v>Fully Competence Performance</v>
      </c>
      <c r="J621" s="146" t="str">
        <f ca="1">IFERROR(INDEX('9 Grid'!$D$4:$F$6,MATCH('Rekomendasi HAV'!H621,'9 Grid'!$B$4:$B$6,0),MATCH('Rekomendasi HAV'!I621,'9 Grid'!$D$2:$F$2,0)),"")</f>
        <v/>
      </c>
      <c r="K621" s="146" t="str">
        <f>IFERROR(INDEX('9 Grid'!$D$8:$F$8,1,MATCH('Rekomendasi HAV'!I621,'9 Grid'!$D$2:$F$2,0)),"")</f>
        <v>(ST) Within 12 - 18 month</v>
      </c>
      <c r="L621" s="146">
        <f>IF(ISNUMBER(SEARCH("EST",Assessment[[#This Row],[JOB TARGET]])),SUBSTITUTE(Assessment[[#This Row],[JOB TARGET]],"EST","DEV"),Assessment[[#This Row],[JOB TARGET]])</f>
        <v>0</v>
      </c>
      <c r="M621" s="146" t="str" cm="1">
        <f t="array" aca="1" ref="M621" ca="1">IF(Assessment[[#This Row],[JOB TARGET]]="","Job Target Kosong",IF(COUNT(IF('Data Assessment'!$N621:$Z621-OFFSET(Standar!$B$2,MATCH(Assessment[[#This Row],[JOB TARGET
(DEV)]],Standar[NAMA JABATAN],0)-1,1,1,13)&lt;0,1,""))&lt;=3,'9 Grid'!$B$4,IF(COUNT(IF('Data Assessment'!$N621:$Z621-OFFSET(Standar!$B$2,MATCH(Assessment[[#This Row],[JOB TARGET
(DEV)]],Standar[NAMA JABATAN],0)-1,1,1,13)&lt;0,1,""))&gt;=7,'9 Grid'!$B$6,'9 Grid'!$B$5)))</f>
        <v>Job Target Kosong</v>
      </c>
      <c r="N621" s="146" t="str">
        <f>IFERROR(IF(Data_Assessment[[#This Row],[IPP (3 YEARS AVERAGE)]]="","(IPP Belum Ada)",IF(Data_Assessment[[#This Row],[IPP (3 YEARS AVERAGE)]]&lt;2,'9 Grid'!$F$2,IF(Data_Assessment[[#This Row],[IPP (3 YEARS AVERAGE)]]&gt;=4,'9 Grid'!$D$2,'9 Grid'!$E$2))),"")</f>
        <v>Fully Competence Performance</v>
      </c>
      <c r="O621" s="146" t="str">
        <f ca="1">IFERROR(INDEX('9 Grid'!$D$4:$F$6,MATCH('Rekomendasi HAV'!M621,'9 Grid'!$B$4:$B$6,0),MATCH('Rekomendasi HAV'!N621,'9 Grid'!$D$2:$F$2,0)),"")</f>
        <v/>
      </c>
      <c r="P621" s="147" t="str">
        <f>IFERROR(INDEX('9 Grid'!$D$8:$F$8,1,MATCH('Rekomendasi HAV'!N621,'9 Grid'!$D$2:$F$2,0)),"")</f>
        <v>(ST) Within 12 - 18 month</v>
      </c>
    </row>
    <row r="622" spans="1:16" ht="28.5">
      <c r="A622" s="67">
        <v>621</v>
      </c>
      <c r="B622" s="68" t="str">
        <f>INDEX(Data_Assessment[],MATCH('Rekomendasi HAV'!$A622,Data_Assessment[[INDEX]:[INDEX]],0),MATCH('Rekomendasi HAV'!B$1,Data_Assessment[#Headers],0))</f>
        <v>Esron Sitanggang, Ir.</v>
      </c>
      <c r="C622" s="68" t="str">
        <f>INDEX(Data_Assessment[],MATCH('Rekomendasi HAV'!$A622,Data_Assessment[[INDEX]:[INDEX]],0),MATCH('Rekomendasi HAV'!C$1,Data_Assessment[#Headers],0))</f>
        <v>Kalimantan Timur</v>
      </c>
      <c r="D622" s="68" t="str">
        <f>INDEX(Data_Assessment[],MATCH('Rekomendasi HAV'!$A622,Data_Assessment[[INDEX]:[INDEX]],0),MATCH('Rekomendasi HAV'!D$1,Data_Assessment[#Headers],0))</f>
        <v>LSIP - Pahu Makmur Estate</v>
      </c>
      <c r="E622" s="68">
        <f>INDEX(Data_Assessment[],MATCH('Rekomendasi HAV'!$B622,Data_Assessment[[NAME]:[NAME]],0),MATCH('Rekomendasi HAV'!E$1,Data_Assessment[#Headers],0))</f>
        <v>0</v>
      </c>
      <c r="F622" s="68"/>
      <c r="G622" s="68">
        <f>IF(ISNUMBER(SEARCH("DEV",Assessment[[#This Row],[JOB TARGET]])),SUBSTITUTE(Assessment[[#This Row],[JOB TARGET]],"DEV","EST"),Assessment[[#This Row],[JOB TARGET]])</f>
        <v>0</v>
      </c>
      <c r="H622" s="146" t="str" cm="1">
        <f t="array" aca="1" ref="H622" ca="1">IF(Assessment[[#This Row],[JOB TARGET]]="","Job Target Kosong",IF(COUNT(IF('Data Assessment'!$N622:$Z622-OFFSET(Standar!$B$2,MATCH(Assessment[[#This Row],[JOB TARGET
(EST)]],Standar[NAMA JABATAN],0)-1,1,1,13)&lt;0,1,""))&lt;=3,'9 Grid'!$B$4,IF(COUNT(IF('Data Assessment'!$N622:$Z622-OFFSET(Standar!$B$2,MATCH(Assessment[[#This Row],[JOB TARGET]],Standar[NAMA JABATAN],0)-1,1,1,13)&lt;0,1,""))&gt;=7,'9 Grid'!$B$6,'9 Grid'!$B$5)))</f>
        <v>Job Target Kosong</v>
      </c>
      <c r="I622" s="146" t="str">
        <f>IFERROR(IF(Data_Assessment[[#This Row],[IPP (3 YEARS AVERAGE)]]="","(IPP Belum Ada)",IF(Data_Assessment[[#This Row],[IPP (3 YEARS AVERAGE)]]&lt;2,'9 Grid'!$F$2,IF(Data_Assessment[[#This Row],[IPP (3 YEARS AVERAGE)]]&gt;=4,'9 Grid'!$D$2,'9 Grid'!$E$2))),"")</f>
        <v>Fully Competence Performance</v>
      </c>
      <c r="J622" s="146" t="str">
        <f ca="1">IFERROR(INDEX('9 Grid'!$D$4:$F$6,MATCH('Rekomendasi HAV'!H622,'9 Grid'!$B$4:$B$6,0),MATCH('Rekomendasi HAV'!I622,'9 Grid'!$D$2:$F$2,0)),"")</f>
        <v/>
      </c>
      <c r="K622" s="146" t="str">
        <f>IFERROR(INDEX('9 Grid'!$D$8:$F$8,1,MATCH('Rekomendasi HAV'!I622,'9 Grid'!$D$2:$F$2,0)),"")</f>
        <v>(ST) Within 12 - 18 month</v>
      </c>
      <c r="L622" s="146">
        <f>IF(ISNUMBER(SEARCH("EST",Assessment[[#This Row],[JOB TARGET]])),SUBSTITUTE(Assessment[[#This Row],[JOB TARGET]],"EST","DEV"),Assessment[[#This Row],[JOB TARGET]])</f>
        <v>0</v>
      </c>
      <c r="M622" s="146" t="str" cm="1">
        <f t="array" aca="1" ref="M622" ca="1">IF(Assessment[[#This Row],[JOB TARGET]]="","Job Target Kosong",IF(COUNT(IF('Data Assessment'!$N622:$Z622-OFFSET(Standar!$B$2,MATCH(Assessment[[#This Row],[JOB TARGET
(DEV)]],Standar[NAMA JABATAN],0)-1,1,1,13)&lt;0,1,""))&lt;=3,'9 Grid'!$B$4,IF(COUNT(IF('Data Assessment'!$N622:$Z622-OFFSET(Standar!$B$2,MATCH(Assessment[[#This Row],[JOB TARGET
(DEV)]],Standar[NAMA JABATAN],0)-1,1,1,13)&lt;0,1,""))&gt;=7,'9 Grid'!$B$6,'9 Grid'!$B$5)))</f>
        <v>Job Target Kosong</v>
      </c>
      <c r="N622" s="146" t="str">
        <f>IFERROR(IF(Data_Assessment[[#This Row],[IPP (3 YEARS AVERAGE)]]="","(IPP Belum Ada)",IF(Data_Assessment[[#This Row],[IPP (3 YEARS AVERAGE)]]&lt;2,'9 Grid'!$F$2,IF(Data_Assessment[[#This Row],[IPP (3 YEARS AVERAGE)]]&gt;=4,'9 Grid'!$D$2,'9 Grid'!$E$2))),"")</f>
        <v>Fully Competence Performance</v>
      </c>
      <c r="O622" s="146" t="str">
        <f ca="1">IFERROR(INDEX('9 Grid'!$D$4:$F$6,MATCH('Rekomendasi HAV'!M622,'9 Grid'!$B$4:$B$6,0),MATCH('Rekomendasi HAV'!N622,'9 Grid'!$D$2:$F$2,0)),"")</f>
        <v/>
      </c>
      <c r="P622" s="147" t="str">
        <f>IFERROR(INDEX('9 Grid'!$D$8:$F$8,1,MATCH('Rekomendasi HAV'!N622,'9 Grid'!$D$2:$F$2,0)),"")</f>
        <v>(ST) Within 12 - 18 month</v>
      </c>
    </row>
    <row r="623" spans="1:16" ht="28.5">
      <c r="A623" s="67">
        <v>622</v>
      </c>
      <c r="B623" s="68" t="str">
        <f>INDEX(Data_Assessment[],MATCH('Rekomendasi HAV'!$A623,Data_Assessment[[INDEX]:[INDEX]],0),MATCH('Rekomendasi HAV'!B$1,Data_Assessment[#Headers],0))</f>
        <v>Mumad Hadiman</v>
      </c>
      <c r="C623" s="68" t="str">
        <f>INDEX(Data_Assessment[],MATCH('Rekomendasi HAV'!$A623,Data_Assessment[[INDEX]:[INDEX]],0),MATCH('Rekomendasi HAV'!C$1,Data_Assessment[#Headers],0))</f>
        <v>Jawa Timur</v>
      </c>
      <c r="D623" s="68" t="str">
        <f>INDEX(Data_Assessment[],MATCH('Rekomendasi HAV'!$A623,Data_Assessment[[INDEX]:[INDEX]],0),MATCH('Rekomendasi HAV'!D$1,Data_Assessment[#Headers],0))</f>
        <v>LSIP - Treblasala Estate</v>
      </c>
      <c r="E623" s="68">
        <f>INDEX(Data_Assessment[],MATCH('Rekomendasi HAV'!$B623,Data_Assessment[[NAME]:[NAME]],0),MATCH('Rekomendasi HAV'!E$1,Data_Assessment[#Headers],0))</f>
        <v>0</v>
      </c>
      <c r="F623" s="68"/>
      <c r="G623" s="68">
        <f>IF(ISNUMBER(SEARCH("DEV",Assessment[[#This Row],[JOB TARGET]])),SUBSTITUTE(Assessment[[#This Row],[JOB TARGET]],"DEV","EST"),Assessment[[#This Row],[JOB TARGET]])</f>
        <v>0</v>
      </c>
      <c r="H623" s="146" t="str" cm="1">
        <f t="array" aca="1" ref="H623" ca="1">IF(Assessment[[#This Row],[JOB TARGET]]="","Job Target Kosong",IF(COUNT(IF('Data Assessment'!$N623:$Z623-OFFSET(Standar!$B$2,MATCH(Assessment[[#This Row],[JOB TARGET
(EST)]],Standar[NAMA JABATAN],0)-1,1,1,13)&lt;0,1,""))&lt;=3,'9 Grid'!$B$4,IF(COUNT(IF('Data Assessment'!$N623:$Z623-OFFSET(Standar!$B$2,MATCH(Assessment[[#This Row],[JOB TARGET]],Standar[NAMA JABATAN],0)-1,1,1,13)&lt;0,1,""))&gt;=7,'9 Grid'!$B$6,'9 Grid'!$B$5)))</f>
        <v>Job Target Kosong</v>
      </c>
      <c r="I623" s="146" t="str">
        <f>IFERROR(IF(Data_Assessment[[#This Row],[IPP (3 YEARS AVERAGE)]]="","(IPP Belum Ada)",IF(Data_Assessment[[#This Row],[IPP (3 YEARS AVERAGE)]]&lt;2,'9 Grid'!$F$2,IF(Data_Assessment[[#This Row],[IPP (3 YEARS AVERAGE)]]&gt;=4,'9 Grid'!$D$2,'9 Grid'!$E$2))),"")</f>
        <v>Fully Competence Performance</v>
      </c>
      <c r="J623" s="146" t="str">
        <f ca="1">IFERROR(INDEX('9 Grid'!$D$4:$F$6,MATCH('Rekomendasi HAV'!H623,'9 Grid'!$B$4:$B$6,0),MATCH('Rekomendasi HAV'!I623,'9 Grid'!$D$2:$F$2,0)),"")</f>
        <v/>
      </c>
      <c r="K623" s="146" t="str">
        <f>IFERROR(INDEX('9 Grid'!$D$8:$F$8,1,MATCH('Rekomendasi HAV'!I623,'9 Grid'!$D$2:$F$2,0)),"")</f>
        <v>(ST) Within 12 - 18 month</v>
      </c>
      <c r="L623" s="146">
        <f>IF(ISNUMBER(SEARCH("EST",Assessment[[#This Row],[JOB TARGET]])),SUBSTITUTE(Assessment[[#This Row],[JOB TARGET]],"EST","DEV"),Assessment[[#This Row],[JOB TARGET]])</f>
        <v>0</v>
      </c>
      <c r="M623" s="146" t="str" cm="1">
        <f t="array" aca="1" ref="M623" ca="1">IF(Assessment[[#This Row],[JOB TARGET]]="","Job Target Kosong",IF(COUNT(IF('Data Assessment'!$N623:$Z623-OFFSET(Standar!$B$2,MATCH(Assessment[[#This Row],[JOB TARGET
(DEV)]],Standar[NAMA JABATAN],0)-1,1,1,13)&lt;0,1,""))&lt;=3,'9 Grid'!$B$4,IF(COUNT(IF('Data Assessment'!$N623:$Z623-OFFSET(Standar!$B$2,MATCH(Assessment[[#This Row],[JOB TARGET
(DEV)]],Standar[NAMA JABATAN],0)-1,1,1,13)&lt;0,1,""))&gt;=7,'9 Grid'!$B$6,'9 Grid'!$B$5)))</f>
        <v>Job Target Kosong</v>
      </c>
      <c r="N623" s="146" t="str">
        <f>IFERROR(IF(Data_Assessment[[#This Row],[IPP (3 YEARS AVERAGE)]]="","(IPP Belum Ada)",IF(Data_Assessment[[#This Row],[IPP (3 YEARS AVERAGE)]]&lt;2,'9 Grid'!$F$2,IF(Data_Assessment[[#This Row],[IPP (3 YEARS AVERAGE)]]&gt;=4,'9 Grid'!$D$2,'9 Grid'!$E$2))),"")</f>
        <v>Fully Competence Performance</v>
      </c>
      <c r="O623" s="146" t="str">
        <f ca="1">IFERROR(INDEX('9 Grid'!$D$4:$F$6,MATCH('Rekomendasi HAV'!M623,'9 Grid'!$B$4:$B$6,0),MATCH('Rekomendasi HAV'!N623,'9 Grid'!$D$2:$F$2,0)),"")</f>
        <v/>
      </c>
      <c r="P623" s="147" t="str">
        <f>IFERROR(INDEX('9 Grid'!$D$8:$F$8,1,MATCH('Rekomendasi HAV'!N623,'9 Grid'!$D$2:$F$2,0)),"")</f>
        <v>(ST) Within 12 - 18 month</v>
      </c>
    </row>
    <row r="624" spans="1:16" ht="28.5">
      <c r="A624" s="67">
        <v>623</v>
      </c>
      <c r="B624" s="68" t="str">
        <f>INDEX(Data_Assessment[],MATCH('Rekomendasi HAV'!$A624,Data_Assessment[[INDEX]:[INDEX]],0),MATCH('Rekomendasi HAV'!B$1,Data_Assessment[#Headers],0))</f>
        <v>Rodi</v>
      </c>
      <c r="C624" s="68" t="str">
        <f>INDEX(Data_Assessment[],MATCH('Rekomendasi HAV'!$A624,Data_Assessment[[INDEX]:[INDEX]],0),MATCH('Rekomendasi HAV'!C$1,Data_Assessment[#Headers],0))</f>
        <v>Kalimantan Timur</v>
      </c>
      <c r="D624" s="68" t="str">
        <f>INDEX(Data_Assessment[],MATCH('Rekomendasi HAV'!$A624,Data_Assessment[[INDEX]:[INDEX]],0),MATCH('Rekomendasi HAV'!D$1,Data_Assessment[#Headers],0))</f>
        <v>LSIP - Pahu Makmur Estate</v>
      </c>
      <c r="E624" s="68">
        <f>INDEX(Data_Assessment[],MATCH('Rekomendasi HAV'!$B624,Data_Assessment[[NAME]:[NAME]],0),MATCH('Rekomendasi HAV'!E$1,Data_Assessment[#Headers],0))</f>
        <v>0</v>
      </c>
      <c r="F624" s="68"/>
      <c r="G624" s="68">
        <f>IF(ISNUMBER(SEARCH("DEV",Assessment[[#This Row],[JOB TARGET]])),SUBSTITUTE(Assessment[[#This Row],[JOB TARGET]],"DEV","EST"),Assessment[[#This Row],[JOB TARGET]])</f>
        <v>0</v>
      </c>
      <c r="H624" s="146" t="str" cm="1">
        <f t="array" aca="1" ref="H624" ca="1">IF(Assessment[[#This Row],[JOB TARGET]]="","Job Target Kosong",IF(COUNT(IF('Data Assessment'!$N624:$Z624-OFFSET(Standar!$B$2,MATCH(Assessment[[#This Row],[JOB TARGET
(EST)]],Standar[NAMA JABATAN],0)-1,1,1,13)&lt;0,1,""))&lt;=3,'9 Grid'!$B$4,IF(COUNT(IF('Data Assessment'!$N624:$Z624-OFFSET(Standar!$B$2,MATCH(Assessment[[#This Row],[JOB TARGET]],Standar[NAMA JABATAN],0)-1,1,1,13)&lt;0,1,""))&gt;=7,'9 Grid'!$B$6,'9 Grid'!$B$5)))</f>
        <v>Job Target Kosong</v>
      </c>
      <c r="I624" s="146" t="str">
        <f>IFERROR(IF(Data_Assessment[[#This Row],[IPP (3 YEARS AVERAGE)]]="","(IPP Belum Ada)",IF(Data_Assessment[[#This Row],[IPP (3 YEARS AVERAGE)]]&lt;2,'9 Grid'!$F$2,IF(Data_Assessment[[#This Row],[IPP (3 YEARS AVERAGE)]]&gt;=4,'9 Grid'!$D$2,'9 Grid'!$E$2))),"")</f>
        <v>Fully Competence Performance</v>
      </c>
      <c r="J624" s="146" t="str">
        <f ca="1">IFERROR(INDEX('9 Grid'!$D$4:$F$6,MATCH('Rekomendasi HAV'!H624,'9 Grid'!$B$4:$B$6,0),MATCH('Rekomendasi HAV'!I624,'9 Grid'!$D$2:$F$2,0)),"")</f>
        <v/>
      </c>
      <c r="K624" s="146" t="str">
        <f>IFERROR(INDEX('9 Grid'!$D$8:$F$8,1,MATCH('Rekomendasi HAV'!I624,'9 Grid'!$D$2:$F$2,0)),"")</f>
        <v>(ST) Within 12 - 18 month</v>
      </c>
      <c r="L624" s="146">
        <f>IF(ISNUMBER(SEARCH("EST",Assessment[[#This Row],[JOB TARGET]])),SUBSTITUTE(Assessment[[#This Row],[JOB TARGET]],"EST","DEV"),Assessment[[#This Row],[JOB TARGET]])</f>
        <v>0</v>
      </c>
      <c r="M624" s="146" t="str" cm="1">
        <f t="array" aca="1" ref="M624" ca="1">IF(Assessment[[#This Row],[JOB TARGET]]="","Job Target Kosong",IF(COUNT(IF('Data Assessment'!$N624:$Z624-OFFSET(Standar!$B$2,MATCH(Assessment[[#This Row],[JOB TARGET
(DEV)]],Standar[NAMA JABATAN],0)-1,1,1,13)&lt;0,1,""))&lt;=3,'9 Grid'!$B$4,IF(COUNT(IF('Data Assessment'!$N624:$Z624-OFFSET(Standar!$B$2,MATCH(Assessment[[#This Row],[JOB TARGET
(DEV)]],Standar[NAMA JABATAN],0)-1,1,1,13)&lt;0,1,""))&gt;=7,'9 Grid'!$B$6,'9 Grid'!$B$5)))</f>
        <v>Job Target Kosong</v>
      </c>
      <c r="N624" s="146" t="str">
        <f>IFERROR(IF(Data_Assessment[[#This Row],[IPP (3 YEARS AVERAGE)]]="","(IPP Belum Ada)",IF(Data_Assessment[[#This Row],[IPP (3 YEARS AVERAGE)]]&lt;2,'9 Grid'!$F$2,IF(Data_Assessment[[#This Row],[IPP (3 YEARS AVERAGE)]]&gt;=4,'9 Grid'!$D$2,'9 Grid'!$E$2))),"")</f>
        <v>Fully Competence Performance</v>
      </c>
      <c r="O624" s="146" t="str">
        <f ca="1">IFERROR(INDEX('9 Grid'!$D$4:$F$6,MATCH('Rekomendasi HAV'!M624,'9 Grid'!$B$4:$B$6,0),MATCH('Rekomendasi HAV'!N624,'9 Grid'!$D$2:$F$2,0)),"")</f>
        <v/>
      </c>
      <c r="P624" s="147" t="str">
        <f>IFERROR(INDEX('9 Grid'!$D$8:$F$8,1,MATCH('Rekomendasi HAV'!N624,'9 Grid'!$D$2:$F$2,0)),"")</f>
        <v>(ST) Within 12 - 18 month</v>
      </c>
    </row>
    <row r="625" spans="1:16" ht="28.5">
      <c r="A625" s="67">
        <v>624</v>
      </c>
      <c r="B625" s="68" t="str">
        <f>INDEX(Data_Assessment[],MATCH('Rekomendasi HAV'!$A625,Data_Assessment[[INDEX]:[INDEX]],0),MATCH('Rekomendasi HAV'!B$1,Data_Assessment[#Headers],0))</f>
        <v>Fitri Wahyuni Simbolon</v>
      </c>
      <c r="C625" s="68" t="str">
        <f>INDEX(Data_Assessment[],MATCH('Rekomendasi HAV'!$A625,Data_Assessment[[INDEX]:[INDEX]],0),MATCH('Rekomendasi HAV'!C$1,Data_Assessment[#Headers],0))</f>
        <v>Jawa Timur</v>
      </c>
      <c r="D625" s="68" t="str">
        <f>INDEX(Data_Assessment[],MATCH('Rekomendasi HAV'!$A625,Data_Assessment[[INDEX]:[INDEX]],0),MATCH('Rekomendasi HAV'!D$1,Data_Assessment[#Headers],0))</f>
        <v>LSIP - BLRS - NS</v>
      </c>
      <c r="E625" s="68">
        <f>INDEX(Data_Assessment[],MATCH('Rekomendasi HAV'!$B625,Data_Assessment[[NAME]:[NAME]],0),MATCH('Rekomendasi HAV'!E$1,Data_Assessment[#Headers],0))</f>
        <v>0</v>
      </c>
      <c r="F625" s="68"/>
      <c r="G625" s="68">
        <f>IF(ISNUMBER(SEARCH("DEV",Assessment[[#This Row],[JOB TARGET]])),SUBSTITUTE(Assessment[[#This Row],[JOB TARGET]],"DEV","EST"),Assessment[[#This Row],[JOB TARGET]])</f>
        <v>0</v>
      </c>
      <c r="H625" s="146" t="str" cm="1">
        <f t="array" aca="1" ref="H625" ca="1">IF(Assessment[[#This Row],[JOB TARGET]]="","Job Target Kosong",IF(COUNT(IF('Data Assessment'!$N625:$Z625-OFFSET(Standar!$B$2,MATCH(Assessment[[#This Row],[JOB TARGET
(EST)]],Standar[NAMA JABATAN],0)-1,1,1,13)&lt;0,1,""))&lt;=3,'9 Grid'!$B$4,IF(COUNT(IF('Data Assessment'!$N625:$Z625-OFFSET(Standar!$B$2,MATCH(Assessment[[#This Row],[JOB TARGET]],Standar[NAMA JABATAN],0)-1,1,1,13)&lt;0,1,""))&gt;=7,'9 Grid'!$B$6,'9 Grid'!$B$5)))</f>
        <v>Job Target Kosong</v>
      </c>
      <c r="I625" s="146" t="str">
        <f>IFERROR(IF(Data_Assessment[[#This Row],[IPP (3 YEARS AVERAGE)]]="","(IPP Belum Ada)",IF(Data_Assessment[[#This Row],[IPP (3 YEARS AVERAGE)]]&lt;2,'9 Grid'!$F$2,IF(Data_Assessment[[#This Row],[IPP (3 YEARS AVERAGE)]]&gt;=4,'9 Grid'!$D$2,'9 Grid'!$E$2))),"")</f>
        <v>Fully Competence Performance</v>
      </c>
      <c r="J625" s="146" t="str">
        <f ca="1">IFERROR(INDEX('9 Grid'!$D$4:$F$6,MATCH('Rekomendasi HAV'!H625,'9 Grid'!$B$4:$B$6,0),MATCH('Rekomendasi HAV'!I625,'9 Grid'!$D$2:$F$2,0)),"")</f>
        <v/>
      </c>
      <c r="K625" s="146" t="str">
        <f>IFERROR(INDEX('9 Grid'!$D$8:$F$8,1,MATCH('Rekomendasi HAV'!I625,'9 Grid'!$D$2:$F$2,0)),"")</f>
        <v>(ST) Within 12 - 18 month</v>
      </c>
      <c r="L625" s="146">
        <f>IF(ISNUMBER(SEARCH("EST",Assessment[[#This Row],[JOB TARGET]])),SUBSTITUTE(Assessment[[#This Row],[JOB TARGET]],"EST","DEV"),Assessment[[#This Row],[JOB TARGET]])</f>
        <v>0</v>
      </c>
      <c r="M625" s="146" t="str" cm="1">
        <f t="array" aca="1" ref="M625" ca="1">IF(Assessment[[#This Row],[JOB TARGET]]="","Job Target Kosong",IF(COUNT(IF('Data Assessment'!$N625:$Z625-OFFSET(Standar!$B$2,MATCH(Assessment[[#This Row],[JOB TARGET
(DEV)]],Standar[NAMA JABATAN],0)-1,1,1,13)&lt;0,1,""))&lt;=3,'9 Grid'!$B$4,IF(COUNT(IF('Data Assessment'!$N625:$Z625-OFFSET(Standar!$B$2,MATCH(Assessment[[#This Row],[JOB TARGET
(DEV)]],Standar[NAMA JABATAN],0)-1,1,1,13)&lt;0,1,""))&gt;=7,'9 Grid'!$B$6,'9 Grid'!$B$5)))</f>
        <v>Job Target Kosong</v>
      </c>
      <c r="N625" s="146" t="str">
        <f>IFERROR(IF(Data_Assessment[[#This Row],[IPP (3 YEARS AVERAGE)]]="","(IPP Belum Ada)",IF(Data_Assessment[[#This Row],[IPP (3 YEARS AVERAGE)]]&lt;2,'9 Grid'!$F$2,IF(Data_Assessment[[#This Row],[IPP (3 YEARS AVERAGE)]]&gt;=4,'9 Grid'!$D$2,'9 Grid'!$E$2))),"")</f>
        <v>Fully Competence Performance</v>
      </c>
      <c r="O625" s="146" t="str">
        <f ca="1">IFERROR(INDEX('9 Grid'!$D$4:$F$6,MATCH('Rekomendasi HAV'!M625,'9 Grid'!$B$4:$B$6,0),MATCH('Rekomendasi HAV'!N625,'9 Grid'!$D$2:$F$2,0)),"")</f>
        <v/>
      </c>
      <c r="P625" s="147" t="str">
        <f>IFERROR(INDEX('9 Grid'!$D$8:$F$8,1,MATCH('Rekomendasi HAV'!N625,'9 Grid'!$D$2:$F$2,0)),"")</f>
        <v>(ST) Within 12 - 18 month</v>
      </c>
    </row>
    <row r="626" spans="1:16" ht="28.5">
      <c r="A626" s="67">
        <v>625</v>
      </c>
      <c r="B626" s="68" t="str">
        <f>INDEX(Data_Assessment[],MATCH('Rekomendasi HAV'!$A626,Data_Assessment[[INDEX]:[INDEX]],0),MATCH('Rekomendasi HAV'!B$1,Data_Assessment[#Headers],0))</f>
        <v>Sabar Siahaan, Ir.</v>
      </c>
      <c r="C626" s="68" t="str">
        <f>INDEX(Data_Assessment[],MATCH('Rekomendasi HAV'!$A626,Data_Assessment[[INDEX]:[INDEX]],0),MATCH('Rekomendasi HAV'!C$1,Data_Assessment[#Headers],0))</f>
        <v>Kalimantan Timur</v>
      </c>
      <c r="D626" s="68" t="str">
        <f>INDEX(Data_Assessment[],MATCH('Rekomendasi HAV'!$A626,Data_Assessment[[INDEX]:[INDEX]],0),MATCH('Rekomendasi HAV'!D$1,Data_Assessment[#Headers],0))</f>
        <v>LSIP - Pahu Makmur Estate</v>
      </c>
      <c r="E626" s="68">
        <f>INDEX(Data_Assessment[],MATCH('Rekomendasi HAV'!$B626,Data_Assessment[[NAME]:[NAME]],0),MATCH('Rekomendasi HAV'!E$1,Data_Assessment[#Headers],0))</f>
        <v>0</v>
      </c>
      <c r="F626" s="68"/>
      <c r="G626" s="68">
        <f>IF(ISNUMBER(SEARCH("DEV",Assessment[[#This Row],[JOB TARGET]])),SUBSTITUTE(Assessment[[#This Row],[JOB TARGET]],"DEV","EST"),Assessment[[#This Row],[JOB TARGET]])</f>
        <v>0</v>
      </c>
      <c r="H626" s="146" t="str" cm="1">
        <f t="array" aca="1" ref="H626" ca="1">IF(Assessment[[#This Row],[JOB TARGET]]="","Job Target Kosong",IF(COUNT(IF('Data Assessment'!$N626:$Z626-OFFSET(Standar!$B$2,MATCH(Assessment[[#This Row],[JOB TARGET
(EST)]],Standar[NAMA JABATAN],0)-1,1,1,13)&lt;0,1,""))&lt;=3,'9 Grid'!$B$4,IF(COUNT(IF('Data Assessment'!$N626:$Z626-OFFSET(Standar!$B$2,MATCH(Assessment[[#This Row],[JOB TARGET]],Standar[NAMA JABATAN],0)-1,1,1,13)&lt;0,1,""))&gt;=7,'9 Grid'!$B$6,'9 Grid'!$B$5)))</f>
        <v>Job Target Kosong</v>
      </c>
      <c r="I626" s="146" t="str">
        <f>IFERROR(IF(Data_Assessment[[#This Row],[IPP (3 YEARS AVERAGE)]]="","(IPP Belum Ada)",IF(Data_Assessment[[#This Row],[IPP (3 YEARS AVERAGE)]]&lt;2,'9 Grid'!$F$2,IF(Data_Assessment[[#This Row],[IPP (3 YEARS AVERAGE)]]&gt;=4,'9 Grid'!$D$2,'9 Grid'!$E$2))),"")</f>
        <v>Fully Competence Performance</v>
      </c>
      <c r="J626" s="146" t="str">
        <f ca="1">IFERROR(INDEX('9 Grid'!$D$4:$F$6,MATCH('Rekomendasi HAV'!H626,'9 Grid'!$B$4:$B$6,0),MATCH('Rekomendasi HAV'!I626,'9 Grid'!$D$2:$F$2,0)),"")</f>
        <v/>
      </c>
      <c r="K626" s="146" t="str">
        <f>IFERROR(INDEX('9 Grid'!$D$8:$F$8,1,MATCH('Rekomendasi HAV'!I626,'9 Grid'!$D$2:$F$2,0)),"")</f>
        <v>(ST) Within 12 - 18 month</v>
      </c>
      <c r="L626" s="146">
        <f>IF(ISNUMBER(SEARCH("EST",Assessment[[#This Row],[JOB TARGET]])),SUBSTITUTE(Assessment[[#This Row],[JOB TARGET]],"EST","DEV"),Assessment[[#This Row],[JOB TARGET]])</f>
        <v>0</v>
      </c>
      <c r="M626" s="146" t="str" cm="1">
        <f t="array" aca="1" ref="M626" ca="1">IF(Assessment[[#This Row],[JOB TARGET]]="","Job Target Kosong",IF(COUNT(IF('Data Assessment'!$N626:$Z626-OFFSET(Standar!$B$2,MATCH(Assessment[[#This Row],[JOB TARGET
(DEV)]],Standar[NAMA JABATAN],0)-1,1,1,13)&lt;0,1,""))&lt;=3,'9 Grid'!$B$4,IF(COUNT(IF('Data Assessment'!$N626:$Z626-OFFSET(Standar!$B$2,MATCH(Assessment[[#This Row],[JOB TARGET
(DEV)]],Standar[NAMA JABATAN],0)-1,1,1,13)&lt;0,1,""))&gt;=7,'9 Grid'!$B$6,'9 Grid'!$B$5)))</f>
        <v>Job Target Kosong</v>
      </c>
      <c r="N626" s="146" t="str">
        <f>IFERROR(IF(Data_Assessment[[#This Row],[IPP (3 YEARS AVERAGE)]]="","(IPP Belum Ada)",IF(Data_Assessment[[#This Row],[IPP (3 YEARS AVERAGE)]]&lt;2,'9 Grid'!$F$2,IF(Data_Assessment[[#This Row],[IPP (3 YEARS AVERAGE)]]&gt;=4,'9 Grid'!$D$2,'9 Grid'!$E$2))),"")</f>
        <v>Fully Competence Performance</v>
      </c>
      <c r="O626" s="146" t="str">
        <f ca="1">IFERROR(INDEX('9 Grid'!$D$4:$F$6,MATCH('Rekomendasi HAV'!M626,'9 Grid'!$B$4:$B$6,0),MATCH('Rekomendasi HAV'!N626,'9 Grid'!$D$2:$F$2,0)),"")</f>
        <v/>
      </c>
      <c r="P626" s="147" t="str">
        <f>IFERROR(INDEX('9 Grid'!$D$8:$F$8,1,MATCH('Rekomendasi HAV'!N626,'9 Grid'!$D$2:$F$2,0)),"")</f>
        <v>(ST) Within 12 - 18 month</v>
      </c>
    </row>
    <row r="627" spans="1:16" ht="28.5">
      <c r="A627" s="67">
        <v>626</v>
      </c>
      <c r="B627" s="68" t="str">
        <f>INDEX(Data_Assessment[],MATCH('Rekomendasi HAV'!$A627,Data_Assessment[[INDEX]:[INDEX]],0),MATCH('Rekomendasi HAV'!B$1,Data_Assessment[#Headers],0))</f>
        <v>Jeffry Pabianto</v>
      </c>
      <c r="C627" s="68" t="str">
        <f>INDEX(Data_Assessment[],MATCH('Rekomendasi HAV'!$A627,Data_Assessment[[INDEX]:[INDEX]],0),MATCH('Rekomendasi HAV'!C$1,Data_Assessment[#Headers],0))</f>
        <v>Kalimantan Timur</v>
      </c>
      <c r="D627" s="68" t="str">
        <f>INDEX(Data_Assessment[],MATCH('Rekomendasi HAV'!$A627,Data_Assessment[[INDEX]:[INDEX]],0),MATCH('Rekomendasi HAV'!D$1,Data_Assessment[#Headers],0))</f>
        <v>LSIP - Pahu Makmur Estate</v>
      </c>
      <c r="E627" s="68">
        <f>INDEX(Data_Assessment[],MATCH('Rekomendasi HAV'!$B627,Data_Assessment[[NAME]:[NAME]],0),MATCH('Rekomendasi HAV'!E$1,Data_Assessment[#Headers],0))</f>
        <v>0</v>
      </c>
      <c r="F627" s="68"/>
      <c r="G627" s="68">
        <f>IF(ISNUMBER(SEARCH("DEV",Assessment[[#This Row],[JOB TARGET]])),SUBSTITUTE(Assessment[[#This Row],[JOB TARGET]],"DEV","EST"),Assessment[[#This Row],[JOB TARGET]])</f>
        <v>0</v>
      </c>
      <c r="H627" s="146" t="str" cm="1">
        <f t="array" aca="1" ref="H627" ca="1">IF(Assessment[[#This Row],[JOB TARGET]]="","Job Target Kosong",IF(COUNT(IF('Data Assessment'!$N627:$Z627-OFFSET(Standar!$B$2,MATCH(Assessment[[#This Row],[JOB TARGET
(EST)]],Standar[NAMA JABATAN],0)-1,1,1,13)&lt;0,1,""))&lt;=3,'9 Grid'!$B$4,IF(COUNT(IF('Data Assessment'!$N627:$Z627-OFFSET(Standar!$B$2,MATCH(Assessment[[#This Row],[JOB TARGET]],Standar[NAMA JABATAN],0)-1,1,1,13)&lt;0,1,""))&gt;=7,'9 Grid'!$B$6,'9 Grid'!$B$5)))</f>
        <v>Job Target Kosong</v>
      </c>
      <c r="I627" s="146" t="str">
        <f>IFERROR(IF(Data_Assessment[[#This Row],[IPP (3 YEARS AVERAGE)]]="","(IPP Belum Ada)",IF(Data_Assessment[[#This Row],[IPP (3 YEARS AVERAGE)]]&lt;2,'9 Grid'!$F$2,IF(Data_Assessment[[#This Row],[IPP (3 YEARS AVERAGE)]]&gt;=4,'9 Grid'!$D$2,'9 Grid'!$E$2))),"")</f>
        <v>Fully Competence Performance</v>
      </c>
      <c r="J627" s="146" t="str">
        <f ca="1">IFERROR(INDEX('9 Grid'!$D$4:$F$6,MATCH('Rekomendasi HAV'!H627,'9 Grid'!$B$4:$B$6,0),MATCH('Rekomendasi HAV'!I627,'9 Grid'!$D$2:$F$2,0)),"")</f>
        <v/>
      </c>
      <c r="K627" s="146" t="str">
        <f>IFERROR(INDEX('9 Grid'!$D$8:$F$8,1,MATCH('Rekomendasi HAV'!I627,'9 Grid'!$D$2:$F$2,0)),"")</f>
        <v>(ST) Within 12 - 18 month</v>
      </c>
      <c r="L627" s="146">
        <f>IF(ISNUMBER(SEARCH("EST",Assessment[[#This Row],[JOB TARGET]])),SUBSTITUTE(Assessment[[#This Row],[JOB TARGET]],"EST","DEV"),Assessment[[#This Row],[JOB TARGET]])</f>
        <v>0</v>
      </c>
      <c r="M627" s="146" t="str" cm="1">
        <f t="array" aca="1" ref="M627" ca="1">IF(Assessment[[#This Row],[JOB TARGET]]="","Job Target Kosong",IF(COUNT(IF('Data Assessment'!$N627:$Z627-OFFSET(Standar!$B$2,MATCH(Assessment[[#This Row],[JOB TARGET
(DEV)]],Standar[NAMA JABATAN],0)-1,1,1,13)&lt;0,1,""))&lt;=3,'9 Grid'!$B$4,IF(COUNT(IF('Data Assessment'!$N627:$Z627-OFFSET(Standar!$B$2,MATCH(Assessment[[#This Row],[JOB TARGET
(DEV)]],Standar[NAMA JABATAN],0)-1,1,1,13)&lt;0,1,""))&gt;=7,'9 Grid'!$B$6,'9 Grid'!$B$5)))</f>
        <v>Job Target Kosong</v>
      </c>
      <c r="N627" s="146" t="str">
        <f>IFERROR(IF(Data_Assessment[[#This Row],[IPP (3 YEARS AVERAGE)]]="","(IPP Belum Ada)",IF(Data_Assessment[[#This Row],[IPP (3 YEARS AVERAGE)]]&lt;2,'9 Grid'!$F$2,IF(Data_Assessment[[#This Row],[IPP (3 YEARS AVERAGE)]]&gt;=4,'9 Grid'!$D$2,'9 Grid'!$E$2))),"")</f>
        <v>Fully Competence Performance</v>
      </c>
      <c r="O627" s="146" t="str">
        <f ca="1">IFERROR(INDEX('9 Grid'!$D$4:$F$6,MATCH('Rekomendasi HAV'!M627,'9 Grid'!$B$4:$B$6,0),MATCH('Rekomendasi HAV'!N627,'9 Grid'!$D$2:$F$2,0)),"")</f>
        <v/>
      </c>
      <c r="P627" s="147" t="str">
        <f>IFERROR(INDEX('9 Grid'!$D$8:$F$8,1,MATCH('Rekomendasi HAV'!N627,'9 Grid'!$D$2:$F$2,0)),"")</f>
        <v>(ST) Within 12 - 18 month</v>
      </c>
    </row>
    <row r="628" spans="1:16" ht="28.5">
      <c r="A628" s="67">
        <v>627</v>
      </c>
      <c r="B628" s="68" t="str">
        <f>INDEX(Data_Assessment[],MATCH('Rekomendasi HAV'!$A628,Data_Assessment[[INDEX]:[INDEX]],0),MATCH('Rekomendasi HAV'!B$1,Data_Assessment[#Headers],0))</f>
        <v>Nanang Setiawan</v>
      </c>
      <c r="C628" s="68" t="str">
        <f>INDEX(Data_Assessment[],MATCH('Rekomendasi HAV'!$A628,Data_Assessment[[INDEX]:[INDEX]],0),MATCH('Rekomendasi HAV'!C$1,Data_Assessment[#Headers],0))</f>
        <v>Sulawesi Selatan</v>
      </c>
      <c r="D628" s="68" t="str">
        <f>INDEX(Data_Assessment[],MATCH('Rekomendasi HAV'!$A628,Data_Assessment[[INDEX]:[INDEX]],0),MATCH('Rekomendasi HAV'!D$1,Data_Assessment[#Headers],0))</f>
        <v>LSIP - Balombessie Estate</v>
      </c>
      <c r="E628" s="68">
        <f>INDEX(Data_Assessment[],MATCH('Rekomendasi HAV'!$B628,Data_Assessment[[NAME]:[NAME]],0),MATCH('Rekomendasi HAV'!E$1,Data_Assessment[#Headers],0))</f>
        <v>0</v>
      </c>
      <c r="F628" s="68"/>
      <c r="G628" s="68">
        <f>IF(ISNUMBER(SEARCH("DEV",Assessment[[#This Row],[JOB TARGET]])),SUBSTITUTE(Assessment[[#This Row],[JOB TARGET]],"DEV","EST"),Assessment[[#This Row],[JOB TARGET]])</f>
        <v>0</v>
      </c>
      <c r="H628" s="146" t="str" cm="1">
        <f t="array" aca="1" ref="H628" ca="1">IF(Assessment[[#This Row],[JOB TARGET]]="","Job Target Kosong",IF(COUNT(IF('Data Assessment'!$N628:$Z628-OFFSET(Standar!$B$2,MATCH(Assessment[[#This Row],[JOB TARGET
(EST)]],Standar[NAMA JABATAN],0)-1,1,1,13)&lt;0,1,""))&lt;=3,'9 Grid'!$B$4,IF(COUNT(IF('Data Assessment'!$N628:$Z628-OFFSET(Standar!$B$2,MATCH(Assessment[[#This Row],[JOB TARGET]],Standar[NAMA JABATAN],0)-1,1,1,13)&lt;0,1,""))&gt;=7,'9 Grid'!$B$6,'9 Grid'!$B$5)))</f>
        <v>Job Target Kosong</v>
      </c>
      <c r="I628" s="146" t="str">
        <f>IFERROR(IF(Data_Assessment[[#This Row],[IPP (3 YEARS AVERAGE)]]="","(IPP Belum Ada)",IF(Data_Assessment[[#This Row],[IPP (3 YEARS AVERAGE)]]&lt;2,'9 Grid'!$F$2,IF(Data_Assessment[[#This Row],[IPP (3 YEARS AVERAGE)]]&gt;=4,'9 Grid'!$D$2,'9 Grid'!$E$2))),"")</f>
        <v>Fully Competence Performance</v>
      </c>
      <c r="J628" s="146" t="str">
        <f ca="1">IFERROR(INDEX('9 Grid'!$D$4:$F$6,MATCH('Rekomendasi HAV'!H628,'9 Grid'!$B$4:$B$6,0),MATCH('Rekomendasi HAV'!I628,'9 Grid'!$D$2:$F$2,0)),"")</f>
        <v/>
      </c>
      <c r="K628" s="146" t="str">
        <f>IFERROR(INDEX('9 Grid'!$D$8:$F$8,1,MATCH('Rekomendasi HAV'!I628,'9 Grid'!$D$2:$F$2,0)),"")</f>
        <v>(ST) Within 12 - 18 month</v>
      </c>
      <c r="L628" s="146">
        <f>IF(ISNUMBER(SEARCH("EST",Assessment[[#This Row],[JOB TARGET]])),SUBSTITUTE(Assessment[[#This Row],[JOB TARGET]],"EST","DEV"),Assessment[[#This Row],[JOB TARGET]])</f>
        <v>0</v>
      </c>
      <c r="M628" s="146" t="str" cm="1">
        <f t="array" aca="1" ref="M628" ca="1">IF(Assessment[[#This Row],[JOB TARGET]]="","Job Target Kosong",IF(COUNT(IF('Data Assessment'!$N628:$Z628-OFFSET(Standar!$B$2,MATCH(Assessment[[#This Row],[JOB TARGET
(DEV)]],Standar[NAMA JABATAN],0)-1,1,1,13)&lt;0,1,""))&lt;=3,'9 Grid'!$B$4,IF(COUNT(IF('Data Assessment'!$N628:$Z628-OFFSET(Standar!$B$2,MATCH(Assessment[[#This Row],[JOB TARGET
(DEV)]],Standar[NAMA JABATAN],0)-1,1,1,13)&lt;0,1,""))&gt;=7,'9 Grid'!$B$6,'9 Grid'!$B$5)))</f>
        <v>Job Target Kosong</v>
      </c>
      <c r="N628" s="146" t="str">
        <f>IFERROR(IF(Data_Assessment[[#This Row],[IPP (3 YEARS AVERAGE)]]="","(IPP Belum Ada)",IF(Data_Assessment[[#This Row],[IPP (3 YEARS AVERAGE)]]&lt;2,'9 Grid'!$F$2,IF(Data_Assessment[[#This Row],[IPP (3 YEARS AVERAGE)]]&gt;=4,'9 Grid'!$D$2,'9 Grid'!$E$2))),"")</f>
        <v>Fully Competence Performance</v>
      </c>
      <c r="O628" s="146" t="str">
        <f ca="1">IFERROR(INDEX('9 Grid'!$D$4:$F$6,MATCH('Rekomendasi HAV'!M628,'9 Grid'!$B$4:$B$6,0),MATCH('Rekomendasi HAV'!N628,'9 Grid'!$D$2:$F$2,0)),"")</f>
        <v/>
      </c>
      <c r="P628" s="147" t="str">
        <f>IFERROR(INDEX('9 Grid'!$D$8:$F$8,1,MATCH('Rekomendasi HAV'!N628,'9 Grid'!$D$2:$F$2,0)),"")</f>
        <v>(ST) Within 12 - 18 month</v>
      </c>
    </row>
    <row r="629" spans="1:16" ht="28.5">
      <c r="A629" s="67">
        <v>628</v>
      </c>
      <c r="B629" s="68" t="str">
        <f>INDEX(Data_Assessment[],MATCH('Rekomendasi HAV'!$A629,Data_Assessment[[INDEX]:[INDEX]],0),MATCH('Rekomendasi HAV'!B$1,Data_Assessment[#Headers],0))</f>
        <v>Muhammad Bin Haes</v>
      </c>
      <c r="C629" s="68" t="str">
        <f>INDEX(Data_Assessment[],MATCH('Rekomendasi HAV'!$A629,Data_Assessment[[INDEX]:[INDEX]],0),MATCH('Rekomendasi HAV'!C$1,Data_Assessment[#Headers],0))</f>
        <v>Sulawesi Selatan</v>
      </c>
      <c r="D629" s="68" t="str">
        <f>INDEX(Data_Assessment[],MATCH('Rekomendasi HAV'!$A629,Data_Assessment[[INDEX]:[INDEX]],0),MATCH('Rekomendasi HAV'!D$1,Data_Assessment[#Headers],0))</f>
        <v>LSIP - Balombessie Estate</v>
      </c>
      <c r="E629" s="68">
        <f>INDEX(Data_Assessment[],MATCH('Rekomendasi HAV'!$B629,Data_Assessment[[NAME]:[NAME]],0),MATCH('Rekomendasi HAV'!E$1,Data_Assessment[#Headers],0))</f>
        <v>0</v>
      </c>
      <c r="F629" s="68"/>
      <c r="G629" s="68">
        <f>IF(ISNUMBER(SEARCH("DEV",Assessment[[#This Row],[JOB TARGET]])),SUBSTITUTE(Assessment[[#This Row],[JOB TARGET]],"DEV","EST"),Assessment[[#This Row],[JOB TARGET]])</f>
        <v>0</v>
      </c>
      <c r="H629" s="146" t="str" cm="1">
        <f t="array" aca="1" ref="H629" ca="1">IF(Assessment[[#This Row],[JOB TARGET]]="","Job Target Kosong",IF(COUNT(IF('Data Assessment'!$N629:$Z629-OFFSET(Standar!$B$2,MATCH(Assessment[[#This Row],[JOB TARGET
(EST)]],Standar[NAMA JABATAN],0)-1,1,1,13)&lt;0,1,""))&lt;=3,'9 Grid'!$B$4,IF(COUNT(IF('Data Assessment'!$N629:$Z629-OFFSET(Standar!$B$2,MATCH(Assessment[[#This Row],[JOB TARGET]],Standar[NAMA JABATAN],0)-1,1,1,13)&lt;0,1,""))&gt;=7,'9 Grid'!$B$6,'9 Grid'!$B$5)))</f>
        <v>Job Target Kosong</v>
      </c>
      <c r="I629" s="146" t="str">
        <f>IFERROR(IF(Data_Assessment[[#This Row],[IPP (3 YEARS AVERAGE)]]="","(IPP Belum Ada)",IF(Data_Assessment[[#This Row],[IPP (3 YEARS AVERAGE)]]&lt;2,'9 Grid'!$F$2,IF(Data_Assessment[[#This Row],[IPP (3 YEARS AVERAGE)]]&gt;=4,'9 Grid'!$D$2,'9 Grid'!$E$2))),"")</f>
        <v>Fully Competence Performance</v>
      </c>
      <c r="J629" s="146" t="str">
        <f ca="1">IFERROR(INDEX('9 Grid'!$D$4:$F$6,MATCH('Rekomendasi HAV'!H629,'9 Grid'!$B$4:$B$6,0),MATCH('Rekomendasi HAV'!I629,'9 Grid'!$D$2:$F$2,0)),"")</f>
        <v/>
      </c>
      <c r="K629" s="146" t="str">
        <f>IFERROR(INDEX('9 Grid'!$D$8:$F$8,1,MATCH('Rekomendasi HAV'!I629,'9 Grid'!$D$2:$F$2,0)),"")</f>
        <v>(ST) Within 12 - 18 month</v>
      </c>
      <c r="L629" s="146">
        <f>IF(ISNUMBER(SEARCH("EST",Assessment[[#This Row],[JOB TARGET]])),SUBSTITUTE(Assessment[[#This Row],[JOB TARGET]],"EST","DEV"),Assessment[[#This Row],[JOB TARGET]])</f>
        <v>0</v>
      </c>
      <c r="M629" s="146" t="str" cm="1">
        <f t="array" aca="1" ref="M629" ca="1">IF(Assessment[[#This Row],[JOB TARGET]]="","Job Target Kosong",IF(COUNT(IF('Data Assessment'!$N629:$Z629-OFFSET(Standar!$B$2,MATCH(Assessment[[#This Row],[JOB TARGET
(DEV)]],Standar[NAMA JABATAN],0)-1,1,1,13)&lt;0,1,""))&lt;=3,'9 Grid'!$B$4,IF(COUNT(IF('Data Assessment'!$N629:$Z629-OFFSET(Standar!$B$2,MATCH(Assessment[[#This Row],[JOB TARGET
(DEV)]],Standar[NAMA JABATAN],0)-1,1,1,13)&lt;0,1,""))&gt;=7,'9 Grid'!$B$6,'9 Grid'!$B$5)))</f>
        <v>Job Target Kosong</v>
      </c>
      <c r="N629" s="146" t="str">
        <f>IFERROR(IF(Data_Assessment[[#This Row],[IPP (3 YEARS AVERAGE)]]="","(IPP Belum Ada)",IF(Data_Assessment[[#This Row],[IPP (3 YEARS AVERAGE)]]&lt;2,'9 Grid'!$F$2,IF(Data_Assessment[[#This Row],[IPP (3 YEARS AVERAGE)]]&gt;=4,'9 Grid'!$D$2,'9 Grid'!$E$2))),"")</f>
        <v>Fully Competence Performance</v>
      </c>
      <c r="O629" s="146" t="str">
        <f ca="1">IFERROR(INDEX('9 Grid'!$D$4:$F$6,MATCH('Rekomendasi HAV'!M629,'9 Grid'!$B$4:$B$6,0),MATCH('Rekomendasi HAV'!N629,'9 Grid'!$D$2:$F$2,0)),"")</f>
        <v/>
      </c>
      <c r="P629" s="147" t="str">
        <f>IFERROR(INDEX('9 Grid'!$D$8:$F$8,1,MATCH('Rekomendasi HAV'!N629,'9 Grid'!$D$2:$F$2,0)),"")</f>
        <v>(ST) Within 12 - 18 month</v>
      </c>
    </row>
    <row r="630" spans="1:16" ht="28.5">
      <c r="A630" s="67">
        <v>629</v>
      </c>
      <c r="B630" s="68" t="str">
        <f>INDEX(Data_Assessment[],MATCH('Rekomendasi HAV'!$A630,Data_Assessment[[INDEX]:[INDEX]],0),MATCH('Rekomendasi HAV'!B$1,Data_Assessment[#Headers],0))</f>
        <v>M Wahyu Septiadi Putra</v>
      </c>
      <c r="C630" s="68" t="str">
        <f>INDEX(Data_Assessment[],MATCH('Rekomendasi HAV'!$A630,Data_Assessment[[INDEX]:[INDEX]],0),MATCH('Rekomendasi HAV'!C$1,Data_Assessment[#Headers],0))</f>
        <v>Sulawesi Selatan</v>
      </c>
      <c r="D630" s="68" t="str">
        <f>INDEX(Data_Assessment[],MATCH('Rekomendasi HAV'!$A630,Data_Assessment[[INDEX]:[INDEX]],0),MATCH('Rekomendasi HAV'!D$1,Data_Assessment[#Headers],0))</f>
        <v>LSIP - Balombessie Estate</v>
      </c>
      <c r="E630" s="68">
        <f>INDEX(Data_Assessment[],MATCH('Rekomendasi HAV'!$B630,Data_Assessment[[NAME]:[NAME]],0),MATCH('Rekomendasi HAV'!E$1,Data_Assessment[#Headers],0))</f>
        <v>0</v>
      </c>
      <c r="F630" s="68"/>
      <c r="G630" s="68">
        <f>IF(ISNUMBER(SEARCH("DEV",Assessment[[#This Row],[JOB TARGET]])),SUBSTITUTE(Assessment[[#This Row],[JOB TARGET]],"DEV","EST"),Assessment[[#This Row],[JOB TARGET]])</f>
        <v>0</v>
      </c>
      <c r="H630" s="146" t="str" cm="1">
        <f t="array" aca="1" ref="H630" ca="1">IF(Assessment[[#This Row],[JOB TARGET]]="","Job Target Kosong",IF(COUNT(IF('Data Assessment'!$N630:$Z630-OFFSET(Standar!$B$2,MATCH(Assessment[[#This Row],[JOB TARGET
(EST)]],Standar[NAMA JABATAN],0)-1,1,1,13)&lt;0,1,""))&lt;=3,'9 Grid'!$B$4,IF(COUNT(IF('Data Assessment'!$N630:$Z630-OFFSET(Standar!$B$2,MATCH(Assessment[[#This Row],[JOB TARGET]],Standar[NAMA JABATAN],0)-1,1,1,13)&lt;0,1,""))&gt;=7,'9 Grid'!$B$6,'9 Grid'!$B$5)))</f>
        <v>Job Target Kosong</v>
      </c>
      <c r="I630" s="146" t="str">
        <f>IFERROR(IF(Data_Assessment[[#This Row],[IPP (3 YEARS AVERAGE)]]="","(IPP Belum Ada)",IF(Data_Assessment[[#This Row],[IPP (3 YEARS AVERAGE)]]&lt;2,'9 Grid'!$F$2,IF(Data_Assessment[[#This Row],[IPP (3 YEARS AVERAGE)]]&gt;=4,'9 Grid'!$D$2,'9 Grid'!$E$2))),"")</f>
        <v>Fully Competence Performance</v>
      </c>
      <c r="J630" s="146" t="str">
        <f ca="1">IFERROR(INDEX('9 Grid'!$D$4:$F$6,MATCH('Rekomendasi HAV'!H630,'9 Grid'!$B$4:$B$6,0),MATCH('Rekomendasi HAV'!I630,'9 Grid'!$D$2:$F$2,0)),"")</f>
        <v/>
      </c>
      <c r="K630" s="146" t="str">
        <f>IFERROR(INDEX('9 Grid'!$D$8:$F$8,1,MATCH('Rekomendasi HAV'!I630,'9 Grid'!$D$2:$F$2,0)),"")</f>
        <v>(ST) Within 12 - 18 month</v>
      </c>
      <c r="L630" s="146">
        <f>IF(ISNUMBER(SEARCH("EST",Assessment[[#This Row],[JOB TARGET]])),SUBSTITUTE(Assessment[[#This Row],[JOB TARGET]],"EST","DEV"),Assessment[[#This Row],[JOB TARGET]])</f>
        <v>0</v>
      </c>
      <c r="M630" s="146" t="str" cm="1">
        <f t="array" aca="1" ref="M630" ca="1">IF(Assessment[[#This Row],[JOB TARGET]]="","Job Target Kosong",IF(COUNT(IF('Data Assessment'!$N630:$Z630-OFFSET(Standar!$B$2,MATCH(Assessment[[#This Row],[JOB TARGET
(DEV)]],Standar[NAMA JABATAN],0)-1,1,1,13)&lt;0,1,""))&lt;=3,'9 Grid'!$B$4,IF(COUNT(IF('Data Assessment'!$N630:$Z630-OFFSET(Standar!$B$2,MATCH(Assessment[[#This Row],[JOB TARGET
(DEV)]],Standar[NAMA JABATAN],0)-1,1,1,13)&lt;0,1,""))&gt;=7,'9 Grid'!$B$6,'9 Grid'!$B$5)))</f>
        <v>Job Target Kosong</v>
      </c>
      <c r="N630" s="146" t="str">
        <f>IFERROR(IF(Data_Assessment[[#This Row],[IPP (3 YEARS AVERAGE)]]="","(IPP Belum Ada)",IF(Data_Assessment[[#This Row],[IPP (3 YEARS AVERAGE)]]&lt;2,'9 Grid'!$F$2,IF(Data_Assessment[[#This Row],[IPP (3 YEARS AVERAGE)]]&gt;=4,'9 Grid'!$D$2,'9 Grid'!$E$2))),"")</f>
        <v>Fully Competence Performance</v>
      </c>
      <c r="O630" s="146" t="str">
        <f ca="1">IFERROR(INDEX('9 Grid'!$D$4:$F$6,MATCH('Rekomendasi HAV'!M630,'9 Grid'!$B$4:$B$6,0),MATCH('Rekomendasi HAV'!N630,'9 Grid'!$D$2:$F$2,0)),"")</f>
        <v/>
      </c>
      <c r="P630" s="147" t="str">
        <f>IFERROR(INDEX('9 Grid'!$D$8:$F$8,1,MATCH('Rekomendasi HAV'!N630,'9 Grid'!$D$2:$F$2,0)),"")</f>
        <v>(ST) Within 12 - 18 month</v>
      </c>
    </row>
    <row r="631" spans="1:16" ht="14.25">
      <c r="A631" s="67">
        <v>630</v>
      </c>
      <c r="B631" s="68" t="str">
        <f>INDEX(Data_Assessment[],MATCH('Rekomendasi HAV'!$A631,Data_Assessment[[INDEX]:[INDEX]],0),MATCH('Rekomendasi HAV'!B$1,Data_Assessment[#Headers],0))</f>
        <v>Hadi Sutarno</v>
      </c>
      <c r="C631" s="68" t="str">
        <f>INDEX(Data_Assessment[],MATCH('Rekomendasi HAV'!$A631,Data_Assessment[[INDEX]:[INDEX]],0),MATCH('Rekomendasi HAV'!C$1,Data_Assessment[#Headers],0))</f>
        <v>Sulawesi Selatan</v>
      </c>
      <c r="D631" s="68" t="str">
        <f>INDEX(Data_Assessment[],MATCH('Rekomendasi HAV'!$A631,Data_Assessment[[INDEX]:[INDEX]],0),MATCH('Rekomendasi HAV'!D$1,Data_Assessment[#Headers],0))</f>
        <v>LSIP - PalangIsang Estate</v>
      </c>
      <c r="E631" s="68">
        <f>INDEX(Data_Assessment[],MATCH('Rekomendasi HAV'!$B631,Data_Assessment[[NAME]:[NAME]],0),MATCH('Rekomendasi HAV'!E$1,Data_Assessment[#Headers],0))</f>
        <v>0</v>
      </c>
      <c r="F631" s="68"/>
      <c r="G631" s="68">
        <f>IF(ISNUMBER(SEARCH("DEV",Assessment[[#This Row],[JOB TARGET]])),SUBSTITUTE(Assessment[[#This Row],[JOB TARGET]],"DEV","EST"),Assessment[[#This Row],[JOB TARGET]])</f>
        <v>0</v>
      </c>
      <c r="H631" s="146" t="str" cm="1">
        <f t="array" aca="1" ref="H631" ca="1">IF(Assessment[[#This Row],[JOB TARGET]]="","Job Target Kosong",IF(COUNT(IF('Data Assessment'!$N631:$Z631-OFFSET(Standar!$B$2,MATCH(Assessment[[#This Row],[JOB TARGET
(EST)]],Standar[NAMA JABATAN],0)-1,1,1,13)&lt;0,1,""))&lt;=3,'9 Grid'!$B$4,IF(COUNT(IF('Data Assessment'!$N631:$Z631-OFFSET(Standar!$B$2,MATCH(Assessment[[#This Row],[JOB TARGET]],Standar[NAMA JABATAN],0)-1,1,1,13)&lt;0,1,""))&gt;=7,'9 Grid'!$B$6,'9 Grid'!$B$5)))</f>
        <v>Job Target Kosong</v>
      </c>
      <c r="I631" s="146" t="str">
        <f>IFERROR(IF(Data_Assessment[[#This Row],[IPP (3 YEARS AVERAGE)]]="","(IPP Belum Ada)",IF(Data_Assessment[[#This Row],[IPP (3 YEARS AVERAGE)]]&lt;2,'9 Grid'!$F$2,IF(Data_Assessment[[#This Row],[IPP (3 YEARS AVERAGE)]]&gt;=4,'9 Grid'!$D$2,'9 Grid'!$E$2))),"")</f>
        <v>Exceptional Performance</v>
      </c>
      <c r="J631" s="146" t="str">
        <f ca="1">IFERROR(INDEX('9 Grid'!$D$4:$F$6,MATCH('Rekomendasi HAV'!H631,'9 Grid'!$B$4:$B$6,0),MATCH('Rekomendasi HAV'!I631,'9 Grid'!$D$2:$F$2,0)),"")</f>
        <v/>
      </c>
      <c r="K631" s="146" t="str">
        <f>IFERROR(INDEX('9 Grid'!$D$8:$F$8,1,MATCH('Rekomendasi HAV'!I631,'9 Grid'!$D$2:$F$2,0)),"")</f>
        <v>(I) Immediately</v>
      </c>
      <c r="L631" s="146">
        <f>IF(ISNUMBER(SEARCH("EST",Assessment[[#This Row],[JOB TARGET]])),SUBSTITUTE(Assessment[[#This Row],[JOB TARGET]],"EST","DEV"),Assessment[[#This Row],[JOB TARGET]])</f>
        <v>0</v>
      </c>
      <c r="M631" s="146" t="str" cm="1">
        <f t="array" aca="1" ref="M631" ca="1">IF(Assessment[[#This Row],[JOB TARGET]]="","Job Target Kosong",IF(COUNT(IF('Data Assessment'!$N631:$Z631-OFFSET(Standar!$B$2,MATCH(Assessment[[#This Row],[JOB TARGET
(DEV)]],Standar[NAMA JABATAN],0)-1,1,1,13)&lt;0,1,""))&lt;=3,'9 Grid'!$B$4,IF(COUNT(IF('Data Assessment'!$N631:$Z631-OFFSET(Standar!$B$2,MATCH(Assessment[[#This Row],[JOB TARGET
(DEV)]],Standar[NAMA JABATAN],0)-1,1,1,13)&lt;0,1,""))&gt;=7,'9 Grid'!$B$6,'9 Grid'!$B$5)))</f>
        <v>Job Target Kosong</v>
      </c>
      <c r="N631" s="146" t="str">
        <f>IFERROR(IF(Data_Assessment[[#This Row],[IPP (3 YEARS AVERAGE)]]="","(IPP Belum Ada)",IF(Data_Assessment[[#This Row],[IPP (3 YEARS AVERAGE)]]&lt;2,'9 Grid'!$F$2,IF(Data_Assessment[[#This Row],[IPP (3 YEARS AVERAGE)]]&gt;=4,'9 Grid'!$D$2,'9 Grid'!$E$2))),"")</f>
        <v>Exceptional Performance</v>
      </c>
      <c r="O631" s="146" t="str">
        <f ca="1">IFERROR(INDEX('9 Grid'!$D$4:$F$6,MATCH('Rekomendasi HAV'!M631,'9 Grid'!$B$4:$B$6,0),MATCH('Rekomendasi HAV'!N631,'9 Grid'!$D$2:$F$2,0)),"")</f>
        <v/>
      </c>
      <c r="P631" s="147" t="str">
        <f>IFERROR(INDEX('9 Grid'!$D$8:$F$8,1,MATCH('Rekomendasi HAV'!N631,'9 Grid'!$D$2:$F$2,0)),"")</f>
        <v>(I) Immediately</v>
      </c>
    </row>
    <row r="632" spans="1:16" ht="28.5">
      <c r="A632" s="67">
        <v>631</v>
      </c>
      <c r="B632" s="68" t="str">
        <f>INDEX(Data_Assessment[],MATCH('Rekomendasi HAV'!$A632,Data_Assessment[[INDEX]:[INDEX]],0),MATCH('Rekomendasi HAV'!B$1,Data_Assessment[#Headers],0))</f>
        <v>Repen Tance Sitepu</v>
      </c>
      <c r="C632" s="68" t="str">
        <f>INDEX(Data_Assessment[],MATCH('Rekomendasi HAV'!$A632,Data_Assessment[[INDEX]:[INDEX]],0),MATCH('Rekomendasi HAV'!C$1,Data_Assessment[#Headers],0))</f>
        <v>Sulawesi Selatan</v>
      </c>
      <c r="D632" s="68" t="str">
        <f>INDEX(Data_Assessment[],MATCH('Rekomendasi HAV'!$A632,Data_Assessment[[INDEX]:[INDEX]],0),MATCH('Rekomendasi HAV'!D$1,Data_Assessment[#Headers],0))</f>
        <v>LSIP - PalangIsang Estate</v>
      </c>
      <c r="E632" s="68">
        <f>INDEX(Data_Assessment[],MATCH('Rekomendasi HAV'!$B632,Data_Assessment[[NAME]:[NAME]],0),MATCH('Rekomendasi HAV'!E$1,Data_Assessment[#Headers],0))</f>
        <v>0</v>
      </c>
      <c r="F632" s="68"/>
      <c r="G632" s="68">
        <f>IF(ISNUMBER(SEARCH("DEV",Assessment[[#This Row],[JOB TARGET]])),SUBSTITUTE(Assessment[[#This Row],[JOB TARGET]],"DEV","EST"),Assessment[[#This Row],[JOB TARGET]])</f>
        <v>0</v>
      </c>
      <c r="H632" s="146" t="str" cm="1">
        <f t="array" aca="1" ref="H632" ca="1">IF(Assessment[[#This Row],[JOB TARGET]]="","Job Target Kosong",IF(COUNT(IF('Data Assessment'!$N632:$Z632-OFFSET(Standar!$B$2,MATCH(Assessment[[#This Row],[JOB TARGET
(EST)]],Standar[NAMA JABATAN],0)-1,1,1,13)&lt;0,1,""))&lt;=3,'9 Grid'!$B$4,IF(COUNT(IF('Data Assessment'!$N632:$Z632-OFFSET(Standar!$B$2,MATCH(Assessment[[#This Row],[JOB TARGET]],Standar[NAMA JABATAN],0)-1,1,1,13)&lt;0,1,""))&gt;=7,'9 Grid'!$B$6,'9 Grid'!$B$5)))</f>
        <v>Job Target Kosong</v>
      </c>
      <c r="I632" s="146" t="str">
        <f>IFERROR(IF(Data_Assessment[[#This Row],[IPP (3 YEARS AVERAGE)]]="","(IPP Belum Ada)",IF(Data_Assessment[[#This Row],[IPP (3 YEARS AVERAGE)]]&lt;2,'9 Grid'!$F$2,IF(Data_Assessment[[#This Row],[IPP (3 YEARS AVERAGE)]]&gt;=4,'9 Grid'!$D$2,'9 Grid'!$E$2))),"")</f>
        <v>Fully Competence Performance</v>
      </c>
      <c r="J632" s="146" t="str">
        <f ca="1">IFERROR(INDEX('9 Grid'!$D$4:$F$6,MATCH('Rekomendasi HAV'!H632,'9 Grid'!$B$4:$B$6,0),MATCH('Rekomendasi HAV'!I632,'9 Grid'!$D$2:$F$2,0)),"")</f>
        <v/>
      </c>
      <c r="K632" s="146" t="str">
        <f>IFERROR(INDEX('9 Grid'!$D$8:$F$8,1,MATCH('Rekomendasi HAV'!I632,'9 Grid'!$D$2:$F$2,0)),"")</f>
        <v>(ST) Within 12 - 18 month</v>
      </c>
      <c r="L632" s="146">
        <f>IF(ISNUMBER(SEARCH("EST",Assessment[[#This Row],[JOB TARGET]])),SUBSTITUTE(Assessment[[#This Row],[JOB TARGET]],"EST","DEV"),Assessment[[#This Row],[JOB TARGET]])</f>
        <v>0</v>
      </c>
      <c r="M632" s="146" t="str" cm="1">
        <f t="array" aca="1" ref="M632" ca="1">IF(Assessment[[#This Row],[JOB TARGET]]="","Job Target Kosong",IF(COUNT(IF('Data Assessment'!$N632:$Z632-OFFSET(Standar!$B$2,MATCH(Assessment[[#This Row],[JOB TARGET
(DEV)]],Standar[NAMA JABATAN],0)-1,1,1,13)&lt;0,1,""))&lt;=3,'9 Grid'!$B$4,IF(COUNT(IF('Data Assessment'!$N632:$Z632-OFFSET(Standar!$B$2,MATCH(Assessment[[#This Row],[JOB TARGET
(DEV)]],Standar[NAMA JABATAN],0)-1,1,1,13)&lt;0,1,""))&gt;=7,'9 Grid'!$B$6,'9 Grid'!$B$5)))</f>
        <v>Job Target Kosong</v>
      </c>
      <c r="N632" s="146" t="str">
        <f>IFERROR(IF(Data_Assessment[[#This Row],[IPP (3 YEARS AVERAGE)]]="","(IPP Belum Ada)",IF(Data_Assessment[[#This Row],[IPP (3 YEARS AVERAGE)]]&lt;2,'9 Grid'!$F$2,IF(Data_Assessment[[#This Row],[IPP (3 YEARS AVERAGE)]]&gt;=4,'9 Grid'!$D$2,'9 Grid'!$E$2))),"")</f>
        <v>Fully Competence Performance</v>
      </c>
      <c r="O632" s="146" t="str">
        <f ca="1">IFERROR(INDEX('9 Grid'!$D$4:$F$6,MATCH('Rekomendasi HAV'!M632,'9 Grid'!$B$4:$B$6,0),MATCH('Rekomendasi HAV'!N632,'9 Grid'!$D$2:$F$2,0)),"")</f>
        <v/>
      </c>
      <c r="P632" s="147" t="str">
        <f>IFERROR(INDEX('9 Grid'!$D$8:$F$8,1,MATCH('Rekomendasi HAV'!N632,'9 Grid'!$D$2:$F$2,0)),"")</f>
        <v>(ST) Within 12 - 18 month</v>
      </c>
    </row>
    <row r="633" spans="1:16" ht="28.5">
      <c r="A633" s="67">
        <v>632</v>
      </c>
      <c r="B633" s="68" t="str">
        <f>INDEX(Data_Assessment[],MATCH('Rekomendasi HAV'!$A633,Data_Assessment[[INDEX]:[INDEX]],0),MATCH('Rekomendasi HAV'!B$1,Data_Assessment[#Headers],0))</f>
        <v>Yusuf Syuaib Lubis</v>
      </c>
      <c r="C633" s="68" t="str">
        <f>INDEX(Data_Assessment[],MATCH('Rekomendasi HAV'!$A633,Data_Assessment[[INDEX]:[INDEX]],0),MATCH('Rekomendasi HAV'!C$1,Data_Assessment[#Headers],0))</f>
        <v>Sulawesi Selatan</v>
      </c>
      <c r="D633" s="68" t="str">
        <f>INDEX(Data_Assessment[],MATCH('Rekomendasi HAV'!$A633,Data_Assessment[[INDEX]:[INDEX]],0),MATCH('Rekomendasi HAV'!D$1,Data_Assessment[#Headers],0))</f>
        <v>LSIP - PalangIsang Estate</v>
      </c>
      <c r="E633" s="68">
        <f>INDEX(Data_Assessment[],MATCH('Rekomendasi HAV'!$B633,Data_Assessment[[NAME]:[NAME]],0),MATCH('Rekomendasi HAV'!E$1,Data_Assessment[#Headers],0))</f>
        <v>0</v>
      </c>
      <c r="F633" s="68"/>
      <c r="G633" s="68">
        <f>IF(ISNUMBER(SEARCH("DEV",Assessment[[#This Row],[JOB TARGET]])),SUBSTITUTE(Assessment[[#This Row],[JOB TARGET]],"DEV","EST"),Assessment[[#This Row],[JOB TARGET]])</f>
        <v>0</v>
      </c>
      <c r="H633" s="146" t="str" cm="1">
        <f t="array" aca="1" ref="H633" ca="1">IF(Assessment[[#This Row],[JOB TARGET]]="","Job Target Kosong",IF(COUNT(IF('Data Assessment'!$N633:$Z633-OFFSET(Standar!$B$2,MATCH(Assessment[[#This Row],[JOB TARGET
(EST)]],Standar[NAMA JABATAN],0)-1,1,1,13)&lt;0,1,""))&lt;=3,'9 Grid'!$B$4,IF(COUNT(IF('Data Assessment'!$N633:$Z633-OFFSET(Standar!$B$2,MATCH(Assessment[[#This Row],[JOB TARGET]],Standar[NAMA JABATAN],0)-1,1,1,13)&lt;0,1,""))&gt;=7,'9 Grid'!$B$6,'9 Grid'!$B$5)))</f>
        <v>Job Target Kosong</v>
      </c>
      <c r="I633" s="146" t="str">
        <f>IFERROR(IF(Data_Assessment[[#This Row],[IPP (3 YEARS AVERAGE)]]="","(IPP Belum Ada)",IF(Data_Assessment[[#This Row],[IPP (3 YEARS AVERAGE)]]&lt;2,'9 Grid'!$F$2,IF(Data_Assessment[[#This Row],[IPP (3 YEARS AVERAGE)]]&gt;=4,'9 Grid'!$D$2,'9 Grid'!$E$2))),"")</f>
        <v>Fully Competence Performance</v>
      </c>
      <c r="J633" s="146" t="str">
        <f ca="1">IFERROR(INDEX('9 Grid'!$D$4:$F$6,MATCH('Rekomendasi HAV'!H633,'9 Grid'!$B$4:$B$6,0),MATCH('Rekomendasi HAV'!I633,'9 Grid'!$D$2:$F$2,0)),"")</f>
        <v/>
      </c>
      <c r="K633" s="146" t="str">
        <f>IFERROR(INDEX('9 Grid'!$D$8:$F$8,1,MATCH('Rekomendasi HAV'!I633,'9 Grid'!$D$2:$F$2,0)),"")</f>
        <v>(ST) Within 12 - 18 month</v>
      </c>
      <c r="L633" s="146">
        <f>IF(ISNUMBER(SEARCH("EST",Assessment[[#This Row],[JOB TARGET]])),SUBSTITUTE(Assessment[[#This Row],[JOB TARGET]],"EST","DEV"),Assessment[[#This Row],[JOB TARGET]])</f>
        <v>0</v>
      </c>
      <c r="M633" s="146" t="str" cm="1">
        <f t="array" aca="1" ref="M633" ca="1">IF(Assessment[[#This Row],[JOB TARGET]]="","Job Target Kosong",IF(COUNT(IF('Data Assessment'!$N633:$Z633-OFFSET(Standar!$B$2,MATCH(Assessment[[#This Row],[JOB TARGET
(DEV)]],Standar[NAMA JABATAN],0)-1,1,1,13)&lt;0,1,""))&lt;=3,'9 Grid'!$B$4,IF(COUNT(IF('Data Assessment'!$N633:$Z633-OFFSET(Standar!$B$2,MATCH(Assessment[[#This Row],[JOB TARGET
(DEV)]],Standar[NAMA JABATAN],0)-1,1,1,13)&lt;0,1,""))&gt;=7,'9 Grid'!$B$6,'9 Grid'!$B$5)))</f>
        <v>Job Target Kosong</v>
      </c>
      <c r="N633" s="146" t="str">
        <f>IFERROR(IF(Data_Assessment[[#This Row],[IPP (3 YEARS AVERAGE)]]="","(IPP Belum Ada)",IF(Data_Assessment[[#This Row],[IPP (3 YEARS AVERAGE)]]&lt;2,'9 Grid'!$F$2,IF(Data_Assessment[[#This Row],[IPP (3 YEARS AVERAGE)]]&gt;=4,'9 Grid'!$D$2,'9 Grid'!$E$2))),"")</f>
        <v>Fully Competence Performance</v>
      </c>
      <c r="O633" s="146" t="str">
        <f ca="1">IFERROR(INDEX('9 Grid'!$D$4:$F$6,MATCH('Rekomendasi HAV'!M633,'9 Grid'!$B$4:$B$6,0),MATCH('Rekomendasi HAV'!N633,'9 Grid'!$D$2:$F$2,0)),"")</f>
        <v/>
      </c>
      <c r="P633" s="147" t="str">
        <f>IFERROR(INDEX('9 Grid'!$D$8:$F$8,1,MATCH('Rekomendasi HAV'!N633,'9 Grid'!$D$2:$F$2,0)),"")</f>
        <v>(ST) Within 12 - 18 month</v>
      </c>
    </row>
    <row r="634" spans="1:16" ht="28.5">
      <c r="A634" s="67">
        <v>633</v>
      </c>
      <c r="B634" s="68" t="str">
        <f>INDEX(Data_Assessment[],MATCH('Rekomendasi HAV'!$A634,Data_Assessment[[INDEX]:[INDEX]],0),MATCH('Rekomendasi HAV'!B$1,Data_Assessment[#Headers],0))</f>
        <v>Ismail A. Kaharu</v>
      </c>
      <c r="C634" s="68" t="str">
        <f>INDEX(Data_Assessment[],MATCH('Rekomendasi HAV'!$A634,Data_Assessment[[INDEX]:[INDEX]],0),MATCH('Rekomendasi HAV'!C$1,Data_Assessment[#Headers],0))</f>
        <v>Sulawesi Selatan</v>
      </c>
      <c r="D634" s="68" t="str">
        <f>INDEX(Data_Assessment[],MATCH('Rekomendasi HAV'!$A634,Data_Assessment[[INDEX]:[INDEX]],0),MATCH('Rekomendasi HAV'!D$1,Data_Assessment[#Headers],0))</f>
        <v>LSIP - PalangIsang Estate</v>
      </c>
      <c r="E634" s="68">
        <f>INDEX(Data_Assessment[],MATCH('Rekomendasi HAV'!$B634,Data_Assessment[[NAME]:[NAME]],0),MATCH('Rekomendasi HAV'!E$1,Data_Assessment[#Headers],0))</f>
        <v>0</v>
      </c>
      <c r="F634" s="68"/>
      <c r="G634" s="68">
        <f>IF(ISNUMBER(SEARCH("DEV",Assessment[[#This Row],[JOB TARGET]])),SUBSTITUTE(Assessment[[#This Row],[JOB TARGET]],"DEV","EST"),Assessment[[#This Row],[JOB TARGET]])</f>
        <v>0</v>
      </c>
      <c r="H634" s="146" t="str" cm="1">
        <f t="array" aca="1" ref="H634" ca="1">IF(Assessment[[#This Row],[JOB TARGET]]="","Job Target Kosong",IF(COUNT(IF('Data Assessment'!$N634:$Z634-OFFSET(Standar!$B$2,MATCH(Assessment[[#This Row],[JOB TARGET
(EST)]],Standar[NAMA JABATAN],0)-1,1,1,13)&lt;0,1,""))&lt;=3,'9 Grid'!$B$4,IF(COUNT(IF('Data Assessment'!$N634:$Z634-OFFSET(Standar!$B$2,MATCH(Assessment[[#This Row],[JOB TARGET]],Standar[NAMA JABATAN],0)-1,1,1,13)&lt;0,1,""))&gt;=7,'9 Grid'!$B$6,'9 Grid'!$B$5)))</f>
        <v>Job Target Kosong</v>
      </c>
      <c r="I634" s="146" t="str">
        <f>IFERROR(IF(Data_Assessment[[#This Row],[IPP (3 YEARS AVERAGE)]]="","(IPP Belum Ada)",IF(Data_Assessment[[#This Row],[IPP (3 YEARS AVERAGE)]]&lt;2,'9 Grid'!$F$2,IF(Data_Assessment[[#This Row],[IPP (3 YEARS AVERAGE)]]&gt;=4,'9 Grid'!$D$2,'9 Grid'!$E$2))),"")</f>
        <v>Fully Competence Performance</v>
      </c>
      <c r="J634" s="146" t="str">
        <f ca="1">IFERROR(INDEX('9 Grid'!$D$4:$F$6,MATCH('Rekomendasi HAV'!H634,'9 Grid'!$B$4:$B$6,0),MATCH('Rekomendasi HAV'!I634,'9 Grid'!$D$2:$F$2,0)),"")</f>
        <v/>
      </c>
      <c r="K634" s="146" t="str">
        <f>IFERROR(INDEX('9 Grid'!$D$8:$F$8,1,MATCH('Rekomendasi HAV'!I634,'9 Grid'!$D$2:$F$2,0)),"")</f>
        <v>(ST) Within 12 - 18 month</v>
      </c>
      <c r="L634" s="146">
        <f>IF(ISNUMBER(SEARCH("EST",Assessment[[#This Row],[JOB TARGET]])),SUBSTITUTE(Assessment[[#This Row],[JOB TARGET]],"EST","DEV"),Assessment[[#This Row],[JOB TARGET]])</f>
        <v>0</v>
      </c>
      <c r="M634" s="146" t="str" cm="1">
        <f t="array" aca="1" ref="M634" ca="1">IF(Assessment[[#This Row],[JOB TARGET]]="","Job Target Kosong",IF(COUNT(IF('Data Assessment'!$N634:$Z634-OFFSET(Standar!$B$2,MATCH(Assessment[[#This Row],[JOB TARGET
(DEV)]],Standar[NAMA JABATAN],0)-1,1,1,13)&lt;0,1,""))&lt;=3,'9 Grid'!$B$4,IF(COUNT(IF('Data Assessment'!$N634:$Z634-OFFSET(Standar!$B$2,MATCH(Assessment[[#This Row],[JOB TARGET
(DEV)]],Standar[NAMA JABATAN],0)-1,1,1,13)&lt;0,1,""))&gt;=7,'9 Grid'!$B$6,'9 Grid'!$B$5)))</f>
        <v>Job Target Kosong</v>
      </c>
      <c r="N634" s="146" t="str">
        <f>IFERROR(IF(Data_Assessment[[#This Row],[IPP (3 YEARS AVERAGE)]]="","(IPP Belum Ada)",IF(Data_Assessment[[#This Row],[IPP (3 YEARS AVERAGE)]]&lt;2,'9 Grid'!$F$2,IF(Data_Assessment[[#This Row],[IPP (3 YEARS AVERAGE)]]&gt;=4,'9 Grid'!$D$2,'9 Grid'!$E$2))),"")</f>
        <v>Fully Competence Performance</v>
      </c>
      <c r="O634" s="146" t="str">
        <f ca="1">IFERROR(INDEX('9 Grid'!$D$4:$F$6,MATCH('Rekomendasi HAV'!M634,'9 Grid'!$B$4:$B$6,0),MATCH('Rekomendasi HAV'!N634,'9 Grid'!$D$2:$F$2,0)),"")</f>
        <v/>
      </c>
      <c r="P634" s="147" t="str">
        <f>IFERROR(INDEX('9 Grid'!$D$8:$F$8,1,MATCH('Rekomendasi HAV'!N634,'9 Grid'!$D$2:$F$2,0)),"")</f>
        <v>(ST) Within 12 - 18 month</v>
      </c>
    </row>
    <row r="635" spans="1:16" ht="28.5">
      <c r="A635" s="67">
        <v>634</v>
      </c>
      <c r="B635" s="68" t="str">
        <f>INDEX(Data_Assessment[],MATCH('Rekomendasi HAV'!$A635,Data_Assessment[[INDEX]:[INDEX]],0),MATCH('Rekomendasi HAV'!B$1,Data_Assessment[#Headers],0))</f>
        <v>Sigit Nurcahyo</v>
      </c>
      <c r="C635" s="68" t="str">
        <f>INDEX(Data_Assessment[],MATCH('Rekomendasi HAV'!$A635,Data_Assessment[[INDEX]:[INDEX]],0),MATCH('Rekomendasi HAV'!C$1,Data_Assessment[#Headers],0))</f>
        <v>Sulawesi Utara</v>
      </c>
      <c r="D635" s="68" t="str">
        <f>INDEX(Data_Assessment[],MATCH('Rekomendasi HAV'!$A635,Data_Assessment[[INDEX]:[INDEX]],0),MATCH('Rekomendasi HAV'!D$1,Data_Assessment[#Headers],0))</f>
        <v>LSIP - Pungkol Estate</v>
      </c>
      <c r="E635" s="68">
        <f>INDEX(Data_Assessment[],MATCH('Rekomendasi HAV'!$B635,Data_Assessment[[NAME]:[NAME]],0),MATCH('Rekomendasi HAV'!E$1,Data_Assessment[#Headers],0))</f>
        <v>0</v>
      </c>
      <c r="F635" s="68"/>
      <c r="G635" s="68">
        <f>IF(ISNUMBER(SEARCH("DEV",Assessment[[#This Row],[JOB TARGET]])),SUBSTITUTE(Assessment[[#This Row],[JOB TARGET]],"DEV","EST"),Assessment[[#This Row],[JOB TARGET]])</f>
        <v>0</v>
      </c>
      <c r="H635" s="146" t="str" cm="1">
        <f t="array" aca="1" ref="H635" ca="1">IF(Assessment[[#This Row],[JOB TARGET]]="","Job Target Kosong",IF(COUNT(IF('Data Assessment'!$N635:$Z635-OFFSET(Standar!$B$2,MATCH(Assessment[[#This Row],[JOB TARGET
(EST)]],Standar[NAMA JABATAN],0)-1,1,1,13)&lt;0,1,""))&lt;=3,'9 Grid'!$B$4,IF(COUNT(IF('Data Assessment'!$N635:$Z635-OFFSET(Standar!$B$2,MATCH(Assessment[[#This Row],[JOB TARGET]],Standar[NAMA JABATAN],0)-1,1,1,13)&lt;0,1,""))&gt;=7,'9 Grid'!$B$6,'9 Grid'!$B$5)))</f>
        <v>Job Target Kosong</v>
      </c>
      <c r="I635" s="146" t="str">
        <f>IFERROR(IF(Data_Assessment[[#This Row],[IPP (3 YEARS AVERAGE)]]="","(IPP Belum Ada)",IF(Data_Assessment[[#This Row],[IPP (3 YEARS AVERAGE)]]&lt;2,'9 Grid'!$F$2,IF(Data_Assessment[[#This Row],[IPP (3 YEARS AVERAGE)]]&gt;=4,'9 Grid'!$D$2,'9 Grid'!$E$2))),"")</f>
        <v>Fully Competence Performance</v>
      </c>
      <c r="J635" s="146" t="str">
        <f ca="1">IFERROR(INDEX('9 Grid'!$D$4:$F$6,MATCH('Rekomendasi HAV'!H635,'9 Grid'!$B$4:$B$6,0),MATCH('Rekomendasi HAV'!I635,'9 Grid'!$D$2:$F$2,0)),"")</f>
        <v/>
      </c>
      <c r="K635" s="146" t="str">
        <f>IFERROR(INDEX('9 Grid'!$D$8:$F$8,1,MATCH('Rekomendasi HAV'!I635,'9 Grid'!$D$2:$F$2,0)),"")</f>
        <v>(ST) Within 12 - 18 month</v>
      </c>
      <c r="L635" s="146">
        <f>IF(ISNUMBER(SEARCH("EST",Assessment[[#This Row],[JOB TARGET]])),SUBSTITUTE(Assessment[[#This Row],[JOB TARGET]],"EST","DEV"),Assessment[[#This Row],[JOB TARGET]])</f>
        <v>0</v>
      </c>
      <c r="M635" s="146" t="str" cm="1">
        <f t="array" aca="1" ref="M635" ca="1">IF(Assessment[[#This Row],[JOB TARGET]]="","Job Target Kosong",IF(COUNT(IF('Data Assessment'!$N635:$Z635-OFFSET(Standar!$B$2,MATCH(Assessment[[#This Row],[JOB TARGET
(DEV)]],Standar[NAMA JABATAN],0)-1,1,1,13)&lt;0,1,""))&lt;=3,'9 Grid'!$B$4,IF(COUNT(IF('Data Assessment'!$N635:$Z635-OFFSET(Standar!$B$2,MATCH(Assessment[[#This Row],[JOB TARGET
(DEV)]],Standar[NAMA JABATAN],0)-1,1,1,13)&lt;0,1,""))&gt;=7,'9 Grid'!$B$6,'9 Grid'!$B$5)))</f>
        <v>Job Target Kosong</v>
      </c>
      <c r="N635" s="146" t="str">
        <f>IFERROR(IF(Data_Assessment[[#This Row],[IPP (3 YEARS AVERAGE)]]="","(IPP Belum Ada)",IF(Data_Assessment[[#This Row],[IPP (3 YEARS AVERAGE)]]&lt;2,'9 Grid'!$F$2,IF(Data_Assessment[[#This Row],[IPP (3 YEARS AVERAGE)]]&gt;=4,'9 Grid'!$D$2,'9 Grid'!$E$2))),"")</f>
        <v>Fully Competence Performance</v>
      </c>
      <c r="O635" s="146" t="str">
        <f ca="1">IFERROR(INDEX('9 Grid'!$D$4:$F$6,MATCH('Rekomendasi HAV'!M635,'9 Grid'!$B$4:$B$6,0),MATCH('Rekomendasi HAV'!N635,'9 Grid'!$D$2:$F$2,0)),"")</f>
        <v/>
      </c>
      <c r="P635" s="147" t="str">
        <f>IFERROR(INDEX('9 Grid'!$D$8:$F$8,1,MATCH('Rekomendasi HAV'!N635,'9 Grid'!$D$2:$F$2,0)),"")</f>
        <v>(ST) Within 12 - 18 month</v>
      </c>
    </row>
    <row r="636" spans="1:16" ht="28.5">
      <c r="A636" s="67">
        <v>635</v>
      </c>
      <c r="B636" s="68" t="str">
        <f>INDEX(Data_Assessment[],MATCH('Rekomendasi HAV'!$A636,Data_Assessment[[INDEX]:[INDEX]],0),MATCH('Rekomendasi HAV'!B$1,Data_Assessment[#Headers],0))</f>
        <v>Binsar Mangatas Tua Barasa</v>
      </c>
      <c r="C636" s="68" t="str">
        <f>INDEX(Data_Assessment[],MATCH('Rekomendasi HAV'!$A636,Data_Assessment[[INDEX]:[INDEX]],0),MATCH('Rekomendasi HAV'!C$1,Data_Assessment[#Headers],0))</f>
        <v>Sulawesi Utara</v>
      </c>
      <c r="D636" s="68" t="str">
        <f>INDEX(Data_Assessment[],MATCH('Rekomendasi HAV'!$A636,Data_Assessment[[INDEX]:[INDEX]],0),MATCH('Rekomendasi HAV'!D$1,Data_Assessment[#Headers],0))</f>
        <v>LSIP - Pungkol Estate</v>
      </c>
      <c r="E636" s="68">
        <f>INDEX(Data_Assessment[],MATCH('Rekomendasi HAV'!$B636,Data_Assessment[[NAME]:[NAME]],0),MATCH('Rekomendasi HAV'!E$1,Data_Assessment[#Headers],0))</f>
        <v>0</v>
      </c>
      <c r="F636" s="68"/>
      <c r="G636" s="68">
        <f>IF(ISNUMBER(SEARCH("DEV",Assessment[[#This Row],[JOB TARGET]])),SUBSTITUTE(Assessment[[#This Row],[JOB TARGET]],"DEV","EST"),Assessment[[#This Row],[JOB TARGET]])</f>
        <v>0</v>
      </c>
      <c r="H636" s="146" t="str" cm="1">
        <f t="array" aca="1" ref="H636" ca="1">IF(Assessment[[#This Row],[JOB TARGET]]="","Job Target Kosong",IF(COUNT(IF('Data Assessment'!$N636:$Z636-OFFSET(Standar!$B$2,MATCH(Assessment[[#This Row],[JOB TARGET
(EST)]],Standar[NAMA JABATAN],0)-1,1,1,13)&lt;0,1,""))&lt;=3,'9 Grid'!$B$4,IF(COUNT(IF('Data Assessment'!$N636:$Z636-OFFSET(Standar!$B$2,MATCH(Assessment[[#This Row],[JOB TARGET]],Standar[NAMA JABATAN],0)-1,1,1,13)&lt;0,1,""))&gt;=7,'9 Grid'!$B$6,'9 Grid'!$B$5)))</f>
        <v>Job Target Kosong</v>
      </c>
      <c r="I636" s="146" t="str">
        <f>IFERROR(IF(Data_Assessment[[#This Row],[IPP (3 YEARS AVERAGE)]]="","(IPP Belum Ada)",IF(Data_Assessment[[#This Row],[IPP (3 YEARS AVERAGE)]]&lt;2,'9 Grid'!$F$2,IF(Data_Assessment[[#This Row],[IPP (3 YEARS AVERAGE)]]&gt;=4,'9 Grid'!$D$2,'9 Grid'!$E$2))),"")</f>
        <v>Contributor</v>
      </c>
      <c r="J636" s="146" t="str">
        <f ca="1">IFERROR(INDEX('9 Grid'!$D$4:$F$6,MATCH('Rekomendasi HAV'!H636,'9 Grid'!$B$4:$B$6,0),MATCH('Rekomendasi HAV'!I636,'9 Grid'!$D$2:$F$2,0)),"")</f>
        <v/>
      </c>
      <c r="K636" s="146" t="str">
        <f>IFERROR(INDEX('9 Grid'!$D$8:$F$8,1,MATCH('Rekomendasi HAV'!I636,'9 Grid'!$D$2:$F$2,0)),"")</f>
        <v>(LT) More 2 - 3 year</v>
      </c>
      <c r="L636" s="146">
        <f>IF(ISNUMBER(SEARCH("EST",Assessment[[#This Row],[JOB TARGET]])),SUBSTITUTE(Assessment[[#This Row],[JOB TARGET]],"EST","DEV"),Assessment[[#This Row],[JOB TARGET]])</f>
        <v>0</v>
      </c>
      <c r="M636" s="146" t="str" cm="1">
        <f t="array" aca="1" ref="M636" ca="1">IF(Assessment[[#This Row],[JOB TARGET]]="","Job Target Kosong",IF(COUNT(IF('Data Assessment'!$N636:$Z636-OFFSET(Standar!$B$2,MATCH(Assessment[[#This Row],[JOB TARGET
(DEV)]],Standar[NAMA JABATAN],0)-1,1,1,13)&lt;0,1,""))&lt;=3,'9 Grid'!$B$4,IF(COUNT(IF('Data Assessment'!$N636:$Z636-OFFSET(Standar!$B$2,MATCH(Assessment[[#This Row],[JOB TARGET
(DEV)]],Standar[NAMA JABATAN],0)-1,1,1,13)&lt;0,1,""))&gt;=7,'9 Grid'!$B$6,'9 Grid'!$B$5)))</f>
        <v>Job Target Kosong</v>
      </c>
      <c r="N636" s="146" t="str">
        <f>IFERROR(IF(Data_Assessment[[#This Row],[IPP (3 YEARS AVERAGE)]]="","(IPP Belum Ada)",IF(Data_Assessment[[#This Row],[IPP (3 YEARS AVERAGE)]]&lt;2,'9 Grid'!$F$2,IF(Data_Assessment[[#This Row],[IPP (3 YEARS AVERAGE)]]&gt;=4,'9 Grid'!$D$2,'9 Grid'!$E$2))),"")</f>
        <v>Contributor</v>
      </c>
      <c r="O636" s="146" t="str">
        <f ca="1">IFERROR(INDEX('9 Grid'!$D$4:$F$6,MATCH('Rekomendasi HAV'!M636,'9 Grid'!$B$4:$B$6,0),MATCH('Rekomendasi HAV'!N636,'9 Grid'!$D$2:$F$2,0)),"")</f>
        <v/>
      </c>
      <c r="P636" s="147" t="str">
        <f>IFERROR(INDEX('9 Grid'!$D$8:$F$8,1,MATCH('Rekomendasi HAV'!N636,'9 Grid'!$D$2:$F$2,0)),"")</f>
        <v>(LT) More 2 - 3 year</v>
      </c>
    </row>
    <row r="637" spans="1:16" ht="28.5">
      <c r="A637" s="67">
        <v>636</v>
      </c>
      <c r="B637" s="68" t="str">
        <f>INDEX(Data_Assessment[],MATCH('Rekomendasi HAV'!$A637,Data_Assessment[[INDEX]:[INDEX]],0),MATCH('Rekomendasi HAV'!B$1,Data_Assessment[#Headers],0))</f>
        <v>Ronda Ginting</v>
      </c>
      <c r="C637" s="68" t="str">
        <f>INDEX(Data_Assessment[],MATCH('Rekomendasi HAV'!$A637,Data_Assessment[[INDEX]:[INDEX]],0),MATCH('Rekomendasi HAV'!C$1,Data_Assessment[#Headers],0))</f>
        <v>Kalimantan Timur</v>
      </c>
      <c r="D637" s="68" t="str">
        <f>INDEX(Data_Assessment[],MATCH('Rekomendasi HAV'!$A637,Data_Assessment[[INDEX]:[INDEX]],0),MATCH('Rekomendasi HAV'!D$1,Data_Assessment[#Headers],0))</f>
        <v>LSIP - Pahu Makmur Estate</v>
      </c>
      <c r="E637" s="68">
        <f>INDEX(Data_Assessment[],MATCH('Rekomendasi HAV'!$B637,Data_Assessment[[NAME]:[NAME]],0),MATCH('Rekomendasi HAV'!E$1,Data_Assessment[#Headers],0))</f>
        <v>0</v>
      </c>
      <c r="F637" s="68"/>
      <c r="G637" s="68">
        <f>IF(ISNUMBER(SEARCH("DEV",Assessment[[#This Row],[JOB TARGET]])),SUBSTITUTE(Assessment[[#This Row],[JOB TARGET]],"DEV","EST"),Assessment[[#This Row],[JOB TARGET]])</f>
        <v>0</v>
      </c>
      <c r="H637" s="146" t="str" cm="1">
        <f t="array" aca="1" ref="H637" ca="1">IF(Assessment[[#This Row],[JOB TARGET]]="","Job Target Kosong",IF(COUNT(IF('Data Assessment'!$N637:$Z637-OFFSET(Standar!$B$2,MATCH(Assessment[[#This Row],[JOB TARGET
(EST)]],Standar[NAMA JABATAN],0)-1,1,1,13)&lt;0,1,""))&lt;=3,'9 Grid'!$B$4,IF(COUNT(IF('Data Assessment'!$N637:$Z637-OFFSET(Standar!$B$2,MATCH(Assessment[[#This Row],[JOB TARGET]],Standar[NAMA JABATAN],0)-1,1,1,13)&lt;0,1,""))&gt;=7,'9 Grid'!$B$6,'9 Grid'!$B$5)))</f>
        <v>Job Target Kosong</v>
      </c>
      <c r="I637" s="146" t="str">
        <f>IFERROR(IF(Data_Assessment[[#This Row],[IPP (3 YEARS AVERAGE)]]="","(IPP Belum Ada)",IF(Data_Assessment[[#This Row],[IPP (3 YEARS AVERAGE)]]&lt;2,'9 Grid'!$F$2,IF(Data_Assessment[[#This Row],[IPP (3 YEARS AVERAGE)]]&gt;=4,'9 Grid'!$D$2,'9 Grid'!$E$2))),"")</f>
        <v>Fully Competence Performance</v>
      </c>
      <c r="J637" s="146" t="str">
        <f ca="1">IFERROR(INDEX('9 Grid'!$D$4:$F$6,MATCH('Rekomendasi HAV'!H637,'9 Grid'!$B$4:$B$6,0),MATCH('Rekomendasi HAV'!I637,'9 Grid'!$D$2:$F$2,0)),"")</f>
        <v/>
      </c>
      <c r="K637" s="146" t="str">
        <f>IFERROR(INDEX('9 Grid'!$D$8:$F$8,1,MATCH('Rekomendasi HAV'!I637,'9 Grid'!$D$2:$F$2,0)),"")</f>
        <v>(ST) Within 12 - 18 month</v>
      </c>
      <c r="L637" s="146">
        <f>IF(ISNUMBER(SEARCH("EST",Assessment[[#This Row],[JOB TARGET]])),SUBSTITUTE(Assessment[[#This Row],[JOB TARGET]],"EST","DEV"),Assessment[[#This Row],[JOB TARGET]])</f>
        <v>0</v>
      </c>
      <c r="M637" s="146" t="str" cm="1">
        <f t="array" aca="1" ref="M637" ca="1">IF(Assessment[[#This Row],[JOB TARGET]]="","Job Target Kosong",IF(COUNT(IF('Data Assessment'!$N637:$Z637-OFFSET(Standar!$B$2,MATCH(Assessment[[#This Row],[JOB TARGET
(DEV)]],Standar[NAMA JABATAN],0)-1,1,1,13)&lt;0,1,""))&lt;=3,'9 Grid'!$B$4,IF(COUNT(IF('Data Assessment'!$N637:$Z637-OFFSET(Standar!$B$2,MATCH(Assessment[[#This Row],[JOB TARGET
(DEV)]],Standar[NAMA JABATAN],0)-1,1,1,13)&lt;0,1,""))&gt;=7,'9 Grid'!$B$6,'9 Grid'!$B$5)))</f>
        <v>Job Target Kosong</v>
      </c>
      <c r="N637" s="146" t="str">
        <f>IFERROR(IF(Data_Assessment[[#This Row],[IPP (3 YEARS AVERAGE)]]="","(IPP Belum Ada)",IF(Data_Assessment[[#This Row],[IPP (3 YEARS AVERAGE)]]&lt;2,'9 Grid'!$F$2,IF(Data_Assessment[[#This Row],[IPP (3 YEARS AVERAGE)]]&gt;=4,'9 Grid'!$D$2,'9 Grid'!$E$2))),"")</f>
        <v>Fully Competence Performance</v>
      </c>
      <c r="O637" s="146" t="str">
        <f ca="1">IFERROR(INDEX('9 Grid'!$D$4:$F$6,MATCH('Rekomendasi HAV'!M637,'9 Grid'!$B$4:$B$6,0),MATCH('Rekomendasi HAV'!N637,'9 Grid'!$D$2:$F$2,0)),"")</f>
        <v/>
      </c>
      <c r="P637" s="147" t="str">
        <f>IFERROR(INDEX('9 Grid'!$D$8:$F$8,1,MATCH('Rekomendasi HAV'!N637,'9 Grid'!$D$2:$F$2,0)),"")</f>
        <v>(ST) Within 12 - 18 month</v>
      </c>
    </row>
    <row r="638" spans="1:16" ht="28.5">
      <c r="A638" s="67">
        <v>637</v>
      </c>
      <c r="B638" s="68" t="str">
        <f>INDEX(Data_Assessment[],MATCH('Rekomendasi HAV'!$A638,Data_Assessment[[INDEX]:[INDEX]],0),MATCH('Rekomendasi HAV'!B$1,Data_Assessment[#Headers],0))</f>
        <v>Syamsuddin U.</v>
      </c>
      <c r="C638" s="68" t="str">
        <f>INDEX(Data_Assessment[],MATCH('Rekomendasi HAV'!$A638,Data_Assessment[[INDEX]:[INDEX]],0),MATCH('Rekomendasi HAV'!C$1,Data_Assessment[#Headers],0))</f>
        <v>Kalimantan Timur</v>
      </c>
      <c r="D638" s="68" t="str">
        <f>INDEX(Data_Assessment[],MATCH('Rekomendasi HAV'!$A638,Data_Assessment[[INDEX]:[INDEX]],0),MATCH('Rekomendasi HAV'!D$1,Data_Assessment[#Headers],0))</f>
        <v>LSIP - RO Samarinda</v>
      </c>
      <c r="E638" s="68">
        <f>INDEX(Data_Assessment[],MATCH('Rekomendasi HAV'!$B638,Data_Assessment[[NAME]:[NAME]],0),MATCH('Rekomendasi HAV'!E$1,Data_Assessment[#Headers],0))</f>
        <v>0</v>
      </c>
      <c r="F638" s="68"/>
      <c r="G638" s="68">
        <f>IF(ISNUMBER(SEARCH("DEV",Assessment[[#This Row],[JOB TARGET]])),SUBSTITUTE(Assessment[[#This Row],[JOB TARGET]],"DEV","EST"),Assessment[[#This Row],[JOB TARGET]])</f>
        <v>0</v>
      </c>
      <c r="H638" s="146" t="str" cm="1">
        <f t="array" aca="1" ref="H638" ca="1">IF(Assessment[[#This Row],[JOB TARGET]]="","Job Target Kosong",IF(COUNT(IF('Data Assessment'!$N638:$Z638-OFFSET(Standar!$B$2,MATCH(Assessment[[#This Row],[JOB TARGET
(EST)]],Standar[NAMA JABATAN],0)-1,1,1,13)&lt;0,1,""))&lt;=3,'9 Grid'!$B$4,IF(COUNT(IF('Data Assessment'!$N638:$Z638-OFFSET(Standar!$B$2,MATCH(Assessment[[#This Row],[JOB TARGET]],Standar[NAMA JABATAN],0)-1,1,1,13)&lt;0,1,""))&gt;=7,'9 Grid'!$B$6,'9 Grid'!$B$5)))</f>
        <v>Job Target Kosong</v>
      </c>
      <c r="I638" s="146" t="str">
        <f>IFERROR(IF(Data_Assessment[[#This Row],[IPP (3 YEARS AVERAGE)]]="","(IPP Belum Ada)",IF(Data_Assessment[[#This Row],[IPP (3 YEARS AVERAGE)]]&lt;2,'9 Grid'!$F$2,IF(Data_Assessment[[#This Row],[IPP (3 YEARS AVERAGE)]]&gt;=4,'9 Grid'!$D$2,'9 Grid'!$E$2))),"")</f>
        <v>Fully Competence Performance</v>
      </c>
      <c r="J638" s="146" t="str">
        <f ca="1">IFERROR(INDEX('9 Grid'!$D$4:$F$6,MATCH('Rekomendasi HAV'!H638,'9 Grid'!$B$4:$B$6,0),MATCH('Rekomendasi HAV'!I638,'9 Grid'!$D$2:$F$2,0)),"")</f>
        <v/>
      </c>
      <c r="K638" s="146" t="str">
        <f>IFERROR(INDEX('9 Grid'!$D$8:$F$8,1,MATCH('Rekomendasi HAV'!I638,'9 Grid'!$D$2:$F$2,0)),"")</f>
        <v>(ST) Within 12 - 18 month</v>
      </c>
      <c r="L638" s="146">
        <f>IF(ISNUMBER(SEARCH("EST",Assessment[[#This Row],[JOB TARGET]])),SUBSTITUTE(Assessment[[#This Row],[JOB TARGET]],"EST","DEV"),Assessment[[#This Row],[JOB TARGET]])</f>
        <v>0</v>
      </c>
      <c r="M638" s="146" t="str" cm="1">
        <f t="array" aca="1" ref="M638" ca="1">IF(Assessment[[#This Row],[JOB TARGET]]="","Job Target Kosong",IF(COUNT(IF('Data Assessment'!$N638:$Z638-OFFSET(Standar!$B$2,MATCH(Assessment[[#This Row],[JOB TARGET
(DEV)]],Standar[NAMA JABATAN],0)-1,1,1,13)&lt;0,1,""))&lt;=3,'9 Grid'!$B$4,IF(COUNT(IF('Data Assessment'!$N638:$Z638-OFFSET(Standar!$B$2,MATCH(Assessment[[#This Row],[JOB TARGET
(DEV)]],Standar[NAMA JABATAN],0)-1,1,1,13)&lt;0,1,""))&gt;=7,'9 Grid'!$B$6,'9 Grid'!$B$5)))</f>
        <v>Job Target Kosong</v>
      </c>
      <c r="N638" s="146" t="str">
        <f>IFERROR(IF(Data_Assessment[[#This Row],[IPP (3 YEARS AVERAGE)]]="","(IPP Belum Ada)",IF(Data_Assessment[[#This Row],[IPP (3 YEARS AVERAGE)]]&lt;2,'9 Grid'!$F$2,IF(Data_Assessment[[#This Row],[IPP (3 YEARS AVERAGE)]]&gt;=4,'9 Grid'!$D$2,'9 Grid'!$E$2))),"")</f>
        <v>Fully Competence Performance</v>
      </c>
      <c r="O638" s="146" t="str">
        <f ca="1">IFERROR(INDEX('9 Grid'!$D$4:$F$6,MATCH('Rekomendasi HAV'!M638,'9 Grid'!$B$4:$B$6,0),MATCH('Rekomendasi HAV'!N638,'9 Grid'!$D$2:$F$2,0)),"")</f>
        <v/>
      </c>
      <c r="P638" s="147" t="str">
        <f>IFERROR(INDEX('9 Grid'!$D$8:$F$8,1,MATCH('Rekomendasi HAV'!N638,'9 Grid'!$D$2:$F$2,0)),"")</f>
        <v>(ST) Within 12 - 18 month</v>
      </c>
    </row>
    <row r="639" spans="1:16" ht="28.5">
      <c r="A639" s="67">
        <v>638</v>
      </c>
      <c r="B639" s="68" t="str">
        <f>INDEX(Data_Assessment[],MATCH('Rekomendasi HAV'!$A639,Data_Assessment[[INDEX]:[INDEX]],0),MATCH('Rekomendasi HAV'!B$1,Data_Assessment[#Headers],0))</f>
        <v>Septian Pardamean Hutagaol</v>
      </c>
      <c r="C639" s="68" t="str">
        <f>INDEX(Data_Assessment[],MATCH('Rekomendasi HAV'!$A639,Data_Assessment[[INDEX]:[INDEX]],0),MATCH('Rekomendasi HAV'!C$1,Data_Assessment[#Headers],0))</f>
        <v>Kalimantan Timur</v>
      </c>
      <c r="D639" s="68" t="str">
        <f>INDEX(Data_Assessment[],MATCH('Rekomendasi HAV'!$A639,Data_Assessment[[INDEX]:[INDEX]],0),MATCH('Rekomendasi HAV'!D$1,Data_Assessment[#Headers],0))</f>
        <v>LSIP - Pahu Makmur Estate</v>
      </c>
      <c r="E639" s="68">
        <f>INDEX(Data_Assessment[],MATCH('Rekomendasi HAV'!$B639,Data_Assessment[[NAME]:[NAME]],0),MATCH('Rekomendasi HAV'!E$1,Data_Assessment[#Headers],0))</f>
        <v>0</v>
      </c>
      <c r="F639" s="68"/>
      <c r="G639" s="68">
        <f>IF(ISNUMBER(SEARCH("DEV",Assessment[[#This Row],[JOB TARGET]])),SUBSTITUTE(Assessment[[#This Row],[JOB TARGET]],"DEV","EST"),Assessment[[#This Row],[JOB TARGET]])</f>
        <v>0</v>
      </c>
      <c r="H639" s="146" t="str" cm="1">
        <f t="array" aca="1" ref="H639" ca="1">IF(Assessment[[#This Row],[JOB TARGET]]="","Job Target Kosong",IF(COUNT(IF('Data Assessment'!$N639:$Z639-OFFSET(Standar!$B$2,MATCH(Assessment[[#This Row],[JOB TARGET
(EST)]],Standar[NAMA JABATAN],0)-1,1,1,13)&lt;0,1,""))&lt;=3,'9 Grid'!$B$4,IF(COUNT(IF('Data Assessment'!$N639:$Z639-OFFSET(Standar!$B$2,MATCH(Assessment[[#This Row],[JOB TARGET]],Standar[NAMA JABATAN],0)-1,1,1,13)&lt;0,1,""))&gt;=7,'9 Grid'!$B$6,'9 Grid'!$B$5)))</f>
        <v>Job Target Kosong</v>
      </c>
      <c r="I639" s="146" t="str">
        <f>IFERROR(IF(Data_Assessment[[#This Row],[IPP (3 YEARS AVERAGE)]]="","(IPP Belum Ada)",IF(Data_Assessment[[#This Row],[IPP (3 YEARS AVERAGE)]]&lt;2,'9 Grid'!$F$2,IF(Data_Assessment[[#This Row],[IPP (3 YEARS AVERAGE)]]&gt;=4,'9 Grid'!$D$2,'9 Grid'!$E$2))),"")</f>
        <v>Contributor</v>
      </c>
      <c r="J639" s="146" t="str">
        <f ca="1">IFERROR(INDEX('9 Grid'!$D$4:$F$6,MATCH('Rekomendasi HAV'!H639,'9 Grid'!$B$4:$B$6,0),MATCH('Rekomendasi HAV'!I639,'9 Grid'!$D$2:$F$2,0)),"")</f>
        <v/>
      </c>
      <c r="K639" s="146" t="str">
        <f>IFERROR(INDEX('9 Grid'!$D$8:$F$8,1,MATCH('Rekomendasi HAV'!I639,'9 Grid'!$D$2:$F$2,0)),"")</f>
        <v>(LT) More 2 - 3 year</v>
      </c>
      <c r="L639" s="146">
        <f>IF(ISNUMBER(SEARCH("EST",Assessment[[#This Row],[JOB TARGET]])),SUBSTITUTE(Assessment[[#This Row],[JOB TARGET]],"EST","DEV"),Assessment[[#This Row],[JOB TARGET]])</f>
        <v>0</v>
      </c>
      <c r="M639" s="146" t="str" cm="1">
        <f t="array" aca="1" ref="M639" ca="1">IF(Assessment[[#This Row],[JOB TARGET]]="","Job Target Kosong",IF(COUNT(IF('Data Assessment'!$N639:$Z639-OFFSET(Standar!$B$2,MATCH(Assessment[[#This Row],[JOB TARGET
(DEV)]],Standar[NAMA JABATAN],0)-1,1,1,13)&lt;0,1,""))&lt;=3,'9 Grid'!$B$4,IF(COUNT(IF('Data Assessment'!$N639:$Z639-OFFSET(Standar!$B$2,MATCH(Assessment[[#This Row],[JOB TARGET
(DEV)]],Standar[NAMA JABATAN],0)-1,1,1,13)&lt;0,1,""))&gt;=7,'9 Grid'!$B$6,'9 Grid'!$B$5)))</f>
        <v>Job Target Kosong</v>
      </c>
      <c r="N639" s="146" t="str">
        <f>IFERROR(IF(Data_Assessment[[#This Row],[IPP (3 YEARS AVERAGE)]]="","(IPP Belum Ada)",IF(Data_Assessment[[#This Row],[IPP (3 YEARS AVERAGE)]]&lt;2,'9 Grid'!$F$2,IF(Data_Assessment[[#This Row],[IPP (3 YEARS AVERAGE)]]&gt;=4,'9 Grid'!$D$2,'9 Grid'!$E$2))),"")</f>
        <v>Contributor</v>
      </c>
      <c r="O639" s="146" t="str">
        <f ca="1">IFERROR(INDEX('9 Grid'!$D$4:$F$6,MATCH('Rekomendasi HAV'!M639,'9 Grid'!$B$4:$B$6,0),MATCH('Rekomendasi HAV'!N639,'9 Grid'!$D$2:$F$2,0)),"")</f>
        <v/>
      </c>
      <c r="P639" s="147" t="str">
        <f>IFERROR(INDEX('9 Grid'!$D$8:$F$8,1,MATCH('Rekomendasi HAV'!N639,'9 Grid'!$D$2:$F$2,0)),"")</f>
        <v>(LT) More 2 - 3 year</v>
      </c>
    </row>
    <row r="640" spans="1:16" ht="28.5">
      <c r="A640" s="67">
        <v>639</v>
      </c>
      <c r="B640" s="68" t="str">
        <f>INDEX(Data_Assessment[],MATCH('Rekomendasi HAV'!$A640,Data_Assessment[[INDEX]:[INDEX]],0),MATCH('Rekomendasi HAV'!B$1,Data_Assessment[#Headers],0))</f>
        <v>M. Ramadhan Tarigan</v>
      </c>
      <c r="C640" s="68" t="str">
        <f>INDEX(Data_Assessment[],MATCH('Rekomendasi HAV'!$A640,Data_Assessment[[INDEX]:[INDEX]],0),MATCH('Rekomendasi HAV'!C$1,Data_Assessment[#Headers],0))</f>
        <v>Kalimantan Timur</v>
      </c>
      <c r="D640" s="68" t="str">
        <f>INDEX(Data_Assessment[],MATCH('Rekomendasi HAV'!$A640,Data_Assessment[[INDEX]:[INDEX]],0),MATCH('Rekomendasi HAV'!D$1,Data_Assessment[#Headers],0))</f>
        <v>LSIP - Pahu Makmur Estate</v>
      </c>
      <c r="E640" s="68">
        <f>INDEX(Data_Assessment[],MATCH('Rekomendasi HAV'!$B640,Data_Assessment[[NAME]:[NAME]],0),MATCH('Rekomendasi HAV'!E$1,Data_Assessment[#Headers],0))</f>
        <v>0</v>
      </c>
      <c r="F640" s="68"/>
      <c r="G640" s="68">
        <f>IF(ISNUMBER(SEARCH("DEV",Assessment[[#This Row],[JOB TARGET]])),SUBSTITUTE(Assessment[[#This Row],[JOB TARGET]],"DEV","EST"),Assessment[[#This Row],[JOB TARGET]])</f>
        <v>0</v>
      </c>
      <c r="H640" s="146" t="str" cm="1">
        <f t="array" aca="1" ref="H640" ca="1">IF(Assessment[[#This Row],[JOB TARGET]]="","Job Target Kosong",IF(COUNT(IF('Data Assessment'!$N640:$Z640-OFFSET(Standar!$B$2,MATCH(Assessment[[#This Row],[JOB TARGET
(EST)]],Standar[NAMA JABATAN],0)-1,1,1,13)&lt;0,1,""))&lt;=3,'9 Grid'!$B$4,IF(COUNT(IF('Data Assessment'!$N640:$Z640-OFFSET(Standar!$B$2,MATCH(Assessment[[#This Row],[JOB TARGET]],Standar[NAMA JABATAN],0)-1,1,1,13)&lt;0,1,""))&gt;=7,'9 Grid'!$B$6,'9 Grid'!$B$5)))</f>
        <v>Job Target Kosong</v>
      </c>
      <c r="I640" s="146" t="str">
        <f>IFERROR(IF(Data_Assessment[[#This Row],[IPP (3 YEARS AVERAGE)]]="","(IPP Belum Ada)",IF(Data_Assessment[[#This Row],[IPP (3 YEARS AVERAGE)]]&lt;2,'9 Grid'!$F$2,IF(Data_Assessment[[#This Row],[IPP (3 YEARS AVERAGE)]]&gt;=4,'9 Grid'!$D$2,'9 Grid'!$E$2))),"")</f>
        <v>Fully Competence Performance</v>
      </c>
      <c r="J640" s="146" t="str">
        <f ca="1">IFERROR(INDEX('9 Grid'!$D$4:$F$6,MATCH('Rekomendasi HAV'!H640,'9 Grid'!$B$4:$B$6,0),MATCH('Rekomendasi HAV'!I640,'9 Grid'!$D$2:$F$2,0)),"")</f>
        <v/>
      </c>
      <c r="K640" s="146" t="str">
        <f>IFERROR(INDEX('9 Grid'!$D$8:$F$8,1,MATCH('Rekomendasi HAV'!I640,'9 Grid'!$D$2:$F$2,0)),"")</f>
        <v>(ST) Within 12 - 18 month</v>
      </c>
      <c r="L640" s="146">
        <f>IF(ISNUMBER(SEARCH("EST",Assessment[[#This Row],[JOB TARGET]])),SUBSTITUTE(Assessment[[#This Row],[JOB TARGET]],"EST","DEV"),Assessment[[#This Row],[JOB TARGET]])</f>
        <v>0</v>
      </c>
      <c r="M640" s="146" t="str" cm="1">
        <f t="array" aca="1" ref="M640" ca="1">IF(Assessment[[#This Row],[JOB TARGET]]="","Job Target Kosong",IF(COUNT(IF('Data Assessment'!$N640:$Z640-OFFSET(Standar!$B$2,MATCH(Assessment[[#This Row],[JOB TARGET
(DEV)]],Standar[NAMA JABATAN],0)-1,1,1,13)&lt;0,1,""))&lt;=3,'9 Grid'!$B$4,IF(COUNT(IF('Data Assessment'!$N640:$Z640-OFFSET(Standar!$B$2,MATCH(Assessment[[#This Row],[JOB TARGET
(DEV)]],Standar[NAMA JABATAN],0)-1,1,1,13)&lt;0,1,""))&gt;=7,'9 Grid'!$B$6,'9 Grid'!$B$5)))</f>
        <v>Job Target Kosong</v>
      </c>
      <c r="N640" s="146" t="str">
        <f>IFERROR(IF(Data_Assessment[[#This Row],[IPP (3 YEARS AVERAGE)]]="","(IPP Belum Ada)",IF(Data_Assessment[[#This Row],[IPP (3 YEARS AVERAGE)]]&lt;2,'9 Grid'!$F$2,IF(Data_Assessment[[#This Row],[IPP (3 YEARS AVERAGE)]]&gt;=4,'9 Grid'!$D$2,'9 Grid'!$E$2))),"")</f>
        <v>Fully Competence Performance</v>
      </c>
      <c r="O640" s="146" t="str">
        <f ca="1">IFERROR(INDEX('9 Grid'!$D$4:$F$6,MATCH('Rekomendasi HAV'!M640,'9 Grid'!$B$4:$B$6,0),MATCH('Rekomendasi HAV'!N640,'9 Grid'!$D$2:$F$2,0)),"")</f>
        <v/>
      </c>
      <c r="P640" s="147" t="str">
        <f>IFERROR(INDEX('9 Grid'!$D$8:$F$8,1,MATCH('Rekomendasi HAV'!N640,'9 Grid'!$D$2:$F$2,0)),"")</f>
        <v>(ST) Within 12 - 18 month</v>
      </c>
    </row>
    <row r="641" spans="1:16" ht="28.5">
      <c r="A641" s="67">
        <v>640</v>
      </c>
      <c r="B641" s="68" t="str">
        <f>INDEX(Data_Assessment[],MATCH('Rekomendasi HAV'!$A641,Data_Assessment[[INDEX]:[INDEX]],0),MATCH('Rekomendasi HAV'!B$1,Data_Assessment[#Headers],0))</f>
        <v>Boyke Candi Parningotan Sianipar</v>
      </c>
      <c r="C641" s="68" t="str">
        <f>INDEX(Data_Assessment[],MATCH('Rekomendasi HAV'!$A641,Data_Assessment[[INDEX]:[INDEX]],0),MATCH('Rekomendasi HAV'!C$1,Data_Assessment[#Headers],0))</f>
        <v>Kalimantan Timur</v>
      </c>
      <c r="D641" s="68" t="str">
        <f>INDEX(Data_Assessment[],MATCH('Rekomendasi HAV'!$A641,Data_Assessment[[INDEX]:[INDEX]],0),MATCH('Rekomendasi HAV'!D$1,Data_Assessment[#Headers],0))</f>
        <v>LSIP - Pahu Makmur Estate</v>
      </c>
      <c r="E641" s="68">
        <f>INDEX(Data_Assessment[],MATCH('Rekomendasi HAV'!$B641,Data_Assessment[[NAME]:[NAME]],0),MATCH('Rekomendasi HAV'!E$1,Data_Assessment[#Headers],0))</f>
        <v>0</v>
      </c>
      <c r="F641" s="68"/>
      <c r="G641" s="68">
        <f>IF(ISNUMBER(SEARCH("DEV",Assessment[[#This Row],[JOB TARGET]])),SUBSTITUTE(Assessment[[#This Row],[JOB TARGET]],"DEV","EST"),Assessment[[#This Row],[JOB TARGET]])</f>
        <v>0</v>
      </c>
      <c r="H641" s="146" t="str" cm="1">
        <f t="array" aca="1" ref="H641" ca="1">IF(Assessment[[#This Row],[JOB TARGET]]="","Job Target Kosong",IF(COUNT(IF('Data Assessment'!$N641:$Z641-OFFSET(Standar!$B$2,MATCH(Assessment[[#This Row],[JOB TARGET
(EST)]],Standar[NAMA JABATAN],0)-1,1,1,13)&lt;0,1,""))&lt;=3,'9 Grid'!$B$4,IF(COUNT(IF('Data Assessment'!$N641:$Z641-OFFSET(Standar!$B$2,MATCH(Assessment[[#This Row],[JOB TARGET]],Standar[NAMA JABATAN],0)-1,1,1,13)&lt;0,1,""))&gt;=7,'9 Grid'!$B$6,'9 Grid'!$B$5)))</f>
        <v>Job Target Kosong</v>
      </c>
      <c r="I641" s="146" t="str">
        <f>IFERROR(IF(Data_Assessment[[#This Row],[IPP (3 YEARS AVERAGE)]]="","(IPP Belum Ada)",IF(Data_Assessment[[#This Row],[IPP (3 YEARS AVERAGE)]]&lt;2,'9 Grid'!$F$2,IF(Data_Assessment[[#This Row],[IPP (3 YEARS AVERAGE)]]&gt;=4,'9 Grid'!$D$2,'9 Grid'!$E$2))),"")</f>
        <v>Fully Competence Performance</v>
      </c>
      <c r="J641" s="146" t="str">
        <f ca="1">IFERROR(INDEX('9 Grid'!$D$4:$F$6,MATCH('Rekomendasi HAV'!H641,'9 Grid'!$B$4:$B$6,0),MATCH('Rekomendasi HAV'!I641,'9 Grid'!$D$2:$F$2,0)),"")</f>
        <v/>
      </c>
      <c r="K641" s="146" t="str">
        <f>IFERROR(INDEX('9 Grid'!$D$8:$F$8,1,MATCH('Rekomendasi HAV'!I641,'9 Grid'!$D$2:$F$2,0)),"")</f>
        <v>(ST) Within 12 - 18 month</v>
      </c>
      <c r="L641" s="146">
        <f>IF(ISNUMBER(SEARCH("EST",Assessment[[#This Row],[JOB TARGET]])),SUBSTITUTE(Assessment[[#This Row],[JOB TARGET]],"EST","DEV"),Assessment[[#This Row],[JOB TARGET]])</f>
        <v>0</v>
      </c>
      <c r="M641" s="146" t="str" cm="1">
        <f t="array" aca="1" ref="M641" ca="1">IF(Assessment[[#This Row],[JOB TARGET]]="","Job Target Kosong",IF(COUNT(IF('Data Assessment'!$N641:$Z641-OFFSET(Standar!$B$2,MATCH(Assessment[[#This Row],[JOB TARGET
(DEV)]],Standar[NAMA JABATAN],0)-1,1,1,13)&lt;0,1,""))&lt;=3,'9 Grid'!$B$4,IF(COUNT(IF('Data Assessment'!$N641:$Z641-OFFSET(Standar!$B$2,MATCH(Assessment[[#This Row],[JOB TARGET
(DEV)]],Standar[NAMA JABATAN],0)-1,1,1,13)&lt;0,1,""))&gt;=7,'9 Grid'!$B$6,'9 Grid'!$B$5)))</f>
        <v>Job Target Kosong</v>
      </c>
      <c r="N641" s="146" t="str">
        <f>IFERROR(IF(Data_Assessment[[#This Row],[IPP (3 YEARS AVERAGE)]]="","(IPP Belum Ada)",IF(Data_Assessment[[#This Row],[IPP (3 YEARS AVERAGE)]]&lt;2,'9 Grid'!$F$2,IF(Data_Assessment[[#This Row],[IPP (3 YEARS AVERAGE)]]&gt;=4,'9 Grid'!$D$2,'9 Grid'!$E$2))),"")</f>
        <v>Fully Competence Performance</v>
      </c>
      <c r="O641" s="146" t="str">
        <f ca="1">IFERROR(INDEX('9 Grid'!$D$4:$F$6,MATCH('Rekomendasi HAV'!M641,'9 Grid'!$B$4:$B$6,0),MATCH('Rekomendasi HAV'!N641,'9 Grid'!$D$2:$F$2,0)),"")</f>
        <v/>
      </c>
      <c r="P641" s="147" t="str">
        <f>IFERROR(INDEX('9 Grid'!$D$8:$F$8,1,MATCH('Rekomendasi HAV'!N641,'9 Grid'!$D$2:$F$2,0)),"")</f>
        <v>(ST) Within 12 - 18 month</v>
      </c>
    </row>
    <row r="642" spans="1:16" ht="14.25">
      <c r="A642" s="67">
        <v>641</v>
      </c>
      <c r="B642" s="68" t="str">
        <f>INDEX(Data_Assessment[],MATCH('Rekomendasi HAV'!$A642,Data_Assessment[[INDEX]:[INDEX]],0),MATCH('Rekomendasi HAV'!B$1,Data_Assessment[#Headers],0))</f>
        <v>Yanuar Effendi</v>
      </c>
      <c r="C642" s="68" t="str">
        <f>INDEX(Data_Assessment[],MATCH('Rekomendasi HAV'!$A642,Data_Assessment[[INDEX]:[INDEX]],0),MATCH('Rekomendasi HAV'!C$1,Data_Assessment[#Headers],0))</f>
        <v>Kalimantan Timur</v>
      </c>
      <c r="D642" s="68" t="str">
        <f>INDEX(Data_Assessment[],MATCH('Rekomendasi HAV'!$A642,Data_Assessment[[INDEX]:[INDEX]],0),MATCH('Rekomendasi HAV'!D$1,Data_Assessment[#Headers],0))</f>
        <v>LSIP - Issuy Makmur Estate</v>
      </c>
      <c r="E642" s="68">
        <f>INDEX(Data_Assessment[],MATCH('Rekomendasi HAV'!$B642,Data_Assessment[[NAME]:[NAME]],0),MATCH('Rekomendasi HAV'!E$1,Data_Assessment[#Headers],0))</f>
        <v>0</v>
      </c>
      <c r="F642" s="68"/>
      <c r="G642" s="68">
        <f>IF(ISNUMBER(SEARCH("DEV",Assessment[[#This Row],[JOB TARGET]])),SUBSTITUTE(Assessment[[#This Row],[JOB TARGET]],"DEV","EST"),Assessment[[#This Row],[JOB TARGET]])</f>
        <v>0</v>
      </c>
      <c r="H642" s="146" t="str" cm="1">
        <f t="array" aca="1" ref="H642" ca="1">IF(Assessment[[#This Row],[JOB TARGET]]="","Job Target Kosong",IF(COUNT(IF('Data Assessment'!$N642:$Z642-OFFSET(Standar!$B$2,MATCH(Assessment[[#This Row],[JOB TARGET
(EST)]],Standar[NAMA JABATAN],0)-1,1,1,13)&lt;0,1,""))&lt;=3,'9 Grid'!$B$4,IF(COUNT(IF('Data Assessment'!$N642:$Z642-OFFSET(Standar!$B$2,MATCH(Assessment[[#This Row],[JOB TARGET]],Standar[NAMA JABATAN],0)-1,1,1,13)&lt;0,1,""))&gt;=7,'9 Grid'!$B$6,'9 Grid'!$B$5)))</f>
        <v>Job Target Kosong</v>
      </c>
      <c r="I642" s="146" t="str">
        <f>IFERROR(IF(Data_Assessment[[#This Row],[IPP (3 YEARS AVERAGE)]]="","(IPP Belum Ada)",IF(Data_Assessment[[#This Row],[IPP (3 YEARS AVERAGE)]]&lt;2,'9 Grid'!$F$2,IF(Data_Assessment[[#This Row],[IPP (3 YEARS AVERAGE)]]&gt;=4,'9 Grid'!$D$2,'9 Grid'!$E$2))),"")</f>
        <v>Exceptional Performance</v>
      </c>
      <c r="J642" s="146" t="str">
        <f ca="1">IFERROR(INDEX('9 Grid'!$D$4:$F$6,MATCH('Rekomendasi HAV'!H642,'9 Grid'!$B$4:$B$6,0),MATCH('Rekomendasi HAV'!I642,'9 Grid'!$D$2:$F$2,0)),"")</f>
        <v/>
      </c>
      <c r="K642" s="146" t="str">
        <f>IFERROR(INDEX('9 Grid'!$D$8:$F$8,1,MATCH('Rekomendasi HAV'!I642,'9 Grid'!$D$2:$F$2,0)),"")</f>
        <v>(I) Immediately</v>
      </c>
      <c r="L642" s="146">
        <f>IF(ISNUMBER(SEARCH("EST",Assessment[[#This Row],[JOB TARGET]])),SUBSTITUTE(Assessment[[#This Row],[JOB TARGET]],"EST","DEV"),Assessment[[#This Row],[JOB TARGET]])</f>
        <v>0</v>
      </c>
      <c r="M642" s="146" t="str" cm="1">
        <f t="array" aca="1" ref="M642" ca="1">IF(Assessment[[#This Row],[JOB TARGET]]="","Job Target Kosong",IF(COUNT(IF('Data Assessment'!$N642:$Z642-OFFSET(Standar!$B$2,MATCH(Assessment[[#This Row],[JOB TARGET
(DEV)]],Standar[NAMA JABATAN],0)-1,1,1,13)&lt;0,1,""))&lt;=3,'9 Grid'!$B$4,IF(COUNT(IF('Data Assessment'!$N642:$Z642-OFFSET(Standar!$B$2,MATCH(Assessment[[#This Row],[JOB TARGET
(DEV)]],Standar[NAMA JABATAN],0)-1,1,1,13)&lt;0,1,""))&gt;=7,'9 Grid'!$B$6,'9 Grid'!$B$5)))</f>
        <v>Job Target Kosong</v>
      </c>
      <c r="N642" s="146" t="str">
        <f>IFERROR(IF(Data_Assessment[[#This Row],[IPP (3 YEARS AVERAGE)]]="","(IPP Belum Ada)",IF(Data_Assessment[[#This Row],[IPP (3 YEARS AVERAGE)]]&lt;2,'9 Grid'!$F$2,IF(Data_Assessment[[#This Row],[IPP (3 YEARS AVERAGE)]]&gt;=4,'9 Grid'!$D$2,'9 Grid'!$E$2))),"")</f>
        <v>Exceptional Performance</v>
      </c>
      <c r="O642" s="146" t="str">
        <f ca="1">IFERROR(INDEX('9 Grid'!$D$4:$F$6,MATCH('Rekomendasi HAV'!M642,'9 Grid'!$B$4:$B$6,0),MATCH('Rekomendasi HAV'!N642,'9 Grid'!$D$2:$F$2,0)),"")</f>
        <v/>
      </c>
      <c r="P642" s="147" t="str">
        <f>IFERROR(INDEX('9 Grid'!$D$8:$F$8,1,MATCH('Rekomendasi HAV'!N642,'9 Grid'!$D$2:$F$2,0)),"")</f>
        <v>(I) Immediately</v>
      </c>
    </row>
    <row r="643" spans="1:16" ht="28.5">
      <c r="A643" s="67">
        <v>642</v>
      </c>
      <c r="B643" s="68" t="str">
        <f>INDEX(Data_Assessment[],MATCH('Rekomendasi HAV'!$A643,Data_Assessment[[INDEX]:[INDEX]],0),MATCH('Rekomendasi HAV'!B$1,Data_Assessment[#Headers],0))</f>
        <v>Sulaiman</v>
      </c>
      <c r="C643" s="68" t="str">
        <f>INDEX(Data_Assessment[],MATCH('Rekomendasi HAV'!$A643,Data_Assessment[[INDEX]:[INDEX]],0),MATCH('Rekomendasi HAV'!C$1,Data_Assessment[#Headers],0))</f>
        <v>Kalimantan Timur</v>
      </c>
      <c r="D643" s="68" t="str">
        <f>INDEX(Data_Assessment[],MATCH('Rekomendasi HAV'!$A643,Data_Assessment[[INDEX]:[INDEX]],0),MATCH('Rekomendasi HAV'!D$1,Data_Assessment[#Headers],0))</f>
        <v>LSIP - RO Palembang</v>
      </c>
      <c r="E643" s="68">
        <f>INDEX(Data_Assessment[],MATCH('Rekomendasi HAV'!$B643,Data_Assessment[[NAME]:[NAME]],0),MATCH('Rekomendasi HAV'!E$1,Data_Assessment[#Headers],0))</f>
        <v>0</v>
      </c>
      <c r="F643" s="68"/>
      <c r="G643" s="68">
        <f>IF(ISNUMBER(SEARCH("DEV",Assessment[[#This Row],[JOB TARGET]])),SUBSTITUTE(Assessment[[#This Row],[JOB TARGET]],"DEV","EST"),Assessment[[#This Row],[JOB TARGET]])</f>
        <v>0</v>
      </c>
      <c r="H643" s="146" t="str" cm="1">
        <f t="array" aca="1" ref="H643" ca="1">IF(Assessment[[#This Row],[JOB TARGET]]="","Job Target Kosong",IF(COUNT(IF('Data Assessment'!$N643:$Z643-OFFSET(Standar!$B$2,MATCH(Assessment[[#This Row],[JOB TARGET
(EST)]],Standar[NAMA JABATAN],0)-1,1,1,13)&lt;0,1,""))&lt;=3,'9 Grid'!$B$4,IF(COUNT(IF('Data Assessment'!$N643:$Z643-OFFSET(Standar!$B$2,MATCH(Assessment[[#This Row],[JOB TARGET]],Standar[NAMA JABATAN],0)-1,1,1,13)&lt;0,1,""))&gt;=7,'9 Grid'!$B$6,'9 Grid'!$B$5)))</f>
        <v>Job Target Kosong</v>
      </c>
      <c r="I643" s="146" t="str">
        <f>IFERROR(IF(Data_Assessment[[#This Row],[IPP (3 YEARS AVERAGE)]]="","(IPP Belum Ada)",IF(Data_Assessment[[#This Row],[IPP (3 YEARS AVERAGE)]]&lt;2,'9 Grid'!$F$2,IF(Data_Assessment[[#This Row],[IPP (3 YEARS AVERAGE)]]&gt;=4,'9 Grid'!$D$2,'9 Grid'!$E$2))),"")</f>
        <v>Fully Competence Performance</v>
      </c>
      <c r="J643" s="146" t="str">
        <f ca="1">IFERROR(INDEX('9 Grid'!$D$4:$F$6,MATCH('Rekomendasi HAV'!H643,'9 Grid'!$B$4:$B$6,0),MATCH('Rekomendasi HAV'!I643,'9 Grid'!$D$2:$F$2,0)),"")</f>
        <v/>
      </c>
      <c r="K643" s="146" t="str">
        <f>IFERROR(INDEX('9 Grid'!$D$8:$F$8,1,MATCH('Rekomendasi HAV'!I643,'9 Grid'!$D$2:$F$2,0)),"")</f>
        <v>(ST) Within 12 - 18 month</v>
      </c>
      <c r="L643" s="146">
        <f>IF(ISNUMBER(SEARCH("EST",Assessment[[#This Row],[JOB TARGET]])),SUBSTITUTE(Assessment[[#This Row],[JOB TARGET]],"EST","DEV"),Assessment[[#This Row],[JOB TARGET]])</f>
        <v>0</v>
      </c>
      <c r="M643" s="146" t="str" cm="1">
        <f t="array" aca="1" ref="M643" ca="1">IF(Assessment[[#This Row],[JOB TARGET]]="","Job Target Kosong",IF(COUNT(IF('Data Assessment'!$N643:$Z643-OFFSET(Standar!$B$2,MATCH(Assessment[[#This Row],[JOB TARGET
(DEV)]],Standar[NAMA JABATAN],0)-1,1,1,13)&lt;0,1,""))&lt;=3,'9 Grid'!$B$4,IF(COUNT(IF('Data Assessment'!$N643:$Z643-OFFSET(Standar!$B$2,MATCH(Assessment[[#This Row],[JOB TARGET
(DEV)]],Standar[NAMA JABATAN],0)-1,1,1,13)&lt;0,1,""))&gt;=7,'9 Grid'!$B$6,'9 Grid'!$B$5)))</f>
        <v>Job Target Kosong</v>
      </c>
      <c r="N643" s="146" t="str">
        <f>IFERROR(IF(Data_Assessment[[#This Row],[IPP (3 YEARS AVERAGE)]]="","(IPP Belum Ada)",IF(Data_Assessment[[#This Row],[IPP (3 YEARS AVERAGE)]]&lt;2,'9 Grid'!$F$2,IF(Data_Assessment[[#This Row],[IPP (3 YEARS AVERAGE)]]&gt;=4,'9 Grid'!$D$2,'9 Grid'!$E$2))),"")</f>
        <v>Fully Competence Performance</v>
      </c>
      <c r="O643" s="146" t="str">
        <f ca="1">IFERROR(INDEX('9 Grid'!$D$4:$F$6,MATCH('Rekomendasi HAV'!M643,'9 Grid'!$B$4:$B$6,0),MATCH('Rekomendasi HAV'!N643,'9 Grid'!$D$2:$F$2,0)),"")</f>
        <v/>
      </c>
      <c r="P643" s="147" t="str">
        <f>IFERROR(INDEX('9 Grid'!$D$8:$F$8,1,MATCH('Rekomendasi HAV'!N643,'9 Grid'!$D$2:$F$2,0)),"")</f>
        <v>(ST) Within 12 - 18 month</v>
      </c>
    </row>
    <row r="644" spans="1:16" ht="28.5">
      <c r="A644" s="67">
        <v>643</v>
      </c>
      <c r="B644" s="68" t="str">
        <f>INDEX(Data_Assessment[],MATCH('Rekomendasi HAV'!$A644,Data_Assessment[[INDEX]:[INDEX]],0),MATCH('Rekomendasi HAV'!B$1,Data_Assessment[#Headers],0))</f>
        <v>Muhammad Jamil Sp</v>
      </c>
      <c r="C644" s="68" t="str">
        <f>INDEX(Data_Assessment[],MATCH('Rekomendasi HAV'!$A644,Data_Assessment[[INDEX]:[INDEX]],0),MATCH('Rekomendasi HAV'!C$1,Data_Assessment[#Headers],0))</f>
        <v>Kalimantan Timur</v>
      </c>
      <c r="D644" s="68" t="str">
        <f>INDEX(Data_Assessment[],MATCH('Rekomendasi HAV'!$A644,Data_Assessment[[INDEX]:[INDEX]],0),MATCH('Rekomendasi HAV'!D$1,Data_Assessment[#Headers],0))</f>
        <v>LSIP - Pahu Makmur Estate</v>
      </c>
      <c r="E644" s="68">
        <f>INDEX(Data_Assessment[],MATCH('Rekomendasi HAV'!$B644,Data_Assessment[[NAME]:[NAME]],0),MATCH('Rekomendasi HAV'!E$1,Data_Assessment[#Headers],0))</f>
        <v>0</v>
      </c>
      <c r="F644" s="68"/>
      <c r="G644" s="68">
        <f>IF(ISNUMBER(SEARCH("DEV",Assessment[[#This Row],[JOB TARGET]])),SUBSTITUTE(Assessment[[#This Row],[JOB TARGET]],"DEV","EST"),Assessment[[#This Row],[JOB TARGET]])</f>
        <v>0</v>
      </c>
      <c r="H644" s="146" t="str" cm="1">
        <f t="array" aca="1" ref="H644" ca="1">IF(Assessment[[#This Row],[JOB TARGET]]="","Job Target Kosong",IF(COUNT(IF('Data Assessment'!$N644:$Z644-OFFSET(Standar!$B$2,MATCH(Assessment[[#This Row],[JOB TARGET
(EST)]],Standar[NAMA JABATAN],0)-1,1,1,13)&lt;0,1,""))&lt;=3,'9 Grid'!$B$4,IF(COUNT(IF('Data Assessment'!$N644:$Z644-OFFSET(Standar!$B$2,MATCH(Assessment[[#This Row],[JOB TARGET]],Standar[NAMA JABATAN],0)-1,1,1,13)&lt;0,1,""))&gt;=7,'9 Grid'!$B$6,'9 Grid'!$B$5)))</f>
        <v>Job Target Kosong</v>
      </c>
      <c r="I644" s="146" t="str">
        <f>IFERROR(IF(Data_Assessment[[#This Row],[IPP (3 YEARS AVERAGE)]]="","(IPP Belum Ada)",IF(Data_Assessment[[#This Row],[IPP (3 YEARS AVERAGE)]]&lt;2,'9 Grid'!$F$2,IF(Data_Assessment[[#This Row],[IPP (3 YEARS AVERAGE)]]&gt;=4,'9 Grid'!$D$2,'9 Grid'!$E$2))),"")</f>
        <v>Fully Competence Performance</v>
      </c>
      <c r="J644" s="146" t="str">
        <f ca="1">IFERROR(INDEX('9 Grid'!$D$4:$F$6,MATCH('Rekomendasi HAV'!H644,'9 Grid'!$B$4:$B$6,0),MATCH('Rekomendasi HAV'!I644,'9 Grid'!$D$2:$F$2,0)),"")</f>
        <v/>
      </c>
      <c r="K644" s="146" t="str">
        <f>IFERROR(INDEX('9 Grid'!$D$8:$F$8,1,MATCH('Rekomendasi HAV'!I644,'9 Grid'!$D$2:$F$2,0)),"")</f>
        <v>(ST) Within 12 - 18 month</v>
      </c>
      <c r="L644" s="146">
        <f>IF(ISNUMBER(SEARCH("EST",Assessment[[#This Row],[JOB TARGET]])),SUBSTITUTE(Assessment[[#This Row],[JOB TARGET]],"EST","DEV"),Assessment[[#This Row],[JOB TARGET]])</f>
        <v>0</v>
      </c>
      <c r="M644" s="146" t="str" cm="1">
        <f t="array" aca="1" ref="M644" ca="1">IF(Assessment[[#This Row],[JOB TARGET]]="","Job Target Kosong",IF(COUNT(IF('Data Assessment'!$N644:$Z644-OFFSET(Standar!$B$2,MATCH(Assessment[[#This Row],[JOB TARGET
(DEV)]],Standar[NAMA JABATAN],0)-1,1,1,13)&lt;0,1,""))&lt;=3,'9 Grid'!$B$4,IF(COUNT(IF('Data Assessment'!$N644:$Z644-OFFSET(Standar!$B$2,MATCH(Assessment[[#This Row],[JOB TARGET
(DEV)]],Standar[NAMA JABATAN],0)-1,1,1,13)&lt;0,1,""))&gt;=7,'9 Grid'!$B$6,'9 Grid'!$B$5)))</f>
        <v>Job Target Kosong</v>
      </c>
      <c r="N644" s="146" t="str">
        <f>IFERROR(IF(Data_Assessment[[#This Row],[IPP (3 YEARS AVERAGE)]]="","(IPP Belum Ada)",IF(Data_Assessment[[#This Row],[IPP (3 YEARS AVERAGE)]]&lt;2,'9 Grid'!$F$2,IF(Data_Assessment[[#This Row],[IPP (3 YEARS AVERAGE)]]&gt;=4,'9 Grid'!$D$2,'9 Grid'!$E$2))),"")</f>
        <v>Fully Competence Performance</v>
      </c>
      <c r="O644" s="146" t="str">
        <f ca="1">IFERROR(INDEX('9 Grid'!$D$4:$F$6,MATCH('Rekomendasi HAV'!M644,'9 Grid'!$B$4:$B$6,0),MATCH('Rekomendasi HAV'!N644,'9 Grid'!$D$2:$F$2,0)),"")</f>
        <v/>
      </c>
      <c r="P644" s="147" t="str">
        <f>IFERROR(INDEX('9 Grid'!$D$8:$F$8,1,MATCH('Rekomendasi HAV'!N644,'9 Grid'!$D$2:$F$2,0)),"")</f>
        <v>(ST) Within 12 - 18 month</v>
      </c>
    </row>
    <row r="645" spans="1:16" ht="28.5">
      <c r="A645" s="67">
        <v>644</v>
      </c>
      <c r="B645" s="68" t="str">
        <f>INDEX(Data_Assessment[],MATCH('Rekomendasi HAV'!$A645,Data_Assessment[[INDEX]:[INDEX]],0),MATCH('Rekomendasi HAV'!B$1,Data_Assessment[#Headers],0))</f>
        <v>Budi Ristanto</v>
      </c>
      <c r="C645" s="68" t="str">
        <f>INDEX(Data_Assessment[],MATCH('Rekomendasi HAV'!$A645,Data_Assessment[[INDEX]:[INDEX]],0),MATCH('Rekomendasi HAV'!C$1,Data_Assessment[#Headers],0))</f>
        <v>Kalimantan Timur</v>
      </c>
      <c r="D645" s="68" t="str">
        <f>INDEX(Data_Assessment[],MATCH('Rekomendasi HAV'!$A645,Data_Assessment[[INDEX]:[INDEX]],0),MATCH('Rekomendasi HAV'!D$1,Data_Assessment[#Headers],0))</f>
        <v>LSIP - Pahu Makmur Estate</v>
      </c>
      <c r="E645" s="68">
        <f>INDEX(Data_Assessment[],MATCH('Rekomendasi HAV'!$B645,Data_Assessment[[NAME]:[NAME]],0),MATCH('Rekomendasi HAV'!E$1,Data_Assessment[#Headers],0))</f>
        <v>0</v>
      </c>
      <c r="F645" s="68"/>
      <c r="G645" s="68">
        <f>IF(ISNUMBER(SEARCH("DEV",Assessment[[#This Row],[JOB TARGET]])),SUBSTITUTE(Assessment[[#This Row],[JOB TARGET]],"DEV","EST"),Assessment[[#This Row],[JOB TARGET]])</f>
        <v>0</v>
      </c>
      <c r="H645" s="146" t="str" cm="1">
        <f t="array" aca="1" ref="H645" ca="1">IF(Assessment[[#This Row],[JOB TARGET]]="","Job Target Kosong",IF(COUNT(IF('Data Assessment'!$N645:$Z645-OFFSET(Standar!$B$2,MATCH(Assessment[[#This Row],[JOB TARGET
(EST)]],Standar[NAMA JABATAN],0)-1,1,1,13)&lt;0,1,""))&lt;=3,'9 Grid'!$B$4,IF(COUNT(IF('Data Assessment'!$N645:$Z645-OFFSET(Standar!$B$2,MATCH(Assessment[[#This Row],[JOB TARGET]],Standar[NAMA JABATAN],0)-1,1,1,13)&lt;0,1,""))&gt;=7,'9 Grid'!$B$6,'9 Grid'!$B$5)))</f>
        <v>Job Target Kosong</v>
      </c>
      <c r="I645" s="146" t="str">
        <f>IFERROR(IF(Data_Assessment[[#This Row],[IPP (3 YEARS AVERAGE)]]="","(IPP Belum Ada)",IF(Data_Assessment[[#This Row],[IPP (3 YEARS AVERAGE)]]&lt;2,'9 Grid'!$F$2,IF(Data_Assessment[[#This Row],[IPP (3 YEARS AVERAGE)]]&gt;=4,'9 Grid'!$D$2,'9 Grid'!$E$2))),"")</f>
        <v>Fully Competence Performance</v>
      </c>
      <c r="J645" s="146" t="str">
        <f ca="1">IFERROR(INDEX('9 Grid'!$D$4:$F$6,MATCH('Rekomendasi HAV'!H645,'9 Grid'!$B$4:$B$6,0),MATCH('Rekomendasi HAV'!I645,'9 Grid'!$D$2:$F$2,0)),"")</f>
        <v/>
      </c>
      <c r="K645" s="146" t="str">
        <f>IFERROR(INDEX('9 Grid'!$D$8:$F$8,1,MATCH('Rekomendasi HAV'!I645,'9 Grid'!$D$2:$F$2,0)),"")</f>
        <v>(ST) Within 12 - 18 month</v>
      </c>
      <c r="L645" s="146">
        <f>IF(ISNUMBER(SEARCH("EST",Assessment[[#This Row],[JOB TARGET]])),SUBSTITUTE(Assessment[[#This Row],[JOB TARGET]],"EST","DEV"),Assessment[[#This Row],[JOB TARGET]])</f>
        <v>0</v>
      </c>
      <c r="M645" s="146" t="str" cm="1">
        <f t="array" aca="1" ref="M645" ca="1">IF(Assessment[[#This Row],[JOB TARGET]]="","Job Target Kosong",IF(COUNT(IF('Data Assessment'!$N645:$Z645-OFFSET(Standar!$B$2,MATCH(Assessment[[#This Row],[JOB TARGET
(DEV)]],Standar[NAMA JABATAN],0)-1,1,1,13)&lt;0,1,""))&lt;=3,'9 Grid'!$B$4,IF(COUNT(IF('Data Assessment'!$N645:$Z645-OFFSET(Standar!$B$2,MATCH(Assessment[[#This Row],[JOB TARGET
(DEV)]],Standar[NAMA JABATAN],0)-1,1,1,13)&lt;0,1,""))&gt;=7,'9 Grid'!$B$6,'9 Grid'!$B$5)))</f>
        <v>Job Target Kosong</v>
      </c>
      <c r="N645" s="146" t="str">
        <f>IFERROR(IF(Data_Assessment[[#This Row],[IPP (3 YEARS AVERAGE)]]="","(IPP Belum Ada)",IF(Data_Assessment[[#This Row],[IPP (3 YEARS AVERAGE)]]&lt;2,'9 Grid'!$F$2,IF(Data_Assessment[[#This Row],[IPP (3 YEARS AVERAGE)]]&gt;=4,'9 Grid'!$D$2,'9 Grid'!$E$2))),"")</f>
        <v>Fully Competence Performance</v>
      </c>
      <c r="O645" s="146" t="str">
        <f ca="1">IFERROR(INDEX('9 Grid'!$D$4:$F$6,MATCH('Rekomendasi HAV'!M645,'9 Grid'!$B$4:$B$6,0),MATCH('Rekomendasi HAV'!N645,'9 Grid'!$D$2:$F$2,0)),"")</f>
        <v/>
      </c>
      <c r="P645" s="147" t="str">
        <f>IFERROR(INDEX('9 Grid'!$D$8:$F$8,1,MATCH('Rekomendasi HAV'!N645,'9 Grid'!$D$2:$F$2,0)),"")</f>
        <v>(ST) Within 12 - 18 month</v>
      </c>
    </row>
    <row r="646" spans="1:16" ht="28.5">
      <c r="A646" s="67">
        <v>645</v>
      </c>
      <c r="B646" s="68" t="str">
        <f>INDEX(Data_Assessment[],MATCH('Rekomendasi HAV'!$A646,Data_Assessment[[INDEX]:[INDEX]],0),MATCH('Rekomendasi HAV'!B$1,Data_Assessment[#Headers],0))</f>
        <v>M. Edwin Gultom, SE</v>
      </c>
      <c r="C646" s="68" t="str">
        <f>INDEX(Data_Assessment[],MATCH('Rekomendasi HAV'!$A646,Data_Assessment[[INDEX]:[INDEX]],0),MATCH('Rekomendasi HAV'!C$1,Data_Assessment[#Headers],0))</f>
        <v>Kalimantan Timur</v>
      </c>
      <c r="D646" s="68" t="str">
        <f>INDEX(Data_Assessment[],MATCH('Rekomendasi HAV'!$A646,Data_Assessment[[INDEX]:[INDEX]],0),MATCH('Rekomendasi HAV'!D$1,Data_Assessment[#Headers],0))</f>
        <v>LSIP - Pahu Makmur Estate</v>
      </c>
      <c r="E646" s="68">
        <f>INDEX(Data_Assessment[],MATCH('Rekomendasi HAV'!$B646,Data_Assessment[[NAME]:[NAME]],0),MATCH('Rekomendasi HAV'!E$1,Data_Assessment[#Headers],0))</f>
        <v>0</v>
      </c>
      <c r="F646" s="68"/>
      <c r="G646" s="68">
        <f>IF(ISNUMBER(SEARCH("DEV",Assessment[[#This Row],[JOB TARGET]])),SUBSTITUTE(Assessment[[#This Row],[JOB TARGET]],"DEV","EST"),Assessment[[#This Row],[JOB TARGET]])</f>
        <v>0</v>
      </c>
      <c r="H646" s="146" t="str" cm="1">
        <f t="array" aca="1" ref="H646" ca="1">IF(Assessment[[#This Row],[JOB TARGET]]="","Job Target Kosong",IF(COUNT(IF('Data Assessment'!$N646:$Z646-OFFSET(Standar!$B$2,MATCH(Assessment[[#This Row],[JOB TARGET
(EST)]],Standar[NAMA JABATAN],0)-1,1,1,13)&lt;0,1,""))&lt;=3,'9 Grid'!$B$4,IF(COUNT(IF('Data Assessment'!$N646:$Z646-OFFSET(Standar!$B$2,MATCH(Assessment[[#This Row],[JOB TARGET]],Standar[NAMA JABATAN],0)-1,1,1,13)&lt;0,1,""))&gt;=7,'9 Grid'!$B$6,'9 Grid'!$B$5)))</f>
        <v>Job Target Kosong</v>
      </c>
      <c r="I646" s="146" t="str">
        <f>IFERROR(IF(Data_Assessment[[#This Row],[IPP (3 YEARS AVERAGE)]]="","(IPP Belum Ada)",IF(Data_Assessment[[#This Row],[IPP (3 YEARS AVERAGE)]]&lt;2,'9 Grid'!$F$2,IF(Data_Assessment[[#This Row],[IPP (3 YEARS AVERAGE)]]&gt;=4,'9 Grid'!$D$2,'9 Grid'!$E$2))),"")</f>
        <v>Fully Competence Performance</v>
      </c>
      <c r="J646" s="146" t="str">
        <f ca="1">IFERROR(INDEX('9 Grid'!$D$4:$F$6,MATCH('Rekomendasi HAV'!H646,'9 Grid'!$B$4:$B$6,0),MATCH('Rekomendasi HAV'!I646,'9 Grid'!$D$2:$F$2,0)),"")</f>
        <v/>
      </c>
      <c r="K646" s="146" t="str">
        <f>IFERROR(INDEX('9 Grid'!$D$8:$F$8,1,MATCH('Rekomendasi HAV'!I646,'9 Grid'!$D$2:$F$2,0)),"")</f>
        <v>(ST) Within 12 - 18 month</v>
      </c>
      <c r="L646" s="146">
        <f>IF(ISNUMBER(SEARCH("EST",Assessment[[#This Row],[JOB TARGET]])),SUBSTITUTE(Assessment[[#This Row],[JOB TARGET]],"EST","DEV"),Assessment[[#This Row],[JOB TARGET]])</f>
        <v>0</v>
      </c>
      <c r="M646" s="146" t="str" cm="1">
        <f t="array" aca="1" ref="M646" ca="1">IF(Assessment[[#This Row],[JOB TARGET]]="","Job Target Kosong",IF(COUNT(IF('Data Assessment'!$N646:$Z646-OFFSET(Standar!$B$2,MATCH(Assessment[[#This Row],[JOB TARGET
(DEV)]],Standar[NAMA JABATAN],0)-1,1,1,13)&lt;0,1,""))&lt;=3,'9 Grid'!$B$4,IF(COUNT(IF('Data Assessment'!$N646:$Z646-OFFSET(Standar!$B$2,MATCH(Assessment[[#This Row],[JOB TARGET
(DEV)]],Standar[NAMA JABATAN],0)-1,1,1,13)&lt;0,1,""))&gt;=7,'9 Grid'!$B$6,'9 Grid'!$B$5)))</f>
        <v>Job Target Kosong</v>
      </c>
      <c r="N646" s="146" t="str">
        <f>IFERROR(IF(Data_Assessment[[#This Row],[IPP (3 YEARS AVERAGE)]]="","(IPP Belum Ada)",IF(Data_Assessment[[#This Row],[IPP (3 YEARS AVERAGE)]]&lt;2,'9 Grid'!$F$2,IF(Data_Assessment[[#This Row],[IPP (3 YEARS AVERAGE)]]&gt;=4,'9 Grid'!$D$2,'9 Grid'!$E$2))),"")</f>
        <v>Fully Competence Performance</v>
      </c>
      <c r="O646" s="146" t="str">
        <f ca="1">IFERROR(INDEX('9 Grid'!$D$4:$F$6,MATCH('Rekomendasi HAV'!M646,'9 Grid'!$B$4:$B$6,0),MATCH('Rekomendasi HAV'!N646,'9 Grid'!$D$2:$F$2,0)),"")</f>
        <v/>
      </c>
      <c r="P646" s="147" t="str">
        <f>IFERROR(INDEX('9 Grid'!$D$8:$F$8,1,MATCH('Rekomendasi HAV'!N646,'9 Grid'!$D$2:$F$2,0)),"")</f>
        <v>(ST) Within 12 - 18 month</v>
      </c>
    </row>
    <row r="647" spans="1:16" ht="28.5">
      <c r="A647" s="67">
        <v>646</v>
      </c>
      <c r="B647" s="68" t="str">
        <f>INDEX(Data_Assessment[],MATCH('Rekomendasi HAV'!$A647,Data_Assessment[[INDEX]:[INDEX]],0),MATCH('Rekomendasi HAV'!B$1,Data_Assessment[#Headers],0))</f>
        <v>Pauji Dalimunthe</v>
      </c>
      <c r="C647" s="68" t="str">
        <f>INDEX(Data_Assessment[],MATCH('Rekomendasi HAV'!$A647,Data_Assessment[[INDEX]:[INDEX]],0),MATCH('Rekomendasi HAV'!C$1,Data_Assessment[#Headers],0))</f>
        <v>Kalimantan Timur</v>
      </c>
      <c r="D647" s="68" t="str">
        <f>INDEX(Data_Assessment[],MATCH('Rekomendasi HAV'!$A647,Data_Assessment[[INDEX]:[INDEX]],0),MATCH('Rekomendasi HAV'!D$1,Data_Assessment[#Headers],0))</f>
        <v>LSIP - Pahu Makmur Estate</v>
      </c>
      <c r="E647" s="68">
        <f>INDEX(Data_Assessment[],MATCH('Rekomendasi HAV'!$B647,Data_Assessment[[NAME]:[NAME]],0),MATCH('Rekomendasi HAV'!E$1,Data_Assessment[#Headers],0))</f>
        <v>0</v>
      </c>
      <c r="F647" s="68"/>
      <c r="G647" s="68">
        <f>IF(ISNUMBER(SEARCH("DEV",Assessment[[#This Row],[JOB TARGET]])),SUBSTITUTE(Assessment[[#This Row],[JOB TARGET]],"DEV","EST"),Assessment[[#This Row],[JOB TARGET]])</f>
        <v>0</v>
      </c>
      <c r="H647" s="146" t="str" cm="1">
        <f t="array" aca="1" ref="H647" ca="1">IF(Assessment[[#This Row],[JOB TARGET]]="","Job Target Kosong",IF(COUNT(IF('Data Assessment'!$N647:$Z647-OFFSET(Standar!$B$2,MATCH(Assessment[[#This Row],[JOB TARGET
(EST)]],Standar[NAMA JABATAN],0)-1,1,1,13)&lt;0,1,""))&lt;=3,'9 Grid'!$B$4,IF(COUNT(IF('Data Assessment'!$N647:$Z647-OFFSET(Standar!$B$2,MATCH(Assessment[[#This Row],[JOB TARGET]],Standar[NAMA JABATAN],0)-1,1,1,13)&lt;0,1,""))&gt;=7,'9 Grid'!$B$6,'9 Grid'!$B$5)))</f>
        <v>Job Target Kosong</v>
      </c>
      <c r="I647" s="146" t="str">
        <f>IFERROR(IF(Data_Assessment[[#This Row],[IPP (3 YEARS AVERAGE)]]="","(IPP Belum Ada)",IF(Data_Assessment[[#This Row],[IPP (3 YEARS AVERAGE)]]&lt;2,'9 Grid'!$F$2,IF(Data_Assessment[[#This Row],[IPP (3 YEARS AVERAGE)]]&gt;=4,'9 Grid'!$D$2,'9 Grid'!$E$2))),"")</f>
        <v>Fully Competence Performance</v>
      </c>
      <c r="J647" s="146" t="str">
        <f ca="1">IFERROR(INDEX('9 Grid'!$D$4:$F$6,MATCH('Rekomendasi HAV'!H647,'9 Grid'!$B$4:$B$6,0),MATCH('Rekomendasi HAV'!I647,'9 Grid'!$D$2:$F$2,0)),"")</f>
        <v/>
      </c>
      <c r="K647" s="146" t="str">
        <f>IFERROR(INDEX('9 Grid'!$D$8:$F$8,1,MATCH('Rekomendasi HAV'!I647,'9 Grid'!$D$2:$F$2,0)),"")</f>
        <v>(ST) Within 12 - 18 month</v>
      </c>
      <c r="L647" s="146">
        <f>IF(ISNUMBER(SEARCH("EST",Assessment[[#This Row],[JOB TARGET]])),SUBSTITUTE(Assessment[[#This Row],[JOB TARGET]],"EST","DEV"),Assessment[[#This Row],[JOB TARGET]])</f>
        <v>0</v>
      </c>
      <c r="M647" s="146" t="str" cm="1">
        <f t="array" aca="1" ref="M647" ca="1">IF(Assessment[[#This Row],[JOB TARGET]]="","Job Target Kosong",IF(COUNT(IF('Data Assessment'!$N647:$Z647-OFFSET(Standar!$B$2,MATCH(Assessment[[#This Row],[JOB TARGET
(DEV)]],Standar[NAMA JABATAN],0)-1,1,1,13)&lt;0,1,""))&lt;=3,'9 Grid'!$B$4,IF(COUNT(IF('Data Assessment'!$N647:$Z647-OFFSET(Standar!$B$2,MATCH(Assessment[[#This Row],[JOB TARGET
(DEV)]],Standar[NAMA JABATAN],0)-1,1,1,13)&lt;0,1,""))&gt;=7,'9 Grid'!$B$6,'9 Grid'!$B$5)))</f>
        <v>Job Target Kosong</v>
      </c>
      <c r="N647" s="146" t="str">
        <f>IFERROR(IF(Data_Assessment[[#This Row],[IPP (3 YEARS AVERAGE)]]="","(IPP Belum Ada)",IF(Data_Assessment[[#This Row],[IPP (3 YEARS AVERAGE)]]&lt;2,'9 Grid'!$F$2,IF(Data_Assessment[[#This Row],[IPP (3 YEARS AVERAGE)]]&gt;=4,'9 Grid'!$D$2,'9 Grid'!$E$2))),"")</f>
        <v>Fully Competence Performance</v>
      </c>
      <c r="O647" s="146" t="str">
        <f ca="1">IFERROR(INDEX('9 Grid'!$D$4:$F$6,MATCH('Rekomendasi HAV'!M647,'9 Grid'!$B$4:$B$6,0),MATCH('Rekomendasi HAV'!N647,'9 Grid'!$D$2:$F$2,0)),"")</f>
        <v/>
      </c>
      <c r="P647" s="147" t="str">
        <f>IFERROR(INDEX('9 Grid'!$D$8:$F$8,1,MATCH('Rekomendasi HAV'!N647,'9 Grid'!$D$2:$F$2,0)),"")</f>
        <v>(ST) Within 12 - 18 month</v>
      </c>
    </row>
    <row r="648" spans="1:16" ht="28.5">
      <c r="A648" s="67">
        <v>647</v>
      </c>
      <c r="B648" s="68" t="str">
        <f>INDEX(Data_Assessment[],MATCH('Rekomendasi HAV'!$A648,Data_Assessment[[INDEX]:[INDEX]],0),MATCH('Rekomendasi HAV'!B$1,Data_Assessment[#Headers],0))</f>
        <v>Bambang Irawan., Sp</v>
      </c>
      <c r="C648" s="68" t="str">
        <f>INDEX(Data_Assessment[],MATCH('Rekomendasi HAV'!$A648,Data_Assessment[[INDEX]:[INDEX]],0),MATCH('Rekomendasi HAV'!C$1,Data_Assessment[#Headers],0))</f>
        <v>Kalimantan Timur</v>
      </c>
      <c r="D648" s="68" t="str">
        <f>INDEX(Data_Assessment[],MATCH('Rekomendasi HAV'!$A648,Data_Assessment[[INDEX]:[INDEX]],0),MATCH('Rekomendasi HAV'!D$1,Data_Assessment[#Headers],0))</f>
        <v>LSIP - Pahu Makmur Estate</v>
      </c>
      <c r="E648" s="68">
        <f>INDEX(Data_Assessment[],MATCH('Rekomendasi HAV'!$B648,Data_Assessment[[NAME]:[NAME]],0),MATCH('Rekomendasi HAV'!E$1,Data_Assessment[#Headers],0))</f>
        <v>0</v>
      </c>
      <c r="F648" s="68"/>
      <c r="G648" s="68">
        <f>IF(ISNUMBER(SEARCH("DEV",Assessment[[#This Row],[JOB TARGET]])),SUBSTITUTE(Assessment[[#This Row],[JOB TARGET]],"DEV","EST"),Assessment[[#This Row],[JOB TARGET]])</f>
        <v>0</v>
      </c>
      <c r="H648" s="146" t="str" cm="1">
        <f t="array" aca="1" ref="H648" ca="1">IF(Assessment[[#This Row],[JOB TARGET]]="","Job Target Kosong",IF(COUNT(IF('Data Assessment'!$N648:$Z648-OFFSET(Standar!$B$2,MATCH(Assessment[[#This Row],[JOB TARGET
(EST)]],Standar[NAMA JABATAN],0)-1,1,1,13)&lt;0,1,""))&lt;=3,'9 Grid'!$B$4,IF(COUNT(IF('Data Assessment'!$N648:$Z648-OFFSET(Standar!$B$2,MATCH(Assessment[[#This Row],[JOB TARGET]],Standar[NAMA JABATAN],0)-1,1,1,13)&lt;0,1,""))&gt;=7,'9 Grid'!$B$6,'9 Grid'!$B$5)))</f>
        <v>Job Target Kosong</v>
      </c>
      <c r="I648" s="146" t="str">
        <f>IFERROR(IF(Data_Assessment[[#This Row],[IPP (3 YEARS AVERAGE)]]="","(IPP Belum Ada)",IF(Data_Assessment[[#This Row],[IPP (3 YEARS AVERAGE)]]&lt;2,'9 Grid'!$F$2,IF(Data_Assessment[[#This Row],[IPP (3 YEARS AVERAGE)]]&gt;=4,'9 Grid'!$D$2,'9 Grid'!$E$2))),"")</f>
        <v>Fully Competence Performance</v>
      </c>
      <c r="J648" s="146" t="str">
        <f ca="1">IFERROR(INDEX('9 Grid'!$D$4:$F$6,MATCH('Rekomendasi HAV'!H648,'9 Grid'!$B$4:$B$6,0),MATCH('Rekomendasi HAV'!I648,'9 Grid'!$D$2:$F$2,0)),"")</f>
        <v/>
      </c>
      <c r="K648" s="146" t="str">
        <f>IFERROR(INDEX('9 Grid'!$D$8:$F$8,1,MATCH('Rekomendasi HAV'!I648,'9 Grid'!$D$2:$F$2,0)),"")</f>
        <v>(ST) Within 12 - 18 month</v>
      </c>
      <c r="L648" s="146">
        <f>IF(ISNUMBER(SEARCH("EST",Assessment[[#This Row],[JOB TARGET]])),SUBSTITUTE(Assessment[[#This Row],[JOB TARGET]],"EST","DEV"),Assessment[[#This Row],[JOB TARGET]])</f>
        <v>0</v>
      </c>
      <c r="M648" s="146" t="str" cm="1">
        <f t="array" aca="1" ref="M648" ca="1">IF(Assessment[[#This Row],[JOB TARGET]]="","Job Target Kosong",IF(COUNT(IF('Data Assessment'!$N648:$Z648-OFFSET(Standar!$B$2,MATCH(Assessment[[#This Row],[JOB TARGET
(DEV)]],Standar[NAMA JABATAN],0)-1,1,1,13)&lt;0,1,""))&lt;=3,'9 Grid'!$B$4,IF(COUNT(IF('Data Assessment'!$N648:$Z648-OFFSET(Standar!$B$2,MATCH(Assessment[[#This Row],[JOB TARGET
(DEV)]],Standar[NAMA JABATAN],0)-1,1,1,13)&lt;0,1,""))&gt;=7,'9 Grid'!$B$6,'9 Grid'!$B$5)))</f>
        <v>Job Target Kosong</v>
      </c>
      <c r="N648" s="146" t="str">
        <f>IFERROR(IF(Data_Assessment[[#This Row],[IPP (3 YEARS AVERAGE)]]="","(IPP Belum Ada)",IF(Data_Assessment[[#This Row],[IPP (3 YEARS AVERAGE)]]&lt;2,'9 Grid'!$F$2,IF(Data_Assessment[[#This Row],[IPP (3 YEARS AVERAGE)]]&gt;=4,'9 Grid'!$D$2,'9 Grid'!$E$2))),"")</f>
        <v>Fully Competence Performance</v>
      </c>
      <c r="O648" s="146" t="str">
        <f ca="1">IFERROR(INDEX('9 Grid'!$D$4:$F$6,MATCH('Rekomendasi HAV'!M648,'9 Grid'!$B$4:$B$6,0),MATCH('Rekomendasi HAV'!N648,'9 Grid'!$D$2:$F$2,0)),"")</f>
        <v/>
      </c>
      <c r="P648" s="147" t="str">
        <f>IFERROR(INDEX('9 Grid'!$D$8:$F$8,1,MATCH('Rekomendasi HAV'!N648,'9 Grid'!$D$2:$F$2,0)),"")</f>
        <v>(ST) Within 12 - 18 month</v>
      </c>
    </row>
    <row r="649" spans="1:16" ht="28.5">
      <c r="A649" s="67">
        <v>648</v>
      </c>
      <c r="B649" s="68" t="str">
        <f>INDEX(Data_Assessment[],MATCH('Rekomendasi HAV'!$A649,Data_Assessment[[INDEX]:[INDEX]],0),MATCH('Rekomendasi HAV'!B$1,Data_Assessment[#Headers],0))</f>
        <v>Bahrum Damanik</v>
      </c>
      <c r="C649" s="68" t="str">
        <f>INDEX(Data_Assessment[],MATCH('Rekomendasi HAV'!$A649,Data_Assessment[[INDEX]:[INDEX]],0),MATCH('Rekomendasi HAV'!C$1,Data_Assessment[#Headers],0))</f>
        <v>Kalimantan Timur</v>
      </c>
      <c r="D649" s="68" t="str">
        <f>INDEX(Data_Assessment[],MATCH('Rekomendasi HAV'!$A649,Data_Assessment[[INDEX]:[INDEX]],0),MATCH('Rekomendasi HAV'!D$1,Data_Assessment[#Headers],0))</f>
        <v>LSIP - Pahu Makmur Estate</v>
      </c>
      <c r="E649" s="68">
        <f>INDEX(Data_Assessment[],MATCH('Rekomendasi HAV'!$B649,Data_Assessment[[NAME]:[NAME]],0),MATCH('Rekomendasi HAV'!E$1,Data_Assessment[#Headers],0))</f>
        <v>0</v>
      </c>
      <c r="F649" s="68"/>
      <c r="G649" s="68">
        <f>IF(ISNUMBER(SEARCH("DEV",Assessment[[#This Row],[JOB TARGET]])),SUBSTITUTE(Assessment[[#This Row],[JOB TARGET]],"DEV","EST"),Assessment[[#This Row],[JOB TARGET]])</f>
        <v>0</v>
      </c>
      <c r="H649" s="146" t="str" cm="1">
        <f t="array" aca="1" ref="H649" ca="1">IF(Assessment[[#This Row],[JOB TARGET]]="","Job Target Kosong",IF(COUNT(IF('Data Assessment'!$N649:$Z649-OFFSET(Standar!$B$2,MATCH(Assessment[[#This Row],[JOB TARGET
(EST)]],Standar[NAMA JABATAN],0)-1,1,1,13)&lt;0,1,""))&lt;=3,'9 Grid'!$B$4,IF(COUNT(IF('Data Assessment'!$N649:$Z649-OFFSET(Standar!$B$2,MATCH(Assessment[[#This Row],[JOB TARGET]],Standar[NAMA JABATAN],0)-1,1,1,13)&lt;0,1,""))&gt;=7,'9 Grid'!$B$6,'9 Grid'!$B$5)))</f>
        <v>Job Target Kosong</v>
      </c>
      <c r="I649" s="146" t="str">
        <f>IFERROR(IF(Data_Assessment[[#This Row],[IPP (3 YEARS AVERAGE)]]="","(IPP Belum Ada)",IF(Data_Assessment[[#This Row],[IPP (3 YEARS AVERAGE)]]&lt;2,'9 Grid'!$F$2,IF(Data_Assessment[[#This Row],[IPP (3 YEARS AVERAGE)]]&gt;=4,'9 Grid'!$D$2,'9 Grid'!$E$2))),"")</f>
        <v>Fully Competence Performance</v>
      </c>
      <c r="J649" s="146" t="str">
        <f ca="1">IFERROR(INDEX('9 Grid'!$D$4:$F$6,MATCH('Rekomendasi HAV'!H649,'9 Grid'!$B$4:$B$6,0),MATCH('Rekomendasi HAV'!I649,'9 Grid'!$D$2:$F$2,0)),"")</f>
        <v/>
      </c>
      <c r="K649" s="146" t="str">
        <f>IFERROR(INDEX('9 Grid'!$D$8:$F$8,1,MATCH('Rekomendasi HAV'!I649,'9 Grid'!$D$2:$F$2,0)),"")</f>
        <v>(ST) Within 12 - 18 month</v>
      </c>
      <c r="L649" s="146">
        <f>IF(ISNUMBER(SEARCH("EST",Assessment[[#This Row],[JOB TARGET]])),SUBSTITUTE(Assessment[[#This Row],[JOB TARGET]],"EST","DEV"),Assessment[[#This Row],[JOB TARGET]])</f>
        <v>0</v>
      </c>
      <c r="M649" s="146" t="str" cm="1">
        <f t="array" aca="1" ref="M649" ca="1">IF(Assessment[[#This Row],[JOB TARGET]]="","Job Target Kosong",IF(COUNT(IF('Data Assessment'!$N649:$Z649-OFFSET(Standar!$B$2,MATCH(Assessment[[#This Row],[JOB TARGET
(DEV)]],Standar[NAMA JABATAN],0)-1,1,1,13)&lt;0,1,""))&lt;=3,'9 Grid'!$B$4,IF(COUNT(IF('Data Assessment'!$N649:$Z649-OFFSET(Standar!$B$2,MATCH(Assessment[[#This Row],[JOB TARGET
(DEV)]],Standar[NAMA JABATAN],0)-1,1,1,13)&lt;0,1,""))&gt;=7,'9 Grid'!$B$6,'9 Grid'!$B$5)))</f>
        <v>Job Target Kosong</v>
      </c>
      <c r="N649" s="146" t="str">
        <f>IFERROR(IF(Data_Assessment[[#This Row],[IPP (3 YEARS AVERAGE)]]="","(IPP Belum Ada)",IF(Data_Assessment[[#This Row],[IPP (3 YEARS AVERAGE)]]&lt;2,'9 Grid'!$F$2,IF(Data_Assessment[[#This Row],[IPP (3 YEARS AVERAGE)]]&gt;=4,'9 Grid'!$D$2,'9 Grid'!$E$2))),"")</f>
        <v>Fully Competence Performance</v>
      </c>
      <c r="O649" s="146" t="str">
        <f ca="1">IFERROR(INDEX('9 Grid'!$D$4:$F$6,MATCH('Rekomendasi HAV'!M649,'9 Grid'!$B$4:$B$6,0),MATCH('Rekomendasi HAV'!N649,'9 Grid'!$D$2:$F$2,0)),"")</f>
        <v/>
      </c>
      <c r="P649" s="147" t="str">
        <f>IFERROR(INDEX('9 Grid'!$D$8:$F$8,1,MATCH('Rekomendasi HAV'!N649,'9 Grid'!$D$2:$F$2,0)),"")</f>
        <v>(ST) Within 12 - 18 month</v>
      </c>
    </row>
    <row r="650" spans="1:16" ht="28.5">
      <c r="A650" s="67">
        <v>649</v>
      </c>
      <c r="B650" s="68" t="str">
        <f>INDEX(Data_Assessment[],MATCH('Rekomendasi HAV'!$A650,Data_Assessment[[INDEX]:[INDEX]],0),MATCH('Rekomendasi HAV'!B$1,Data_Assessment[#Headers],0))</f>
        <v>Hermawan Syah</v>
      </c>
      <c r="C650" s="68" t="str">
        <f>INDEX(Data_Assessment[],MATCH('Rekomendasi HAV'!$A650,Data_Assessment[[INDEX]:[INDEX]],0),MATCH('Rekomendasi HAV'!C$1,Data_Assessment[#Headers],0))</f>
        <v>Kalimantan Timur</v>
      </c>
      <c r="D650" s="68" t="str">
        <f>INDEX(Data_Assessment[],MATCH('Rekomendasi HAV'!$A650,Data_Assessment[[INDEX]:[INDEX]],0),MATCH('Rekomendasi HAV'!D$1,Data_Assessment[#Headers],0))</f>
        <v>LSIP - HO Jakarta</v>
      </c>
      <c r="E650" s="68">
        <f>INDEX(Data_Assessment[],MATCH('Rekomendasi HAV'!$B650,Data_Assessment[[NAME]:[NAME]],0),MATCH('Rekomendasi HAV'!E$1,Data_Assessment[#Headers],0))</f>
        <v>0</v>
      </c>
      <c r="F650" s="68"/>
      <c r="G650" s="68">
        <f>IF(ISNUMBER(SEARCH("DEV",Assessment[[#This Row],[JOB TARGET]])),SUBSTITUTE(Assessment[[#This Row],[JOB TARGET]],"DEV","EST"),Assessment[[#This Row],[JOB TARGET]])</f>
        <v>0</v>
      </c>
      <c r="H650" s="146" t="str" cm="1">
        <f t="array" aca="1" ref="H650" ca="1">IF(Assessment[[#This Row],[JOB TARGET]]="","Job Target Kosong",IF(COUNT(IF('Data Assessment'!$N650:$Z650-OFFSET(Standar!$B$2,MATCH(Assessment[[#This Row],[JOB TARGET
(EST)]],Standar[NAMA JABATAN],0)-1,1,1,13)&lt;0,1,""))&lt;=3,'9 Grid'!$B$4,IF(COUNT(IF('Data Assessment'!$N650:$Z650-OFFSET(Standar!$B$2,MATCH(Assessment[[#This Row],[JOB TARGET]],Standar[NAMA JABATAN],0)-1,1,1,13)&lt;0,1,""))&gt;=7,'9 Grid'!$B$6,'9 Grid'!$B$5)))</f>
        <v>Job Target Kosong</v>
      </c>
      <c r="I650" s="146" t="str">
        <f>IFERROR(IF(Data_Assessment[[#This Row],[IPP (3 YEARS AVERAGE)]]="","(IPP Belum Ada)",IF(Data_Assessment[[#This Row],[IPP (3 YEARS AVERAGE)]]&lt;2,'9 Grid'!$F$2,IF(Data_Assessment[[#This Row],[IPP (3 YEARS AVERAGE)]]&gt;=4,'9 Grid'!$D$2,'9 Grid'!$E$2))),"")</f>
        <v>Fully Competence Performance</v>
      </c>
      <c r="J650" s="146" t="str">
        <f ca="1">IFERROR(INDEX('9 Grid'!$D$4:$F$6,MATCH('Rekomendasi HAV'!H650,'9 Grid'!$B$4:$B$6,0),MATCH('Rekomendasi HAV'!I650,'9 Grid'!$D$2:$F$2,0)),"")</f>
        <v/>
      </c>
      <c r="K650" s="146" t="str">
        <f>IFERROR(INDEX('9 Grid'!$D$8:$F$8,1,MATCH('Rekomendasi HAV'!I650,'9 Grid'!$D$2:$F$2,0)),"")</f>
        <v>(ST) Within 12 - 18 month</v>
      </c>
      <c r="L650" s="146">
        <f>IF(ISNUMBER(SEARCH("EST",Assessment[[#This Row],[JOB TARGET]])),SUBSTITUTE(Assessment[[#This Row],[JOB TARGET]],"EST","DEV"),Assessment[[#This Row],[JOB TARGET]])</f>
        <v>0</v>
      </c>
      <c r="M650" s="146" t="str" cm="1">
        <f t="array" aca="1" ref="M650" ca="1">IF(Assessment[[#This Row],[JOB TARGET]]="","Job Target Kosong",IF(COUNT(IF('Data Assessment'!$N650:$Z650-OFFSET(Standar!$B$2,MATCH(Assessment[[#This Row],[JOB TARGET
(DEV)]],Standar[NAMA JABATAN],0)-1,1,1,13)&lt;0,1,""))&lt;=3,'9 Grid'!$B$4,IF(COUNT(IF('Data Assessment'!$N650:$Z650-OFFSET(Standar!$B$2,MATCH(Assessment[[#This Row],[JOB TARGET
(DEV)]],Standar[NAMA JABATAN],0)-1,1,1,13)&lt;0,1,""))&gt;=7,'9 Grid'!$B$6,'9 Grid'!$B$5)))</f>
        <v>Job Target Kosong</v>
      </c>
      <c r="N650" s="146" t="str">
        <f>IFERROR(IF(Data_Assessment[[#This Row],[IPP (3 YEARS AVERAGE)]]="","(IPP Belum Ada)",IF(Data_Assessment[[#This Row],[IPP (3 YEARS AVERAGE)]]&lt;2,'9 Grid'!$F$2,IF(Data_Assessment[[#This Row],[IPP (3 YEARS AVERAGE)]]&gt;=4,'9 Grid'!$D$2,'9 Grid'!$E$2))),"")</f>
        <v>Fully Competence Performance</v>
      </c>
      <c r="O650" s="146" t="str">
        <f ca="1">IFERROR(INDEX('9 Grid'!$D$4:$F$6,MATCH('Rekomendasi HAV'!M650,'9 Grid'!$B$4:$B$6,0),MATCH('Rekomendasi HAV'!N650,'9 Grid'!$D$2:$F$2,0)),"")</f>
        <v/>
      </c>
      <c r="P650" s="147" t="str">
        <f>IFERROR(INDEX('9 Grid'!$D$8:$F$8,1,MATCH('Rekomendasi HAV'!N650,'9 Grid'!$D$2:$F$2,0)),"")</f>
        <v>(ST) Within 12 - 18 month</v>
      </c>
    </row>
    <row r="651" spans="1:16" ht="14.25">
      <c r="A651" s="67">
        <v>650</v>
      </c>
      <c r="B651" s="68" t="str">
        <f>INDEX(Data_Assessment[],MATCH('Rekomendasi HAV'!$A651,Data_Assessment[[INDEX]:[INDEX]],0),MATCH('Rekomendasi HAV'!B$1,Data_Assessment[#Headers],0))</f>
        <v>Wasino</v>
      </c>
      <c r="C651" s="68" t="str">
        <f>INDEX(Data_Assessment[],MATCH('Rekomendasi HAV'!$A651,Data_Assessment[[INDEX]:[INDEX]],0),MATCH('Rekomendasi HAV'!C$1,Data_Assessment[#Headers],0))</f>
        <v>Kalimantan Timur</v>
      </c>
      <c r="D651" s="68" t="str">
        <f>INDEX(Data_Assessment[],MATCH('Rekomendasi HAV'!$A651,Data_Assessment[[INDEX]:[INDEX]],0),MATCH('Rekomendasi HAV'!D$1,Data_Assessment[#Headers],0))</f>
        <v>LSIP - Issuy Makmur Estate</v>
      </c>
      <c r="E651" s="68">
        <f>INDEX(Data_Assessment[],MATCH('Rekomendasi HAV'!$B651,Data_Assessment[[NAME]:[NAME]],0),MATCH('Rekomendasi HAV'!E$1,Data_Assessment[#Headers],0))</f>
        <v>0</v>
      </c>
      <c r="F651" s="68"/>
      <c r="G651" s="68">
        <f>IF(ISNUMBER(SEARCH("DEV",Assessment[[#This Row],[JOB TARGET]])),SUBSTITUTE(Assessment[[#This Row],[JOB TARGET]],"DEV","EST"),Assessment[[#This Row],[JOB TARGET]])</f>
        <v>0</v>
      </c>
      <c r="H651" s="146" t="str" cm="1">
        <f t="array" aca="1" ref="H651" ca="1">IF(Assessment[[#This Row],[JOB TARGET]]="","Job Target Kosong",IF(COUNT(IF('Data Assessment'!$N651:$Z651-OFFSET(Standar!$B$2,MATCH(Assessment[[#This Row],[JOB TARGET
(EST)]],Standar[NAMA JABATAN],0)-1,1,1,13)&lt;0,1,""))&lt;=3,'9 Grid'!$B$4,IF(COUNT(IF('Data Assessment'!$N651:$Z651-OFFSET(Standar!$B$2,MATCH(Assessment[[#This Row],[JOB TARGET]],Standar[NAMA JABATAN],0)-1,1,1,13)&lt;0,1,""))&gt;=7,'9 Grid'!$B$6,'9 Grid'!$B$5)))</f>
        <v>Job Target Kosong</v>
      </c>
      <c r="I651" s="146" t="str">
        <f>IFERROR(IF(Data_Assessment[[#This Row],[IPP (3 YEARS AVERAGE)]]="","(IPP Belum Ada)",IF(Data_Assessment[[#This Row],[IPP (3 YEARS AVERAGE)]]&lt;2,'9 Grid'!$F$2,IF(Data_Assessment[[#This Row],[IPP (3 YEARS AVERAGE)]]&gt;=4,'9 Grid'!$D$2,'9 Grid'!$E$2))),"")</f>
        <v>Exceptional Performance</v>
      </c>
      <c r="J651" s="146" t="str">
        <f ca="1">IFERROR(INDEX('9 Grid'!$D$4:$F$6,MATCH('Rekomendasi HAV'!H651,'9 Grid'!$B$4:$B$6,0),MATCH('Rekomendasi HAV'!I651,'9 Grid'!$D$2:$F$2,0)),"")</f>
        <v/>
      </c>
      <c r="K651" s="146" t="str">
        <f>IFERROR(INDEX('9 Grid'!$D$8:$F$8,1,MATCH('Rekomendasi HAV'!I651,'9 Grid'!$D$2:$F$2,0)),"")</f>
        <v>(I) Immediately</v>
      </c>
      <c r="L651" s="146">
        <f>IF(ISNUMBER(SEARCH("EST",Assessment[[#This Row],[JOB TARGET]])),SUBSTITUTE(Assessment[[#This Row],[JOB TARGET]],"EST","DEV"),Assessment[[#This Row],[JOB TARGET]])</f>
        <v>0</v>
      </c>
      <c r="M651" s="146" t="str" cm="1">
        <f t="array" aca="1" ref="M651" ca="1">IF(Assessment[[#This Row],[JOB TARGET]]="","Job Target Kosong",IF(COUNT(IF('Data Assessment'!$N651:$Z651-OFFSET(Standar!$B$2,MATCH(Assessment[[#This Row],[JOB TARGET
(DEV)]],Standar[NAMA JABATAN],0)-1,1,1,13)&lt;0,1,""))&lt;=3,'9 Grid'!$B$4,IF(COUNT(IF('Data Assessment'!$N651:$Z651-OFFSET(Standar!$B$2,MATCH(Assessment[[#This Row],[JOB TARGET
(DEV)]],Standar[NAMA JABATAN],0)-1,1,1,13)&lt;0,1,""))&gt;=7,'9 Grid'!$B$6,'9 Grid'!$B$5)))</f>
        <v>Job Target Kosong</v>
      </c>
      <c r="N651" s="146" t="str">
        <f>IFERROR(IF(Data_Assessment[[#This Row],[IPP (3 YEARS AVERAGE)]]="","(IPP Belum Ada)",IF(Data_Assessment[[#This Row],[IPP (3 YEARS AVERAGE)]]&lt;2,'9 Grid'!$F$2,IF(Data_Assessment[[#This Row],[IPP (3 YEARS AVERAGE)]]&gt;=4,'9 Grid'!$D$2,'9 Grid'!$E$2))),"")</f>
        <v>Exceptional Performance</v>
      </c>
      <c r="O651" s="146" t="str">
        <f ca="1">IFERROR(INDEX('9 Grid'!$D$4:$F$6,MATCH('Rekomendasi HAV'!M651,'9 Grid'!$B$4:$B$6,0),MATCH('Rekomendasi HAV'!N651,'9 Grid'!$D$2:$F$2,0)),"")</f>
        <v/>
      </c>
      <c r="P651" s="147" t="str">
        <f>IFERROR(INDEX('9 Grid'!$D$8:$F$8,1,MATCH('Rekomendasi HAV'!N651,'9 Grid'!$D$2:$F$2,0)),"")</f>
        <v>(I) Immediately</v>
      </c>
    </row>
    <row r="652" spans="1:16" ht="28.5">
      <c r="A652" s="67">
        <v>651</v>
      </c>
      <c r="B652" s="68" t="str">
        <f>INDEX(Data_Assessment[],MATCH('Rekomendasi HAV'!$A652,Data_Assessment[[INDEX]:[INDEX]],0),MATCH('Rekomendasi HAV'!B$1,Data_Assessment[#Headers],0))</f>
        <v>Miftahul Anshari</v>
      </c>
      <c r="C652" s="68" t="str">
        <f>INDEX(Data_Assessment[],MATCH('Rekomendasi HAV'!$A652,Data_Assessment[[INDEX]:[INDEX]],0),MATCH('Rekomendasi HAV'!C$1,Data_Assessment[#Headers],0))</f>
        <v>Kalimantan Timur</v>
      </c>
      <c r="D652" s="68" t="str">
        <f>INDEX(Data_Assessment[],MATCH('Rekomendasi HAV'!$A652,Data_Assessment[[INDEX]:[INDEX]],0),MATCH('Rekomendasi HAV'!D$1,Data_Assessment[#Headers],0))</f>
        <v>LSIP - Issuy Makmur Estate</v>
      </c>
      <c r="E652" s="68">
        <f>INDEX(Data_Assessment[],MATCH('Rekomendasi HAV'!$B652,Data_Assessment[[NAME]:[NAME]],0),MATCH('Rekomendasi HAV'!E$1,Data_Assessment[#Headers],0))</f>
        <v>0</v>
      </c>
      <c r="F652" s="68"/>
      <c r="G652" s="68">
        <f>IF(ISNUMBER(SEARCH("DEV",Assessment[[#This Row],[JOB TARGET]])),SUBSTITUTE(Assessment[[#This Row],[JOB TARGET]],"DEV","EST"),Assessment[[#This Row],[JOB TARGET]])</f>
        <v>0</v>
      </c>
      <c r="H652" s="146" t="str" cm="1">
        <f t="array" aca="1" ref="H652" ca="1">IF(Assessment[[#This Row],[JOB TARGET]]="","Job Target Kosong",IF(COUNT(IF('Data Assessment'!$N652:$Z652-OFFSET(Standar!$B$2,MATCH(Assessment[[#This Row],[JOB TARGET
(EST)]],Standar[NAMA JABATAN],0)-1,1,1,13)&lt;0,1,""))&lt;=3,'9 Grid'!$B$4,IF(COUNT(IF('Data Assessment'!$N652:$Z652-OFFSET(Standar!$B$2,MATCH(Assessment[[#This Row],[JOB TARGET]],Standar[NAMA JABATAN],0)-1,1,1,13)&lt;0,1,""))&gt;=7,'9 Grid'!$B$6,'9 Grid'!$B$5)))</f>
        <v>Job Target Kosong</v>
      </c>
      <c r="I652" s="146" t="str">
        <f>IFERROR(IF(Data_Assessment[[#This Row],[IPP (3 YEARS AVERAGE)]]="","(IPP Belum Ada)",IF(Data_Assessment[[#This Row],[IPP (3 YEARS AVERAGE)]]&lt;2,'9 Grid'!$F$2,IF(Data_Assessment[[#This Row],[IPP (3 YEARS AVERAGE)]]&gt;=4,'9 Grid'!$D$2,'9 Grid'!$E$2))),"")</f>
        <v>Fully Competence Performance</v>
      </c>
      <c r="J652" s="146" t="str">
        <f ca="1">IFERROR(INDEX('9 Grid'!$D$4:$F$6,MATCH('Rekomendasi HAV'!H652,'9 Grid'!$B$4:$B$6,0),MATCH('Rekomendasi HAV'!I652,'9 Grid'!$D$2:$F$2,0)),"")</f>
        <v/>
      </c>
      <c r="K652" s="146" t="str">
        <f>IFERROR(INDEX('9 Grid'!$D$8:$F$8,1,MATCH('Rekomendasi HAV'!I652,'9 Grid'!$D$2:$F$2,0)),"")</f>
        <v>(ST) Within 12 - 18 month</v>
      </c>
      <c r="L652" s="146">
        <f>IF(ISNUMBER(SEARCH("EST",Assessment[[#This Row],[JOB TARGET]])),SUBSTITUTE(Assessment[[#This Row],[JOB TARGET]],"EST","DEV"),Assessment[[#This Row],[JOB TARGET]])</f>
        <v>0</v>
      </c>
      <c r="M652" s="146" t="str" cm="1">
        <f t="array" aca="1" ref="M652" ca="1">IF(Assessment[[#This Row],[JOB TARGET]]="","Job Target Kosong",IF(COUNT(IF('Data Assessment'!$N652:$Z652-OFFSET(Standar!$B$2,MATCH(Assessment[[#This Row],[JOB TARGET
(DEV)]],Standar[NAMA JABATAN],0)-1,1,1,13)&lt;0,1,""))&lt;=3,'9 Grid'!$B$4,IF(COUNT(IF('Data Assessment'!$N652:$Z652-OFFSET(Standar!$B$2,MATCH(Assessment[[#This Row],[JOB TARGET
(DEV)]],Standar[NAMA JABATAN],0)-1,1,1,13)&lt;0,1,""))&gt;=7,'9 Grid'!$B$6,'9 Grid'!$B$5)))</f>
        <v>Job Target Kosong</v>
      </c>
      <c r="N652" s="146" t="str">
        <f>IFERROR(IF(Data_Assessment[[#This Row],[IPP (3 YEARS AVERAGE)]]="","(IPP Belum Ada)",IF(Data_Assessment[[#This Row],[IPP (3 YEARS AVERAGE)]]&lt;2,'9 Grid'!$F$2,IF(Data_Assessment[[#This Row],[IPP (3 YEARS AVERAGE)]]&gt;=4,'9 Grid'!$D$2,'9 Grid'!$E$2))),"")</f>
        <v>Fully Competence Performance</v>
      </c>
      <c r="O652" s="146" t="str">
        <f ca="1">IFERROR(INDEX('9 Grid'!$D$4:$F$6,MATCH('Rekomendasi HAV'!M652,'9 Grid'!$B$4:$B$6,0),MATCH('Rekomendasi HAV'!N652,'9 Grid'!$D$2:$F$2,0)),"")</f>
        <v/>
      </c>
      <c r="P652" s="147" t="str">
        <f>IFERROR(INDEX('9 Grid'!$D$8:$F$8,1,MATCH('Rekomendasi HAV'!N652,'9 Grid'!$D$2:$F$2,0)),"")</f>
        <v>(ST) Within 12 - 18 month</v>
      </c>
    </row>
    <row r="653" spans="1:16" ht="28.5">
      <c r="A653" s="67">
        <v>652</v>
      </c>
      <c r="B653" s="68" t="str">
        <f>INDEX(Data_Assessment[],MATCH('Rekomendasi HAV'!$A653,Data_Assessment[[INDEX]:[INDEX]],0),MATCH('Rekomendasi HAV'!B$1,Data_Assessment[#Headers],0))</f>
        <v>Abd. Goffar</v>
      </c>
      <c r="C653" s="68" t="str">
        <f>INDEX(Data_Assessment[],MATCH('Rekomendasi HAV'!$A653,Data_Assessment[[INDEX]:[INDEX]],0),MATCH('Rekomendasi HAV'!C$1,Data_Assessment[#Headers],0))</f>
        <v>Kalimantan Timur</v>
      </c>
      <c r="D653" s="68" t="str">
        <f>INDEX(Data_Assessment[],MATCH('Rekomendasi HAV'!$A653,Data_Assessment[[INDEX]:[INDEX]],0),MATCH('Rekomendasi HAV'!D$1,Data_Assessment[#Headers],0))</f>
        <v>LSIP - Issuy Makmur Estate</v>
      </c>
      <c r="E653" s="68">
        <f>INDEX(Data_Assessment[],MATCH('Rekomendasi HAV'!$B653,Data_Assessment[[NAME]:[NAME]],0),MATCH('Rekomendasi HAV'!E$1,Data_Assessment[#Headers],0))</f>
        <v>0</v>
      </c>
      <c r="F653" s="68"/>
      <c r="G653" s="68">
        <f>IF(ISNUMBER(SEARCH("DEV",Assessment[[#This Row],[JOB TARGET]])),SUBSTITUTE(Assessment[[#This Row],[JOB TARGET]],"DEV","EST"),Assessment[[#This Row],[JOB TARGET]])</f>
        <v>0</v>
      </c>
      <c r="H653" s="146" t="str" cm="1">
        <f t="array" aca="1" ref="H653" ca="1">IF(Assessment[[#This Row],[JOB TARGET]]="","Job Target Kosong",IF(COUNT(IF('Data Assessment'!$N653:$Z653-OFFSET(Standar!$B$2,MATCH(Assessment[[#This Row],[JOB TARGET
(EST)]],Standar[NAMA JABATAN],0)-1,1,1,13)&lt;0,1,""))&lt;=3,'9 Grid'!$B$4,IF(COUNT(IF('Data Assessment'!$N653:$Z653-OFFSET(Standar!$B$2,MATCH(Assessment[[#This Row],[JOB TARGET]],Standar[NAMA JABATAN],0)-1,1,1,13)&lt;0,1,""))&gt;=7,'9 Grid'!$B$6,'9 Grid'!$B$5)))</f>
        <v>Job Target Kosong</v>
      </c>
      <c r="I653" s="146" t="str">
        <f>IFERROR(IF(Data_Assessment[[#This Row],[IPP (3 YEARS AVERAGE)]]="","(IPP Belum Ada)",IF(Data_Assessment[[#This Row],[IPP (3 YEARS AVERAGE)]]&lt;2,'9 Grid'!$F$2,IF(Data_Assessment[[#This Row],[IPP (3 YEARS AVERAGE)]]&gt;=4,'9 Grid'!$D$2,'9 Grid'!$E$2))),"")</f>
        <v>Contributor</v>
      </c>
      <c r="J653" s="146" t="str">
        <f ca="1">IFERROR(INDEX('9 Grid'!$D$4:$F$6,MATCH('Rekomendasi HAV'!H653,'9 Grid'!$B$4:$B$6,0),MATCH('Rekomendasi HAV'!I653,'9 Grid'!$D$2:$F$2,0)),"")</f>
        <v/>
      </c>
      <c r="K653" s="146" t="str">
        <f>IFERROR(INDEX('9 Grid'!$D$8:$F$8,1,MATCH('Rekomendasi HAV'!I653,'9 Grid'!$D$2:$F$2,0)),"")</f>
        <v>(LT) More 2 - 3 year</v>
      </c>
      <c r="L653" s="146">
        <f>IF(ISNUMBER(SEARCH("EST",Assessment[[#This Row],[JOB TARGET]])),SUBSTITUTE(Assessment[[#This Row],[JOB TARGET]],"EST","DEV"),Assessment[[#This Row],[JOB TARGET]])</f>
        <v>0</v>
      </c>
      <c r="M653" s="146" t="str" cm="1">
        <f t="array" aca="1" ref="M653" ca="1">IF(Assessment[[#This Row],[JOB TARGET]]="","Job Target Kosong",IF(COUNT(IF('Data Assessment'!$N653:$Z653-OFFSET(Standar!$B$2,MATCH(Assessment[[#This Row],[JOB TARGET
(DEV)]],Standar[NAMA JABATAN],0)-1,1,1,13)&lt;0,1,""))&lt;=3,'9 Grid'!$B$4,IF(COUNT(IF('Data Assessment'!$N653:$Z653-OFFSET(Standar!$B$2,MATCH(Assessment[[#This Row],[JOB TARGET
(DEV)]],Standar[NAMA JABATAN],0)-1,1,1,13)&lt;0,1,""))&gt;=7,'9 Grid'!$B$6,'9 Grid'!$B$5)))</f>
        <v>Job Target Kosong</v>
      </c>
      <c r="N653" s="146" t="str">
        <f>IFERROR(IF(Data_Assessment[[#This Row],[IPP (3 YEARS AVERAGE)]]="","(IPP Belum Ada)",IF(Data_Assessment[[#This Row],[IPP (3 YEARS AVERAGE)]]&lt;2,'9 Grid'!$F$2,IF(Data_Assessment[[#This Row],[IPP (3 YEARS AVERAGE)]]&gt;=4,'9 Grid'!$D$2,'9 Grid'!$E$2))),"")</f>
        <v>Contributor</v>
      </c>
      <c r="O653" s="146" t="str">
        <f ca="1">IFERROR(INDEX('9 Grid'!$D$4:$F$6,MATCH('Rekomendasi HAV'!M653,'9 Grid'!$B$4:$B$6,0),MATCH('Rekomendasi HAV'!N653,'9 Grid'!$D$2:$F$2,0)),"")</f>
        <v/>
      </c>
      <c r="P653" s="147" t="str">
        <f>IFERROR(INDEX('9 Grid'!$D$8:$F$8,1,MATCH('Rekomendasi HAV'!N653,'9 Grid'!$D$2:$F$2,0)),"")</f>
        <v>(LT) More 2 - 3 year</v>
      </c>
    </row>
    <row r="654" spans="1:16" ht="28.5">
      <c r="A654" s="67">
        <v>653</v>
      </c>
      <c r="B654" s="68" t="str">
        <f>INDEX(Data_Assessment[],MATCH('Rekomendasi HAV'!$A654,Data_Assessment[[INDEX]:[INDEX]],0),MATCH('Rekomendasi HAV'!B$1,Data_Assessment[#Headers],0))</f>
        <v>Azul Syahrul Sinaga</v>
      </c>
      <c r="C654" s="68" t="str">
        <f>INDEX(Data_Assessment[],MATCH('Rekomendasi HAV'!$A654,Data_Assessment[[INDEX]:[INDEX]],0),MATCH('Rekomendasi HAV'!C$1,Data_Assessment[#Headers],0))</f>
        <v>Kalimantan Timur</v>
      </c>
      <c r="D654" s="68" t="str">
        <f>INDEX(Data_Assessment[],MATCH('Rekomendasi HAV'!$A654,Data_Assessment[[INDEX]:[INDEX]],0),MATCH('Rekomendasi HAV'!D$1,Data_Assessment[#Headers],0))</f>
        <v>LSIP - Issuy Makmur Estate</v>
      </c>
      <c r="E654" s="68">
        <f>INDEX(Data_Assessment[],MATCH('Rekomendasi HAV'!$B654,Data_Assessment[[NAME]:[NAME]],0),MATCH('Rekomendasi HAV'!E$1,Data_Assessment[#Headers],0))</f>
        <v>0</v>
      </c>
      <c r="F654" s="68"/>
      <c r="G654" s="68">
        <f>IF(ISNUMBER(SEARCH("DEV",Assessment[[#This Row],[JOB TARGET]])),SUBSTITUTE(Assessment[[#This Row],[JOB TARGET]],"DEV","EST"),Assessment[[#This Row],[JOB TARGET]])</f>
        <v>0</v>
      </c>
      <c r="H654" s="146" t="str" cm="1">
        <f t="array" aca="1" ref="H654" ca="1">IF(Assessment[[#This Row],[JOB TARGET]]="","Job Target Kosong",IF(COUNT(IF('Data Assessment'!$N654:$Z654-OFFSET(Standar!$B$2,MATCH(Assessment[[#This Row],[JOB TARGET
(EST)]],Standar[NAMA JABATAN],0)-1,1,1,13)&lt;0,1,""))&lt;=3,'9 Grid'!$B$4,IF(COUNT(IF('Data Assessment'!$N654:$Z654-OFFSET(Standar!$B$2,MATCH(Assessment[[#This Row],[JOB TARGET]],Standar[NAMA JABATAN],0)-1,1,1,13)&lt;0,1,""))&gt;=7,'9 Grid'!$B$6,'9 Grid'!$B$5)))</f>
        <v>Job Target Kosong</v>
      </c>
      <c r="I654" s="146" t="str">
        <f>IFERROR(IF(Data_Assessment[[#This Row],[IPP (3 YEARS AVERAGE)]]="","(IPP Belum Ada)",IF(Data_Assessment[[#This Row],[IPP (3 YEARS AVERAGE)]]&lt;2,'9 Grid'!$F$2,IF(Data_Assessment[[#This Row],[IPP (3 YEARS AVERAGE)]]&gt;=4,'9 Grid'!$D$2,'9 Grid'!$E$2))),"")</f>
        <v>Fully Competence Performance</v>
      </c>
      <c r="J654" s="146" t="str">
        <f ca="1">IFERROR(INDEX('9 Grid'!$D$4:$F$6,MATCH('Rekomendasi HAV'!H654,'9 Grid'!$B$4:$B$6,0),MATCH('Rekomendasi HAV'!I654,'9 Grid'!$D$2:$F$2,0)),"")</f>
        <v/>
      </c>
      <c r="K654" s="146" t="str">
        <f>IFERROR(INDEX('9 Grid'!$D$8:$F$8,1,MATCH('Rekomendasi HAV'!I654,'9 Grid'!$D$2:$F$2,0)),"")</f>
        <v>(ST) Within 12 - 18 month</v>
      </c>
      <c r="L654" s="146">
        <f>IF(ISNUMBER(SEARCH("EST",Assessment[[#This Row],[JOB TARGET]])),SUBSTITUTE(Assessment[[#This Row],[JOB TARGET]],"EST","DEV"),Assessment[[#This Row],[JOB TARGET]])</f>
        <v>0</v>
      </c>
      <c r="M654" s="146" t="str" cm="1">
        <f t="array" aca="1" ref="M654" ca="1">IF(Assessment[[#This Row],[JOB TARGET]]="","Job Target Kosong",IF(COUNT(IF('Data Assessment'!$N654:$Z654-OFFSET(Standar!$B$2,MATCH(Assessment[[#This Row],[JOB TARGET
(DEV)]],Standar[NAMA JABATAN],0)-1,1,1,13)&lt;0,1,""))&lt;=3,'9 Grid'!$B$4,IF(COUNT(IF('Data Assessment'!$N654:$Z654-OFFSET(Standar!$B$2,MATCH(Assessment[[#This Row],[JOB TARGET
(DEV)]],Standar[NAMA JABATAN],0)-1,1,1,13)&lt;0,1,""))&gt;=7,'9 Grid'!$B$6,'9 Grid'!$B$5)))</f>
        <v>Job Target Kosong</v>
      </c>
      <c r="N654" s="146" t="str">
        <f>IFERROR(IF(Data_Assessment[[#This Row],[IPP (3 YEARS AVERAGE)]]="","(IPP Belum Ada)",IF(Data_Assessment[[#This Row],[IPP (3 YEARS AVERAGE)]]&lt;2,'9 Grid'!$F$2,IF(Data_Assessment[[#This Row],[IPP (3 YEARS AVERAGE)]]&gt;=4,'9 Grid'!$D$2,'9 Grid'!$E$2))),"")</f>
        <v>Fully Competence Performance</v>
      </c>
      <c r="O654" s="146" t="str">
        <f ca="1">IFERROR(INDEX('9 Grid'!$D$4:$F$6,MATCH('Rekomendasi HAV'!M654,'9 Grid'!$B$4:$B$6,0),MATCH('Rekomendasi HAV'!N654,'9 Grid'!$D$2:$F$2,0)),"")</f>
        <v/>
      </c>
      <c r="P654" s="147" t="str">
        <f>IFERROR(INDEX('9 Grid'!$D$8:$F$8,1,MATCH('Rekomendasi HAV'!N654,'9 Grid'!$D$2:$F$2,0)),"")</f>
        <v>(ST) Within 12 - 18 month</v>
      </c>
    </row>
    <row r="655" spans="1:16" ht="14.25">
      <c r="A655" s="67">
        <v>654</v>
      </c>
      <c r="B655" s="68" t="str">
        <f>INDEX(Data_Assessment[],MATCH('Rekomendasi HAV'!$A655,Data_Assessment[[INDEX]:[INDEX]],0),MATCH('Rekomendasi HAV'!B$1,Data_Assessment[#Headers],0))</f>
        <v>Zainal Arifin Tarigan</v>
      </c>
      <c r="C655" s="68" t="str">
        <f>INDEX(Data_Assessment[],MATCH('Rekomendasi HAV'!$A655,Data_Assessment[[INDEX]:[INDEX]],0),MATCH('Rekomendasi HAV'!C$1,Data_Assessment[#Headers],0))</f>
        <v>Kalimantan Timur</v>
      </c>
      <c r="D655" s="68" t="str">
        <f>INDEX(Data_Assessment[],MATCH('Rekomendasi HAV'!$A655,Data_Assessment[[INDEX]:[INDEX]],0),MATCH('Rekomendasi HAV'!D$1,Data_Assessment[#Headers],0))</f>
        <v>LSIP - Issuy Makmur Estate</v>
      </c>
      <c r="E655" s="68">
        <f>INDEX(Data_Assessment[],MATCH('Rekomendasi HAV'!$B655,Data_Assessment[[NAME]:[NAME]],0),MATCH('Rekomendasi HAV'!E$1,Data_Assessment[#Headers],0))</f>
        <v>0</v>
      </c>
      <c r="F655" s="68"/>
      <c r="G655" s="68">
        <f>IF(ISNUMBER(SEARCH("DEV",Assessment[[#This Row],[JOB TARGET]])),SUBSTITUTE(Assessment[[#This Row],[JOB TARGET]],"DEV","EST"),Assessment[[#This Row],[JOB TARGET]])</f>
        <v>0</v>
      </c>
      <c r="H655" s="146" t="str" cm="1">
        <f t="array" aca="1" ref="H655" ca="1">IF(Assessment[[#This Row],[JOB TARGET]]="","Job Target Kosong",IF(COUNT(IF('Data Assessment'!$N655:$Z655-OFFSET(Standar!$B$2,MATCH(Assessment[[#This Row],[JOB TARGET
(EST)]],Standar[NAMA JABATAN],0)-1,1,1,13)&lt;0,1,""))&lt;=3,'9 Grid'!$B$4,IF(COUNT(IF('Data Assessment'!$N655:$Z655-OFFSET(Standar!$B$2,MATCH(Assessment[[#This Row],[JOB TARGET]],Standar[NAMA JABATAN],0)-1,1,1,13)&lt;0,1,""))&gt;=7,'9 Grid'!$B$6,'9 Grid'!$B$5)))</f>
        <v>Job Target Kosong</v>
      </c>
      <c r="I655" s="146" t="str">
        <f>IFERROR(IF(Data_Assessment[[#This Row],[IPP (3 YEARS AVERAGE)]]="","(IPP Belum Ada)",IF(Data_Assessment[[#This Row],[IPP (3 YEARS AVERAGE)]]&lt;2,'9 Grid'!$F$2,IF(Data_Assessment[[#This Row],[IPP (3 YEARS AVERAGE)]]&gt;=4,'9 Grid'!$D$2,'9 Grid'!$E$2))),"")</f>
        <v>Exceptional Performance</v>
      </c>
      <c r="J655" s="146" t="str">
        <f ca="1">IFERROR(INDEX('9 Grid'!$D$4:$F$6,MATCH('Rekomendasi HAV'!H655,'9 Grid'!$B$4:$B$6,0),MATCH('Rekomendasi HAV'!I655,'9 Grid'!$D$2:$F$2,0)),"")</f>
        <v/>
      </c>
      <c r="K655" s="146" t="str">
        <f>IFERROR(INDEX('9 Grid'!$D$8:$F$8,1,MATCH('Rekomendasi HAV'!I655,'9 Grid'!$D$2:$F$2,0)),"")</f>
        <v>(I) Immediately</v>
      </c>
      <c r="L655" s="146">
        <f>IF(ISNUMBER(SEARCH("EST",Assessment[[#This Row],[JOB TARGET]])),SUBSTITUTE(Assessment[[#This Row],[JOB TARGET]],"EST","DEV"),Assessment[[#This Row],[JOB TARGET]])</f>
        <v>0</v>
      </c>
      <c r="M655" s="146" t="str" cm="1">
        <f t="array" aca="1" ref="M655" ca="1">IF(Assessment[[#This Row],[JOB TARGET]]="","Job Target Kosong",IF(COUNT(IF('Data Assessment'!$N655:$Z655-OFFSET(Standar!$B$2,MATCH(Assessment[[#This Row],[JOB TARGET
(DEV)]],Standar[NAMA JABATAN],0)-1,1,1,13)&lt;0,1,""))&lt;=3,'9 Grid'!$B$4,IF(COUNT(IF('Data Assessment'!$N655:$Z655-OFFSET(Standar!$B$2,MATCH(Assessment[[#This Row],[JOB TARGET
(DEV)]],Standar[NAMA JABATAN],0)-1,1,1,13)&lt;0,1,""))&gt;=7,'9 Grid'!$B$6,'9 Grid'!$B$5)))</f>
        <v>Job Target Kosong</v>
      </c>
      <c r="N655" s="146" t="str">
        <f>IFERROR(IF(Data_Assessment[[#This Row],[IPP (3 YEARS AVERAGE)]]="","(IPP Belum Ada)",IF(Data_Assessment[[#This Row],[IPP (3 YEARS AVERAGE)]]&lt;2,'9 Grid'!$F$2,IF(Data_Assessment[[#This Row],[IPP (3 YEARS AVERAGE)]]&gt;=4,'9 Grid'!$D$2,'9 Grid'!$E$2))),"")</f>
        <v>Exceptional Performance</v>
      </c>
      <c r="O655" s="146" t="str">
        <f ca="1">IFERROR(INDEX('9 Grid'!$D$4:$F$6,MATCH('Rekomendasi HAV'!M655,'9 Grid'!$B$4:$B$6,0),MATCH('Rekomendasi HAV'!N655,'9 Grid'!$D$2:$F$2,0)),"")</f>
        <v/>
      </c>
      <c r="P655" s="147" t="str">
        <f>IFERROR(INDEX('9 Grid'!$D$8:$F$8,1,MATCH('Rekomendasi HAV'!N655,'9 Grid'!$D$2:$F$2,0)),"")</f>
        <v>(I) Immediately</v>
      </c>
    </row>
    <row r="656" spans="1:16" ht="28.5">
      <c r="A656" s="67">
        <v>655</v>
      </c>
      <c r="B656" s="68" t="str">
        <f>INDEX(Data_Assessment[],MATCH('Rekomendasi HAV'!$A656,Data_Assessment[[INDEX]:[INDEX]],0),MATCH('Rekomendasi HAV'!B$1,Data_Assessment[#Headers],0))</f>
        <v>Yuliansyah</v>
      </c>
      <c r="C656" s="68" t="str">
        <f>INDEX(Data_Assessment[],MATCH('Rekomendasi HAV'!$A656,Data_Assessment[[INDEX]:[INDEX]],0),MATCH('Rekomendasi HAV'!C$1,Data_Assessment[#Headers],0))</f>
        <v>Kalimantan Timur</v>
      </c>
      <c r="D656" s="68" t="str">
        <f>INDEX(Data_Assessment[],MATCH('Rekomendasi HAV'!$A656,Data_Assessment[[INDEX]:[INDEX]],0),MATCH('Rekomendasi HAV'!D$1,Data_Assessment[#Headers],0))</f>
        <v>LSIP - Kedang Makmur Estate</v>
      </c>
      <c r="E656" s="68">
        <f>INDEX(Data_Assessment[],MATCH('Rekomendasi HAV'!$B656,Data_Assessment[[NAME]:[NAME]],0),MATCH('Rekomendasi HAV'!E$1,Data_Assessment[#Headers],0))</f>
        <v>0</v>
      </c>
      <c r="F656" s="68"/>
      <c r="G656" s="68">
        <f>IF(ISNUMBER(SEARCH("DEV",Assessment[[#This Row],[JOB TARGET]])),SUBSTITUTE(Assessment[[#This Row],[JOB TARGET]],"DEV","EST"),Assessment[[#This Row],[JOB TARGET]])</f>
        <v>0</v>
      </c>
      <c r="H656" s="146" t="str" cm="1">
        <f t="array" aca="1" ref="H656" ca="1">IF(Assessment[[#This Row],[JOB TARGET]]="","Job Target Kosong",IF(COUNT(IF('Data Assessment'!$N656:$Z656-OFFSET(Standar!$B$2,MATCH(Assessment[[#This Row],[JOB TARGET
(EST)]],Standar[NAMA JABATAN],0)-1,1,1,13)&lt;0,1,""))&lt;=3,'9 Grid'!$B$4,IF(COUNT(IF('Data Assessment'!$N656:$Z656-OFFSET(Standar!$B$2,MATCH(Assessment[[#This Row],[JOB TARGET]],Standar[NAMA JABATAN],0)-1,1,1,13)&lt;0,1,""))&gt;=7,'9 Grid'!$B$6,'9 Grid'!$B$5)))</f>
        <v>Job Target Kosong</v>
      </c>
      <c r="I656" s="146" t="str">
        <f>IFERROR(IF(Data_Assessment[[#This Row],[IPP (3 YEARS AVERAGE)]]="","(IPP Belum Ada)",IF(Data_Assessment[[#This Row],[IPP (3 YEARS AVERAGE)]]&lt;2,'9 Grid'!$F$2,IF(Data_Assessment[[#This Row],[IPP (3 YEARS AVERAGE)]]&gt;=4,'9 Grid'!$D$2,'9 Grid'!$E$2))),"")</f>
        <v>Fully Competence Performance</v>
      </c>
      <c r="J656" s="146" t="str">
        <f ca="1">IFERROR(INDEX('9 Grid'!$D$4:$F$6,MATCH('Rekomendasi HAV'!H656,'9 Grid'!$B$4:$B$6,0),MATCH('Rekomendasi HAV'!I656,'9 Grid'!$D$2:$F$2,0)),"")</f>
        <v/>
      </c>
      <c r="K656" s="146" t="str">
        <f>IFERROR(INDEX('9 Grid'!$D$8:$F$8,1,MATCH('Rekomendasi HAV'!I656,'9 Grid'!$D$2:$F$2,0)),"")</f>
        <v>(ST) Within 12 - 18 month</v>
      </c>
      <c r="L656" s="146">
        <f>IF(ISNUMBER(SEARCH("EST",Assessment[[#This Row],[JOB TARGET]])),SUBSTITUTE(Assessment[[#This Row],[JOB TARGET]],"EST","DEV"),Assessment[[#This Row],[JOB TARGET]])</f>
        <v>0</v>
      </c>
      <c r="M656" s="146" t="str" cm="1">
        <f t="array" aca="1" ref="M656" ca="1">IF(Assessment[[#This Row],[JOB TARGET]]="","Job Target Kosong",IF(COUNT(IF('Data Assessment'!$N656:$Z656-OFFSET(Standar!$B$2,MATCH(Assessment[[#This Row],[JOB TARGET
(DEV)]],Standar[NAMA JABATAN],0)-1,1,1,13)&lt;0,1,""))&lt;=3,'9 Grid'!$B$4,IF(COUNT(IF('Data Assessment'!$N656:$Z656-OFFSET(Standar!$B$2,MATCH(Assessment[[#This Row],[JOB TARGET
(DEV)]],Standar[NAMA JABATAN],0)-1,1,1,13)&lt;0,1,""))&gt;=7,'9 Grid'!$B$6,'9 Grid'!$B$5)))</f>
        <v>Job Target Kosong</v>
      </c>
      <c r="N656" s="146" t="str">
        <f>IFERROR(IF(Data_Assessment[[#This Row],[IPP (3 YEARS AVERAGE)]]="","(IPP Belum Ada)",IF(Data_Assessment[[#This Row],[IPP (3 YEARS AVERAGE)]]&lt;2,'9 Grid'!$F$2,IF(Data_Assessment[[#This Row],[IPP (3 YEARS AVERAGE)]]&gt;=4,'9 Grid'!$D$2,'9 Grid'!$E$2))),"")</f>
        <v>Fully Competence Performance</v>
      </c>
      <c r="O656" s="146" t="str">
        <f ca="1">IFERROR(INDEX('9 Grid'!$D$4:$F$6,MATCH('Rekomendasi HAV'!M656,'9 Grid'!$B$4:$B$6,0),MATCH('Rekomendasi HAV'!N656,'9 Grid'!$D$2:$F$2,0)),"")</f>
        <v/>
      </c>
      <c r="P656" s="147" t="str">
        <f>IFERROR(INDEX('9 Grid'!$D$8:$F$8,1,MATCH('Rekomendasi HAV'!N656,'9 Grid'!$D$2:$F$2,0)),"")</f>
        <v>(ST) Within 12 - 18 month</v>
      </c>
    </row>
    <row r="657" spans="1:16" ht="28.5">
      <c r="A657" s="67">
        <v>656</v>
      </c>
      <c r="B657" s="68" t="str">
        <f>INDEX(Data_Assessment[],MATCH('Rekomendasi HAV'!$A657,Data_Assessment[[INDEX]:[INDEX]],0),MATCH('Rekomendasi HAV'!B$1,Data_Assessment[#Headers],0))</f>
        <v>Helmar Syarif, SH</v>
      </c>
      <c r="C657" s="68" t="str">
        <f>INDEX(Data_Assessment[],MATCH('Rekomendasi HAV'!$A657,Data_Assessment[[INDEX]:[INDEX]],0),MATCH('Rekomendasi HAV'!C$1,Data_Assessment[#Headers],0))</f>
        <v>Kalimantan Timur</v>
      </c>
      <c r="D657" s="68" t="str">
        <f>INDEX(Data_Assessment[],MATCH('Rekomendasi HAV'!$A657,Data_Assessment[[INDEX]:[INDEX]],0),MATCH('Rekomendasi HAV'!D$1,Data_Assessment[#Headers],0))</f>
        <v>LSIP - Kedang Makmur Estate</v>
      </c>
      <c r="E657" s="68">
        <f>INDEX(Data_Assessment[],MATCH('Rekomendasi HAV'!$B657,Data_Assessment[[NAME]:[NAME]],0),MATCH('Rekomendasi HAV'!E$1,Data_Assessment[#Headers],0))</f>
        <v>0</v>
      </c>
      <c r="F657" s="68"/>
      <c r="G657" s="68">
        <f>IF(ISNUMBER(SEARCH("DEV",Assessment[[#This Row],[JOB TARGET]])),SUBSTITUTE(Assessment[[#This Row],[JOB TARGET]],"DEV","EST"),Assessment[[#This Row],[JOB TARGET]])</f>
        <v>0</v>
      </c>
      <c r="H657" s="146" t="str" cm="1">
        <f t="array" aca="1" ref="H657" ca="1">IF(Assessment[[#This Row],[JOB TARGET]]="","Job Target Kosong",IF(COUNT(IF('Data Assessment'!$N657:$Z657-OFFSET(Standar!$B$2,MATCH(Assessment[[#This Row],[JOB TARGET
(EST)]],Standar[NAMA JABATAN],0)-1,1,1,13)&lt;0,1,""))&lt;=3,'9 Grid'!$B$4,IF(COUNT(IF('Data Assessment'!$N657:$Z657-OFFSET(Standar!$B$2,MATCH(Assessment[[#This Row],[JOB TARGET]],Standar[NAMA JABATAN],0)-1,1,1,13)&lt;0,1,""))&gt;=7,'9 Grid'!$B$6,'9 Grid'!$B$5)))</f>
        <v>Job Target Kosong</v>
      </c>
      <c r="I657" s="146" t="str">
        <f>IFERROR(IF(Data_Assessment[[#This Row],[IPP (3 YEARS AVERAGE)]]="","(IPP Belum Ada)",IF(Data_Assessment[[#This Row],[IPP (3 YEARS AVERAGE)]]&lt;2,'9 Grid'!$F$2,IF(Data_Assessment[[#This Row],[IPP (3 YEARS AVERAGE)]]&gt;=4,'9 Grid'!$D$2,'9 Grid'!$E$2))),"")</f>
        <v>Fully Competence Performance</v>
      </c>
      <c r="J657" s="146" t="str">
        <f ca="1">IFERROR(INDEX('9 Grid'!$D$4:$F$6,MATCH('Rekomendasi HAV'!H657,'9 Grid'!$B$4:$B$6,0),MATCH('Rekomendasi HAV'!I657,'9 Grid'!$D$2:$F$2,0)),"")</f>
        <v/>
      </c>
      <c r="K657" s="146" t="str">
        <f>IFERROR(INDEX('9 Grid'!$D$8:$F$8,1,MATCH('Rekomendasi HAV'!I657,'9 Grid'!$D$2:$F$2,0)),"")</f>
        <v>(ST) Within 12 - 18 month</v>
      </c>
      <c r="L657" s="146">
        <f>IF(ISNUMBER(SEARCH("EST",Assessment[[#This Row],[JOB TARGET]])),SUBSTITUTE(Assessment[[#This Row],[JOB TARGET]],"EST","DEV"),Assessment[[#This Row],[JOB TARGET]])</f>
        <v>0</v>
      </c>
      <c r="M657" s="146" t="str" cm="1">
        <f t="array" aca="1" ref="M657" ca="1">IF(Assessment[[#This Row],[JOB TARGET]]="","Job Target Kosong",IF(COUNT(IF('Data Assessment'!$N657:$Z657-OFFSET(Standar!$B$2,MATCH(Assessment[[#This Row],[JOB TARGET
(DEV)]],Standar[NAMA JABATAN],0)-1,1,1,13)&lt;0,1,""))&lt;=3,'9 Grid'!$B$4,IF(COUNT(IF('Data Assessment'!$N657:$Z657-OFFSET(Standar!$B$2,MATCH(Assessment[[#This Row],[JOB TARGET
(DEV)]],Standar[NAMA JABATAN],0)-1,1,1,13)&lt;0,1,""))&gt;=7,'9 Grid'!$B$6,'9 Grid'!$B$5)))</f>
        <v>Job Target Kosong</v>
      </c>
      <c r="N657" s="146" t="str">
        <f>IFERROR(IF(Data_Assessment[[#This Row],[IPP (3 YEARS AVERAGE)]]="","(IPP Belum Ada)",IF(Data_Assessment[[#This Row],[IPP (3 YEARS AVERAGE)]]&lt;2,'9 Grid'!$F$2,IF(Data_Assessment[[#This Row],[IPP (3 YEARS AVERAGE)]]&gt;=4,'9 Grid'!$D$2,'9 Grid'!$E$2))),"")</f>
        <v>Fully Competence Performance</v>
      </c>
      <c r="O657" s="146" t="str">
        <f ca="1">IFERROR(INDEX('9 Grid'!$D$4:$F$6,MATCH('Rekomendasi HAV'!M657,'9 Grid'!$B$4:$B$6,0),MATCH('Rekomendasi HAV'!N657,'9 Grid'!$D$2:$F$2,0)),"")</f>
        <v/>
      </c>
      <c r="P657" s="147" t="str">
        <f>IFERROR(INDEX('9 Grid'!$D$8:$F$8,1,MATCH('Rekomendasi HAV'!N657,'9 Grid'!$D$2:$F$2,0)),"")</f>
        <v>(ST) Within 12 - 18 month</v>
      </c>
    </row>
    <row r="658" spans="1:16" ht="28.5">
      <c r="A658" s="67">
        <v>657</v>
      </c>
      <c r="B658" s="68" t="str">
        <f>INDEX(Data_Assessment[],MATCH('Rekomendasi HAV'!$A658,Data_Assessment[[INDEX]:[INDEX]],0),MATCH('Rekomendasi HAV'!B$1,Data_Assessment[#Headers],0))</f>
        <v>Edi Sucipto</v>
      </c>
      <c r="C658" s="68" t="str">
        <f>INDEX(Data_Assessment[],MATCH('Rekomendasi HAV'!$A658,Data_Assessment[[INDEX]:[INDEX]],0),MATCH('Rekomendasi HAV'!C$1,Data_Assessment[#Headers],0))</f>
        <v>Kalimantan Timur</v>
      </c>
      <c r="D658" s="68" t="str">
        <f>INDEX(Data_Assessment[],MATCH('Rekomendasi HAV'!$A658,Data_Assessment[[INDEX]:[INDEX]],0),MATCH('Rekomendasi HAV'!D$1,Data_Assessment[#Headers],0))</f>
        <v>LSIP - Kedang Makmur Estate</v>
      </c>
      <c r="E658" s="68">
        <f>INDEX(Data_Assessment[],MATCH('Rekomendasi HAV'!$B658,Data_Assessment[[NAME]:[NAME]],0),MATCH('Rekomendasi HAV'!E$1,Data_Assessment[#Headers],0))</f>
        <v>0</v>
      </c>
      <c r="F658" s="68"/>
      <c r="G658" s="68">
        <f>IF(ISNUMBER(SEARCH("DEV",Assessment[[#This Row],[JOB TARGET]])),SUBSTITUTE(Assessment[[#This Row],[JOB TARGET]],"DEV","EST"),Assessment[[#This Row],[JOB TARGET]])</f>
        <v>0</v>
      </c>
      <c r="H658" s="146" t="str" cm="1">
        <f t="array" aca="1" ref="H658" ca="1">IF(Assessment[[#This Row],[JOB TARGET]]="","Job Target Kosong",IF(COUNT(IF('Data Assessment'!$N658:$Z658-OFFSET(Standar!$B$2,MATCH(Assessment[[#This Row],[JOB TARGET
(EST)]],Standar[NAMA JABATAN],0)-1,1,1,13)&lt;0,1,""))&lt;=3,'9 Grid'!$B$4,IF(COUNT(IF('Data Assessment'!$N658:$Z658-OFFSET(Standar!$B$2,MATCH(Assessment[[#This Row],[JOB TARGET]],Standar[NAMA JABATAN],0)-1,1,1,13)&lt;0,1,""))&gt;=7,'9 Grid'!$B$6,'9 Grid'!$B$5)))</f>
        <v>Job Target Kosong</v>
      </c>
      <c r="I658" s="146" t="str">
        <f>IFERROR(IF(Data_Assessment[[#This Row],[IPP (3 YEARS AVERAGE)]]="","(IPP Belum Ada)",IF(Data_Assessment[[#This Row],[IPP (3 YEARS AVERAGE)]]&lt;2,'9 Grid'!$F$2,IF(Data_Assessment[[#This Row],[IPP (3 YEARS AVERAGE)]]&gt;=4,'9 Grid'!$D$2,'9 Grid'!$E$2))),"")</f>
        <v>Fully Competence Performance</v>
      </c>
      <c r="J658" s="146" t="str">
        <f ca="1">IFERROR(INDEX('9 Grid'!$D$4:$F$6,MATCH('Rekomendasi HAV'!H658,'9 Grid'!$B$4:$B$6,0),MATCH('Rekomendasi HAV'!I658,'9 Grid'!$D$2:$F$2,0)),"")</f>
        <v/>
      </c>
      <c r="K658" s="146" t="str">
        <f>IFERROR(INDEX('9 Grid'!$D$8:$F$8,1,MATCH('Rekomendasi HAV'!I658,'9 Grid'!$D$2:$F$2,0)),"")</f>
        <v>(ST) Within 12 - 18 month</v>
      </c>
      <c r="L658" s="146">
        <f>IF(ISNUMBER(SEARCH("EST",Assessment[[#This Row],[JOB TARGET]])),SUBSTITUTE(Assessment[[#This Row],[JOB TARGET]],"EST","DEV"),Assessment[[#This Row],[JOB TARGET]])</f>
        <v>0</v>
      </c>
      <c r="M658" s="146" t="str" cm="1">
        <f t="array" aca="1" ref="M658" ca="1">IF(Assessment[[#This Row],[JOB TARGET]]="","Job Target Kosong",IF(COUNT(IF('Data Assessment'!$N658:$Z658-OFFSET(Standar!$B$2,MATCH(Assessment[[#This Row],[JOB TARGET
(DEV)]],Standar[NAMA JABATAN],0)-1,1,1,13)&lt;0,1,""))&lt;=3,'9 Grid'!$B$4,IF(COUNT(IF('Data Assessment'!$N658:$Z658-OFFSET(Standar!$B$2,MATCH(Assessment[[#This Row],[JOB TARGET
(DEV)]],Standar[NAMA JABATAN],0)-1,1,1,13)&lt;0,1,""))&gt;=7,'9 Grid'!$B$6,'9 Grid'!$B$5)))</f>
        <v>Job Target Kosong</v>
      </c>
      <c r="N658" s="146" t="str">
        <f>IFERROR(IF(Data_Assessment[[#This Row],[IPP (3 YEARS AVERAGE)]]="","(IPP Belum Ada)",IF(Data_Assessment[[#This Row],[IPP (3 YEARS AVERAGE)]]&lt;2,'9 Grid'!$F$2,IF(Data_Assessment[[#This Row],[IPP (3 YEARS AVERAGE)]]&gt;=4,'9 Grid'!$D$2,'9 Grid'!$E$2))),"")</f>
        <v>Fully Competence Performance</v>
      </c>
      <c r="O658" s="146" t="str">
        <f ca="1">IFERROR(INDEX('9 Grid'!$D$4:$F$6,MATCH('Rekomendasi HAV'!M658,'9 Grid'!$B$4:$B$6,0),MATCH('Rekomendasi HAV'!N658,'9 Grid'!$D$2:$F$2,0)),"")</f>
        <v/>
      </c>
      <c r="P658" s="147" t="str">
        <f>IFERROR(INDEX('9 Grid'!$D$8:$F$8,1,MATCH('Rekomendasi HAV'!N658,'9 Grid'!$D$2:$F$2,0)),"")</f>
        <v>(ST) Within 12 - 18 month</v>
      </c>
    </row>
    <row r="659" spans="1:16" ht="14.25">
      <c r="A659" s="67">
        <v>658</v>
      </c>
      <c r="B659" s="68" t="str">
        <f>INDEX(Data_Assessment[],MATCH('Rekomendasi HAV'!$A659,Data_Assessment[[INDEX]:[INDEX]],0),MATCH('Rekomendasi HAV'!B$1,Data_Assessment[#Headers],0))</f>
        <v>Azrul Rusaini</v>
      </c>
      <c r="C659" s="68" t="str">
        <f>INDEX(Data_Assessment[],MATCH('Rekomendasi HAV'!$A659,Data_Assessment[[INDEX]:[INDEX]],0),MATCH('Rekomendasi HAV'!C$1,Data_Assessment[#Headers],0))</f>
        <v>Kalimantan Timur</v>
      </c>
      <c r="D659" s="68" t="str">
        <f>INDEX(Data_Assessment[],MATCH('Rekomendasi HAV'!$A659,Data_Assessment[[INDEX]:[INDEX]],0),MATCH('Rekomendasi HAV'!D$1,Data_Assessment[#Headers],0))</f>
        <v>LSIP - Kedang Makmur Estate</v>
      </c>
      <c r="E659" s="68">
        <f>INDEX(Data_Assessment[],MATCH('Rekomendasi HAV'!$B659,Data_Assessment[[NAME]:[NAME]],0),MATCH('Rekomendasi HAV'!E$1,Data_Assessment[#Headers],0))</f>
        <v>0</v>
      </c>
      <c r="F659" s="68"/>
      <c r="G659" s="68">
        <f>IF(ISNUMBER(SEARCH("DEV",Assessment[[#This Row],[JOB TARGET]])),SUBSTITUTE(Assessment[[#This Row],[JOB TARGET]],"DEV","EST"),Assessment[[#This Row],[JOB TARGET]])</f>
        <v>0</v>
      </c>
      <c r="H659" s="146" t="str" cm="1">
        <f t="array" aca="1" ref="H659" ca="1">IF(Assessment[[#This Row],[JOB TARGET]]="","Job Target Kosong",IF(COUNT(IF('Data Assessment'!$N659:$Z659-OFFSET(Standar!$B$2,MATCH(Assessment[[#This Row],[JOB TARGET
(EST)]],Standar[NAMA JABATAN],0)-1,1,1,13)&lt;0,1,""))&lt;=3,'9 Grid'!$B$4,IF(COUNT(IF('Data Assessment'!$N659:$Z659-OFFSET(Standar!$B$2,MATCH(Assessment[[#This Row],[JOB TARGET]],Standar[NAMA JABATAN],0)-1,1,1,13)&lt;0,1,""))&gt;=7,'9 Grid'!$B$6,'9 Grid'!$B$5)))</f>
        <v>Job Target Kosong</v>
      </c>
      <c r="I659" s="146" t="str">
        <f>IFERROR(IF(Data_Assessment[[#This Row],[IPP (3 YEARS AVERAGE)]]="","(IPP Belum Ada)",IF(Data_Assessment[[#This Row],[IPP (3 YEARS AVERAGE)]]&lt;2,'9 Grid'!$F$2,IF(Data_Assessment[[#This Row],[IPP (3 YEARS AVERAGE)]]&gt;=4,'9 Grid'!$D$2,'9 Grid'!$E$2))),"")</f>
        <v>Exceptional Performance</v>
      </c>
      <c r="J659" s="146" t="str">
        <f ca="1">IFERROR(INDEX('9 Grid'!$D$4:$F$6,MATCH('Rekomendasi HAV'!H659,'9 Grid'!$B$4:$B$6,0),MATCH('Rekomendasi HAV'!I659,'9 Grid'!$D$2:$F$2,0)),"")</f>
        <v/>
      </c>
      <c r="K659" s="146" t="str">
        <f>IFERROR(INDEX('9 Grid'!$D$8:$F$8,1,MATCH('Rekomendasi HAV'!I659,'9 Grid'!$D$2:$F$2,0)),"")</f>
        <v>(I) Immediately</v>
      </c>
      <c r="L659" s="146">
        <f>IF(ISNUMBER(SEARCH("EST",Assessment[[#This Row],[JOB TARGET]])),SUBSTITUTE(Assessment[[#This Row],[JOB TARGET]],"EST","DEV"),Assessment[[#This Row],[JOB TARGET]])</f>
        <v>0</v>
      </c>
      <c r="M659" s="146" t="str" cm="1">
        <f t="array" aca="1" ref="M659" ca="1">IF(Assessment[[#This Row],[JOB TARGET]]="","Job Target Kosong",IF(COUNT(IF('Data Assessment'!$N659:$Z659-OFFSET(Standar!$B$2,MATCH(Assessment[[#This Row],[JOB TARGET
(DEV)]],Standar[NAMA JABATAN],0)-1,1,1,13)&lt;0,1,""))&lt;=3,'9 Grid'!$B$4,IF(COUNT(IF('Data Assessment'!$N659:$Z659-OFFSET(Standar!$B$2,MATCH(Assessment[[#This Row],[JOB TARGET
(DEV)]],Standar[NAMA JABATAN],0)-1,1,1,13)&lt;0,1,""))&gt;=7,'9 Grid'!$B$6,'9 Grid'!$B$5)))</f>
        <v>Job Target Kosong</v>
      </c>
      <c r="N659" s="146" t="str">
        <f>IFERROR(IF(Data_Assessment[[#This Row],[IPP (3 YEARS AVERAGE)]]="","(IPP Belum Ada)",IF(Data_Assessment[[#This Row],[IPP (3 YEARS AVERAGE)]]&lt;2,'9 Grid'!$F$2,IF(Data_Assessment[[#This Row],[IPP (3 YEARS AVERAGE)]]&gt;=4,'9 Grid'!$D$2,'9 Grid'!$E$2))),"")</f>
        <v>Exceptional Performance</v>
      </c>
      <c r="O659" s="146" t="str">
        <f ca="1">IFERROR(INDEX('9 Grid'!$D$4:$F$6,MATCH('Rekomendasi HAV'!M659,'9 Grid'!$B$4:$B$6,0),MATCH('Rekomendasi HAV'!N659,'9 Grid'!$D$2:$F$2,0)),"")</f>
        <v/>
      </c>
      <c r="P659" s="147" t="str">
        <f>IFERROR(INDEX('9 Grid'!$D$8:$F$8,1,MATCH('Rekomendasi HAV'!N659,'9 Grid'!$D$2:$F$2,0)),"")</f>
        <v>(I) Immediately</v>
      </c>
    </row>
    <row r="660" spans="1:16" ht="28.5">
      <c r="A660" s="67">
        <v>659</v>
      </c>
      <c r="B660" s="68" t="str">
        <f>INDEX(Data_Assessment[],MATCH('Rekomendasi HAV'!$A660,Data_Assessment[[INDEX]:[INDEX]],0),MATCH('Rekomendasi HAV'!B$1,Data_Assessment[#Headers],0))</f>
        <v>Zulham</v>
      </c>
      <c r="C660" s="68" t="str">
        <f>INDEX(Data_Assessment[],MATCH('Rekomendasi HAV'!$A660,Data_Assessment[[INDEX]:[INDEX]],0),MATCH('Rekomendasi HAV'!C$1,Data_Assessment[#Headers],0))</f>
        <v>Kalimantan Timur</v>
      </c>
      <c r="D660" s="68" t="str">
        <f>INDEX(Data_Assessment[],MATCH('Rekomendasi HAV'!$A660,Data_Assessment[[INDEX]:[INDEX]],0),MATCH('Rekomendasi HAV'!D$1,Data_Assessment[#Headers],0))</f>
        <v>LSIP - Kedang Makmur Estate</v>
      </c>
      <c r="E660" s="68">
        <f>INDEX(Data_Assessment[],MATCH('Rekomendasi HAV'!$B660,Data_Assessment[[NAME]:[NAME]],0),MATCH('Rekomendasi HAV'!E$1,Data_Assessment[#Headers],0))</f>
        <v>0</v>
      </c>
      <c r="F660" s="68"/>
      <c r="G660" s="68">
        <f>IF(ISNUMBER(SEARCH("DEV",Assessment[[#This Row],[JOB TARGET]])),SUBSTITUTE(Assessment[[#This Row],[JOB TARGET]],"DEV","EST"),Assessment[[#This Row],[JOB TARGET]])</f>
        <v>0</v>
      </c>
      <c r="H660" s="146" t="str" cm="1">
        <f t="array" aca="1" ref="H660" ca="1">IF(Assessment[[#This Row],[JOB TARGET]]="","Job Target Kosong",IF(COUNT(IF('Data Assessment'!$N660:$Z660-OFFSET(Standar!$B$2,MATCH(Assessment[[#This Row],[JOB TARGET
(EST)]],Standar[NAMA JABATAN],0)-1,1,1,13)&lt;0,1,""))&lt;=3,'9 Grid'!$B$4,IF(COUNT(IF('Data Assessment'!$N660:$Z660-OFFSET(Standar!$B$2,MATCH(Assessment[[#This Row],[JOB TARGET]],Standar[NAMA JABATAN],0)-1,1,1,13)&lt;0,1,""))&gt;=7,'9 Grid'!$B$6,'9 Grid'!$B$5)))</f>
        <v>Job Target Kosong</v>
      </c>
      <c r="I660" s="146" t="str">
        <f>IFERROR(IF(Data_Assessment[[#This Row],[IPP (3 YEARS AVERAGE)]]="","(IPP Belum Ada)",IF(Data_Assessment[[#This Row],[IPP (3 YEARS AVERAGE)]]&lt;2,'9 Grid'!$F$2,IF(Data_Assessment[[#This Row],[IPP (3 YEARS AVERAGE)]]&gt;=4,'9 Grid'!$D$2,'9 Grid'!$E$2))),"")</f>
        <v>Fully Competence Performance</v>
      </c>
      <c r="J660" s="146" t="str">
        <f ca="1">IFERROR(INDEX('9 Grid'!$D$4:$F$6,MATCH('Rekomendasi HAV'!H660,'9 Grid'!$B$4:$B$6,0),MATCH('Rekomendasi HAV'!I660,'9 Grid'!$D$2:$F$2,0)),"")</f>
        <v/>
      </c>
      <c r="K660" s="146" t="str">
        <f>IFERROR(INDEX('9 Grid'!$D$8:$F$8,1,MATCH('Rekomendasi HAV'!I660,'9 Grid'!$D$2:$F$2,0)),"")</f>
        <v>(ST) Within 12 - 18 month</v>
      </c>
      <c r="L660" s="146">
        <f>IF(ISNUMBER(SEARCH("EST",Assessment[[#This Row],[JOB TARGET]])),SUBSTITUTE(Assessment[[#This Row],[JOB TARGET]],"EST","DEV"),Assessment[[#This Row],[JOB TARGET]])</f>
        <v>0</v>
      </c>
      <c r="M660" s="146" t="str" cm="1">
        <f t="array" aca="1" ref="M660" ca="1">IF(Assessment[[#This Row],[JOB TARGET]]="","Job Target Kosong",IF(COUNT(IF('Data Assessment'!$N660:$Z660-OFFSET(Standar!$B$2,MATCH(Assessment[[#This Row],[JOB TARGET
(DEV)]],Standar[NAMA JABATAN],0)-1,1,1,13)&lt;0,1,""))&lt;=3,'9 Grid'!$B$4,IF(COUNT(IF('Data Assessment'!$N660:$Z660-OFFSET(Standar!$B$2,MATCH(Assessment[[#This Row],[JOB TARGET
(DEV)]],Standar[NAMA JABATAN],0)-1,1,1,13)&lt;0,1,""))&gt;=7,'9 Grid'!$B$6,'9 Grid'!$B$5)))</f>
        <v>Job Target Kosong</v>
      </c>
      <c r="N660" s="146" t="str">
        <f>IFERROR(IF(Data_Assessment[[#This Row],[IPP (3 YEARS AVERAGE)]]="","(IPP Belum Ada)",IF(Data_Assessment[[#This Row],[IPP (3 YEARS AVERAGE)]]&lt;2,'9 Grid'!$F$2,IF(Data_Assessment[[#This Row],[IPP (3 YEARS AVERAGE)]]&gt;=4,'9 Grid'!$D$2,'9 Grid'!$E$2))),"")</f>
        <v>Fully Competence Performance</v>
      </c>
      <c r="O660" s="146" t="str">
        <f ca="1">IFERROR(INDEX('9 Grid'!$D$4:$F$6,MATCH('Rekomendasi HAV'!M660,'9 Grid'!$B$4:$B$6,0),MATCH('Rekomendasi HAV'!N660,'9 Grid'!$D$2:$F$2,0)),"")</f>
        <v/>
      </c>
      <c r="P660" s="147" t="str">
        <f>IFERROR(INDEX('9 Grid'!$D$8:$F$8,1,MATCH('Rekomendasi HAV'!N660,'9 Grid'!$D$2:$F$2,0)),"")</f>
        <v>(ST) Within 12 - 18 month</v>
      </c>
    </row>
    <row r="661" spans="1:16" ht="28.5">
      <c r="A661" s="67">
        <v>660</v>
      </c>
      <c r="B661" s="68" t="str">
        <f>INDEX(Data_Assessment[],MATCH('Rekomendasi HAV'!$A661,Data_Assessment[[INDEX]:[INDEX]],0),MATCH('Rekomendasi HAV'!B$1,Data_Assessment[#Headers],0))</f>
        <v>Rajamin Ginting</v>
      </c>
      <c r="C661" s="68" t="str">
        <f>INDEX(Data_Assessment[],MATCH('Rekomendasi HAV'!$A661,Data_Assessment[[INDEX]:[INDEX]],0),MATCH('Rekomendasi HAV'!C$1,Data_Assessment[#Headers],0))</f>
        <v>Kalimantan Timur</v>
      </c>
      <c r="D661" s="68" t="str">
        <f>INDEX(Data_Assessment[],MATCH('Rekomendasi HAV'!$A661,Data_Assessment[[INDEX]:[INDEX]],0),MATCH('Rekomendasi HAV'!D$1,Data_Assessment[#Headers],0))</f>
        <v>LSIP - Kedang Makmur Estate</v>
      </c>
      <c r="E661" s="68">
        <f>INDEX(Data_Assessment[],MATCH('Rekomendasi HAV'!$B661,Data_Assessment[[NAME]:[NAME]],0),MATCH('Rekomendasi HAV'!E$1,Data_Assessment[#Headers],0))</f>
        <v>0</v>
      </c>
      <c r="F661" s="68"/>
      <c r="G661" s="68">
        <f>IF(ISNUMBER(SEARCH("DEV",Assessment[[#This Row],[JOB TARGET]])),SUBSTITUTE(Assessment[[#This Row],[JOB TARGET]],"DEV","EST"),Assessment[[#This Row],[JOB TARGET]])</f>
        <v>0</v>
      </c>
      <c r="H661" s="146" t="str" cm="1">
        <f t="array" aca="1" ref="H661" ca="1">IF(Assessment[[#This Row],[JOB TARGET]]="","Job Target Kosong",IF(COUNT(IF('Data Assessment'!$N661:$Z661-OFFSET(Standar!$B$2,MATCH(Assessment[[#This Row],[JOB TARGET
(EST)]],Standar[NAMA JABATAN],0)-1,1,1,13)&lt;0,1,""))&lt;=3,'9 Grid'!$B$4,IF(COUNT(IF('Data Assessment'!$N661:$Z661-OFFSET(Standar!$B$2,MATCH(Assessment[[#This Row],[JOB TARGET]],Standar[NAMA JABATAN],0)-1,1,1,13)&lt;0,1,""))&gt;=7,'9 Grid'!$B$6,'9 Grid'!$B$5)))</f>
        <v>Job Target Kosong</v>
      </c>
      <c r="I661" s="146" t="str">
        <f>IFERROR(IF(Data_Assessment[[#This Row],[IPP (3 YEARS AVERAGE)]]="","(IPP Belum Ada)",IF(Data_Assessment[[#This Row],[IPP (3 YEARS AVERAGE)]]&lt;2,'9 Grid'!$F$2,IF(Data_Assessment[[#This Row],[IPP (3 YEARS AVERAGE)]]&gt;=4,'9 Grid'!$D$2,'9 Grid'!$E$2))),"")</f>
        <v>Fully Competence Performance</v>
      </c>
      <c r="J661" s="146" t="str">
        <f ca="1">IFERROR(INDEX('9 Grid'!$D$4:$F$6,MATCH('Rekomendasi HAV'!H661,'9 Grid'!$B$4:$B$6,0),MATCH('Rekomendasi HAV'!I661,'9 Grid'!$D$2:$F$2,0)),"")</f>
        <v/>
      </c>
      <c r="K661" s="146" t="str">
        <f>IFERROR(INDEX('9 Grid'!$D$8:$F$8,1,MATCH('Rekomendasi HAV'!I661,'9 Grid'!$D$2:$F$2,0)),"")</f>
        <v>(ST) Within 12 - 18 month</v>
      </c>
      <c r="L661" s="146">
        <f>IF(ISNUMBER(SEARCH("EST",Assessment[[#This Row],[JOB TARGET]])),SUBSTITUTE(Assessment[[#This Row],[JOB TARGET]],"EST","DEV"),Assessment[[#This Row],[JOB TARGET]])</f>
        <v>0</v>
      </c>
      <c r="M661" s="146" t="str" cm="1">
        <f t="array" aca="1" ref="M661" ca="1">IF(Assessment[[#This Row],[JOB TARGET]]="","Job Target Kosong",IF(COUNT(IF('Data Assessment'!$N661:$Z661-OFFSET(Standar!$B$2,MATCH(Assessment[[#This Row],[JOB TARGET
(DEV)]],Standar[NAMA JABATAN],0)-1,1,1,13)&lt;0,1,""))&lt;=3,'9 Grid'!$B$4,IF(COUNT(IF('Data Assessment'!$N661:$Z661-OFFSET(Standar!$B$2,MATCH(Assessment[[#This Row],[JOB TARGET
(DEV)]],Standar[NAMA JABATAN],0)-1,1,1,13)&lt;0,1,""))&gt;=7,'9 Grid'!$B$6,'9 Grid'!$B$5)))</f>
        <v>Job Target Kosong</v>
      </c>
      <c r="N661" s="146" t="str">
        <f>IFERROR(IF(Data_Assessment[[#This Row],[IPP (3 YEARS AVERAGE)]]="","(IPP Belum Ada)",IF(Data_Assessment[[#This Row],[IPP (3 YEARS AVERAGE)]]&lt;2,'9 Grid'!$F$2,IF(Data_Assessment[[#This Row],[IPP (3 YEARS AVERAGE)]]&gt;=4,'9 Grid'!$D$2,'9 Grid'!$E$2))),"")</f>
        <v>Fully Competence Performance</v>
      </c>
      <c r="O661" s="146" t="str">
        <f ca="1">IFERROR(INDEX('9 Grid'!$D$4:$F$6,MATCH('Rekomendasi HAV'!M661,'9 Grid'!$B$4:$B$6,0),MATCH('Rekomendasi HAV'!N661,'9 Grid'!$D$2:$F$2,0)),"")</f>
        <v/>
      </c>
      <c r="P661" s="147" t="str">
        <f>IFERROR(INDEX('9 Grid'!$D$8:$F$8,1,MATCH('Rekomendasi HAV'!N661,'9 Grid'!$D$2:$F$2,0)),"")</f>
        <v>(ST) Within 12 - 18 month</v>
      </c>
    </row>
    <row r="662" spans="1:16" ht="28.5">
      <c r="A662" s="67">
        <v>661</v>
      </c>
      <c r="B662" s="68" t="str">
        <f>INDEX(Data_Assessment[],MATCH('Rekomendasi HAV'!$A662,Data_Assessment[[INDEX]:[INDEX]],0),MATCH('Rekomendasi HAV'!B$1,Data_Assessment[#Headers],0))</f>
        <v>Roesdijono</v>
      </c>
      <c r="C662" s="68" t="str">
        <f>INDEX(Data_Assessment[],MATCH('Rekomendasi HAV'!$A662,Data_Assessment[[INDEX]:[INDEX]],0),MATCH('Rekomendasi HAV'!C$1,Data_Assessment[#Headers],0))</f>
        <v>Kalimantan Timur</v>
      </c>
      <c r="D662" s="68" t="str">
        <f>INDEX(Data_Assessment[],MATCH('Rekomendasi HAV'!$A662,Data_Assessment[[INDEX]:[INDEX]],0),MATCH('Rekomendasi HAV'!D$1,Data_Assessment[#Headers],0))</f>
        <v>LSIP - Jelau Makmur Estate</v>
      </c>
      <c r="E662" s="68">
        <f>INDEX(Data_Assessment[],MATCH('Rekomendasi HAV'!$B662,Data_Assessment[[NAME]:[NAME]],0),MATCH('Rekomendasi HAV'!E$1,Data_Assessment[#Headers],0))</f>
        <v>0</v>
      </c>
      <c r="F662" s="68"/>
      <c r="G662" s="68">
        <f>IF(ISNUMBER(SEARCH("DEV",Assessment[[#This Row],[JOB TARGET]])),SUBSTITUTE(Assessment[[#This Row],[JOB TARGET]],"DEV","EST"),Assessment[[#This Row],[JOB TARGET]])</f>
        <v>0</v>
      </c>
      <c r="H662" s="146" t="str" cm="1">
        <f t="array" aca="1" ref="H662" ca="1">IF(Assessment[[#This Row],[JOB TARGET]]="","Job Target Kosong",IF(COUNT(IF('Data Assessment'!$N662:$Z662-OFFSET(Standar!$B$2,MATCH(Assessment[[#This Row],[JOB TARGET
(EST)]],Standar[NAMA JABATAN],0)-1,1,1,13)&lt;0,1,""))&lt;=3,'9 Grid'!$B$4,IF(COUNT(IF('Data Assessment'!$N662:$Z662-OFFSET(Standar!$B$2,MATCH(Assessment[[#This Row],[JOB TARGET]],Standar[NAMA JABATAN],0)-1,1,1,13)&lt;0,1,""))&gt;=7,'9 Grid'!$B$6,'9 Grid'!$B$5)))</f>
        <v>Job Target Kosong</v>
      </c>
      <c r="I662" s="146" t="str">
        <f>IFERROR(IF(Data_Assessment[[#This Row],[IPP (3 YEARS AVERAGE)]]="","(IPP Belum Ada)",IF(Data_Assessment[[#This Row],[IPP (3 YEARS AVERAGE)]]&lt;2,'9 Grid'!$F$2,IF(Data_Assessment[[#This Row],[IPP (3 YEARS AVERAGE)]]&gt;=4,'9 Grid'!$D$2,'9 Grid'!$E$2))),"")</f>
        <v>Fully Competence Performance</v>
      </c>
      <c r="J662" s="146" t="str">
        <f ca="1">IFERROR(INDEX('9 Grid'!$D$4:$F$6,MATCH('Rekomendasi HAV'!H662,'9 Grid'!$B$4:$B$6,0),MATCH('Rekomendasi HAV'!I662,'9 Grid'!$D$2:$F$2,0)),"")</f>
        <v/>
      </c>
      <c r="K662" s="146" t="str">
        <f>IFERROR(INDEX('9 Grid'!$D$8:$F$8,1,MATCH('Rekomendasi HAV'!I662,'9 Grid'!$D$2:$F$2,0)),"")</f>
        <v>(ST) Within 12 - 18 month</v>
      </c>
      <c r="L662" s="146">
        <f>IF(ISNUMBER(SEARCH("EST",Assessment[[#This Row],[JOB TARGET]])),SUBSTITUTE(Assessment[[#This Row],[JOB TARGET]],"EST","DEV"),Assessment[[#This Row],[JOB TARGET]])</f>
        <v>0</v>
      </c>
      <c r="M662" s="146" t="str" cm="1">
        <f t="array" aca="1" ref="M662" ca="1">IF(Assessment[[#This Row],[JOB TARGET]]="","Job Target Kosong",IF(COUNT(IF('Data Assessment'!$N662:$Z662-OFFSET(Standar!$B$2,MATCH(Assessment[[#This Row],[JOB TARGET
(DEV)]],Standar[NAMA JABATAN],0)-1,1,1,13)&lt;0,1,""))&lt;=3,'9 Grid'!$B$4,IF(COUNT(IF('Data Assessment'!$N662:$Z662-OFFSET(Standar!$B$2,MATCH(Assessment[[#This Row],[JOB TARGET
(DEV)]],Standar[NAMA JABATAN],0)-1,1,1,13)&lt;0,1,""))&gt;=7,'9 Grid'!$B$6,'9 Grid'!$B$5)))</f>
        <v>Job Target Kosong</v>
      </c>
      <c r="N662" s="146" t="str">
        <f>IFERROR(IF(Data_Assessment[[#This Row],[IPP (3 YEARS AVERAGE)]]="","(IPP Belum Ada)",IF(Data_Assessment[[#This Row],[IPP (3 YEARS AVERAGE)]]&lt;2,'9 Grid'!$F$2,IF(Data_Assessment[[#This Row],[IPP (3 YEARS AVERAGE)]]&gt;=4,'9 Grid'!$D$2,'9 Grid'!$E$2))),"")</f>
        <v>Fully Competence Performance</v>
      </c>
      <c r="O662" s="146" t="str">
        <f ca="1">IFERROR(INDEX('9 Grid'!$D$4:$F$6,MATCH('Rekomendasi HAV'!M662,'9 Grid'!$B$4:$B$6,0),MATCH('Rekomendasi HAV'!N662,'9 Grid'!$D$2:$F$2,0)),"")</f>
        <v/>
      </c>
      <c r="P662" s="147" t="str">
        <f>IFERROR(INDEX('9 Grid'!$D$8:$F$8,1,MATCH('Rekomendasi HAV'!N662,'9 Grid'!$D$2:$F$2,0)),"")</f>
        <v>(ST) Within 12 - 18 month</v>
      </c>
    </row>
    <row r="663" spans="1:16" ht="28.5">
      <c r="A663" s="67">
        <v>662</v>
      </c>
      <c r="B663" s="68" t="str">
        <f>INDEX(Data_Assessment[],MATCH('Rekomendasi HAV'!$A663,Data_Assessment[[INDEX]:[INDEX]],0),MATCH('Rekomendasi HAV'!B$1,Data_Assessment[#Headers],0))</f>
        <v>Doddy Kurniadi Pratama Karewur</v>
      </c>
      <c r="C663" s="68" t="str">
        <f>INDEX(Data_Assessment[],MATCH('Rekomendasi HAV'!$A663,Data_Assessment[[INDEX]:[INDEX]],0),MATCH('Rekomendasi HAV'!C$1,Data_Assessment[#Headers],0))</f>
        <v>Kalimantan Timur</v>
      </c>
      <c r="D663" s="68" t="str">
        <f>INDEX(Data_Assessment[],MATCH('Rekomendasi HAV'!$A663,Data_Assessment[[INDEX]:[INDEX]],0),MATCH('Rekomendasi HAV'!D$1,Data_Assessment[#Headers],0))</f>
        <v>LSIP - Jelau Makmur Estate</v>
      </c>
      <c r="E663" s="68">
        <f>INDEX(Data_Assessment[],MATCH('Rekomendasi HAV'!$B663,Data_Assessment[[NAME]:[NAME]],0),MATCH('Rekomendasi HAV'!E$1,Data_Assessment[#Headers],0))</f>
        <v>0</v>
      </c>
      <c r="F663" s="68"/>
      <c r="G663" s="68">
        <f>IF(ISNUMBER(SEARCH("DEV",Assessment[[#This Row],[JOB TARGET]])),SUBSTITUTE(Assessment[[#This Row],[JOB TARGET]],"DEV","EST"),Assessment[[#This Row],[JOB TARGET]])</f>
        <v>0</v>
      </c>
      <c r="H663" s="146" t="str" cm="1">
        <f t="array" aca="1" ref="H663" ca="1">IF(Assessment[[#This Row],[JOB TARGET]]="","Job Target Kosong",IF(COUNT(IF('Data Assessment'!$N663:$Z663-OFFSET(Standar!$B$2,MATCH(Assessment[[#This Row],[JOB TARGET
(EST)]],Standar[NAMA JABATAN],0)-1,1,1,13)&lt;0,1,""))&lt;=3,'9 Grid'!$B$4,IF(COUNT(IF('Data Assessment'!$N663:$Z663-OFFSET(Standar!$B$2,MATCH(Assessment[[#This Row],[JOB TARGET]],Standar[NAMA JABATAN],0)-1,1,1,13)&lt;0,1,""))&gt;=7,'9 Grid'!$B$6,'9 Grid'!$B$5)))</f>
        <v>Job Target Kosong</v>
      </c>
      <c r="I663" s="146" t="str">
        <f>IFERROR(IF(Data_Assessment[[#This Row],[IPP (3 YEARS AVERAGE)]]="","(IPP Belum Ada)",IF(Data_Assessment[[#This Row],[IPP (3 YEARS AVERAGE)]]&lt;2,'9 Grid'!$F$2,IF(Data_Assessment[[#This Row],[IPP (3 YEARS AVERAGE)]]&gt;=4,'9 Grid'!$D$2,'9 Grid'!$E$2))),"")</f>
        <v>Fully Competence Performance</v>
      </c>
      <c r="J663" s="146" t="str">
        <f ca="1">IFERROR(INDEX('9 Grid'!$D$4:$F$6,MATCH('Rekomendasi HAV'!H663,'9 Grid'!$B$4:$B$6,0),MATCH('Rekomendasi HAV'!I663,'9 Grid'!$D$2:$F$2,0)),"")</f>
        <v/>
      </c>
      <c r="K663" s="146" t="str">
        <f>IFERROR(INDEX('9 Grid'!$D$8:$F$8,1,MATCH('Rekomendasi HAV'!I663,'9 Grid'!$D$2:$F$2,0)),"")</f>
        <v>(ST) Within 12 - 18 month</v>
      </c>
      <c r="L663" s="146">
        <f>IF(ISNUMBER(SEARCH("EST",Assessment[[#This Row],[JOB TARGET]])),SUBSTITUTE(Assessment[[#This Row],[JOB TARGET]],"EST","DEV"),Assessment[[#This Row],[JOB TARGET]])</f>
        <v>0</v>
      </c>
      <c r="M663" s="146" t="str" cm="1">
        <f t="array" aca="1" ref="M663" ca="1">IF(Assessment[[#This Row],[JOB TARGET]]="","Job Target Kosong",IF(COUNT(IF('Data Assessment'!$N663:$Z663-OFFSET(Standar!$B$2,MATCH(Assessment[[#This Row],[JOB TARGET
(DEV)]],Standar[NAMA JABATAN],0)-1,1,1,13)&lt;0,1,""))&lt;=3,'9 Grid'!$B$4,IF(COUNT(IF('Data Assessment'!$N663:$Z663-OFFSET(Standar!$B$2,MATCH(Assessment[[#This Row],[JOB TARGET
(DEV)]],Standar[NAMA JABATAN],0)-1,1,1,13)&lt;0,1,""))&gt;=7,'9 Grid'!$B$6,'9 Grid'!$B$5)))</f>
        <v>Job Target Kosong</v>
      </c>
      <c r="N663" s="146" t="str">
        <f>IFERROR(IF(Data_Assessment[[#This Row],[IPP (3 YEARS AVERAGE)]]="","(IPP Belum Ada)",IF(Data_Assessment[[#This Row],[IPP (3 YEARS AVERAGE)]]&lt;2,'9 Grid'!$F$2,IF(Data_Assessment[[#This Row],[IPP (3 YEARS AVERAGE)]]&gt;=4,'9 Grid'!$D$2,'9 Grid'!$E$2))),"")</f>
        <v>Fully Competence Performance</v>
      </c>
      <c r="O663" s="146" t="str">
        <f ca="1">IFERROR(INDEX('9 Grid'!$D$4:$F$6,MATCH('Rekomendasi HAV'!M663,'9 Grid'!$B$4:$B$6,0),MATCH('Rekomendasi HAV'!N663,'9 Grid'!$D$2:$F$2,0)),"")</f>
        <v/>
      </c>
      <c r="P663" s="147" t="str">
        <f>IFERROR(INDEX('9 Grid'!$D$8:$F$8,1,MATCH('Rekomendasi HAV'!N663,'9 Grid'!$D$2:$F$2,0)),"")</f>
        <v>(ST) Within 12 - 18 month</v>
      </c>
    </row>
    <row r="664" spans="1:16" ht="28.5">
      <c r="A664" s="67">
        <v>663</v>
      </c>
      <c r="B664" s="68" t="str">
        <f>INDEX(Data_Assessment[],MATCH('Rekomendasi HAV'!$A664,Data_Assessment[[INDEX]:[INDEX]],0),MATCH('Rekomendasi HAV'!B$1,Data_Assessment[#Headers],0))</f>
        <v>Mukhlis</v>
      </c>
      <c r="C664" s="68" t="str">
        <f>INDEX(Data_Assessment[],MATCH('Rekomendasi HAV'!$A664,Data_Assessment[[INDEX]:[INDEX]],0),MATCH('Rekomendasi HAV'!C$1,Data_Assessment[#Headers],0))</f>
        <v>Kalimantan Timur</v>
      </c>
      <c r="D664" s="68" t="str">
        <f>INDEX(Data_Assessment[],MATCH('Rekomendasi HAV'!$A664,Data_Assessment[[INDEX]:[INDEX]],0),MATCH('Rekomendasi HAV'!D$1,Data_Assessment[#Headers],0))</f>
        <v>LSIP - Jelau Makmur Estate</v>
      </c>
      <c r="E664" s="68">
        <f>INDEX(Data_Assessment[],MATCH('Rekomendasi HAV'!$B664,Data_Assessment[[NAME]:[NAME]],0),MATCH('Rekomendasi HAV'!E$1,Data_Assessment[#Headers],0))</f>
        <v>0</v>
      </c>
      <c r="F664" s="68"/>
      <c r="G664" s="68">
        <f>IF(ISNUMBER(SEARCH("DEV",Assessment[[#This Row],[JOB TARGET]])),SUBSTITUTE(Assessment[[#This Row],[JOB TARGET]],"DEV","EST"),Assessment[[#This Row],[JOB TARGET]])</f>
        <v>0</v>
      </c>
      <c r="H664" s="146" t="str" cm="1">
        <f t="array" aca="1" ref="H664" ca="1">IF(Assessment[[#This Row],[JOB TARGET]]="","Job Target Kosong",IF(COUNT(IF('Data Assessment'!$N664:$Z664-OFFSET(Standar!$B$2,MATCH(Assessment[[#This Row],[JOB TARGET
(EST)]],Standar[NAMA JABATAN],0)-1,1,1,13)&lt;0,1,""))&lt;=3,'9 Grid'!$B$4,IF(COUNT(IF('Data Assessment'!$N664:$Z664-OFFSET(Standar!$B$2,MATCH(Assessment[[#This Row],[JOB TARGET]],Standar[NAMA JABATAN],0)-1,1,1,13)&lt;0,1,""))&gt;=7,'9 Grid'!$B$6,'9 Grid'!$B$5)))</f>
        <v>Job Target Kosong</v>
      </c>
      <c r="I664" s="146" t="str">
        <f>IFERROR(IF(Data_Assessment[[#This Row],[IPP (3 YEARS AVERAGE)]]="","(IPP Belum Ada)",IF(Data_Assessment[[#This Row],[IPP (3 YEARS AVERAGE)]]&lt;2,'9 Grid'!$F$2,IF(Data_Assessment[[#This Row],[IPP (3 YEARS AVERAGE)]]&gt;=4,'9 Grid'!$D$2,'9 Grid'!$E$2))),"")</f>
        <v>Fully Competence Performance</v>
      </c>
      <c r="J664" s="146" t="str">
        <f ca="1">IFERROR(INDEX('9 Grid'!$D$4:$F$6,MATCH('Rekomendasi HAV'!H664,'9 Grid'!$B$4:$B$6,0),MATCH('Rekomendasi HAV'!I664,'9 Grid'!$D$2:$F$2,0)),"")</f>
        <v/>
      </c>
      <c r="K664" s="146" t="str">
        <f>IFERROR(INDEX('9 Grid'!$D$8:$F$8,1,MATCH('Rekomendasi HAV'!I664,'9 Grid'!$D$2:$F$2,0)),"")</f>
        <v>(ST) Within 12 - 18 month</v>
      </c>
      <c r="L664" s="146">
        <f>IF(ISNUMBER(SEARCH("EST",Assessment[[#This Row],[JOB TARGET]])),SUBSTITUTE(Assessment[[#This Row],[JOB TARGET]],"EST","DEV"),Assessment[[#This Row],[JOB TARGET]])</f>
        <v>0</v>
      </c>
      <c r="M664" s="146" t="str" cm="1">
        <f t="array" aca="1" ref="M664" ca="1">IF(Assessment[[#This Row],[JOB TARGET]]="","Job Target Kosong",IF(COUNT(IF('Data Assessment'!$N664:$Z664-OFFSET(Standar!$B$2,MATCH(Assessment[[#This Row],[JOB TARGET
(DEV)]],Standar[NAMA JABATAN],0)-1,1,1,13)&lt;0,1,""))&lt;=3,'9 Grid'!$B$4,IF(COUNT(IF('Data Assessment'!$N664:$Z664-OFFSET(Standar!$B$2,MATCH(Assessment[[#This Row],[JOB TARGET
(DEV)]],Standar[NAMA JABATAN],0)-1,1,1,13)&lt;0,1,""))&gt;=7,'9 Grid'!$B$6,'9 Grid'!$B$5)))</f>
        <v>Job Target Kosong</v>
      </c>
      <c r="N664" s="146" t="str">
        <f>IFERROR(IF(Data_Assessment[[#This Row],[IPP (3 YEARS AVERAGE)]]="","(IPP Belum Ada)",IF(Data_Assessment[[#This Row],[IPP (3 YEARS AVERAGE)]]&lt;2,'9 Grid'!$F$2,IF(Data_Assessment[[#This Row],[IPP (3 YEARS AVERAGE)]]&gt;=4,'9 Grid'!$D$2,'9 Grid'!$E$2))),"")</f>
        <v>Fully Competence Performance</v>
      </c>
      <c r="O664" s="146" t="str">
        <f ca="1">IFERROR(INDEX('9 Grid'!$D$4:$F$6,MATCH('Rekomendasi HAV'!M664,'9 Grid'!$B$4:$B$6,0),MATCH('Rekomendasi HAV'!N664,'9 Grid'!$D$2:$F$2,0)),"")</f>
        <v/>
      </c>
      <c r="P664" s="147" t="str">
        <f>IFERROR(INDEX('9 Grid'!$D$8:$F$8,1,MATCH('Rekomendasi HAV'!N664,'9 Grid'!$D$2:$F$2,0)),"")</f>
        <v>(ST) Within 12 - 18 month</v>
      </c>
    </row>
    <row r="665" spans="1:16" ht="28.5">
      <c r="A665" s="67">
        <v>664</v>
      </c>
      <c r="B665" s="68" t="str">
        <f>INDEX(Data_Assessment[],MATCH('Rekomendasi HAV'!$A665,Data_Assessment[[INDEX]:[INDEX]],0),MATCH('Rekomendasi HAV'!B$1,Data_Assessment[#Headers],0))</f>
        <v>Eli Budi Santoso</v>
      </c>
      <c r="C665" s="68" t="str">
        <f>INDEX(Data_Assessment[],MATCH('Rekomendasi HAV'!$A665,Data_Assessment[[INDEX]:[INDEX]],0),MATCH('Rekomendasi HAV'!C$1,Data_Assessment[#Headers],0))</f>
        <v>Kalimantan Timur</v>
      </c>
      <c r="D665" s="68" t="str">
        <f>INDEX(Data_Assessment[],MATCH('Rekomendasi HAV'!$A665,Data_Assessment[[INDEX]:[INDEX]],0),MATCH('Rekomendasi HAV'!D$1,Data_Assessment[#Headers],0))</f>
        <v>LSIP - Tanjung Makmur Estate</v>
      </c>
      <c r="E665" s="68">
        <f>INDEX(Data_Assessment[],MATCH('Rekomendasi HAV'!$B665,Data_Assessment[[NAME]:[NAME]],0),MATCH('Rekomendasi HAV'!E$1,Data_Assessment[#Headers],0))</f>
        <v>0</v>
      </c>
      <c r="F665" s="68"/>
      <c r="G665" s="68">
        <f>IF(ISNUMBER(SEARCH("DEV",Assessment[[#This Row],[JOB TARGET]])),SUBSTITUTE(Assessment[[#This Row],[JOB TARGET]],"DEV","EST"),Assessment[[#This Row],[JOB TARGET]])</f>
        <v>0</v>
      </c>
      <c r="H665" s="146" t="str" cm="1">
        <f t="array" aca="1" ref="H665" ca="1">IF(Assessment[[#This Row],[JOB TARGET]]="","Job Target Kosong",IF(COUNT(IF('Data Assessment'!$N665:$Z665-OFFSET(Standar!$B$2,MATCH(Assessment[[#This Row],[JOB TARGET
(EST)]],Standar[NAMA JABATAN],0)-1,1,1,13)&lt;0,1,""))&lt;=3,'9 Grid'!$B$4,IF(COUNT(IF('Data Assessment'!$N665:$Z665-OFFSET(Standar!$B$2,MATCH(Assessment[[#This Row],[JOB TARGET]],Standar[NAMA JABATAN],0)-1,1,1,13)&lt;0,1,""))&gt;=7,'9 Grid'!$B$6,'9 Grid'!$B$5)))</f>
        <v>Job Target Kosong</v>
      </c>
      <c r="I665" s="146" t="str">
        <f>IFERROR(IF(Data_Assessment[[#This Row],[IPP (3 YEARS AVERAGE)]]="","(IPP Belum Ada)",IF(Data_Assessment[[#This Row],[IPP (3 YEARS AVERAGE)]]&lt;2,'9 Grid'!$F$2,IF(Data_Assessment[[#This Row],[IPP (3 YEARS AVERAGE)]]&gt;=4,'9 Grid'!$D$2,'9 Grid'!$E$2))),"")</f>
        <v>Fully Competence Performance</v>
      </c>
      <c r="J665" s="146" t="str">
        <f ca="1">IFERROR(INDEX('9 Grid'!$D$4:$F$6,MATCH('Rekomendasi HAV'!H665,'9 Grid'!$B$4:$B$6,0),MATCH('Rekomendasi HAV'!I665,'9 Grid'!$D$2:$F$2,0)),"")</f>
        <v/>
      </c>
      <c r="K665" s="146" t="str">
        <f>IFERROR(INDEX('9 Grid'!$D$8:$F$8,1,MATCH('Rekomendasi HAV'!I665,'9 Grid'!$D$2:$F$2,0)),"")</f>
        <v>(ST) Within 12 - 18 month</v>
      </c>
      <c r="L665" s="146">
        <f>IF(ISNUMBER(SEARCH("EST",Assessment[[#This Row],[JOB TARGET]])),SUBSTITUTE(Assessment[[#This Row],[JOB TARGET]],"EST","DEV"),Assessment[[#This Row],[JOB TARGET]])</f>
        <v>0</v>
      </c>
      <c r="M665" s="146" t="str" cm="1">
        <f t="array" aca="1" ref="M665" ca="1">IF(Assessment[[#This Row],[JOB TARGET]]="","Job Target Kosong",IF(COUNT(IF('Data Assessment'!$N665:$Z665-OFFSET(Standar!$B$2,MATCH(Assessment[[#This Row],[JOB TARGET
(DEV)]],Standar[NAMA JABATAN],0)-1,1,1,13)&lt;0,1,""))&lt;=3,'9 Grid'!$B$4,IF(COUNT(IF('Data Assessment'!$N665:$Z665-OFFSET(Standar!$B$2,MATCH(Assessment[[#This Row],[JOB TARGET
(DEV)]],Standar[NAMA JABATAN],0)-1,1,1,13)&lt;0,1,""))&gt;=7,'9 Grid'!$B$6,'9 Grid'!$B$5)))</f>
        <v>Job Target Kosong</v>
      </c>
      <c r="N665" s="146" t="str">
        <f>IFERROR(IF(Data_Assessment[[#This Row],[IPP (3 YEARS AVERAGE)]]="","(IPP Belum Ada)",IF(Data_Assessment[[#This Row],[IPP (3 YEARS AVERAGE)]]&lt;2,'9 Grid'!$F$2,IF(Data_Assessment[[#This Row],[IPP (3 YEARS AVERAGE)]]&gt;=4,'9 Grid'!$D$2,'9 Grid'!$E$2))),"")</f>
        <v>Fully Competence Performance</v>
      </c>
      <c r="O665" s="146" t="str">
        <f ca="1">IFERROR(INDEX('9 Grid'!$D$4:$F$6,MATCH('Rekomendasi HAV'!M665,'9 Grid'!$B$4:$B$6,0),MATCH('Rekomendasi HAV'!N665,'9 Grid'!$D$2:$F$2,0)),"")</f>
        <v/>
      </c>
      <c r="P665" s="147" t="str">
        <f>IFERROR(INDEX('9 Grid'!$D$8:$F$8,1,MATCH('Rekomendasi HAV'!N665,'9 Grid'!$D$2:$F$2,0)),"")</f>
        <v>(ST) Within 12 - 18 month</v>
      </c>
    </row>
    <row r="666" spans="1:16" ht="28.5">
      <c r="A666" s="67">
        <v>665</v>
      </c>
      <c r="B666" s="68" t="str">
        <f>INDEX(Data_Assessment[],MATCH('Rekomendasi HAV'!$A666,Data_Assessment[[INDEX]:[INDEX]],0),MATCH('Rekomendasi HAV'!B$1,Data_Assessment[#Headers],0))</f>
        <v>Joko Sunanto, Ir.</v>
      </c>
      <c r="C666" s="68" t="str">
        <f>INDEX(Data_Assessment[],MATCH('Rekomendasi HAV'!$A666,Data_Assessment[[INDEX]:[INDEX]],0),MATCH('Rekomendasi HAV'!C$1,Data_Assessment[#Headers],0))</f>
        <v>Kalimantan Timur</v>
      </c>
      <c r="D666" s="68" t="str">
        <f>INDEX(Data_Assessment[],MATCH('Rekomendasi HAV'!$A666,Data_Assessment[[INDEX]:[INDEX]],0),MATCH('Rekomendasi HAV'!D$1,Data_Assessment[#Headers],0))</f>
        <v>LSIP - Tanjung Makmur Estate</v>
      </c>
      <c r="E666" s="68">
        <f>INDEX(Data_Assessment[],MATCH('Rekomendasi HAV'!$B666,Data_Assessment[[NAME]:[NAME]],0),MATCH('Rekomendasi HAV'!E$1,Data_Assessment[#Headers],0))</f>
        <v>0</v>
      </c>
      <c r="F666" s="68"/>
      <c r="G666" s="68">
        <f>IF(ISNUMBER(SEARCH("DEV",Assessment[[#This Row],[JOB TARGET]])),SUBSTITUTE(Assessment[[#This Row],[JOB TARGET]],"DEV","EST"),Assessment[[#This Row],[JOB TARGET]])</f>
        <v>0</v>
      </c>
      <c r="H666" s="146" t="str" cm="1">
        <f t="array" aca="1" ref="H666" ca="1">IF(Assessment[[#This Row],[JOB TARGET]]="","Job Target Kosong",IF(COUNT(IF('Data Assessment'!$N666:$Z666-OFFSET(Standar!$B$2,MATCH(Assessment[[#This Row],[JOB TARGET
(EST)]],Standar[NAMA JABATAN],0)-1,1,1,13)&lt;0,1,""))&lt;=3,'9 Grid'!$B$4,IF(COUNT(IF('Data Assessment'!$N666:$Z666-OFFSET(Standar!$B$2,MATCH(Assessment[[#This Row],[JOB TARGET]],Standar[NAMA JABATAN],0)-1,1,1,13)&lt;0,1,""))&gt;=7,'9 Grid'!$B$6,'9 Grid'!$B$5)))</f>
        <v>Job Target Kosong</v>
      </c>
      <c r="I666" s="146" t="str">
        <f>IFERROR(IF(Data_Assessment[[#This Row],[IPP (3 YEARS AVERAGE)]]="","(IPP Belum Ada)",IF(Data_Assessment[[#This Row],[IPP (3 YEARS AVERAGE)]]&lt;2,'9 Grid'!$F$2,IF(Data_Assessment[[#This Row],[IPP (3 YEARS AVERAGE)]]&gt;=4,'9 Grid'!$D$2,'9 Grid'!$E$2))),"")</f>
        <v>Fully Competence Performance</v>
      </c>
      <c r="J666" s="146" t="str">
        <f ca="1">IFERROR(INDEX('9 Grid'!$D$4:$F$6,MATCH('Rekomendasi HAV'!H666,'9 Grid'!$B$4:$B$6,0),MATCH('Rekomendasi HAV'!I666,'9 Grid'!$D$2:$F$2,0)),"")</f>
        <v/>
      </c>
      <c r="K666" s="146" t="str">
        <f>IFERROR(INDEX('9 Grid'!$D$8:$F$8,1,MATCH('Rekomendasi HAV'!I666,'9 Grid'!$D$2:$F$2,0)),"")</f>
        <v>(ST) Within 12 - 18 month</v>
      </c>
      <c r="L666" s="146">
        <f>IF(ISNUMBER(SEARCH("EST",Assessment[[#This Row],[JOB TARGET]])),SUBSTITUTE(Assessment[[#This Row],[JOB TARGET]],"EST","DEV"),Assessment[[#This Row],[JOB TARGET]])</f>
        <v>0</v>
      </c>
      <c r="M666" s="146" t="str" cm="1">
        <f t="array" aca="1" ref="M666" ca="1">IF(Assessment[[#This Row],[JOB TARGET]]="","Job Target Kosong",IF(COUNT(IF('Data Assessment'!$N666:$Z666-OFFSET(Standar!$B$2,MATCH(Assessment[[#This Row],[JOB TARGET
(DEV)]],Standar[NAMA JABATAN],0)-1,1,1,13)&lt;0,1,""))&lt;=3,'9 Grid'!$B$4,IF(COUNT(IF('Data Assessment'!$N666:$Z666-OFFSET(Standar!$B$2,MATCH(Assessment[[#This Row],[JOB TARGET
(DEV)]],Standar[NAMA JABATAN],0)-1,1,1,13)&lt;0,1,""))&gt;=7,'9 Grid'!$B$6,'9 Grid'!$B$5)))</f>
        <v>Job Target Kosong</v>
      </c>
      <c r="N666" s="146" t="str">
        <f>IFERROR(IF(Data_Assessment[[#This Row],[IPP (3 YEARS AVERAGE)]]="","(IPP Belum Ada)",IF(Data_Assessment[[#This Row],[IPP (3 YEARS AVERAGE)]]&lt;2,'9 Grid'!$F$2,IF(Data_Assessment[[#This Row],[IPP (3 YEARS AVERAGE)]]&gt;=4,'9 Grid'!$D$2,'9 Grid'!$E$2))),"")</f>
        <v>Fully Competence Performance</v>
      </c>
      <c r="O666" s="146" t="str">
        <f ca="1">IFERROR(INDEX('9 Grid'!$D$4:$F$6,MATCH('Rekomendasi HAV'!M666,'9 Grid'!$B$4:$B$6,0),MATCH('Rekomendasi HAV'!N666,'9 Grid'!$D$2:$F$2,0)),"")</f>
        <v/>
      </c>
      <c r="P666" s="147" t="str">
        <f>IFERROR(INDEX('9 Grid'!$D$8:$F$8,1,MATCH('Rekomendasi HAV'!N666,'9 Grid'!$D$2:$F$2,0)),"")</f>
        <v>(ST) Within 12 - 18 month</v>
      </c>
    </row>
    <row r="667" spans="1:16" ht="28.5">
      <c r="A667" s="67">
        <v>666</v>
      </c>
      <c r="B667" s="68" t="str">
        <f>INDEX(Data_Assessment[],MATCH('Rekomendasi HAV'!$A667,Data_Assessment[[INDEX]:[INDEX]],0),MATCH('Rekomendasi HAV'!B$1,Data_Assessment[#Headers],0))</f>
        <v>Dodi Supriawan</v>
      </c>
      <c r="C667" s="68" t="str">
        <f>INDEX(Data_Assessment[],MATCH('Rekomendasi HAV'!$A667,Data_Assessment[[INDEX]:[INDEX]],0),MATCH('Rekomendasi HAV'!C$1,Data_Assessment[#Headers],0))</f>
        <v>Kalimantan Timur</v>
      </c>
      <c r="D667" s="68" t="str">
        <f>INDEX(Data_Assessment[],MATCH('Rekomendasi HAV'!$A667,Data_Assessment[[INDEX]:[INDEX]],0),MATCH('Rekomendasi HAV'!D$1,Data_Assessment[#Headers],0))</f>
        <v>LSIP - Tanjung Makmur Estate</v>
      </c>
      <c r="E667" s="68">
        <f>INDEX(Data_Assessment[],MATCH('Rekomendasi HAV'!$B667,Data_Assessment[[NAME]:[NAME]],0),MATCH('Rekomendasi HAV'!E$1,Data_Assessment[#Headers],0))</f>
        <v>0</v>
      </c>
      <c r="F667" s="68"/>
      <c r="G667" s="68">
        <f>IF(ISNUMBER(SEARCH("DEV",Assessment[[#This Row],[JOB TARGET]])),SUBSTITUTE(Assessment[[#This Row],[JOB TARGET]],"DEV","EST"),Assessment[[#This Row],[JOB TARGET]])</f>
        <v>0</v>
      </c>
      <c r="H667" s="146" t="str" cm="1">
        <f t="array" aca="1" ref="H667" ca="1">IF(Assessment[[#This Row],[JOB TARGET]]="","Job Target Kosong",IF(COUNT(IF('Data Assessment'!$N667:$Z667-OFFSET(Standar!$B$2,MATCH(Assessment[[#This Row],[JOB TARGET
(EST)]],Standar[NAMA JABATAN],0)-1,1,1,13)&lt;0,1,""))&lt;=3,'9 Grid'!$B$4,IF(COUNT(IF('Data Assessment'!$N667:$Z667-OFFSET(Standar!$B$2,MATCH(Assessment[[#This Row],[JOB TARGET]],Standar[NAMA JABATAN],0)-1,1,1,13)&lt;0,1,""))&gt;=7,'9 Grid'!$B$6,'9 Grid'!$B$5)))</f>
        <v>Job Target Kosong</v>
      </c>
      <c r="I667" s="146" t="str">
        <f>IFERROR(IF(Data_Assessment[[#This Row],[IPP (3 YEARS AVERAGE)]]="","(IPP Belum Ada)",IF(Data_Assessment[[#This Row],[IPP (3 YEARS AVERAGE)]]&lt;2,'9 Grid'!$F$2,IF(Data_Assessment[[#This Row],[IPP (3 YEARS AVERAGE)]]&gt;=4,'9 Grid'!$D$2,'9 Grid'!$E$2))),"")</f>
        <v>Fully Competence Performance</v>
      </c>
      <c r="J667" s="146" t="str">
        <f ca="1">IFERROR(INDEX('9 Grid'!$D$4:$F$6,MATCH('Rekomendasi HAV'!H667,'9 Grid'!$B$4:$B$6,0),MATCH('Rekomendasi HAV'!I667,'9 Grid'!$D$2:$F$2,0)),"")</f>
        <v/>
      </c>
      <c r="K667" s="146" t="str">
        <f>IFERROR(INDEX('9 Grid'!$D$8:$F$8,1,MATCH('Rekomendasi HAV'!I667,'9 Grid'!$D$2:$F$2,0)),"")</f>
        <v>(ST) Within 12 - 18 month</v>
      </c>
      <c r="L667" s="146">
        <f>IF(ISNUMBER(SEARCH("EST",Assessment[[#This Row],[JOB TARGET]])),SUBSTITUTE(Assessment[[#This Row],[JOB TARGET]],"EST","DEV"),Assessment[[#This Row],[JOB TARGET]])</f>
        <v>0</v>
      </c>
      <c r="M667" s="146" t="str" cm="1">
        <f t="array" aca="1" ref="M667" ca="1">IF(Assessment[[#This Row],[JOB TARGET]]="","Job Target Kosong",IF(COUNT(IF('Data Assessment'!$N667:$Z667-OFFSET(Standar!$B$2,MATCH(Assessment[[#This Row],[JOB TARGET
(DEV)]],Standar[NAMA JABATAN],0)-1,1,1,13)&lt;0,1,""))&lt;=3,'9 Grid'!$B$4,IF(COUNT(IF('Data Assessment'!$N667:$Z667-OFFSET(Standar!$B$2,MATCH(Assessment[[#This Row],[JOB TARGET
(DEV)]],Standar[NAMA JABATAN],0)-1,1,1,13)&lt;0,1,""))&gt;=7,'9 Grid'!$B$6,'9 Grid'!$B$5)))</f>
        <v>Job Target Kosong</v>
      </c>
      <c r="N667" s="146" t="str">
        <f>IFERROR(IF(Data_Assessment[[#This Row],[IPP (3 YEARS AVERAGE)]]="","(IPP Belum Ada)",IF(Data_Assessment[[#This Row],[IPP (3 YEARS AVERAGE)]]&lt;2,'9 Grid'!$F$2,IF(Data_Assessment[[#This Row],[IPP (3 YEARS AVERAGE)]]&gt;=4,'9 Grid'!$D$2,'9 Grid'!$E$2))),"")</f>
        <v>Fully Competence Performance</v>
      </c>
      <c r="O667" s="146" t="str">
        <f ca="1">IFERROR(INDEX('9 Grid'!$D$4:$F$6,MATCH('Rekomendasi HAV'!M667,'9 Grid'!$B$4:$B$6,0),MATCH('Rekomendasi HAV'!N667,'9 Grid'!$D$2:$F$2,0)),"")</f>
        <v/>
      </c>
      <c r="P667" s="147" t="str">
        <f>IFERROR(INDEX('9 Grid'!$D$8:$F$8,1,MATCH('Rekomendasi HAV'!N667,'9 Grid'!$D$2:$F$2,0)),"")</f>
        <v>(ST) Within 12 - 18 month</v>
      </c>
    </row>
    <row r="668" spans="1:16" ht="28.5">
      <c r="A668" s="67">
        <v>667</v>
      </c>
      <c r="B668" s="68" t="str">
        <f>INDEX(Data_Assessment[],MATCH('Rekomendasi HAV'!$A668,Data_Assessment[[INDEX]:[INDEX]],0),MATCH('Rekomendasi HAV'!B$1,Data_Assessment[#Headers],0))</f>
        <v>Ivan Adenawer Tampubolon</v>
      </c>
      <c r="C668" s="68" t="str">
        <f>INDEX(Data_Assessment[],MATCH('Rekomendasi HAV'!$A668,Data_Assessment[[INDEX]:[INDEX]],0),MATCH('Rekomendasi HAV'!C$1,Data_Assessment[#Headers],0))</f>
        <v>Kalimantan Timur</v>
      </c>
      <c r="D668" s="68" t="str">
        <f>INDEX(Data_Assessment[],MATCH('Rekomendasi HAV'!$A668,Data_Assessment[[INDEX]:[INDEX]],0),MATCH('Rekomendasi HAV'!D$1,Data_Assessment[#Headers],0))</f>
        <v>LSIP - Tanjung Makmur Estate</v>
      </c>
      <c r="E668" s="68">
        <f>INDEX(Data_Assessment[],MATCH('Rekomendasi HAV'!$B668,Data_Assessment[[NAME]:[NAME]],0),MATCH('Rekomendasi HAV'!E$1,Data_Assessment[#Headers],0))</f>
        <v>0</v>
      </c>
      <c r="F668" s="68"/>
      <c r="G668" s="68">
        <f>IF(ISNUMBER(SEARCH("DEV",Assessment[[#This Row],[JOB TARGET]])),SUBSTITUTE(Assessment[[#This Row],[JOB TARGET]],"DEV","EST"),Assessment[[#This Row],[JOB TARGET]])</f>
        <v>0</v>
      </c>
      <c r="H668" s="146" t="str" cm="1">
        <f t="array" aca="1" ref="H668" ca="1">IF(Assessment[[#This Row],[JOB TARGET]]="","Job Target Kosong",IF(COUNT(IF('Data Assessment'!$N668:$Z668-OFFSET(Standar!$B$2,MATCH(Assessment[[#This Row],[JOB TARGET
(EST)]],Standar[NAMA JABATAN],0)-1,1,1,13)&lt;0,1,""))&lt;=3,'9 Grid'!$B$4,IF(COUNT(IF('Data Assessment'!$N668:$Z668-OFFSET(Standar!$B$2,MATCH(Assessment[[#This Row],[JOB TARGET]],Standar[NAMA JABATAN],0)-1,1,1,13)&lt;0,1,""))&gt;=7,'9 Grid'!$B$6,'9 Grid'!$B$5)))</f>
        <v>Job Target Kosong</v>
      </c>
      <c r="I668" s="146" t="str">
        <f>IFERROR(IF(Data_Assessment[[#This Row],[IPP (3 YEARS AVERAGE)]]="","(IPP Belum Ada)",IF(Data_Assessment[[#This Row],[IPP (3 YEARS AVERAGE)]]&lt;2,'9 Grid'!$F$2,IF(Data_Assessment[[#This Row],[IPP (3 YEARS AVERAGE)]]&gt;=4,'9 Grid'!$D$2,'9 Grid'!$E$2))),"")</f>
        <v>Fully Competence Performance</v>
      </c>
      <c r="J668" s="146" t="str">
        <f ca="1">IFERROR(INDEX('9 Grid'!$D$4:$F$6,MATCH('Rekomendasi HAV'!H668,'9 Grid'!$B$4:$B$6,0),MATCH('Rekomendasi HAV'!I668,'9 Grid'!$D$2:$F$2,0)),"")</f>
        <v/>
      </c>
      <c r="K668" s="146" t="str">
        <f>IFERROR(INDEX('9 Grid'!$D$8:$F$8,1,MATCH('Rekomendasi HAV'!I668,'9 Grid'!$D$2:$F$2,0)),"")</f>
        <v>(ST) Within 12 - 18 month</v>
      </c>
      <c r="L668" s="146">
        <f>IF(ISNUMBER(SEARCH("EST",Assessment[[#This Row],[JOB TARGET]])),SUBSTITUTE(Assessment[[#This Row],[JOB TARGET]],"EST","DEV"),Assessment[[#This Row],[JOB TARGET]])</f>
        <v>0</v>
      </c>
      <c r="M668" s="146" t="str" cm="1">
        <f t="array" aca="1" ref="M668" ca="1">IF(Assessment[[#This Row],[JOB TARGET]]="","Job Target Kosong",IF(COUNT(IF('Data Assessment'!$N668:$Z668-OFFSET(Standar!$B$2,MATCH(Assessment[[#This Row],[JOB TARGET
(DEV)]],Standar[NAMA JABATAN],0)-1,1,1,13)&lt;0,1,""))&lt;=3,'9 Grid'!$B$4,IF(COUNT(IF('Data Assessment'!$N668:$Z668-OFFSET(Standar!$B$2,MATCH(Assessment[[#This Row],[JOB TARGET
(DEV)]],Standar[NAMA JABATAN],0)-1,1,1,13)&lt;0,1,""))&gt;=7,'9 Grid'!$B$6,'9 Grid'!$B$5)))</f>
        <v>Job Target Kosong</v>
      </c>
      <c r="N668" s="146" t="str">
        <f>IFERROR(IF(Data_Assessment[[#This Row],[IPP (3 YEARS AVERAGE)]]="","(IPP Belum Ada)",IF(Data_Assessment[[#This Row],[IPP (3 YEARS AVERAGE)]]&lt;2,'9 Grid'!$F$2,IF(Data_Assessment[[#This Row],[IPP (3 YEARS AVERAGE)]]&gt;=4,'9 Grid'!$D$2,'9 Grid'!$E$2))),"")</f>
        <v>Fully Competence Performance</v>
      </c>
      <c r="O668" s="146" t="str">
        <f ca="1">IFERROR(INDEX('9 Grid'!$D$4:$F$6,MATCH('Rekomendasi HAV'!M668,'9 Grid'!$B$4:$B$6,0),MATCH('Rekomendasi HAV'!N668,'9 Grid'!$D$2:$F$2,0)),"")</f>
        <v/>
      </c>
      <c r="P668" s="147" t="str">
        <f>IFERROR(INDEX('9 Grid'!$D$8:$F$8,1,MATCH('Rekomendasi HAV'!N668,'9 Grid'!$D$2:$F$2,0)),"")</f>
        <v>(ST) Within 12 - 18 month</v>
      </c>
    </row>
    <row r="669" spans="1:16" ht="28.5">
      <c r="A669" s="67">
        <v>668</v>
      </c>
      <c r="B669" s="68" t="str">
        <f>INDEX(Data_Assessment[],MATCH('Rekomendasi HAV'!$A669,Data_Assessment[[INDEX]:[INDEX]],0),MATCH('Rekomendasi HAV'!B$1,Data_Assessment[#Headers],0))</f>
        <v>Indra Purnama, Ir.</v>
      </c>
      <c r="C669" s="68" t="str">
        <f>INDEX(Data_Assessment[],MATCH('Rekomendasi HAV'!$A669,Data_Assessment[[INDEX]:[INDEX]],0),MATCH('Rekomendasi HAV'!C$1,Data_Assessment[#Headers],0))</f>
        <v>Sumatera Selatan</v>
      </c>
      <c r="D669" s="68" t="str">
        <f>INDEX(Data_Assessment[],MATCH('Rekomendasi HAV'!$A669,Data_Assessment[[INDEX]:[INDEX]],0),MATCH('Rekomendasi HAV'!D$1,Data_Assessment[#Headers],0))</f>
        <v>LSIP - RO Palembang</v>
      </c>
      <c r="E669" s="68">
        <f>INDEX(Data_Assessment[],MATCH('Rekomendasi HAV'!$B669,Data_Assessment[[NAME]:[NAME]],0),MATCH('Rekomendasi HAV'!E$1,Data_Assessment[#Headers],0))</f>
        <v>0</v>
      </c>
      <c r="F669" s="68"/>
      <c r="G669" s="68">
        <f>IF(ISNUMBER(SEARCH("DEV",Assessment[[#This Row],[JOB TARGET]])),SUBSTITUTE(Assessment[[#This Row],[JOB TARGET]],"DEV","EST"),Assessment[[#This Row],[JOB TARGET]])</f>
        <v>0</v>
      </c>
      <c r="H669" s="146" t="str" cm="1">
        <f t="array" aca="1" ref="H669" ca="1">IF(Assessment[[#This Row],[JOB TARGET]]="","Job Target Kosong",IF(COUNT(IF('Data Assessment'!$N669:$Z669-OFFSET(Standar!$B$2,MATCH(Assessment[[#This Row],[JOB TARGET
(EST)]],Standar[NAMA JABATAN],0)-1,1,1,13)&lt;0,1,""))&lt;=3,'9 Grid'!$B$4,IF(COUNT(IF('Data Assessment'!$N669:$Z669-OFFSET(Standar!$B$2,MATCH(Assessment[[#This Row],[JOB TARGET]],Standar[NAMA JABATAN],0)-1,1,1,13)&lt;0,1,""))&gt;=7,'9 Grid'!$B$6,'9 Grid'!$B$5)))</f>
        <v>Job Target Kosong</v>
      </c>
      <c r="I669" s="146" t="str">
        <f>IFERROR(IF(Data_Assessment[[#This Row],[IPP (3 YEARS AVERAGE)]]="","(IPP Belum Ada)",IF(Data_Assessment[[#This Row],[IPP (3 YEARS AVERAGE)]]&lt;2,'9 Grid'!$F$2,IF(Data_Assessment[[#This Row],[IPP (3 YEARS AVERAGE)]]&gt;=4,'9 Grid'!$D$2,'9 Grid'!$E$2))),"")</f>
        <v>Fully Competence Performance</v>
      </c>
      <c r="J669" s="146" t="str">
        <f ca="1">IFERROR(INDEX('9 Grid'!$D$4:$F$6,MATCH('Rekomendasi HAV'!H669,'9 Grid'!$B$4:$B$6,0),MATCH('Rekomendasi HAV'!I669,'9 Grid'!$D$2:$F$2,0)),"")</f>
        <v/>
      </c>
      <c r="K669" s="146" t="str">
        <f>IFERROR(INDEX('9 Grid'!$D$8:$F$8,1,MATCH('Rekomendasi HAV'!I669,'9 Grid'!$D$2:$F$2,0)),"")</f>
        <v>(ST) Within 12 - 18 month</v>
      </c>
      <c r="L669" s="146">
        <f>IF(ISNUMBER(SEARCH("EST",Assessment[[#This Row],[JOB TARGET]])),SUBSTITUTE(Assessment[[#This Row],[JOB TARGET]],"EST","DEV"),Assessment[[#This Row],[JOB TARGET]])</f>
        <v>0</v>
      </c>
      <c r="M669" s="146" t="str" cm="1">
        <f t="array" aca="1" ref="M669" ca="1">IF(Assessment[[#This Row],[JOB TARGET]]="","Job Target Kosong",IF(COUNT(IF('Data Assessment'!$N669:$Z669-OFFSET(Standar!$B$2,MATCH(Assessment[[#This Row],[JOB TARGET
(DEV)]],Standar[NAMA JABATAN],0)-1,1,1,13)&lt;0,1,""))&lt;=3,'9 Grid'!$B$4,IF(COUNT(IF('Data Assessment'!$N669:$Z669-OFFSET(Standar!$B$2,MATCH(Assessment[[#This Row],[JOB TARGET
(DEV)]],Standar[NAMA JABATAN],0)-1,1,1,13)&lt;0,1,""))&gt;=7,'9 Grid'!$B$6,'9 Grid'!$B$5)))</f>
        <v>Job Target Kosong</v>
      </c>
      <c r="N669" s="146" t="str">
        <f>IFERROR(IF(Data_Assessment[[#This Row],[IPP (3 YEARS AVERAGE)]]="","(IPP Belum Ada)",IF(Data_Assessment[[#This Row],[IPP (3 YEARS AVERAGE)]]&lt;2,'9 Grid'!$F$2,IF(Data_Assessment[[#This Row],[IPP (3 YEARS AVERAGE)]]&gt;=4,'9 Grid'!$D$2,'9 Grid'!$E$2))),"")</f>
        <v>Fully Competence Performance</v>
      </c>
      <c r="O669" s="146" t="str">
        <f ca="1">IFERROR(INDEX('9 Grid'!$D$4:$F$6,MATCH('Rekomendasi HAV'!M669,'9 Grid'!$B$4:$B$6,0),MATCH('Rekomendasi HAV'!N669,'9 Grid'!$D$2:$F$2,0)),"")</f>
        <v/>
      </c>
      <c r="P669" s="147" t="str">
        <f>IFERROR(INDEX('9 Grid'!$D$8:$F$8,1,MATCH('Rekomendasi HAV'!N669,'9 Grid'!$D$2:$F$2,0)),"")</f>
        <v>(ST) Within 12 - 18 month</v>
      </c>
    </row>
    <row r="670" spans="1:16" ht="28.5">
      <c r="A670" s="67">
        <v>669</v>
      </c>
      <c r="B670" s="68" t="str">
        <f>INDEX(Data_Assessment[],MATCH('Rekomendasi HAV'!$A670,Data_Assessment[[INDEX]:[INDEX]],0),MATCH('Rekomendasi HAV'!B$1,Data_Assessment[#Headers],0))</f>
        <v>Chris Samuel Morgan Runtu</v>
      </c>
      <c r="C670" s="68" t="str">
        <f>INDEX(Data_Assessment[],MATCH('Rekomendasi HAV'!$A670,Data_Assessment[[INDEX]:[INDEX]],0),MATCH('Rekomendasi HAV'!C$1,Data_Assessment[#Headers],0))</f>
        <v>Sumatera Selatan</v>
      </c>
      <c r="D670" s="68" t="str">
        <f>INDEX(Data_Assessment[],MATCH('Rekomendasi HAV'!$A670,Data_Assessment[[INDEX]:[INDEX]],0),MATCH('Rekomendasi HAV'!D$1,Data_Assessment[#Headers],0))</f>
        <v>LSIP - Riam Indah Estate</v>
      </c>
      <c r="E670" s="68">
        <f>INDEX(Data_Assessment[],MATCH('Rekomendasi HAV'!$B670,Data_Assessment[[NAME]:[NAME]],0),MATCH('Rekomendasi HAV'!E$1,Data_Assessment[#Headers],0))</f>
        <v>0</v>
      </c>
      <c r="F670" s="68"/>
      <c r="G670" s="68">
        <f>IF(ISNUMBER(SEARCH("DEV",Assessment[[#This Row],[JOB TARGET]])),SUBSTITUTE(Assessment[[#This Row],[JOB TARGET]],"DEV","EST"),Assessment[[#This Row],[JOB TARGET]])</f>
        <v>0</v>
      </c>
      <c r="H670" s="146" t="str" cm="1">
        <f t="array" aca="1" ref="H670" ca="1">IF(Assessment[[#This Row],[JOB TARGET]]="","Job Target Kosong",IF(COUNT(IF('Data Assessment'!$N670:$Z670-OFFSET(Standar!$B$2,MATCH(Assessment[[#This Row],[JOB TARGET
(EST)]],Standar[NAMA JABATAN],0)-1,1,1,13)&lt;0,1,""))&lt;=3,'9 Grid'!$B$4,IF(COUNT(IF('Data Assessment'!$N670:$Z670-OFFSET(Standar!$B$2,MATCH(Assessment[[#This Row],[JOB TARGET]],Standar[NAMA JABATAN],0)-1,1,1,13)&lt;0,1,""))&gt;=7,'9 Grid'!$B$6,'9 Grid'!$B$5)))</f>
        <v>Job Target Kosong</v>
      </c>
      <c r="I670" s="146" t="str">
        <f>IFERROR(IF(Data_Assessment[[#This Row],[IPP (3 YEARS AVERAGE)]]="","(IPP Belum Ada)",IF(Data_Assessment[[#This Row],[IPP (3 YEARS AVERAGE)]]&lt;2,'9 Grid'!$F$2,IF(Data_Assessment[[#This Row],[IPP (3 YEARS AVERAGE)]]&gt;=4,'9 Grid'!$D$2,'9 Grid'!$E$2))),"")</f>
        <v>Fully Competence Performance</v>
      </c>
      <c r="J670" s="146" t="str">
        <f ca="1">IFERROR(INDEX('9 Grid'!$D$4:$F$6,MATCH('Rekomendasi HAV'!H670,'9 Grid'!$B$4:$B$6,0),MATCH('Rekomendasi HAV'!I670,'9 Grid'!$D$2:$F$2,0)),"")</f>
        <v/>
      </c>
      <c r="K670" s="146" t="str">
        <f>IFERROR(INDEX('9 Grid'!$D$8:$F$8,1,MATCH('Rekomendasi HAV'!I670,'9 Grid'!$D$2:$F$2,0)),"")</f>
        <v>(ST) Within 12 - 18 month</v>
      </c>
      <c r="L670" s="146">
        <f>IF(ISNUMBER(SEARCH("EST",Assessment[[#This Row],[JOB TARGET]])),SUBSTITUTE(Assessment[[#This Row],[JOB TARGET]],"EST","DEV"),Assessment[[#This Row],[JOB TARGET]])</f>
        <v>0</v>
      </c>
      <c r="M670" s="146" t="str" cm="1">
        <f t="array" aca="1" ref="M670" ca="1">IF(Assessment[[#This Row],[JOB TARGET]]="","Job Target Kosong",IF(COUNT(IF('Data Assessment'!$N670:$Z670-OFFSET(Standar!$B$2,MATCH(Assessment[[#This Row],[JOB TARGET
(DEV)]],Standar[NAMA JABATAN],0)-1,1,1,13)&lt;0,1,""))&lt;=3,'9 Grid'!$B$4,IF(COUNT(IF('Data Assessment'!$N670:$Z670-OFFSET(Standar!$B$2,MATCH(Assessment[[#This Row],[JOB TARGET
(DEV)]],Standar[NAMA JABATAN],0)-1,1,1,13)&lt;0,1,""))&gt;=7,'9 Grid'!$B$6,'9 Grid'!$B$5)))</f>
        <v>Job Target Kosong</v>
      </c>
      <c r="N670" s="146" t="str">
        <f>IFERROR(IF(Data_Assessment[[#This Row],[IPP (3 YEARS AVERAGE)]]="","(IPP Belum Ada)",IF(Data_Assessment[[#This Row],[IPP (3 YEARS AVERAGE)]]&lt;2,'9 Grid'!$F$2,IF(Data_Assessment[[#This Row],[IPP (3 YEARS AVERAGE)]]&gt;=4,'9 Grid'!$D$2,'9 Grid'!$E$2))),"")</f>
        <v>Fully Competence Performance</v>
      </c>
      <c r="O670" s="146" t="str">
        <f ca="1">IFERROR(INDEX('9 Grid'!$D$4:$F$6,MATCH('Rekomendasi HAV'!M670,'9 Grid'!$B$4:$B$6,0),MATCH('Rekomendasi HAV'!N670,'9 Grid'!$D$2:$F$2,0)),"")</f>
        <v/>
      </c>
      <c r="P670" s="147" t="str">
        <f>IFERROR(INDEX('9 Grid'!$D$8:$F$8,1,MATCH('Rekomendasi HAV'!N670,'9 Grid'!$D$2:$F$2,0)),"")</f>
        <v>(ST) Within 12 - 18 month</v>
      </c>
    </row>
    <row r="671" spans="1:16" ht="28.5">
      <c r="A671" s="67">
        <v>670</v>
      </c>
      <c r="B671" s="68" t="str">
        <f>INDEX(Data_Assessment[],MATCH('Rekomendasi HAV'!$A671,Data_Assessment[[INDEX]:[INDEX]],0),MATCH('Rekomendasi HAV'!B$1,Data_Assessment[#Headers],0))</f>
        <v>Abdul Manaf</v>
      </c>
      <c r="C671" s="68" t="str">
        <f>INDEX(Data_Assessment[],MATCH('Rekomendasi HAV'!$A671,Data_Assessment[[INDEX]:[INDEX]],0),MATCH('Rekomendasi HAV'!C$1,Data_Assessment[#Headers],0))</f>
        <v>Sumatera Selatan</v>
      </c>
      <c r="D671" s="68" t="str">
        <f>INDEX(Data_Assessment[],MATCH('Rekomendasi HAV'!$A671,Data_Assessment[[INDEX]:[INDEX]],0),MATCH('Rekomendasi HAV'!D$1,Data_Assessment[#Headers],0))</f>
        <v>LSIP - Riam Indah Estate</v>
      </c>
      <c r="E671" s="68">
        <f>INDEX(Data_Assessment[],MATCH('Rekomendasi HAV'!$B671,Data_Assessment[[NAME]:[NAME]],0),MATCH('Rekomendasi HAV'!E$1,Data_Assessment[#Headers],0))</f>
        <v>0</v>
      </c>
      <c r="F671" s="68"/>
      <c r="G671" s="68">
        <f>IF(ISNUMBER(SEARCH("DEV",Assessment[[#This Row],[JOB TARGET]])),SUBSTITUTE(Assessment[[#This Row],[JOB TARGET]],"DEV","EST"),Assessment[[#This Row],[JOB TARGET]])</f>
        <v>0</v>
      </c>
      <c r="H671" s="146" t="str" cm="1">
        <f t="array" aca="1" ref="H671" ca="1">IF(Assessment[[#This Row],[JOB TARGET]]="","Job Target Kosong",IF(COUNT(IF('Data Assessment'!$N671:$Z671-OFFSET(Standar!$B$2,MATCH(Assessment[[#This Row],[JOB TARGET
(EST)]],Standar[NAMA JABATAN],0)-1,1,1,13)&lt;0,1,""))&lt;=3,'9 Grid'!$B$4,IF(COUNT(IF('Data Assessment'!$N671:$Z671-OFFSET(Standar!$B$2,MATCH(Assessment[[#This Row],[JOB TARGET]],Standar[NAMA JABATAN],0)-1,1,1,13)&lt;0,1,""))&gt;=7,'9 Grid'!$B$6,'9 Grid'!$B$5)))</f>
        <v>Job Target Kosong</v>
      </c>
      <c r="I671" s="146" t="str">
        <f>IFERROR(IF(Data_Assessment[[#This Row],[IPP (3 YEARS AVERAGE)]]="","(IPP Belum Ada)",IF(Data_Assessment[[#This Row],[IPP (3 YEARS AVERAGE)]]&lt;2,'9 Grid'!$F$2,IF(Data_Assessment[[#This Row],[IPP (3 YEARS AVERAGE)]]&gt;=4,'9 Grid'!$D$2,'9 Grid'!$E$2))),"")</f>
        <v>Contributor</v>
      </c>
      <c r="J671" s="146" t="str">
        <f ca="1">IFERROR(INDEX('9 Grid'!$D$4:$F$6,MATCH('Rekomendasi HAV'!H671,'9 Grid'!$B$4:$B$6,0),MATCH('Rekomendasi HAV'!I671,'9 Grid'!$D$2:$F$2,0)),"")</f>
        <v/>
      </c>
      <c r="K671" s="146" t="str">
        <f>IFERROR(INDEX('9 Grid'!$D$8:$F$8,1,MATCH('Rekomendasi HAV'!I671,'9 Grid'!$D$2:$F$2,0)),"")</f>
        <v>(LT) More 2 - 3 year</v>
      </c>
      <c r="L671" s="146">
        <f>IF(ISNUMBER(SEARCH("EST",Assessment[[#This Row],[JOB TARGET]])),SUBSTITUTE(Assessment[[#This Row],[JOB TARGET]],"EST","DEV"),Assessment[[#This Row],[JOB TARGET]])</f>
        <v>0</v>
      </c>
      <c r="M671" s="146" t="str" cm="1">
        <f t="array" aca="1" ref="M671" ca="1">IF(Assessment[[#This Row],[JOB TARGET]]="","Job Target Kosong",IF(COUNT(IF('Data Assessment'!$N671:$Z671-OFFSET(Standar!$B$2,MATCH(Assessment[[#This Row],[JOB TARGET
(DEV)]],Standar[NAMA JABATAN],0)-1,1,1,13)&lt;0,1,""))&lt;=3,'9 Grid'!$B$4,IF(COUNT(IF('Data Assessment'!$N671:$Z671-OFFSET(Standar!$B$2,MATCH(Assessment[[#This Row],[JOB TARGET
(DEV)]],Standar[NAMA JABATAN],0)-1,1,1,13)&lt;0,1,""))&gt;=7,'9 Grid'!$B$6,'9 Grid'!$B$5)))</f>
        <v>Job Target Kosong</v>
      </c>
      <c r="N671" s="146" t="str">
        <f>IFERROR(IF(Data_Assessment[[#This Row],[IPP (3 YEARS AVERAGE)]]="","(IPP Belum Ada)",IF(Data_Assessment[[#This Row],[IPP (3 YEARS AVERAGE)]]&lt;2,'9 Grid'!$F$2,IF(Data_Assessment[[#This Row],[IPP (3 YEARS AVERAGE)]]&gt;=4,'9 Grid'!$D$2,'9 Grid'!$E$2))),"")</f>
        <v>Contributor</v>
      </c>
      <c r="O671" s="146" t="str">
        <f ca="1">IFERROR(INDEX('9 Grid'!$D$4:$F$6,MATCH('Rekomendasi HAV'!M671,'9 Grid'!$B$4:$B$6,0),MATCH('Rekomendasi HAV'!N671,'9 Grid'!$D$2:$F$2,0)),"")</f>
        <v/>
      </c>
      <c r="P671" s="147" t="str">
        <f>IFERROR(INDEX('9 Grid'!$D$8:$F$8,1,MATCH('Rekomendasi HAV'!N671,'9 Grid'!$D$2:$F$2,0)),"")</f>
        <v>(LT) More 2 - 3 year</v>
      </c>
    </row>
    <row r="672" spans="1:16" ht="28.5">
      <c r="A672" s="67">
        <v>671</v>
      </c>
      <c r="B672" s="68" t="str">
        <f>INDEX(Data_Assessment[],MATCH('Rekomendasi HAV'!$A672,Data_Assessment[[INDEX]:[INDEX]],0),MATCH('Rekomendasi HAV'!B$1,Data_Assessment[#Headers],0))</f>
        <v>Gocen Butar Butar</v>
      </c>
      <c r="C672" s="68" t="str">
        <f>INDEX(Data_Assessment[],MATCH('Rekomendasi HAV'!$A672,Data_Assessment[[INDEX]:[INDEX]],0),MATCH('Rekomendasi HAV'!C$1,Data_Assessment[#Headers],0))</f>
        <v>Sumatera Selatan</v>
      </c>
      <c r="D672" s="68" t="str">
        <f>INDEX(Data_Assessment[],MATCH('Rekomendasi HAV'!$A672,Data_Assessment[[INDEX]:[INDEX]],0),MATCH('Rekomendasi HAV'!D$1,Data_Assessment[#Headers],0))</f>
        <v>LSIP - Sei Lakitan Estate</v>
      </c>
      <c r="E672" s="68">
        <f>INDEX(Data_Assessment[],MATCH('Rekomendasi HAV'!$B672,Data_Assessment[[NAME]:[NAME]],0),MATCH('Rekomendasi HAV'!E$1,Data_Assessment[#Headers],0))</f>
        <v>0</v>
      </c>
      <c r="F672" s="68"/>
      <c r="G672" s="68">
        <f>IF(ISNUMBER(SEARCH("DEV",Assessment[[#This Row],[JOB TARGET]])),SUBSTITUTE(Assessment[[#This Row],[JOB TARGET]],"DEV","EST"),Assessment[[#This Row],[JOB TARGET]])</f>
        <v>0</v>
      </c>
      <c r="H672" s="146" t="str" cm="1">
        <f t="array" aca="1" ref="H672" ca="1">IF(Assessment[[#This Row],[JOB TARGET]]="","Job Target Kosong",IF(COUNT(IF('Data Assessment'!$N672:$Z672-OFFSET(Standar!$B$2,MATCH(Assessment[[#This Row],[JOB TARGET
(EST)]],Standar[NAMA JABATAN],0)-1,1,1,13)&lt;0,1,""))&lt;=3,'9 Grid'!$B$4,IF(COUNT(IF('Data Assessment'!$N672:$Z672-OFFSET(Standar!$B$2,MATCH(Assessment[[#This Row],[JOB TARGET]],Standar[NAMA JABATAN],0)-1,1,1,13)&lt;0,1,""))&gt;=7,'9 Grid'!$B$6,'9 Grid'!$B$5)))</f>
        <v>Job Target Kosong</v>
      </c>
      <c r="I672" s="146" t="str">
        <f>IFERROR(IF(Data_Assessment[[#This Row],[IPP (3 YEARS AVERAGE)]]="","(IPP Belum Ada)",IF(Data_Assessment[[#This Row],[IPP (3 YEARS AVERAGE)]]&lt;2,'9 Grid'!$F$2,IF(Data_Assessment[[#This Row],[IPP (3 YEARS AVERAGE)]]&gt;=4,'9 Grid'!$D$2,'9 Grid'!$E$2))),"")</f>
        <v>Fully Competence Performance</v>
      </c>
      <c r="J672" s="146" t="str">
        <f ca="1">IFERROR(INDEX('9 Grid'!$D$4:$F$6,MATCH('Rekomendasi HAV'!H672,'9 Grid'!$B$4:$B$6,0),MATCH('Rekomendasi HAV'!I672,'9 Grid'!$D$2:$F$2,0)),"")</f>
        <v/>
      </c>
      <c r="K672" s="146" t="str">
        <f>IFERROR(INDEX('9 Grid'!$D$8:$F$8,1,MATCH('Rekomendasi HAV'!I672,'9 Grid'!$D$2:$F$2,0)),"")</f>
        <v>(ST) Within 12 - 18 month</v>
      </c>
      <c r="L672" s="146">
        <f>IF(ISNUMBER(SEARCH("EST",Assessment[[#This Row],[JOB TARGET]])),SUBSTITUTE(Assessment[[#This Row],[JOB TARGET]],"EST","DEV"),Assessment[[#This Row],[JOB TARGET]])</f>
        <v>0</v>
      </c>
      <c r="M672" s="146" t="str" cm="1">
        <f t="array" aca="1" ref="M672" ca="1">IF(Assessment[[#This Row],[JOB TARGET]]="","Job Target Kosong",IF(COUNT(IF('Data Assessment'!$N672:$Z672-OFFSET(Standar!$B$2,MATCH(Assessment[[#This Row],[JOB TARGET
(DEV)]],Standar[NAMA JABATAN],0)-1,1,1,13)&lt;0,1,""))&lt;=3,'9 Grid'!$B$4,IF(COUNT(IF('Data Assessment'!$N672:$Z672-OFFSET(Standar!$B$2,MATCH(Assessment[[#This Row],[JOB TARGET
(DEV)]],Standar[NAMA JABATAN],0)-1,1,1,13)&lt;0,1,""))&gt;=7,'9 Grid'!$B$6,'9 Grid'!$B$5)))</f>
        <v>Job Target Kosong</v>
      </c>
      <c r="N672" s="146" t="str">
        <f>IFERROR(IF(Data_Assessment[[#This Row],[IPP (3 YEARS AVERAGE)]]="","(IPP Belum Ada)",IF(Data_Assessment[[#This Row],[IPP (3 YEARS AVERAGE)]]&lt;2,'9 Grid'!$F$2,IF(Data_Assessment[[#This Row],[IPP (3 YEARS AVERAGE)]]&gt;=4,'9 Grid'!$D$2,'9 Grid'!$E$2))),"")</f>
        <v>Fully Competence Performance</v>
      </c>
      <c r="O672" s="146" t="str">
        <f ca="1">IFERROR(INDEX('9 Grid'!$D$4:$F$6,MATCH('Rekomendasi HAV'!M672,'9 Grid'!$B$4:$B$6,0),MATCH('Rekomendasi HAV'!N672,'9 Grid'!$D$2:$F$2,0)),"")</f>
        <v/>
      </c>
      <c r="P672" s="147" t="str">
        <f>IFERROR(INDEX('9 Grid'!$D$8:$F$8,1,MATCH('Rekomendasi HAV'!N672,'9 Grid'!$D$2:$F$2,0)),"")</f>
        <v>(ST) Within 12 - 18 month</v>
      </c>
    </row>
    <row r="673" spans="1:16" ht="28.5">
      <c r="A673" s="67">
        <v>672</v>
      </c>
      <c r="B673" s="68" t="str">
        <f>INDEX(Data_Assessment[],MATCH('Rekomendasi HAV'!$A673,Data_Assessment[[INDEX]:[INDEX]],0),MATCH('Rekomendasi HAV'!B$1,Data_Assessment[#Headers],0))</f>
        <v>Benny Sitepu</v>
      </c>
      <c r="C673" s="68" t="str">
        <f>INDEX(Data_Assessment[],MATCH('Rekomendasi HAV'!$A673,Data_Assessment[[INDEX]:[INDEX]],0),MATCH('Rekomendasi HAV'!C$1,Data_Assessment[#Headers],0))</f>
        <v>Sumatera Selatan</v>
      </c>
      <c r="D673" s="68" t="str">
        <f>INDEX(Data_Assessment[],MATCH('Rekomendasi HAV'!$A673,Data_Assessment[[INDEX]:[INDEX]],0),MATCH('Rekomendasi HAV'!D$1,Data_Assessment[#Headers],0))</f>
        <v>LSIP - Sei Lakitan Estate</v>
      </c>
      <c r="E673" s="68">
        <f>INDEX(Data_Assessment[],MATCH('Rekomendasi HAV'!$B673,Data_Assessment[[NAME]:[NAME]],0),MATCH('Rekomendasi HAV'!E$1,Data_Assessment[#Headers],0))</f>
        <v>0</v>
      </c>
      <c r="F673" s="68"/>
      <c r="G673" s="68">
        <f>IF(ISNUMBER(SEARCH("DEV",Assessment[[#This Row],[JOB TARGET]])),SUBSTITUTE(Assessment[[#This Row],[JOB TARGET]],"DEV","EST"),Assessment[[#This Row],[JOB TARGET]])</f>
        <v>0</v>
      </c>
      <c r="H673" s="146" t="str" cm="1">
        <f t="array" aca="1" ref="H673" ca="1">IF(Assessment[[#This Row],[JOB TARGET]]="","Job Target Kosong",IF(COUNT(IF('Data Assessment'!$N673:$Z673-OFFSET(Standar!$B$2,MATCH(Assessment[[#This Row],[JOB TARGET
(EST)]],Standar[NAMA JABATAN],0)-1,1,1,13)&lt;0,1,""))&lt;=3,'9 Grid'!$B$4,IF(COUNT(IF('Data Assessment'!$N673:$Z673-OFFSET(Standar!$B$2,MATCH(Assessment[[#This Row],[JOB TARGET]],Standar[NAMA JABATAN],0)-1,1,1,13)&lt;0,1,""))&gt;=7,'9 Grid'!$B$6,'9 Grid'!$B$5)))</f>
        <v>Job Target Kosong</v>
      </c>
      <c r="I673" s="146" t="str">
        <f>IFERROR(IF(Data_Assessment[[#This Row],[IPP (3 YEARS AVERAGE)]]="","(IPP Belum Ada)",IF(Data_Assessment[[#This Row],[IPP (3 YEARS AVERAGE)]]&lt;2,'9 Grid'!$F$2,IF(Data_Assessment[[#This Row],[IPP (3 YEARS AVERAGE)]]&gt;=4,'9 Grid'!$D$2,'9 Grid'!$E$2))),"")</f>
        <v>Fully Competence Performance</v>
      </c>
      <c r="J673" s="146" t="str">
        <f ca="1">IFERROR(INDEX('9 Grid'!$D$4:$F$6,MATCH('Rekomendasi HAV'!H673,'9 Grid'!$B$4:$B$6,0),MATCH('Rekomendasi HAV'!I673,'9 Grid'!$D$2:$F$2,0)),"")</f>
        <v/>
      </c>
      <c r="K673" s="146" t="str">
        <f>IFERROR(INDEX('9 Grid'!$D$8:$F$8,1,MATCH('Rekomendasi HAV'!I673,'9 Grid'!$D$2:$F$2,0)),"")</f>
        <v>(ST) Within 12 - 18 month</v>
      </c>
      <c r="L673" s="146">
        <f>IF(ISNUMBER(SEARCH("EST",Assessment[[#This Row],[JOB TARGET]])),SUBSTITUTE(Assessment[[#This Row],[JOB TARGET]],"EST","DEV"),Assessment[[#This Row],[JOB TARGET]])</f>
        <v>0</v>
      </c>
      <c r="M673" s="146" t="str" cm="1">
        <f t="array" aca="1" ref="M673" ca="1">IF(Assessment[[#This Row],[JOB TARGET]]="","Job Target Kosong",IF(COUNT(IF('Data Assessment'!$N673:$Z673-OFFSET(Standar!$B$2,MATCH(Assessment[[#This Row],[JOB TARGET
(DEV)]],Standar[NAMA JABATAN],0)-1,1,1,13)&lt;0,1,""))&lt;=3,'9 Grid'!$B$4,IF(COUNT(IF('Data Assessment'!$N673:$Z673-OFFSET(Standar!$B$2,MATCH(Assessment[[#This Row],[JOB TARGET
(DEV)]],Standar[NAMA JABATAN],0)-1,1,1,13)&lt;0,1,""))&gt;=7,'9 Grid'!$B$6,'9 Grid'!$B$5)))</f>
        <v>Job Target Kosong</v>
      </c>
      <c r="N673" s="146" t="str">
        <f>IFERROR(IF(Data_Assessment[[#This Row],[IPP (3 YEARS AVERAGE)]]="","(IPP Belum Ada)",IF(Data_Assessment[[#This Row],[IPP (3 YEARS AVERAGE)]]&lt;2,'9 Grid'!$F$2,IF(Data_Assessment[[#This Row],[IPP (3 YEARS AVERAGE)]]&gt;=4,'9 Grid'!$D$2,'9 Grid'!$E$2))),"")</f>
        <v>Fully Competence Performance</v>
      </c>
      <c r="O673" s="146" t="str">
        <f ca="1">IFERROR(INDEX('9 Grid'!$D$4:$F$6,MATCH('Rekomendasi HAV'!M673,'9 Grid'!$B$4:$B$6,0),MATCH('Rekomendasi HAV'!N673,'9 Grid'!$D$2:$F$2,0)),"")</f>
        <v/>
      </c>
      <c r="P673" s="147" t="str">
        <f>IFERROR(INDEX('9 Grid'!$D$8:$F$8,1,MATCH('Rekomendasi HAV'!N673,'9 Grid'!$D$2:$F$2,0)),"")</f>
        <v>(ST) Within 12 - 18 month</v>
      </c>
    </row>
    <row r="674" spans="1:16" ht="28.5">
      <c r="A674" s="67">
        <v>673</v>
      </c>
      <c r="B674" s="68" t="str">
        <f>INDEX(Data_Assessment[],MATCH('Rekomendasi HAV'!$A674,Data_Assessment[[INDEX]:[INDEX]],0),MATCH('Rekomendasi HAV'!B$1,Data_Assessment[#Headers],0))</f>
        <v>Indra Wijaya</v>
      </c>
      <c r="C674" s="68" t="str">
        <f>INDEX(Data_Assessment[],MATCH('Rekomendasi HAV'!$A674,Data_Assessment[[INDEX]:[INDEX]],0),MATCH('Rekomendasi HAV'!C$1,Data_Assessment[#Headers],0))</f>
        <v>Sumatera Selatan</v>
      </c>
      <c r="D674" s="68" t="str">
        <f>INDEX(Data_Assessment[],MATCH('Rekomendasi HAV'!$A674,Data_Assessment[[INDEX]:[INDEX]],0),MATCH('Rekomendasi HAV'!D$1,Data_Assessment[#Headers],0))</f>
        <v>LSIP - Sei Lakitan Estate</v>
      </c>
      <c r="E674" s="68">
        <f>INDEX(Data_Assessment[],MATCH('Rekomendasi HAV'!$B674,Data_Assessment[[NAME]:[NAME]],0),MATCH('Rekomendasi HAV'!E$1,Data_Assessment[#Headers],0))</f>
        <v>0</v>
      </c>
      <c r="F674" s="68"/>
      <c r="G674" s="68">
        <f>IF(ISNUMBER(SEARCH("DEV",Assessment[[#This Row],[JOB TARGET]])),SUBSTITUTE(Assessment[[#This Row],[JOB TARGET]],"DEV","EST"),Assessment[[#This Row],[JOB TARGET]])</f>
        <v>0</v>
      </c>
      <c r="H674" s="146" t="str" cm="1">
        <f t="array" aca="1" ref="H674" ca="1">IF(Assessment[[#This Row],[JOB TARGET]]="","Job Target Kosong",IF(COUNT(IF('Data Assessment'!$N674:$Z674-OFFSET(Standar!$B$2,MATCH(Assessment[[#This Row],[JOB TARGET
(EST)]],Standar[NAMA JABATAN],0)-1,1,1,13)&lt;0,1,""))&lt;=3,'9 Grid'!$B$4,IF(COUNT(IF('Data Assessment'!$N674:$Z674-OFFSET(Standar!$B$2,MATCH(Assessment[[#This Row],[JOB TARGET]],Standar[NAMA JABATAN],0)-1,1,1,13)&lt;0,1,""))&gt;=7,'9 Grid'!$B$6,'9 Grid'!$B$5)))</f>
        <v>Job Target Kosong</v>
      </c>
      <c r="I674" s="146" t="str">
        <f>IFERROR(IF(Data_Assessment[[#This Row],[IPP (3 YEARS AVERAGE)]]="","(IPP Belum Ada)",IF(Data_Assessment[[#This Row],[IPP (3 YEARS AVERAGE)]]&lt;2,'9 Grid'!$F$2,IF(Data_Assessment[[#This Row],[IPP (3 YEARS AVERAGE)]]&gt;=4,'9 Grid'!$D$2,'9 Grid'!$E$2))),"")</f>
        <v>Fully Competence Performance</v>
      </c>
      <c r="J674" s="146" t="str">
        <f ca="1">IFERROR(INDEX('9 Grid'!$D$4:$F$6,MATCH('Rekomendasi HAV'!H674,'9 Grid'!$B$4:$B$6,0),MATCH('Rekomendasi HAV'!I674,'9 Grid'!$D$2:$F$2,0)),"")</f>
        <v/>
      </c>
      <c r="K674" s="146" t="str">
        <f>IFERROR(INDEX('9 Grid'!$D$8:$F$8,1,MATCH('Rekomendasi HAV'!I674,'9 Grid'!$D$2:$F$2,0)),"")</f>
        <v>(ST) Within 12 - 18 month</v>
      </c>
      <c r="L674" s="146">
        <f>IF(ISNUMBER(SEARCH("EST",Assessment[[#This Row],[JOB TARGET]])),SUBSTITUTE(Assessment[[#This Row],[JOB TARGET]],"EST","DEV"),Assessment[[#This Row],[JOB TARGET]])</f>
        <v>0</v>
      </c>
      <c r="M674" s="146" t="str" cm="1">
        <f t="array" aca="1" ref="M674" ca="1">IF(Assessment[[#This Row],[JOB TARGET]]="","Job Target Kosong",IF(COUNT(IF('Data Assessment'!$N674:$Z674-OFFSET(Standar!$B$2,MATCH(Assessment[[#This Row],[JOB TARGET
(DEV)]],Standar[NAMA JABATAN],0)-1,1,1,13)&lt;0,1,""))&lt;=3,'9 Grid'!$B$4,IF(COUNT(IF('Data Assessment'!$N674:$Z674-OFFSET(Standar!$B$2,MATCH(Assessment[[#This Row],[JOB TARGET
(DEV)]],Standar[NAMA JABATAN],0)-1,1,1,13)&lt;0,1,""))&gt;=7,'9 Grid'!$B$6,'9 Grid'!$B$5)))</f>
        <v>Job Target Kosong</v>
      </c>
      <c r="N674" s="146" t="str">
        <f>IFERROR(IF(Data_Assessment[[#This Row],[IPP (3 YEARS AVERAGE)]]="","(IPP Belum Ada)",IF(Data_Assessment[[#This Row],[IPP (3 YEARS AVERAGE)]]&lt;2,'9 Grid'!$F$2,IF(Data_Assessment[[#This Row],[IPP (3 YEARS AVERAGE)]]&gt;=4,'9 Grid'!$D$2,'9 Grid'!$E$2))),"")</f>
        <v>Fully Competence Performance</v>
      </c>
      <c r="O674" s="146" t="str">
        <f ca="1">IFERROR(INDEX('9 Grid'!$D$4:$F$6,MATCH('Rekomendasi HAV'!M674,'9 Grid'!$B$4:$B$6,0),MATCH('Rekomendasi HAV'!N674,'9 Grid'!$D$2:$F$2,0)),"")</f>
        <v/>
      </c>
      <c r="P674" s="147" t="str">
        <f>IFERROR(INDEX('9 Grid'!$D$8:$F$8,1,MATCH('Rekomendasi HAV'!N674,'9 Grid'!$D$2:$F$2,0)),"")</f>
        <v>(ST) Within 12 - 18 month</v>
      </c>
    </row>
    <row r="675" spans="1:16" ht="28.5">
      <c r="A675" s="67">
        <v>674</v>
      </c>
      <c r="B675" s="68" t="str">
        <f>INDEX(Data_Assessment[],MATCH('Rekomendasi HAV'!$A675,Data_Assessment[[INDEX]:[INDEX]],0),MATCH('Rekomendasi HAV'!B$1,Data_Assessment[#Headers],0))</f>
        <v>Hermawan Agung Gumelar</v>
      </c>
      <c r="C675" s="68" t="str">
        <f>INDEX(Data_Assessment[],MATCH('Rekomendasi HAV'!$A675,Data_Assessment[[INDEX]:[INDEX]],0),MATCH('Rekomendasi HAV'!C$1,Data_Assessment[#Headers],0))</f>
        <v>Sumatera Selatan</v>
      </c>
      <c r="D675" s="68" t="str">
        <f>INDEX(Data_Assessment[],MATCH('Rekomendasi HAV'!$A675,Data_Assessment[[INDEX]:[INDEX]],0),MATCH('Rekomendasi HAV'!D$1,Data_Assessment[#Headers],0))</f>
        <v>LSIP - Sei Lakitan Estate</v>
      </c>
      <c r="E675" s="68">
        <f>INDEX(Data_Assessment[],MATCH('Rekomendasi HAV'!$B675,Data_Assessment[[NAME]:[NAME]],0),MATCH('Rekomendasi HAV'!E$1,Data_Assessment[#Headers],0))</f>
        <v>0</v>
      </c>
      <c r="F675" s="68"/>
      <c r="G675" s="68">
        <f>IF(ISNUMBER(SEARCH("DEV",Assessment[[#This Row],[JOB TARGET]])),SUBSTITUTE(Assessment[[#This Row],[JOB TARGET]],"DEV","EST"),Assessment[[#This Row],[JOB TARGET]])</f>
        <v>0</v>
      </c>
      <c r="H675" s="146" t="str" cm="1">
        <f t="array" aca="1" ref="H675" ca="1">IF(Assessment[[#This Row],[JOB TARGET]]="","Job Target Kosong",IF(COUNT(IF('Data Assessment'!$N675:$Z675-OFFSET(Standar!$B$2,MATCH(Assessment[[#This Row],[JOB TARGET
(EST)]],Standar[NAMA JABATAN],0)-1,1,1,13)&lt;0,1,""))&lt;=3,'9 Grid'!$B$4,IF(COUNT(IF('Data Assessment'!$N675:$Z675-OFFSET(Standar!$B$2,MATCH(Assessment[[#This Row],[JOB TARGET]],Standar[NAMA JABATAN],0)-1,1,1,13)&lt;0,1,""))&gt;=7,'9 Grid'!$B$6,'9 Grid'!$B$5)))</f>
        <v>Job Target Kosong</v>
      </c>
      <c r="I675" s="146" t="str">
        <f>IFERROR(IF(Data_Assessment[[#This Row],[IPP (3 YEARS AVERAGE)]]="","(IPP Belum Ada)",IF(Data_Assessment[[#This Row],[IPP (3 YEARS AVERAGE)]]&lt;2,'9 Grid'!$F$2,IF(Data_Assessment[[#This Row],[IPP (3 YEARS AVERAGE)]]&gt;=4,'9 Grid'!$D$2,'9 Grid'!$E$2))),"")</f>
        <v>Fully Competence Performance</v>
      </c>
      <c r="J675" s="146" t="str">
        <f ca="1">IFERROR(INDEX('9 Grid'!$D$4:$F$6,MATCH('Rekomendasi HAV'!H675,'9 Grid'!$B$4:$B$6,0),MATCH('Rekomendasi HAV'!I675,'9 Grid'!$D$2:$F$2,0)),"")</f>
        <v/>
      </c>
      <c r="K675" s="146" t="str">
        <f>IFERROR(INDEX('9 Grid'!$D$8:$F$8,1,MATCH('Rekomendasi HAV'!I675,'9 Grid'!$D$2:$F$2,0)),"")</f>
        <v>(ST) Within 12 - 18 month</v>
      </c>
      <c r="L675" s="146">
        <f>IF(ISNUMBER(SEARCH("EST",Assessment[[#This Row],[JOB TARGET]])),SUBSTITUTE(Assessment[[#This Row],[JOB TARGET]],"EST","DEV"),Assessment[[#This Row],[JOB TARGET]])</f>
        <v>0</v>
      </c>
      <c r="M675" s="146" t="str" cm="1">
        <f t="array" aca="1" ref="M675" ca="1">IF(Assessment[[#This Row],[JOB TARGET]]="","Job Target Kosong",IF(COUNT(IF('Data Assessment'!$N675:$Z675-OFFSET(Standar!$B$2,MATCH(Assessment[[#This Row],[JOB TARGET
(DEV)]],Standar[NAMA JABATAN],0)-1,1,1,13)&lt;0,1,""))&lt;=3,'9 Grid'!$B$4,IF(COUNT(IF('Data Assessment'!$N675:$Z675-OFFSET(Standar!$B$2,MATCH(Assessment[[#This Row],[JOB TARGET
(DEV)]],Standar[NAMA JABATAN],0)-1,1,1,13)&lt;0,1,""))&gt;=7,'9 Grid'!$B$6,'9 Grid'!$B$5)))</f>
        <v>Job Target Kosong</v>
      </c>
      <c r="N675" s="146" t="str">
        <f>IFERROR(IF(Data_Assessment[[#This Row],[IPP (3 YEARS AVERAGE)]]="","(IPP Belum Ada)",IF(Data_Assessment[[#This Row],[IPP (3 YEARS AVERAGE)]]&lt;2,'9 Grid'!$F$2,IF(Data_Assessment[[#This Row],[IPP (3 YEARS AVERAGE)]]&gt;=4,'9 Grid'!$D$2,'9 Grid'!$E$2))),"")</f>
        <v>Fully Competence Performance</v>
      </c>
      <c r="O675" s="146" t="str">
        <f ca="1">IFERROR(INDEX('9 Grid'!$D$4:$F$6,MATCH('Rekomendasi HAV'!M675,'9 Grid'!$B$4:$B$6,0),MATCH('Rekomendasi HAV'!N675,'9 Grid'!$D$2:$F$2,0)),"")</f>
        <v/>
      </c>
      <c r="P675" s="147" t="str">
        <f>IFERROR(INDEX('9 Grid'!$D$8:$F$8,1,MATCH('Rekomendasi HAV'!N675,'9 Grid'!$D$2:$F$2,0)),"")</f>
        <v>(ST) Within 12 - 18 month</v>
      </c>
    </row>
    <row r="676" spans="1:16" ht="28.5">
      <c r="A676" s="67">
        <v>675</v>
      </c>
      <c r="B676" s="68" t="str">
        <f>INDEX(Data_Assessment[],MATCH('Rekomendasi HAV'!$A676,Data_Assessment[[INDEX]:[INDEX]],0),MATCH('Rekomendasi HAV'!B$1,Data_Assessment[#Headers],0))</f>
        <v>Lulu R. Dea Naura</v>
      </c>
      <c r="C676" s="68" t="str">
        <f>INDEX(Data_Assessment[],MATCH('Rekomendasi HAV'!$A676,Data_Assessment[[INDEX]:[INDEX]],0),MATCH('Rekomendasi HAV'!C$1,Data_Assessment[#Headers],0))</f>
        <v>Sumatera Selatan</v>
      </c>
      <c r="D676" s="68" t="str">
        <f>INDEX(Data_Assessment[],MATCH('Rekomendasi HAV'!$A676,Data_Assessment[[INDEX]:[INDEX]],0),MATCH('Rekomendasi HAV'!D$1,Data_Assessment[#Headers],0))</f>
        <v>LSIP - Sei Lakitan Estate</v>
      </c>
      <c r="E676" s="68">
        <f>INDEX(Data_Assessment[],MATCH('Rekomendasi HAV'!$B676,Data_Assessment[[NAME]:[NAME]],0),MATCH('Rekomendasi HAV'!E$1,Data_Assessment[#Headers],0))</f>
        <v>0</v>
      </c>
      <c r="F676" s="68"/>
      <c r="G676" s="68">
        <f>IF(ISNUMBER(SEARCH("DEV",Assessment[[#This Row],[JOB TARGET]])),SUBSTITUTE(Assessment[[#This Row],[JOB TARGET]],"DEV","EST"),Assessment[[#This Row],[JOB TARGET]])</f>
        <v>0</v>
      </c>
      <c r="H676" s="146" t="str" cm="1">
        <f t="array" aca="1" ref="H676" ca="1">IF(Assessment[[#This Row],[JOB TARGET]]="","Job Target Kosong",IF(COUNT(IF('Data Assessment'!$N676:$Z676-OFFSET(Standar!$B$2,MATCH(Assessment[[#This Row],[JOB TARGET
(EST)]],Standar[NAMA JABATAN],0)-1,1,1,13)&lt;0,1,""))&lt;=3,'9 Grid'!$B$4,IF(COUNT(IF('Data Assessment'!$N676:$Z676-OFFSET(Standar!$B$2,MATCH(Assessment[[#This Row],[JOB TARGET]],Standar[NAMA JABATAN],0)-1,1,1,13)&lt;0,1,""))&gt;=7,'9 Grid'!$B$6,'9 Grid'!$B$5)))</f>
        <v>Job Target Kosong</v>
      </c>
      <c r="I676" s="146" t="str">
        <f>IFERROR(IF(Data_Assessment[[#This Row],[IPP (3 YEARS AVERAGE)]]="","(IPP Belum Ada)",IF(Data_Assessment[[#This Row],[IPP (3 YEARS AVERAGE)]]&lt;2,'9 Grid'!$F$2,IF(Data_Assessment[[#This Row],[IPP (3 YEARS AVERAGE)]]&gt;=4,'9 Grid'!$D$2,'9 Grid'!$E$2))),"")</f>
        <v>Fully Competence Performance</v>
      </c>
      <c r="J676" s="146" t="str">
        <f ca="1">IFERROR(INDEX('9 Grid'!$D$4:$F$6,MATCH('Rekomendasi HAV'!H676,'9 Grid'!$B$4:$B$6,0),MATCH('Rekomendasi HAV'!I676,'9 Grid'!$D$2:$F$2,0)),"")</f>
        <v/>
      </c>
      <c r="K676" s="146" t="str">
        <f>IFERROR(INDEX('9 Grid'!$D$8:$F$8,1,MATCH('Rekomendasi HAV'!I676,'9 Grid'!$D$2:$F$2,0)),"")</f>
        <v>(ST) Within 12 - 18 month</v>
      </c>
      <c r="L676" s="146">
        <f>IF(ISNUMBER(SEARCH("EST",Assessment[[#This Row],[JOB TARGET]])),SUBSTITUTE(Assessment[[#This Row],[JOB TARGET]],"EST","DEV"),Assessment[[#This Row],[JOB TARGET]])</f>
        <v>0</v>
      </c>
      <c r="M676" s="146" t="str" cm="1">
        <f t="array" aca="1" ref="M676" ca="1">IF(Assessment[[#This Row],[JOB TARGET]]="","Job Target Kosong",IF(COUNT(IF('Data Assessment'!$N676:$Z676-OFFSET(Standar!$B$2,MATCH(Assessment[[#This Row],[JOB TARGET
(DEV)]],Standar[NAMA JABATAN],0)-1,1,1,13)&lt;0,1,""))&lt;=3,'9 Grid'!$B$4,IF(COUNT(IF('Data Assessment'!$N676:$Z676-OFFSET(Standar!$B$2,MATCH(Assessment[[#This Row],[JOB TARGET
(DEV)]],Standar[NAMA JABATAN],0)-1,1,1,13)&lt;0,1,""))&gt;=7,'9 Grid'!$B$6,'9 Grid'!$B$5)))</f>
        <v>Job Target Kosong</v>
      </c>
      <c r="N676" s="146" t="str">
        <f>IFERROR(IF(Data_Assessment[[#This Row],[IPP (3 YEARS AVERAGE)]]="","(IPP Belum Ada)",IF(Data_Assessment[[#This Row],[IPP (3 YEARS AVERAGE)]]&lt;2,'9 Grid'!$F$2,IF(Data_Assessment[[#This Row],[IPP (3 YEARS AVERAGE)]]&gt;=4,'9 Grid'!$D$2,'9 Grid'!$E$2))),"")</f>
        <v>Fully Competence Performance</v>
      </c>
      <c r="O676" s="146" t="str">
        <f ca="1">IFERROR(INDEX('9 Grid'!$D$4:$F$6,MATCH('Rekomendasi HAV'!M676,'9 Grid'!$B$4:$B$6,0),MATCH('Rekomendasi HAV'!N676,'9 Grid'!$D$2:$F$2,0)),"")</f>
        <v/>
      </c>
      <c r="P676" s="147" t="str">
        <f>IFERROR(INDEX('9 Grid'!$D$8:$F$8,1,MATCH('Rekomendasi HAV'!N676,'9 Grid'!$D$2:$F$2,0)),"")</f>
        <v>(ST) Within 12 - 18 month</v>
      </c>
    </row>
    <row r="677" spans="1:16" ht="28.5">
      <c r="A677" s="67">
        <v>676</v>
      </c>
      <c r="B677" s="68" t="str">
        <f>INDEX(Data_Assessment[],MATCH('Rekomendasi HAV'!$A677,Data_Assessment[[INDEX]:[INDEX]],0),MATCH('Rekomendasi HAV'!B$1,Data_Assessment[#Headers],0))</f>
        <v>Rizky Ade Putra</v>
      </c>
      <c r="C677" s="68" t="str">
        <f>INDEX(Data_Assessment[],MATCH('Rekomendasi HAV'!$A677,Data_Assessment[[INDEX]:[INDEX]],0),MATCH('Rekomendasi HAV'!C$1,Data_Assessment[#Headers],0))</f>
        <v>Sumatera Selatan</v>
      </c>
      <c r="D677" s="68" t="str">
        <f>INDEX(Data_Assessment[],MATCH('Rekomendasi HAV'!$A677,Data_Assessment[[INDEX]:[INDEX]],0),MATCH('Rekomendasi HAV'!D$1,Data_Assessment[#Headers],0))</f>
        <v>LSIP - Sei Lakitan Estate</v>
      </c>
      <c r="E677" s="68">
        <f>INDEX(Data_Assessment[],MATCH('Rekomendasi HAV'!$B677,Data_Assessment[[NAME]:[NAME]],0),MATCH('Rekomendasi HAV'!E$1,Data_Assessment[#Headers],0))</f>
        <v>0</v>
      </c>
      <c r="F677" s="68"/>
      <c r="G677" s="68">
        <f>IF(ISNUMBER(SEARCH("DEV",Assessment[[#This Row],[JOB TARGET]])),SUBSTITUTE(Assessment[[#This Row],[JOB TARGET]],"DEV","EST"),Assessment[[#This Row],[JOB TARGET]])</f>
        <v>0</v>
      </c>
      <c r="H677" s="146" t="str" cm="1">
        <f t="array" aca="1" ref="H677" ca="1">IF(Assessment[[#This Row],[JOB TARGET]]="","Job Target Kosong",IF(COUNT(IF('Data Assessment'!$N677:$Z677-OFFSET(Standar!$B$2,MATCH(Assessment[[#This Row],[JOB TARGET
(EST)]],Standar[NAMA JABATAN],0)-1,1,1,13)&lt;0,1,""))&lt;=3,'9 Grid'!$B$4,IF(COUNT(IF('Data Assessment'!$N677:$Z677-OFFSET(Standar!$B$2,MATCH(Assessment[[#This Row],[JOB TARGET]],Standar[NAMA JABATAN],0)-1,1,1,13)&lt;0,1,""))&gt;=7,'9 Grid'!$B$6,'9 Grid'!$B$5)))</f>
        <v>Job Target Kosong</v>
      </c>
      <c r="I677" s="146" t="str">
        <f>IFERROR(IF(Data_Assessment[[#This Row],[IPP (3 YEARS AVERAGE)]]="","(IPP Belum Ada)",IF(Data_Assessment[[#This Row],[IPP (3 YEARS AVERAGE)]]&lt;2,'9 Grid'!$F$2,IF(Data_Assessment[[#This Row],[IPP (3 YEARS AVERAGE)]]&gt;=4,'9 Grid'!$D$2,'9 Grid'!$E$2))),"")</f>
        <v>Fully Competence Performance</v>
      </c>
      <c r="J677" s="146" t="str">
        <f ca="1">IFERROR(INDEX('9 Grid'!$D$4:$F$6,MATCH('Rekomendasi HAV'!H677,'9 Grid'!$B$4:$B$6,0),MATCH('Rekomendasi HAV'!I677,'9 Grid'!$D$2:$F$2,0)),"")</f>
        <v/>
      </c>
      <c r="K677" s="146" t="str">
        <f>IFERROR(INDEX('9 Grid'!$D$8:$F$8,1,MATCH('Rekomendasi HAV'!I677,'9 Grid'!$D$2:$F$2,0)),"")</f>
        <v>(ST) Within 12 - 18 month</v>
      </c>
      <c r="L677" s="146">
        <f>IF(ISNUMBER(SEARCH("EST",Assessment[[#This Row],[JOB TARGET]])),SUBSTITUTE(Assessment[[#This Row],[JOB TARGET]],"EST","DEV"),Assessment[[#This Row],[JOB TARGET]])</f>
        <v>0</v>
      </c>
      <c r="M677" s="146" t="str" cm="1">
        <f t="array" aca="1" ref="M677" ca="1">IF(Assessment[[#This Row],[JOB TARGET]]="","Job Target Kosong",IF(COUNT(IF('Data Assessment'!$N677:$Z677-OFFSET(Standar!$B$2,MATCH(Assessment[[#This Row],[JOB TARGET
(DEV)]],Standar[NAMA JABATAN],0)-1,1,1,13)&lt;0,1,""))&lt;=3,'9 Grid'!$B$4,IF(COUNT(IF('Data Assessment'!$N677:$Z677-OFFSET(Standar!$B$2,MATCH(Assessment[[#This Row],[JOB TARGET
(DEV)]],Standar[NAMA JABATAN],0)-1,1,1,13)&lt;0,1,""))&gt;=7,'9 Grid'!$B$6,'9 Grid'!$B$5)))</f>
        <v>Job Target Kosong</v>
      </c>
      <c r="N677" s="146" t="str">
        <f>IFERROR(IF(Data_Assessment[[#This Row],[IPP (3 YEARS AVERAGE)]]="","(IPP Belum Ada)",IF(Data_Assessment[[#This Row],[IPP (3 YEARS AVERAGE)]]&lt;2,'9 Grid'!$F$2,IF(Data_Assessment[[#This Row],[IPP (3 YEARS AVERAGE)]]&gt;=4,'9 Grid'!$D$2,'9 Grid'!$E$2))),"")</f>
        <v>Fully Competence Performance</v>
      </c>
      <c r="O677" s="146" t="str">
        <f ca="1">IFERROR(INDEX('9 Grid'!$D$4:$F$6,MATCH('Rekomendasi HAV'!M677,'9 Grid'!$B$4:$B$6,0),MATCH('Rekomendasi HAV'!N677,'9 Grid'!$D$2:$F$2,0)),"")</f>
        <v/>
      </c>
      <c r="P677" s="147" t="str">
        <f>IFERROR(INDEX('9 Grid'!$D$8:$F$8,1,MATCH('Rekomendasi HAV'!N677,'9 Grid'!$D$2:$F$2,0)),"")</f>
        <v>(ST) Within 12 - 18 month</v>
      </c>
    </row>
    <row r="678" spans="1:16" ht="28.5">
      <c r="A678" s="67">
        <v>677</v>
      </c>
      <c r="B678" s="68" t="str">
        <f>INDEX(Data_Assessment[],MATCH('Rekomendasi HAV'!$A678,Data_Assessment[[INDEX]:[INDEX]],0),MATCH('Rekomendasi HAV'!B$1,Data_Assessment[#Headers],0))</f>
        <v>Mangantartua Eduanwar Pakpahan</v>
      </c>
      <c r="C678" s="68" t="str">
        <f>INDEX(Data_Assessment[],MATCH('Rekomendasi HAV'!$A678,Data_Assessment[[INDEX]:[INDEX]],0),MATCH('Rekomendasi HAV'!C$1,Data_Assessment[#Headers],0))</f>
        <v>Sumatera Selatan</v>
      </c>
      <c r="D678" s="68" t="str">
        <f>INDEX(Data_Assessment[],MATCH('Rekomendasi HAV'!$A678,Data_Assessment[[INDEX]:[INDEX]],0),MATCH('Rekomendasi HAV'!D$1,Data_Assessment[#Headers],0))</f>
        <v>LSIP - Riam Indah Estate</v>
      </c>
      <c r="E678" s="68">
        <f>INDEX(Data_Assessment[],MATCH('Rekomendasi HAV'!$B678,Data_Assessment[[NAME]:[NAME]],0),MATCH('Rekomendasi HAV'!E$1,Data_Assessment[#Headers],0))</f>
        <v>0</v>
      </c>
      <c r="F678" s="68"/>
      <c r="G678" s="68">
        <f>IF(ISNUMBER(SEARCH("DEV",Assessment[[#This Row],[JOB TARGET]])),SUBSTITUTE(Assessment[[#This Row],[JOB TARGET]],"DEV","EST"),Assessment[[#This Row],[JOB TARGET]])</f>
        <v>0</v>
      </c>
      <c r="H678" s="146" t="str" cm="1">
        <f t="array" aca="1" ref="H678" ca="1">IF(Assessment[[#This Row],[JOB TARGET]]="","Job Target Kosong",IF(COUNT(IF('Data Assessment'!$N678:$Z678-OFFSET(Standar!$B$2,MATCH(Assessment[[#This Row],[JOB TARGET
(EST)]],Standar[NAMA JABATAN],0)-1,1,1,13)&lt;0,1,""))&lt;=3,'9 Grid'!$B$4,IF(COUNT(IF('Data Assessment'!$N678:$Z678-OFFSET(Standar!$B$2,MATCH(Assessment[[#This Row],[JOB TARGET]],Standar[NAMA JABATAN],0)-1,1,1,13)&lt;0,1,""))&gt;=7,'9 Grid'!$B$6,'9 Grid'!$B$5)))</f>
        <v>Job Target Kosong</v>
      </c>
      <c r="I678" s="146" t="str">
        <f>IFERROR(IF(Data_Assessment[[#This Row],[IPP (3 YEARS AVERAGE)]]="","(IPP Belum Ada)",IF(Data_Assessment[[#This Row],[IPP (3 YEARS AVERAGE)]]&lt;2,'9 Grid'!$F$2,IF(Data_Assessment[[#This Row],[IPP (3 YEARS AVERAGE)]]&gt;=4,'9 Grid'!$D$2,'9 Grid'!$E$2))),"")</f>
        <v>Fully Competence Performance</v>
      </c>
      <c r="J678" s="146" t="str">
        <f ca="1">IFERROR(INDEX('9 Grid'!$D$4:$F$6,MATCH('Rekomendasi HAV'!H678,'9 Grid'!$B$4:$B$6,0),MATCH('Rekomendasi HAV'!I678,'9 Grid'!$D$2:$F$2,0)),"")</f>
        <v/>
      </c>
      <c r="K678" s="146" t="str">
        <f>IFERROR(INDEX('9 Grid'!$D$8:$F$8,1,MATCH('Rekomendasi HAV'!I678,'9 Grid'!$D$2:$F$2,0)),"")</f>
        <v>(ST) Within 12 - 18 month</v>
      </c>
      <c r="L678" s="146">
        <f>IF(ISNUMBER(SEARCH("EST",Assessment[[#This Row],[JOB TARGET]])),SUBSTITUTE(Assessment[[#This Row],[JOB TARGET]],"EST","DEV"),Assessment[[#This Row],[JOB TARGET]])</f>
        <v>0</v>
      </c>
      <c r="M678" s="146" t="str" cm="1">
        <f t="array" aca="1" ref="M678" ca="1">IF(Assessment[[#This Row],[JOB TARGET]]="","Job Target Kosong",IF(COUNT(IF('Data Assessment'!$N678:$Z678-OFFSET(Standar!$B$2,MATCH(Assessment[[#This Row],[JOB TARGET
(DEV)]],Standar[NAMA JABATAN],0)-1,1,1,13)&lt;0,1,""))&lt;=3,'9 Grid'!$B$4,IF(COUNT(IF('Data Assessment'!$N678:$Z678-OFFSET(Standar!$B$2,MATCH(Assessment[[#This Row],[JOB TARGET
(DEV)]],Standar[NAMA JABATAN],0)-1,1,1,13)&lt;0,1,""))&gt;=7,'9 Grid'!$B$6,'9 Grid'!$B$5)))</f>
        <v>Job Target Kosong</v>
      </c>
      <c r="N678" s="146" t="str">
        <f>IFERROR(IF(Data_Assessment[[#This Row],[IPP (3 YEARS AVERAGE)]]="","(IPP Belum Ada)",IF(Data_Assessment[[#This Row],[IPP (3 YEARS AVERAGE)]]&lt;2,'9 Grid'!$F$2,IF(Data_Assessment[[#This Row],[IPP (3 YEARS AVERAGE)]]&gt;=4,'9 Grid'!$D$2,'9 Grid'!$E$2))),"")</f>
        <v>Fully Competence Performance</v>
      </c>
      <c r="O678" s="146" t="str">
        <f ca="1">IFERROR(INDEX('9 Grid'!$D$4:$F$6,MATCH('Rekomendasi HAV'!M678,'9 Grid'!$B$4:$B$6,0),MATCH('Rekomendasi HAV'!N678,'9 Grid'!$D$2:$F$2,0)),"")</f>
        <v/>
      </c>
      <c r="P678" s="147" t="str">
        <f>IFERROR(INDEX('9 Grid'!$D$8:$F$8,1,MATCH('Rekomendasi HAV'!N678,'9 Grid'!$D$2:$F$2,0)),"")</f>
        <v>(ST) Within 12 - 18 month</v>
      </c>
    </row>
    <row r="679" spans="1:16" ht="28.5">
      <c r="A679" s="67">
        <v>678</v>
      </c>
      <c r="B679" s="68" t="str">
        <f>INDEX(Data_Assessment[],MATCH('Rekomendasi HAV'!$A679,Data_Assessment[[INDEX]:[INDEX]],0),MATCH('Rekomendasi HAV'!B$1,Data_Assessment[#Headers],0))</f>
        <v>Dede Wahyudi</v>
      </c>
      <c r="C679" s="68" t="str">
        <f>INDEX(Data_Assessment[],MATCH('Rekomendasi HAV'!$A679,Data_Assessment[[INDEX]:[INDEX]],0),MATCH('Rekomendasi HAV'!C$1,Data_Assessment[#Headers],0))</f>
        <v>Sumatera Selatan</v>
      </c>
      <c r="D679" s="68" t="str">
        <f>INDEX(Data_Assessment[],MATCH('Rekomendasi HAV'!$A679,Data_Assessment[[INDEX]:[INDEX]],0),MATCH('Rekomendasi HAV'!D$1,Data_Assessment[#Headers],0))</f>
        <v>LSIP - Riam Indah Estate</v>
      </c>
      <c r="E679" s="68">
        <f>INDEX(Data_Assessment[],MATCH('Rekomendasi HAV'!$B679,Data_Assessment[[NAME]:[NAME]],0),MATCH('Rekomendasi HAV'!E$1,Data_Assessment[#Headers],0))</f>
        <v>0</v>
      </c>
      <c r="F679" s="68"/>
      <c r="G679" s="68">
        <f>IF(ISNUMBER(SEARCH("DEV",Assessment[[#This Row],[JOB TARGET]])),SUBSTITUTE(Assessment[[#This Row],[JOB TARGET]],"DEV","EST"),Assessment[[#This Row],[JOB TARGET]])</f>
        <v>0</v>
      </c>
      <c r="H679" s="146" t="str" cm="1">
        <f t="array" aca="1" ref="H679" ca="1">IF(Assessment[[#This Row],[JOB TARGET]]="","Job Target Kosong",IF(COUNT(IF('Data Assessment'!$N679:$Z679-OFFSET(Standar!$B$2,MATCH(Assessment[[#This Row],[JOB TARGET
(EST)]],Standar[NAMA JABATAN],0)-1,1,1,13)&lt;0,1,""))&lt;=3,'9 Grid'!$B$4,IF(COUNT(IF('Data Assessment'!$N679:$Z679-OFFSET(Standar!$B$2,MATCH(Assessment[[#This Row],[JOB TARGET]],Standar[NAMA JABATAN],0)-1,1,1,13)&lt;0,1,""))&gt;=7,'9 Grid'!$B$6,'9 Grid'!$B$5)))</f>
        <v>Job Target Kosong</v>
      </c>
      <c r="I679" s="146" t="str">
        <f>IFERROR(IF(Data_Assessment[[#This Row],[IPP (3 YEARS AVERAGE)]]="","(IPP Belum Ada)",IF(Data_Assessment[[#This Row],[IPP (3 YEARS AVERAGE)]]&lt;2,'9 Grid'!$F$2,IF(Data_Assessment[[#This Row],[IPP (3 YEARS AVERAGE)]]&gt;=4,'9 Grid'!$D$2,'9 Grid'!$E$2))),"")</f>
        <v>Fully Competence Performance</v>
      </c>
      <c r="J679" s="146" t="str">
        <f ca="1">IFERROR(INDEX('9 Grid'!$D$4:$F$6,MATCH('Rekomendasi HAV'!H679,'9 Grid'!$B$4:$B$6,0),MATCH('Rekomendasi HAV'!I679,'9 Grid'!$D$2:$F$2,0)),"")</f>
        <v/>
      </c>
      <c r="K679" s="146" t="str">
        <f>IFERROR(INDEX('9 Grid'!$D$8:$F$8,1,MATCH('Rekomendasi HAV'!I679,'9 Grid'!$D$2:$F$2,0)),"")</f>
        <v>(ST) Within 12 - 18 month</v>
      </c>
      <c r="L679" s="146">
        <f>IF(ISNUMBER(SEARCH("EST",Assessment[[#This Row],[JOB TARGET]])),SUBSTITUTE(Assessment[[#This Row],[JOB TARGET]],"EST","DEV"),Assessment[[#This Row],[JOB TARGET]])</f>
        <v>0</v>
      </c>
      <c r="M679" s="146" t="str" cm="1">
        <f t="array" aca="1" ref="M679" ca="1">IF(Assessment[[#This Row],[JOB TARGET]]="","Job Target Kosong",IF(COUNT(IF('Data Assessment'!$N679:$Z679-OFFSET(Standar!$B$2,MATCH(Assessment[[#This Row],[JOB TARGET
(DEV)]],Standar[NAMA JABATAN],0)-1,1,1,13)&lt;0,1,""))&lt;=3,'9 Grid'!$B$4,IF(COUNT(IF('Data Assessment'!$N679:$Z679-OFFSET(Standar!$B$2,MATCH(Assessment[[#This Row],[JOB TARGET
(DEV)]],Standar[NAMA JABATAN],0)-1,1,1,13)&lt;0,1,""))&gt;=7,'9 Grid'!$B$6,'9 Grid'!$B$5)))</f>
        <v>Job Target Kosong</v>
      </c>
      <c r="N679" s="146" t="str">
        <f>IFERROR(IF(Data_Assessment[[#This Row],[IPP (3 YEARS AVERAGE)]]="","(IPP Belum Ada)",IF(Data_Assessment[[#This Row],[IPP (3 YEARS AVERAGE)]]&lt;2,'9 Grid'!$F$2,IF(Data_Assessment[[#This Row],[IPP (3 YEARS AVERAGE)]]&gt;=4,'9 Grid'!$D$2,'9 Grid'!$E$2))),"")</f>
        <v>Fully Competence Performance</v>
      </c>
      <c r="O679" s="146" t="str">
        <f ca="1">IFERROR(INDEX('9 Grid'!$D$4:$F$6,MATCH('Rekomendasi HAV'!M679,'9 Grid'!$B$4:$B$6,0),MATCH('Rekomendasi HAV'!N679,'9 Grid'!$D$2:$F$2,0)),"")</f>
        <v/>
      </c>
      <c r="P679" s="147" t="str">
        <f>IFERROR(INDEX('9 Grid'!$D$8:$F$8,1,MATCH('Rekomendasi HAV'!N679,'9 Grid'!$D$2:$F$2,0)),"")</f>
        <v>(ST) Within 12 - 18 month</v>
      </c>
    </row>
    <row r="680" spans="1:16" ht="28.5">
      <c r="A680" s="67">
        <v>679</v>
      </c>
      <c r="B680" s="68" t="str">
        <f>INDEX(Data_Assessment[],MATCH('Rekomendasi HAV'!$A680,Data_Assessment[[INDEX]:[INDEX]],0),MATCH('Rekomendasi HAV'!B$1,Data_Assessment[#Headers],0))</f>
        <v>Arif Haryanto</v>
      </c>
      <c r="C680" s="68" t="str">
        <f>INDEX(Data_Assessment[],MATCH('Rekomendasi HAV'!$A680,Data_Assessment[[INDEX]:[INDEX]],0),MATCH('Rekomendasi HAV'!C$1,Data_Assessment[#Headers],0))</f>
        <v>Sumatera Selatan</v>
      </c>
      <c r="D680" s="68" t="str">
        <f>INDEX(Data_Assessment[],MATCH('Rekomendasi HAV'!$A680,Data_Assessment[[INDEX]:[INDEX]],0),MATCH('Rekomendasi HAV'!D$1,Data_Assessment[#Headers],0))</f>
        <v>LSIP - Riam Indah Estate</v>
      </c>
      <c r="E680" s="68">
        <f>INDEX(Data_Assessment[],MATCH('Rekomendasi HAV'!$B680,Data_Assessment[[NAME]:[NAME]],0),MATCH('Rekomendasi HAV'!E$1,Data_Assessment[#Headers],0))</f>
        <v>0</v>
      </c>
      <c r="F680" s="68"/>
      <c r="G680" s="68">
        <f>IF(ISNUMBER(SEARCH("DEV",Assessment[[#This Row],[JOB TARGET]])),SUBSTITUTE(Assessment[[#This Row],[JOB TARGET]],"DEV","EST"),Assessment[[#This Row],[JOB TARGET]])</f>
        <v>0</v>
      </c>
      <c r="H680" s="146" t="str" cm="1">
        <f t="array" aca="1" ref="H680" ca="1">IF(Assessment[[#This Row],[JOB TARGET]]="","Job Target Kosong",IF(COUNT(IF('Data Assessment'!$N680:$Z680-OFFSET(Standar!$B$2,MATCH(Assessment[[#This Row],[JOB TARGET
(EST)]],Standar[NAMA JABATAN],0)-1,1,1,13)&lt;0,1,""))&lt;=3,'9 Grid'!$B$4,IF(COUNT(IF('Data Assessment'!$N680:$Z680-OFFSET(Standar!$B$2,MATCH(Assessment[[#This Row],[JOB TARGET]],Standar[NAMA JABATAN],0)-1,1,1,13)&lt;0,1,""))&gt;=7,'9 Grid'!$B$6,'9 Grid'!$B$5)))</f>
        <v>Job Target Kosong</v>
      </c>
      <c r="I680" s="146" t="str">
        <f>IFERROR(IF(Data_Assessment[[#This Row],[IPP (3 YEARS AVERAGE)]]="","(IPP Belum Ada)",IF(Data_Assessment[[#This Row],[IPP (3 YEARS AVERAGE)]]&lt;2,'9 Grid'!$F$2,IF(Data_Assessment[[#This Row],[IPP (3 YEARS AVERAGE)]]&gt;=4,'9 Grid'!$D$2,'9 Grid'!$E$2))),"")</f>
        <v>Fully Competence Performance</v>
      </c>
      <c r="J680" s="146" t="str">
        <f ca="1">IFERROR(INDEX('9 Grid'!$D$4:$F$6,MATCH('Rekomendasi HAV'!H680,'9 Grid'!$B$4:$B$6,0),MATCH('Rekomendasi HAV'!I680,'9 Grid'!$D$2:$F$2,0)),"")</f>
        <v/>
      </c>
      <c r="K680" s="146" t="str">
        <f>IFERROR(INDEX('9 Grid'!$D$8:$F$8,1,MATCH('Rekomendasi HAV'!I680,'9 Grid'!$D$2:$F$2,0)),"")</f>
        <v>(ST) Within 12 - 18 month</v>
      </c>
      <c r="L680" s="146">
        <f>IF(ISNUMBER(SEARCH("EST",Assessment[[#This Row],[JOB TARGET]])),SUBSTITUTE(Assessment[[#This Row],[JOB TARGET]],"EST","DEV"),Assessment[[#This Row],[JOB TARGET]])</f>
        <v>0</v>
      </c>
      <c r="M680" s="146" t="str" cm="1">
        <f t="array" aca="1" ref="M680" ca="1">IF(Assessment[[#This Row],[JOB TARGET]]="","Job Target Kosong",IF(COUNT(IF('Data Assessment'!$N680:$Z680-OFFSET(Standar!$B$2,MATCH(Assessment[[#This Row],[JOB TARGET
(DEV)]],Standar[NAMA JABATAN],0)-1,1,1,13)&lt;0,1,""))&lt;=3,'9 Grid'!$B$4,IF(COUNT(IF('Data Assessment'!$N680:$Z680-OFFSET(Standar!$B$2,MATCH(Assessment[[#This Row],[JOB TARGET
(DEV)]],Standar[NAMA JABATAN],0)-1,1,1,13)&lt;0,1,""))&gt;=7,'9 Grid'!$B$6,'9 Grid'!$B$5)))</f>
        <v>Job Target Kosong</v>
      </c>
      <c r="N680" s="146" t="str">
        <f>IFERROR(IF(Data_Assessment[[#This Row],[IPP (3 YEARS AVERAGE)]]="","(IPP Belum Ada)",IF(Data_Assessment[[#This Row],[IPP (3 YEARS AVERAGE)]]&lt;2,'9 Grid'!$F$2,IF(Data_Assessment[[#This Row],[IPP (3 YEARS AVERAGE)]]&gt;=4,'9 Grid'!$D$2,'9 Grid'!$E$2))),"")</f>
        <v>Fully Competence Performance</v>
      </c>
      <c r="O680" s="146" t="str">
        <f ca="1">IFERROR(INDEX('9 Grid'!$D$4:$F$6,MATCH('Rekomendasi HAV'!M680,'9 Grid'!$B$4:$B$6,0),MATCH('Rekomendasi HAV'!N680,'9 Grid'!$D$2:$F$2,0)),"")</f>
        <v/>
      </c>
      <c r="P680" s="147" t="str">
        <f>IFERROR(INDEX('9 Grid'!$D$8:$F$8,1,MATCH('Rekomendasi HAV'!N680,'9 Grid'!$D$2:$F$2,0)),"")</f>
        <v>(ST) Within 12 - 18 month</v>
      </c>
    </row>
    <row r="681" spans="1:16" ht="28.5">
      <c r="A681" s="67">
        <v>680</v>
      </c>
      <c r="B681" s="68" t="str">
        <f>INDEX(Data_Assessment[],MATCH('Rekomendasi HAV'!$A681,Data_Assessment[[INDEX]:[INDEX]],0),MATCH('Rekomendasi HAV'!B$1,Data_Assessment[#Headers],0))</f>
        <v>Ahmad Yani S.</v>
      </c>
      <c r="C681" s="68" t="str">
        <f>INDEX(Data_Assessment[],MATCH('Rekomendasi HAV'!$A681,Data_Assessment[[INDEX]:[INDEX]],0),MATCH('Rekomendasi HAV'!C$1,Data_Assessment[#Headers],0))</f>
        <v>Sumatera Selatan</v>
      </c>
      <c r="D681" s="68" t="str">
        <f>INDEX(Data_Assessment[],MATCH('Rekomendasi HAV'!$A681,Data_Assessment[[INDEX]:[INDEX]],0),MATCH('Rekomendasi HAV'!D$1,Data_Assessment[#Headers],0))</f>
        <v>LSIP - Riam Indah Estate</v>
      </c>
      <c r="E681" s="68">
        <f>INDEX(Data_Assessment[],MATCH('Rekomendasi HAV'!$B681,Data_Assessment[[NAME]:[NAME]],0),MATCH('Rekomendasi HAV'!E$1,Data_Assessment[#Headers],0))</f>
        <v>0</v>
      </c>
      <c r="F681" s="68"/>
      <c r="G681" s="68">
        <f>IF(ISNUMBER(SEARCH("DEV",Assessment[[#This Row],[JOB TARGET]])),SUBSTITUTE(Assessment[[#This Row],[JOB TARGET]],"DEV","EST"),Assessment[[#This Row],[JOB TARGET]])</f>
        <v>0</v>
      </c>
      <c r="H681" s="146" t="str" cm="1">
        <f t="array" aca="1" ref="H681" ca="1">IF(Assessment[[#This Row],[JOB TARGET]]="","Job Target Kosong",IF(COUNT(IF('Data Assessment'!$N681:$Z681-OFFSET(Standar!$B$2,MATCH(Assessment[[#This Row],[JOB TARGET
(EST)]],Standar[NAMA JABATAN],0)-1,1,1,13)&lt;0,1,""))&lt;=3,'9 Grid'!$B$4,IF(COUNT(IF('Data Assessment'!$N681:$Z681-OFFSET(Standar!$B$2,MATCH(Assessment[[#This Row],[JOB TARGET]],Standar[NAMA JABATAN],0)-1,1,1,13)&lt;0,1,""))&gt;=7,'9 Grid'!$B$6,'9 Grid'!$B$5)))</f>
        <v>Job Target Kosong</v>
      </c>
      <c r="I681" s="146" t="str">
        <f>IFERROR(IF(Data_Assessment[[#This Row],[IPP (3 YEARS AVERAGE)]]="","(IPP Belum Ada)",IF(Data_Assessment[[#This Row],[IPP (3 YEARS AVERAGE)]]&lt;2,'9 Grid'!$F$2,IF(Data_Assessment[[#This Row],[IPP (3 YEARS AVERAGE)]]&gt;=4,'9 Grid'!$D$2,'9 Grid'!$E$2))),"")</f>
        <v>Fully Competence Performance</v>
      </c>
      <c r="J681" s="146" t="str">
        <f ca="1">IFERROR(INDEX('9 Grid'!$D$4:$F$6,MATCH('Rekomendasi HAV'!H681,'9 Grid'!$B$4:$B$6,0),MATCH('Rekomendasi HAV'!I681,'9 Grid'!$D$2:$F$2,0)),"")</f>
        <v/>
      </c>
      <c r="K681" s="146" t="str">
        <f>IFERROR(INDEX('9 Grid'!$D$8:$F$8,1,MATCH('Rekomendasi HAV'!I681,'9 Grid'!$D$2:$F$2,0)),"")</f>
        <v>(ST) Within 12 - 18 month</v>
      </c>
      <c r="L681" s="146">
        <f>IF(ISNUMBER(SEARCH("EST",Assessment[[#This Row],[JOB TARGET]])),SUBSTITUTE(Assessment[[#This Row],[JOB TARGET]],"EST","DEV"),Assessment[[#This Row],[JOB TARGET]])</f>
        <v>0</v>
      </c>
      <c r="M681" s="146" t="str" cm="1">
        <f t="array" aca="1" ref="M681" ca="1">IF(Assessment[[#This Row],[JOB TARGET]]="","Job Target Kosong",IF(COUNT(IF('Data Assessment'!$N681:$Z681-OFFSET(Standar!$B$2,MATCH(Assessment[[#This Row],[JOB TARGET
(DEV)]],Standar[NAMA JABATAN],0)-1,1,1,13)&lt;0,1,""))&lt;=3,'9 Grid'!$B$4,IF(COUNT(IF('Data Assessment'!$N681:$Z681-OFFSET(Standar!$B$2,MATCH(Assessment[[#This Row],[JOB TARGET
(DEV)]],Standar[NAMA JABATAN],0)-1,1,1,13)&lt;0,1,""))&gt;=7,'9 Grid'!$B$6,'9 Grid'!$B$5)))</f>
        <v>Job Target Kosong</v>
      </c>
      <c r="N681" s="146" t="str">
        <f>IFERROR(IF(Data_Assessment[[#This Row],[IPP (3 YEARS AVERAGE)]]="","(IPP Belum Ada)",IF(Data_Assessment[[#This Row],[IPP (3 YEARS AVERAGE)]]&lt;2,'9 Grid'!$F$2,IF(Data_Assessment[[#This Row],[IPP (3 YEARS AVERAGE)]]&gt;=4,'9 Grid'!$D$2,'9 Grid'!$E$2))),"")</f>
        <v>Fully Competence Performance</v>
      </c>
      <c r="O681" s="146" t="str">
        <f ca="1">IFERROR(INDEX('9 Grid'!$D$4:$F$6,MATCH('Rekomendasi HAV'!M681,'9 Grid'!$B$4:$B$6,0),MATCH('Rekomendasi HAV'!N681,'9 Grid'!$D$2:$F$2,0)),"")</f>
        <v/>
      </c>
      <c r="P681" s="147" t="str">
        <f>IFERROR(INDEX('9 Grid'!$D$8:$F$8,1,MATCH('Rekomendasi HAV'!N681,'9 Grid'!$D$2:$F$2,0)),"")</f>
        <v>(ST) Within 12 - 18 month</v>
      </c>
    </row>
    <row r="682" spans="1:16" ht="28.5">
      <c r="A682" s="67">
        <v>681</v>
      </c>
      <c r="B682" s="68" t="str">
        <f>INDEX(Data_Assessment[],MATCH('Rekomendasi HAV'!$A682,Data_Assessment[[INDEX]:[INDEX]],0),MATCH('Rekomendasi HAV'!B$1,Data_Assessment[#Headers],0))</f>
        <v>Adi Cawarman Sitorus</v>
      </c>
      <c r="C682" s="68" t="str">
        <f>INDEX(Data_Assessment[],MATCH('Rekomendasi HAV'!$A682,Data_Assessment[[INDEX]:[INDEX]],0),MATCH('Rekomendasi HAV'!C$1,Data_Assessment[#Headers],0))</f>
        <v>Sumatera Selatan</v>
      </c>
      <c r="D682" s="68" t="str">
        <f>INDEX(Data_Assessment[],MATCH('Rekomendasi HAV'!$A682,Data_Assessment[[INDEX]:[INDEX]],0),MATCH('Rekomendasi HAV'!D$1,Data_Assessment[#Headers],0))</f>
        <v>LSIP - Riam Indah Estate</v>
      </c>
      <c r="E682" s="68">
        <f>INDEX(Data_Assessment[],MATCH('Rekomendasi HAV'!$B682,Data_Assessment[[NAME]:[NAME]],0),MATCH('Rekomendasi HAV'!E$1,Data_Assessment[#Headers],0))</f>
        <v>0</v>
      </c>
      <c r="F682" s="68"/>
      <c r="G682" s="68">
        <f>IF(ISNUMBER(SEARCH("DEV",Assessment[[#This Row],[JOB TARGET]])),SUBSTITUTE(Assessment[[#This Row],[JOB TARGET]],"DEV","EST"),Assessment[[#This Row],[JOB TARGET]])</f>
        <v>0</v>
      </c>
      <c r="H682" s="146" t="str" cm="1">
        <f t="array" aca="1" ref="H682" ca="1">IF(Assessment[[#This Row],[JOB TARGET]]="","Job Target Kosong",IF(COUNT(IF('Data Assessment'!$N682:$Z682-OFFSET(Standar!$B$2,MATCH(Assessment[[#This Row],[JOB TARGET
(EST)]],Standar[NAMA JABATAN],0)-1,1,1,13)&lt;0,1,""))&lt;=3,'9 Grid'!$B$4,IF(COUNT(IF('Data Assessment'!$N682:$Z682-OFFSET(Standar!$B$2,MATCH(Assessment[[#This Row],[JOB TARGET]],Standar[NAMA JABATAN],0)-1,1,1,13)&lt;0,1,""))&gt;=7,'9 Grid'!$B$6,'9 Grid'!$B$5)))</f>
        <v>Job Target Kosong</v>
      </c>
      <c r="I682" s="146" t="str">
        <f>IFERROR(IF(Data_Assessment[[#This Row],[IPP (3 YEARS AVERAGE)]]="","(IPP Belum Ada)",IF(Data_Assessment[[#This Row],[IPP (3 YEARS AVERAGE)]]&lt;2,'9 Grid'!$F$2,IF(Data_Assessment[[#This Row],[IPP (3 YEARS AVERAGE)]]&gt;=4,'9 Grid'!$D$2,'9 Grid'!$E$2))),"")</f>
        <v>Fully Competence Performance</v>
      </c>
      <c r="J682" s="146" t="str">
        <f ca="1">IFERROR(INDEX('9 Grid'!$D$4:$F$6,MATCH('Rekomendasi HAV'!H682,'9 Grid'!$B$4:$B$6,0),MATCH('Rekomendasi HAV'!I682,'9 Grid'!$D$2:$F$2,0)),"")</f>
        <v/>
      </c>
      <c r="K682" s="146" t="str">
        <f>IFERROR(INDEX('9 Grid'!$D$8:$F$8,1,MATCH('Rekomendasi HAV'!I682,'9 Grid'!$D$2:$F$2,0)),"")</f>
        <v>(ST) Within 12 - 18 month</v>
      </c>
      <c r="L682" s="146">
        <f>IF(ISNUMBER(SEARCH("EST",Assessment[[#This Row],[JOB TARGET]])),SUBSTITUTE(Assessment[[#This Row],[JOB TARGET]],"EST","DEV"),Assessment[[#This Row],[JOB TARGET]])</f>
        <v>0</v>
      </c>
      <c r="M682" s="146" t="str" cm="1">
        <f t="array" aca="1" ref="M682" ca="1">IF(Assessment[[#This Row],[JOB TARGET]]="","Job Target Kosong",IF(COUNT(IF('Data Assessment'!$N682:$Z682-OFFSET(Standar!$B$2,MATCH(Assessment[[#This Row],[JOB TARGET
(DEV)]],Standar[NAMA JABATAN],0)-1,1,1,13)&lt;0,1,""))&lt;=3,'9 Grid'!$B$4,IF(COUNT(IF('Data Assessment'!$N682:$Z682-OFFSET(Standar!$B$2,MATCH(Assessment[[#This Row],[JOB TARGET
(DEV)]],Standar[NAMA JABATAN],0)-1,1,1,13)&lt;0,1,""))&gt;=7,'9 Grid'!$B$6,'9 Grid'!$B$5)))</f>
        <v>Job Target Kosong</v>
      </c>
      <c r="N682" s="146" t="str">
        <f>IFERROR(IF(Data_Assessment[[#This Row],[IPP (3 YEARS AVERAGE)]]="","(IPP Belum Ada)",IF(Data_Assessment[[#This Row],[IPP (3 YEARS AVERAGE)]]&lt;2,'9 Grid'!$F$2,IF(Data_Assessment[[#This Row],[IPP (3 YEARS AVERAGE)]]&gt;=4,'9 Grid'!$D$2,'9 Grid'!$E$2))),"")</f>
        <v>Fully Competence Performance</v>
      </c>
      <c r="O682" s="146" t="str">
        <f ca="1">IFERROR(INDEX('9 Grid'!$D$4:$F$6,MATCH('Rekomendasi HAV'!M682,'9 Grid'!$B$4:$B$6,0),MATCH('Rekomendasi HAV'!N682,'9 Grid'!$D$2:$F$2,0)),"")</f>
        <v/>
      </c>
      <c r="P682" s="147" t="str">
        <f>IFERROR(INDEX('9 Grid'!$D$8:$F$8,1,MATCH('Rekomendasi HAV'!N682,'9 Grid'!$D$2:$F$2,0)),"")</f>
        <v>(ST) Within 12 - 18 month</v>
      </c>
    </row>
    <row r="683" spans="1:16" ht="28.5">
      <c r="A683" s="67">
        <v>682</v>
      </c>
      <c r="B683" s="68" t="str">
        <f>INDEX(Data_Assessment[],MATCH('Rekomendasi HAV'!$A683,Data_Assessment[[INDEX]:[INDEX]],0),MATCH('Rekomendasi HAV'!B$1,Data_Assessment[#Headers],0))</f>
        <v>Herman Amran</v>
      </c>
      <c r="C683" s="68" t="str">
        <f>INDEX(Data_Assessment[],MATCH('Rekomendasi HAV'!$A683,Data_Assessment[[INDEX]:[INDEX]],0),MATCH('Rekomendasi HAV'!C$1,Data_Assessment[#Headers],0))</f>
        <v>Sumatera Selatan</v>
      </c>
      <c r="D683" s="68" t="str">
        <f>INDEX(Data_Assessment[],MATCH('Rekomendasi HAV'!$A683,Data_Assessment[[INDEX]:[INDEX]],0),MATCH('Rekomendasi HAV'!D$1,Data_Assessment[#Headers],0))</f>
        <v>LSIP - Sei Gemang Estate</v>
      </c>
      <c r="E683" s="68">
        <f>INDEX(Data_Assessment[],MATCH('Rekomendasi HAV'!$B683,Data_Assessment[[NAME]:[NAME]],0),MATCH('Rekomendasi HAV'!E$1,Data_Assessment[#Headers],0))</f>
        <v>0</v>
      </c>
      <c r="F683" s="68"/>
      <c r="G683" s="68">
        <f>IF(ISNUMBER(SEARCH("DEV",Assessment[[#This Row],[JOB TARGET]])),SUBSTITUTE(Assessment[[#This Row],[JOB TARGET]],"DEV","EST"),Assessment[[#This Row],[JOB TARGET]])</f>
        <v>0</v>
      </c>
      <c r="H683" s="146" t="str" cm="1">
        <f t="array" aca="1" ref="H683" ca="1">IF(Assessment[[#This Row],[JOB TARGET]]="","Job Target Kosong",IF(COUNT(IF('Data Assessment'!$N683:$Z683-OFFSET(Standar!$B$2,MATCH(Assessment[[#This Row],[JOB TARGET
(EST)]],Standar[NAMA JABATAN],0)-1,1,1,13)&lt;0,1,""))&lt;=3,'9 Grid'!$B$4,IF(COUNT(IF('Data Assessment'!$N683:$Z683-OFFSET(Standar!$B$2,MATCH(Assessment[[#This Row],[JOB TARGET]],Standar[NAMA JABATAN],0)-1,1,1,13)&lt;0,1,""))&gt;=7,'9 Grid'!$B$6,'9 Grid'!$B$5)))</f>
        <v>Job Target Kosong</v>
      </c>
      <c r="I683" s="146" t="str">
        <f>IFERROR(IF(Data_Assessment[[#This Row],[IPP (3 YEARS AVERAGE)]]="","(IPP Belum Ada)",IF(Data_Assessment[[#This Row],[IPP (3 YEARS AVERAGE)]]&lt;2,'9 Grid'!$F$2,IF(Data_Assessment[[#This Row],[IPP (3 YEARS AVERAGE)]]&gt;=4,'9 Grid'!$D$2,'9 Grid'!$E$2))),"")</f>
        <v>Fully Competence Performance</v>
      </c>
      <c r="J683" s="146" t="str">
        <f ca="1">IFERROR(INDEX('9 Grid'!$D$4:$F$6,MATCH('Rekomendasi HAV'!H683,'9 Grid'!$B$4:$B$6,0),MATCH('Rekomendasi HAV'!I683,'9 Grid'!$D$2:$F$2,0)),"")</f>
        <v/>
      </c>
      <c r="K683" s="146" t="str">
        <f>IFERROR(INDEX('9 Grid'!$D$8:$F$8,1,MATCH('Rekomendasi HAV'!I683,'9 Grid'!$D$2:$F$2,0)),"")</f>
        <v>(ST) Within 12 - 18 month</v>
      </c>
      <c r="L683" s="146">
        <f>IF(ISNUMBER(SEARCH("EST",Assessment[[#This Row],[JOB TARGET]])),SUBSTITUTE(Assessment[[#This Row],[JOB TARGET]],"EST","DEV"),Assessment[[#This Row],[JOB TARGET]])</f>
        <v>0</v>
      </c>
      <c r="M683" s="146" t="str" cm="1">
        <f t="array" aca="1" ref="M683" ca="1">IF(Assessment[[#This Row],[JOB TARGET]]="","Job Target Kosong",IF(COUNT(IF('Data Assessment'!$N683:$Z683-OFFSET(Standar!$B$2,MATCH(Assessment[[#This Row],[JOB TARGET
(DEV)]],Standar[NAMA JABATAN],0)-1,1,1,13)&lt;0,1,""))&lt;=3,'9 Grid'!$B$4,IF(COUNT(IF('Data Assessment'!$N683:$Z683-OFFSET(Standar!$B$2,MATCH(Assessment[[#This Row],[JOB TARGET
(DEV)]],Standar[NAMA JABATAN],0)-1,1,1,13)&lt;0,1,""))&gt;=7,'9 Grid'!$B$6,'9 Grid'!$B$5)))</f>
        <v>Job Target Kosong</v>
      </c>
      <c r="N683" s="146" t="str">
        <f>IFERROR(IF(Data_Assessment[[#This Row],[IPP (3 YEARS AVERAGE)]]="","(IPP Belum Ada)",IF(Data_Assessment[[#This Row],[IPP (3 YEARS AVERAGE)]]&lt;2,'9 Grid'!$F$2,IF(Data_Assessment[[#This Row],[IPP (3 YEARS AVERAGE)]]&gt;=4,'9 Grid'!$D$2,'9 Grid'!$E$2))),"")</f>
        <v>Fully Competence Performance</v>
      </c>
      <c r="O683" s="146" t="str">
        <f ca="1">IFERROR(INDEX('9 Grid'!$D$4:$F$6,MATCH('Rekomendasi HAV'!M683,'9 Grid'!$B$4:$B$6,0),MATCH('Rekomendasi HAV'!N683,'9 Grid'!$D$2:$F$2,0)),"")</f>
        <v/>
      </c>
      <c r="P683" s="147" t="str">
        <f>IFERROR(INDEX('9 Grid'!$D$8:$F$8,1,MATCH('Rekomendasi HAV'!N683,'9 Grid'!$D$2:$F$2,0)),"")</f>
        <v>(ST) Within 12 - 18 month</v>
      </c>
    </row>
    <row r="684" spans="1:16" ht="28.5">
      <c r="A684" s="67">
        <v>683</v>
      </c>
      <c r="B684" s="68" t="str">
        <f>INDEX(Data_Assessment[],MATCH('Rekomendasi HAV'!$A684,Data_Assessment[[INDEX]:[INDEX]],0),MATCH('Rekomendasi HAV'!B$1,Data_Assessment[#Headers],0))</f>
        <v>Azwar Sammas Huri Harahap</v>
      </c>
      <c r="C684" s="68" t="str">
        <f>INDEX(Data_Assessment[],MATCH('Rekomendasi HAV'!$A684,Data_Assessment[[INDEX]:[INDEX]],0),MATCH('Rekomendasi HAV'!C$1,Data_Assessment[#Headers],0))</f>
        <v>Sumatera Selatan</v>
      </c>
      <c r="D684" s="68" t="str">
        <f>INDEX(Data_Assessment[],MATCH('Rekomendasi HAV'!$A684,Data_Assessment[[INDEX]:[INDEX]],0),MATCH('Rekomendasi HAV'!D$1,Data_Assessment[#Headers],0))</f>
        <v>LSIP - Sei Gemang Estate</v>
      </c>
      <c r="E684" s="68">
        <f>INDEX(Data_Assessment[],MATCH('Rekomendasi HAV'!$B684,Data_Assessment[[NAME]:[NAME]],0),MATCH('Rekomendasi HAV'!E$1,Data_Assessment[#Headers],0))</f>
        <v>0</v>
      </c>
      <c r="F684" s="68"/>
      <c r="G684" s="68">
        <f>IF(ISNUMBER(SEARCH("DEV",Assessment[[#This Row],[JOB TARGET]])),SUBSTITUTE(Assessment[[#This Row],[JOB TARGET]],"DEV","EST"),Assessment[[#This Row],[JOB TARGET]])</f>
        <v>0</v>
      </c>
      <c r="H684" s="146" t="str" cm="1">
        <f t="array" aca="1" ref="H684" ca="1">IF(Assessment[[#This Row],[JOB TARGET]]="","Job Target Kosong",IF(COUNT(IF('Data Assessment'!$N684:$Z684-OFFSET(Standar!$B$2,MATCH(Assessment[[#This Row],[JOB TARGET
(EST)]],Standar[NAMA JABATAN],0)-1,1,1,13)&lt;0,1,""))&lt;=3,'9 Grid'!$B$4,IF(COUNT(IF('Data Assessment'!$N684:$Z684-OFFSET(Standar!$B$2,MATCH(Assessment[[#This Row],[JOB TARGET]],Standar[NAMA JABATAN],0)-1,1,1,13)&lt;0,1,""))&gt;=7,'9 Grid'!$B$6,'9 Grid'!$B$5)))</f>
        <v>Job Target Kosong</v>
      </c>
      <c r="I684" s="146" t="str">
        <f>IFERROR(IF(Data_Assessment[[#This Row],[IPP (3 YEARS AVERAGE)]]="","(IPP Belum Ada)",IF(Data_Assessment[[#This Row],[IPP (3 YEARS AVERAGE)]]&lt;2,'9 Grid'!$F$2,IF(Data_Assessment[[#This Row],[IPP (3 YEARS AVERAGE)]]&gt;=4,'9 Grid'!$D$2,'9 Grid'!$E$2))),"")</f>
        <v>Fully Competence Performance</v>
      </c>
      <c r="J684" s="146" t="str">
        <f ca="1">IFERROR(INDEX('9 Grid'!$D$4:$F$6,MATCH('Rekomendasi HAV'!H684,'9 Grid'!$B$4:$B$6,0),MATCH('Rekomendasi HAV'!I684,'9 Grid'!$D$2:$F$2,0)),"")</f>
        <v/>
      </c>
      <c r="K684" s="146" t="str">
        <f>IFERROR(INDEX('9 Grid'!$D$8:$F$8,1,MATCH('Rekomendasi HAV'!I684,'9 Grid'!$D$2:$F$2,0)),"")</f>
        <v>(ST) Within 12 - 18 month</v>
      </c>
      <c r="L684" s="146">
        <f>IF(ISNUMBER(SEARCH("EST",Assessment[[#This Row],[JOB TARGET]])),SUBSTITUTE(Assessment[[#This Row],[JOB TARGET]],"EST","DEV"),Assessment[[#This Row],[JOB TARGET]])</f>
        <v>0</v>
      </c>
      <c r="M684" s="146" t="str" cm="1">
        <f t="array" aca="1" ref="M684" ca="1">IF(Assessment[[#This Row],[JOB TARGET]]="","Job Target Kosong",IF(COUNT(IF('Data Assessment'!$N684:$Z684-OFFSET(Standar!$B$2,MATCH(Assessment[[#This Row],[JOB TARGET
(DEV)]],Standar[NAMA JABATAN],0)-1,1,1,13)&lt;0,1,""))&lt;=3,'9 Grid'!$B$4,IF(COUNT(IF('Data Assessment'!$N684:$Z684-OFFSET(Standar!$B$2,MATCH(Assessment[[#This Row],[JOB TARGET
(DEV)]],Standar[NAMA JABATAN],0)-1,1,1,13)&lt;0,1,""))&gt;=7,'9 Grid'!$B$6,'9 Grid'!$B$5)))</f>
        <v>Job Target Kosong</v>
      </c>
      <c r="N684" s="146" t="str">
        <f>IFERROR(IF(Data_Assessment[[#This Row],[IPP (3 YEARS AVERAGE)]]="","(IPP Belum Ada)",IF(Data_Assessment[[#This Row],[IPP (3 YEARS AVERAGE)]]&lt;2,'9 Grid'!$F$2,IF(Data_Assessment[[#This Row],[IPP (3 YEARS AVERAGE)]]&gt;=4,'9 Grid'!$D$2,'9 Grid'!$E$2))),"")</f>
        <v>Fully Competence Performance</v>
      </c>
      <c r="O684" s="146" t="str">
        <f ca="1">IFERROR(INDEX('9 Grid'!$D$4:$F$6,MATCH('Rekomendasi HAV'!M684,'9 Grid'!$B$4:$B$6,0),MATCH('Rekomendasi HAV'!N684,'9 Grid'!$D$2:$F$2,0)),"")</f>
        <v/>
      </c>
      <c r="P684" s="147" t="str">
        <f>IFERROR(INDEX('9 Grid'!$D$8:$F$8,1,MATCH('Rekomendasi HAV'!N684,'9 Grid'!$D$2:$F$2,0)),"")</f>
        <v>(ST) Within 12 - 18 month</v>
      </c>
    </row>
    <row r="685" spans="1:16" ht="28.5">
      <c r="A685" s="67">
        <v>684</v>
      </c>
      <c r="B685" s="68" t="str">
        <f>INDEX(Data_Assessment[],MATCH('Rekomendasi HAV'!$A685,Data_Assessment[[INDEX]:[INDEX]],0),MATCH('Rekomendasi HAV'!B$1,Data_Assessment[#Headers],0))</f>
        <v>Fahriz Winandra Saragih</v>
      </c>
      <c r="C685" s="68" t="str">
        <f>INDEX(Data_Assessment[],MATCH('Rekomendasi HAV'!$A685,Data_Assessment[[INDEX]:[INDEX]],0),MATCH('Rekomendasi HAV'!C$1,Data_Assessment[#Headers],0))</f>
        <v>Sumatera Selatan</v>
      </c>
      <c r="D685" s="68" t="str">
        <f>INDEX(Data_Assessment[],MATCH('Rekomendasi HAV'!$A685,Data_Assessment[[INDEX]:[INDEX]],0),MATCH('Rekomendasi HAV'!D$1,Data_Assessment[#Headers],0))</f>
        <v>LSIP - Sei Gemang Estate</v>
      </c>
      <c r="E685" s="68">
        <f>INDEX(Data_Assessment[],MATCH('Rekomendasi HAV'!$B685,Data_Assessment[[NAME]:[NAME]],0),MATCH('Rekomendasi HAV'!E$1,Data_Assessment[#Headers],0))</f>
        <v>0</v>
      </c>
      <c r="F685" s="68"/>
      <c r="G685" s="68">
        <f>IF(ISNUMBER(SEARCH("DEV",Assessment[[#This Row],[JOB TARGET]])),SUBSTITUTE(Assessment[[#This Row],[JOB TARGET]],"DEV","EST"),Assessment[[#This Row],[JOB TARGET]])</f>
        <v>0</v>
      </c>
      <c r="H685" s="146" t="str" cm="1">
        <f t="array" aca="1" ref="H685" ca="1">IF(Assessment[[#This Row],[JOB TARGET]]="","Job Target Kosong",IF(COUNT(IF('Data Assessment'!$N685:$Z685-OFFSET(Standar!$B$2,MATCH(Assessment[[#This Row],[JOB TARGET
(EST)]],Standar[NAMA JABATAN],0)-1,1,1,13)&lt;0,1,""))&lt;=3,'9 Grid'!$B$4,IF(COUNT(IF('Data Assessment'!$N685:$Z685-OFFSET(Standar!$B$2,MATCH(Assessment[[#This Row],[JOB TARGET]],Standar[NAMA JABATAN],0)-1,1,1,13)&lt;0,1,""))&gt;=7,'9 Grid'!$B$6,'9 Grid'!$B$5)))</f>
        <v>Job Target Kosong</v>
      </c>
      <c r="I685" s="146" t="str">
        <f>IFERROR(IF(Data_Assessment[[#This Row],[IPP (3 YEARS AVERAGE)]]="","(IPP Belum Ada)",IF(Data_Assessment[[#This Row],[IPP (3 YEARS AVERAGE)]]&lt;2,'9 Grid'!$F$2,IF(Data_Assessment[[#This Row],[IPP (3 YEARS AVERAGE)]]&gt;=4,'9 Grid'!$D$2,'9 Grid'!$E$2))),"")</f>
        <v>Fully Competence Performance</v>
      </c>
      <c r="J685" s="146" t="str">
        <f ca="1">IFERROR(INDEX('9 Grid'!$D$4:$F$6,MATCH('Rekomendasi HAV'!H685,'9 Grid'!$B$4:$B$6,0),MATCH('Rekomendasi HAV'!I685,'9 Grid'!$D$2:$F$2,0)),"")</f>
        <v/>
      </c>
      <c r="K685" s="146" t="str">
        <f>IFERROR(INDEX('9 Grid'!$D$8:$F$8,1,MATCH('Rekomendasi HAV'!I685,'9 Grid'!$D$2:$F$2,0)),"")</f>
        <v>(ST) Within 12 - 18 month</v>
      </c>
      <c r="L685" s="146">
        <f>IF(ISNUMBER(SEARCH("EST",Assessment[[#This Row],[JOB TARGET]])),SUBSTITUTE(Assessment[[#This Row],[JOB TARGET]],"EST","DEV"),Assessment[[#This Row],[JOB TARGET]])</f>
        <v>0</v>
      </c>
      <c r="M685" s="146" t="str" cm="1">
        <f t="array" aca="1" ref="M685" ca="1">IF(Assessment[[#This Row],[JOB TARGET]]="","Job Target Kosong",IF(COUNT(IF('Data Assessment'!$N685:$Z685-OFFSET(Standar!$B$2,MATCH(Assessment[[#This Row],[JOB TARGET
(DEV)]],Standar[NAMA JABATAN],0)-1,1,1,13)&lt;0,1,""))&lt;=3,'9 Grid'!$B$4,IF(COUNT(IF('Data Assessment'!$N685:$Z685-OFFSET(Standar!$B$2,MATCH(Assessment[[#This Row],[JOB TARGET
(DEV)]],Standar[NAMA JABATAN],0)-1,1,1,13)&lt;0,1,""))&gt;=7,'9 Grid'!$B$6,'9 Grid'!$B$5)))</f>
        <v>Job Target Kosong</v>
      </c>
      <c r="N685" s="146" t="str">
        <f>IFERROR(IF(Data_Assessment[[#This Row],[IPP (3 YEARS AVERAGE)]]="","(IPP Belum Ada)",IF(Data_Assessment[[#This Row],[IPP (3 YEARS AVERAGE)]]&lt;2,'9 Grid'!$F$2,IF(Data_Assessment[[#This Row],[IPP (3 YEARS AVERAGE)]]&gt;=4,'9 Grid'!$D$2,'9 Grid'!$E$2))),"")</f>
        <v>Fully Competence Performance</v>
      </c>
      <c r="O685" s="146" t="str">
        <f ca="1">IFERROR(INDEX('9 Grid'!$D$4:$F$6,MATCH('Rekomendasi HAV'!M685,'9 Grid'!$B$4:$B$6,0),MATCH('Rekomendasi HAV'!N685,'9 Grid'!$D$2:$F$2,0)),"")</f>
        <v/>
      </c>
      <c r="P685" s="147" t="str">
        <f>IFERROR(INDEX('9 Grid'!$D$8:$F$8,1,MATCH('Rekomendasi HAV'!N685,'9 Grid'!$D$2:$F$2,0)),"")</f>
        <v>(ST) Within 12 - 18 month</v>
      </c>
    </row>
    <row r="686" spans="1:16" ht="28.5">
      <c r="A686" s="67">
        <v>685</v>
      </c>
      <c r="B686" s="68" t="str">
        <f>INDEX(Data_Assessment[],MATCH('Rekomendasi HAV'!$A686,Data_Assessment[[INDEX]:[INDEX]],0),MATCH('Rekomendasi HAV'!B$1,Data_Assessment[#Headers],0))</f>
        <v>Azam Al Faroki</v>
      </c>
      <c r="C686" s="68" t="str">
        <f>INDEX(Data_Assessment[],MATCH('Rekomendasi HAV'!$A686,Data_Assessment[[INDEX]:[INDEX]],0),MATCH('Rekomendasi HAV'!C$1,Data_Assessment[#Headers],0))</f>
        <v>Sumatera Selatan</v>
      </c>
      <c r="D686" s="68" t="str">
        <f>INDEX(Data_Assessment[],MATCH('Rekomendasi HAV'!$A686,Data_Assessment[[INDEX]:[INDEX]],0),MATCH('Rekomendasi HAV'!D$1,Data_Assessment[#Headers],0))</f>
        <v>LSIP - Sei Gemang Estate</v>
      </c>
      <c r="E686" s="68">
        <f>INDEX(Data_Assessment[],MATCH('Rekomendasi HAV'!$B686,Data_Assessment[[NAME]:[NAME]],0),MATCH('Rekomendasi HAV'!E$1,Data_Assessment[#Headers],0))</f>
        <v>0</v>
      </c>
      <c r="F686" s="68"/>
      <c r="G686" s="68">
        <f>IF(ISNUMBER(SEARCH("DEV",Assessment[[#This Row],[JOB TARGET]])),SUBSTITUTE(Assessment[[#This Row],[JOB TARGET]],"DEV","EST"),Assessment[[#This Row],[JOB TARGET]])</f>
        <v>0</v>
      </c>
      <c r="H686" s="146" t="str" cm="1">
        <f t="array" aca="1" ref="H686" ca="1">IF(Assessment[[#This Row],[JOB TARGET]]="","Job Target Kosong",IF(COUNT(IF('Data Assessment'!$N686:$Z686-OFFSET(Standar!$B$2,MATCH(Assessment[[#This Row],[JOB TARGET
(EST)]],Standar[NAMA JABATAN],0)-1,1,1,13)&lt;0,1,""))&lt;=3,'9 Grid'!$B$4,IF(COUNT(IF('Data Assessment'!$N686:$Z686-OFFSET(Standar!$B$2,MATCH(Assessment[[#This Row],[JOB TARGET]],Standar[NAMA JABATAN],0)-1,1,1,13)&lt;0,1,""))&gt;=7,'9 Grid'!$B$6,'9 Grid'!$B$5)))</f>
        <v>Job Target Kosong</v>
      </c>
      <c r="I686" s="146" t="str">
        <f>IFERROR(IF(Data_Assessment[[#This Row],[IPP (3 YEARS AVERAGE)]]="","(IPP Belum Ada)",IF(Data_Assessment[[#This Row],[IPP (3 YEARS AVERAGE)]]&lt;2,'9 Grid'!$F$2,IF(Data_Assessment[[#This Row],[IPP (3 YEARS AVERAGE)]]&gt;=4,'9 Grid'!$D$2,'9 Grid'!$E$2))),"")</f>
        <v>Fully Competence Performance</v>
      </c>
      <c r="J686" s="146" t="str">
        <f ca="1">IFERROR(INDEX('9 Grid'!$D$4:$F$6,MATCH('Rekomendasi HAV'!H686,'9 Grid'!$B$4:$B$6,0),MATCH('Rekomendasi HAV'!I686,'9 Grid'!$D$2:$F$2,0)),"")</f>
        <v/>
      </c>
      <c r="K686" s="146" t="str">
        <f>IFERROR(INDEX('9 Grid'!$D$8:$F$8,1,MATCH('Rekomendasi HAV'!I686,'9 Grid'!$D$2:$F$2,0)),"")</f>
        <v>(ST) Within 12 - 18 month</v>
      </c>
      <c r="L686" s="146">
        <f>IF(ISNUMBER(SEARCH("EST",Assessment[[#This Row],[JOB TARGET]])),SUBSTITUTE(Assessment[[#This Row],[JOB TARGET]],"EST","DEV"),Assessment[[#This Row],[JOB TARGET]])</f>
        <v>0</v>
      </c>
      <c r="M686" s="146" t="str" cm="1">
        <f t="array" aca="1" ref="M686" ca="1">IF(Assessment[[#This Row],[JOB TARGET]]="","Job Target Kosong",IF(COUNT(IF('Data Assessment'!$N686:$Z686-OFFSET(Standar!$B$2,MATCH(Assessment[[#This Row],[JOB TARGET
(DEV)]],Standar[NAMA JABATAN],0)-1,1,1,13)&lt;0,1,""))&lt;=3,'9 Grid'!$B$4,IF(COUNT(IF('Data Assessment'!$N686:$Z686-OFFSET(Standar!$B$2,MATCH(Assessment[[#This Row],[JOB TARGET
(DEV)]],Standar[NAMA JABATAN],0)-1,1,1,13)&lt;0,1,""))&gt;=7,'9 Grid'!$B$6,'9 Grid'!$B$5)))</f>
        <v>Job Target Kosong</v>
      </c>
      <c r="N686" s="146" t="str">
        <f>IFERROR(IF(Data_Assessment[[#This Row],[IPP (3 YEARS AVERAGE)]]="","(IPP Belum Ada)",IF(Data_Assessment[[#This Row],[IPP (3 YEARS AVERAGE)]]&lt;2,'9 Grid'!$F$2,IF(Data_Assessment[[#This Row],[IPP (3 YEARS AVERAGE)]]&gt;=4,'9 Grid'!$D$2,'9 Grid'!$E$2))),"")</f>
        <v>Fully Competence Performance</v>
      </c>
      <c r="O686" s="146" t="str">
        <f ca="1">IFERROR(INDEX('9 Grid'!$D$4:$F$6,MATCH('Rekomendasi HAV'!M686,'9 Grid'!$B$4:$B$6,0),MATCH('Rekomendasi HAV'!N686,'9 Grid'!$D$2:$F$2,0)),"")</f>
        <v/>
      </c>
      <c r="P686" s="147" t="str">
        <f>IFERROR(INDEX('9 Grid'!$D$8:$F$8,1,MATCH('Rekomendasi HAV'!N686,'9 Grid'!$D$2:$F$2,0)),"")</f>
        <v>(ST) Within 12 - 18 month</v>
      </c>
    </row>
    <row r="687" spans="1:16" ht="28.5">
      <c r="A687" s="67">
        <v>686</v>
      </c>
      <c r="B687" s="68" t="str">
        <f>INDEX(Data_Assessment[],MATCH('Rekomendasi HAV'!$A687,Data_Assessment[[INDEX]:[INDEX]],0),MATCH('Rekomendasi HAV'!B$1,Data_Assessment[#Headers],0))</f>
        <v>Khairil Anwar Ritonga</v>
      </c>
      <c r="C687" s="68" t="str">
        <f>INDEX(Data_Assessment[],MATCH('Rekomendasi HAV'!$A687,Data_Assessment[[INDEX]:[INDEX]],0),MATCH('Rekomendasi HAV'!C$1,Data_Assessment[#Headers],0))</f>
        <v>Sumatera Selatan</v>
      </c>
      <c r="D687" s="68" t="str">
        <f>INDEX(Data_Assessment[],MATCH('Rekomendasi HAV'!$A687,Data_Assessment[[INDEX]:[INDEX]],0),MATCH('Rekomendasi HAV'!D$1,Data_Assessment[#Headers],0))</f>
        <v>LSIP - Sei Gemang Estate</v>
      </c>
      <c r="E687" s="68">
        <f>INDEX(Data_Assessment[],MATCH('Rekomendasi HAV'!$B687,Data_Assessment[[NAME]:[NAME]],0),MATCH('Rekomendasi HAV'!E$1,Data_Assessment[#Headers],0))</f>
        <v>0</v>
      </c>
      <c r="F687" s="68"/>
      <c r="G687" s="68">
        <f>IF(ISNUMBER(SEARCH("DEV",Assessment[[#This Row],[JOB TARGET]])),SUBSTITUTE(Assessment[[#This Row],[JOB TARGET]],"DEV","EST"),Assessment[[#This Row],[JOB TARGET]])</f>
        <v>0</v>
      </c>
      <c r="H687" s="146" t="str" cm="1">
        <f t="array" aca="1" ref="H687" ca="1">IF(Assessment[[#This Row],[JOB TARGET]]="","Job Target Kosong",IF(COUNT(IF('Data Assessment'!$N687:$Z687-OFFSET(Standar!$B$2,MATCH(Assessment[[#This Row],[JOB TARGET
(EST)]],Standar[NAMA JABATAN],0)-1,1,1,13)&lt;0,1,""))&lt;=3,'9 Grid'!$B$4,IF(COUNT(IF('Data Assessment'!$N687:$Z687-OFFSET(Standar!$B$2,MATCH(Assessment[[#This Row],[JOB TARGET]],Standar[NAMA JABATAN],0)-1,1,1,13)&lt;0,1,""))&gt;=7,'9 Grid'!$B$6,'9 Grid'!$B$5)))</f>
        <v>Job Target Kosong</v>
      </c>
      <c r="I687" s="146" t="str">
        <f>IFERROR(IF(Data_Assessment[[#This Row],[IPP (3 YEARS AVERAGE)]]="","(IPP Belum Ada)",IF(Data_Assessment[[#This Row],[IPP (3 YEARS AVERAGE)]]&lt;2,'9 Grid'!$F$2,IF(Data_Assessment[[#This Row],[IPP (3 YEARS AVERAGE)]]&gt;=4,'9 Grid'!$D$2,'9 Grid'!$E$2))),"")</f>
        <v>Fully Competence Performance</v>
      </c>
      <c r="J687" s="146" t="str">
        <f ca="1">IFERROR(INDEX('9 Grid'!$D$4:$F$6,MATCH('Rekomendasi HAV'!H687,'9 Grid'!$B$4:$B$6,0),MATCH('Rekomendasi HAV'!I687,'9 Grid'!$D$2:$F$2,0)),"")</f>
        <v/>
      </c>
      <c r="K687" s="146" t="str">
        <f>IFERROR(INDEX('9 Grid'!$D$8:$F$8,1,MATCH('Rekomendasi HAV'!I687,'9 Grid'!$D$2:$F$2,0)),"")</f>
        <v>(ST) Within 12 - 18 month</v>
      </c>
      <c r="L687" s="146">
        <f>IF(ISNUMBER(SEARCH("EST",Assessment[[#This Row],[JOB TARGET]])),SUBSTITUTE(Assessment[[#This Row],[JOB TARGET]],"EST","DEV"),Assessment[[#This Row],[JOB TARGET]])</f>
        <v>0</v>
      </c>
      <c r="M687" s="146" t="str" cm="1">
        <f t="array" aca="1" ref="M687" ca="1">IF(Assessment[[#This Row],[JOB TARGET]]="","Job Target Kosong",IF(COUNT(IF('Data Assessment'!$N687:$Z687-OFFSET(Standar!$B$2,MATCH(Assessment[[#This Row],[JOB TARGET
(DEV)]],Standar[NAMA JABATAN],0)-1,1,1,13)&lt;0,1,""))&lt;=3,'9 Grid'!$B$4,IF(COUNT(IF('Data Assessment'!$N687:$Z687-OFFSET(Standar!$B$2,MATCH(Assessment[[#This Row],[JOB TARGET
(DEV)]],Standar[NAMA JABATAN],0)-1,1,1,13)&lt;0,1,""))&gt;=7,'9 Grid'!$B$6,'9 Grid'!$B$5)))</f>
        <v>Job Target Kosong</v>
      </c>
      <c r="N687" s="146" t="str">
        <f>IFERROR(IF(Data_Assessment[[#This Row],[IPP (3 YEARS AVERAGE)]]="","(IPP Belum Ada)",IF(Data_Assessment[[#This Row],[IPP (3 YEARS AVERAGE)]]&lt;2,'9 Grid'!$F$2,IF(Data_Assessment[[#This Row],[IPP (3 YEARS AVERAGE)]]&gt;=4,'9 Grid'!$D$2,'9 Grid'!$E$2))),"")</f>
        <v>Fully Competence Performance</v>
      </c>
      <c r="O687" s="146" t="str">
        <f ca="1">IFERROR(INDEX('9 Grid'!$D$4:$F$6,MATCH('Rekomendasi HAV'!M687,'9 Grid'!$B$4:$B$6,0),MATCH('Rekomendasi HAV'!N687,'9 Grid'!$D$2:$F$2,0)),"")</f>
        <v/>
      </c>
      <c r="P687" s="147" t="str">
        <f>IFERROR(INDEX('9 Grid'!$D$8:$F$8,1,MATCH('Rekomendasi HAV'!N687,'9 Grid'!$D$2:$F$2,0)),"")</f>
        <v>(ST) Within 12 - 18 month</v>
      </c>
    </row>
    <row r="688" spans="1:16" ht="28.5">
      <c r="A688" s="67">
        <v>687</v>
      </c>
      <c r="B688" s="68" t="str">
        <f>INDEX(Data_Assessment[],MATCH('Rekomendasi HAV'!$A688,Data_Assessment[[INDEX]:[INDEX]],0),MATCH('Rekomendasi HAV'!B$1,Data_Assessment[#Headers],0))</f>
        <v>Lamhot Roy Marpaung</v>
      </c>
      <c r="C688" s="68" t="str">
        <f>INDEX(Data_Assessment[],MATCH('Rekomendasi HAV'!$A688,Data_Assessment[[INDEX]:[INDEX]],0),MATCH('Rekomendasi HAV'!C$1,Data_Assessment[#Headers],0))</f>
        <v>Sumatera Selatan</v>
      </c>
      <c r="D688" s="68" t="str">
        <f>INDEX(Data_Assessment[],MATCH('Rekomendasi HAV'!$A688,Data_Assessment[[INDEX]:[INDEX]],0),MATCH('Rekomendasi HAV'!D$1,Data_Assessment[#Headers],0))</f>
        <v>LSIP - Sei Gemang Estate</v>
      </c>
      <c r="E688" s="68">
        <f>INDEX(Data_Assessment[],MATCH('Rekomendasi HAV'!$B688,Data_Assessment[[NAME]:[NAME]],0),MATCH('Rekomendasi HAV'!E$1,Data_Assessment[#Headers],0))</f>
        <v>0</v>
      </c>
      <c r="F688" s="68"/>
      <c r="G688" s="68">
        <f>IF(ISNUMBER(SEARCH("DEV",Assessment[[#This Row],[JOB TARGET]])),SUBSTITUTE(Assessment[[#This Row],[JOB TARGET]],"DEV","EST"),Assessment[[#This Row],[JOB TARGET]])</f>
        <v>0</v>
      </c>
      <c r="H688" s="146" t="str" cm="1">
        <f t="array" aca="1" ref="H688" ca="1">IF(Assessment[[#This Row],[JOB TARGET]]="","Job Target Kosong",IF(COUNT(IF('Data Assessment'!$N688:$Z688-OFFSET(Standar!$B$2,MATCH(Assessment[[#This Row],[JOB TARGET
(EST)]],Standar[NAMA JABATAN],0)-1,1,1,13)&lt;0,1,""))&lt;=3,'9 Grid'!$B$4,IF(COUNT(IF('Data Assessment'!$N688:$Z688-OFFSET(Standar!$B$2,MATCH(Assessment[[#This Row],[JOB TARGET]],Standar[NAMA JABATAN],0)-1,1,1,13)&lt;0,1,""))&gt;=7,'9 Grid'!$B$6,'9 Grid'!$B$5)))</f>
        <v>Job Target Kosong</v>
      </c>
      <c r="I688" s="146" t="str">
        <f>IFERROR(IF(Data_Assessment[[#This Row],[IPP (3 YEARS AVERAGE)]]="","(IPP Belum Ada)",IF(Data_Assessment[[#This Row],[IPP (3 YEARS AVERAGE)]]&lt;2,'9 Grid'!$F$2,IF(Data_Assessment[[#This Row],[IPP (3 YEARS AVERAGE)]]&gt;=4,'9 Grid'!$D$2,'9 Grid'!$E$2))),"")</f>
        <v>Fully Competence Performance</v>
      </c>
      <c r="J688" s="146" t="str">
        <f ca="1">IFERROR(INDEX('9 Grid'!$D$4:$F$6,MATCH('Rekomendasi HAV'!H688,'9 Grid'!$B$4:$B$6,0),MATCH('Rekomendasi HAV'!I688,'9 Grid'!$D$2:$F$2,0)),"")</f>
        <v/>
      </c>
      <c r="K688" s="146" t="str">
        <f>IFERROR(INDEX('9 Grid'!$D$8:$F$8,1,MATCH('Rekomendasi HAV'!I688,'9 Grid'!$D$2:$F$2,0)),"")</f>
        <v>(ST) Within 12 - 18 month</v>
      </c>
      <c r="L688" s="146">
        <f>IF(ISNUMBER(SEARCH("EST",Assessment[[#This Row],[JOB TARGET]])),SUBSTITUTE(Assessment[[#This Row],[JOB TARGET]],"EST","DEV"),Assessment[[#This Row],[JOB TARGET]])</f>
        <v>0</v>
      </c>
      <c r="M688" s="146" t="str" cm="1">
        <f t="array" aca="1" ref="M688" ca="1">IF(Assessment[[#This Row],[JOB TARGET]]="","Job Target Kosong",IF(COUNT(IF('Data Assessment'!$N688:$Z688-OFFSET(Standar!$B$2,MATCH(Assessment[[#This Row],[JOB TARGET
(DEV)]],Standar[NAMA JABATAN],0)-1,1,1,13)&lt;0,1,""))&lt;=3,'9 Grid'!$B$4,IF(COUNT(IF('Data Assessment'!$N688:$Z688-OFFSET(Standar!$B$2,MATCH(Assessment[[#This Row],[JOB TARGET
(DEV)]],Standar[NAMA JABATAN],0)-1,1,1,13)&lt;0,1,""))&gt;=7,'9 Grid'!$B$6,'9 Grid'!$B$5)))</f>
        <v>Job Target Kosong</v>
      </c>
      <c r="N688" s="146" t="str">
        <f>IFERROR(IF(Data_Assessment[[#This Row],[IPP (3 YEARS AVERAGE)]]="","(IPP Belum Ada)",IF(Data_Assessment[[#This Row],[IPP (3 YEARS AVERAGE)]]&lt;2,'9 Grid'!$F$2,IF(Data_Assessment[[#This Row],[IPP (3 YEARS AVERAGE)]]&gt;=4,'9 Grid'!$D$2,'9 Grid'!$E$2))),"")</f>
        <v>Fully Competence Performance</v>
      </c>
      <c r="O688" s="146" t="str">
        <f ca="1">IFERROR(INDEX('9 Grid'!$D$4:$F$6,MATCH('Rekomendasi HAV'!M688,'9 Grid'!$B$4:$B$6,0),MATCH('Rekomendasi HAV'!N688,'9 Grid'!$D$2:$F$2,0)),"")</f>
        <v/>
      </c>
      <c r="P688" s="147" t="str">
        <f>IFERROR(INDEX('9 Grid'!$D$8:$F$8,1,MATCH('Rekomendasi HAV'!N688,'9 Grid'!$D$2:$F$2,0)),"")</f>
        <v>(ST) Within 12 - 18 month</v>
      </c>
    </row>
    <row r="689" spans="1:16" ht="28.5">
      <c r="A689" s="67">
        <v>688</v>
      </c>
      <c r="B689" s="68" t="str">
        <f>INDEX(Data_Assessment[],MATCH('Rekomendasi HAV'!$A689,Data_Assessment[[INDEX]:[INDEX]],0),MATCH('Rekomendasi HAV'!B$1,Data_Assessment[#Headers],0))</f>
        <v>Syafei</v>
      </c>
      <c r="C689" s="68" t="str">
        <f>INDEX(Data_Assessment[],MATCH('Rekomendasi HAV'!$A689,Data_Assessment[[INDEX]:[INDEX]],0),MATCH('Rekomendasi HAV'!C$1,Data_Assessment[#Headers],0))</f>
        <v>Sumatera Selatan</v>
      </c>
      <c r="D689" s="68" t="str">
        <f>INDEX(Data_Assessment[],MATCH('Rekomendasi HAV'!$A689,Data_Assessment[[INDEX]:[INDEX]],0),MATCH('Rekomendasi HAV'!D$1,Data_Assessment[#Headers],0))</f>
        <v>LSIP - Gunung Bais Estate</v>
      </c>
      <c r="E689" s="68">
        <f>INDEX(Data_Assessment[],MATCH('Rekomendasi HAV'!$B689,Data_Assessment[[NAME]:[NAME]],0),MATCH('Rekomendasi HAV'!E$1,Data_Assessment[#Headers],0))</f>
        <v>0</v>
      </c>
      <c r="F689" s="68"/>
      <c r="G689" s="68">
        <f>IF(ISNUMBER(SEARCH("DEV",Assessment[[#This Row],[JOB TARGET]])),SUBSTITUTE(Assessment[[#This Row],[JOB TARGET]],"DEV","EST"),Assessment[[#This Row],[JOB TARGET]])</f>
        <v>0</v>
      </c>
      <c r="H689" s="146" t="str" cm="1">
        <f t="array" aca="1" ref="H689" ca="1">IF(Assessment[[#This Row],[JOB TARGET]]="","Job Target Kosong",IF(COUNT(IF('Data Assessment'!$N689:$Z689-OFFSET(Standar!$B$2,MATCH(Assessment[[#This Row],[JOB TARGET
(EST)]],Standar[NAMA JABATAN],0)-1,1,1,13)&lt;0,1,""))&lt;=3,'9 Grid'!$B$4,IF(COUNT(IF('Data Assessment'!$N689:$Z689-OFFSET(Standar!$B$2,MATCH(Assessment[[#This Row],[JOB TARGET]],Standar[NAMA JABATAN],0)-1,1,1,13)&lt;0,1,""))&gt;=7,'9 Grid'!$B$6,'9 Grid'!$B$5)))</f>
        <v>Job Target Kosong</v>
      </c>
      <c r="I689" s="146" t="str">
        <f>IFERROR(IF(Data_Assessment[[#This Row],[IPP (3 YEARS AVERAGE)]]="","(IPP Belum Ada)",IF(Data_Assessment[[#This Row],[IPP (3 YEARS AVERAGE)]]&lt;2,'9 Grid'!$F$2,IF(Data_Assessment[[#This Row],[IPP (3 YEARS AVERAGE)]]&gt;=4,'9 Grid'!$D$2,'9 Grid'!$E$2))),"")</f>
        <v>Fully Competence Performance</v>
      </c>
      <c r="J689" s="146" t="str">
        <f ca="1">IFERROR(INDEX('9 Grid'!$D$4:$F$6,MATCH('Rekomendasi HAV'!H689,'9 Grid'!$B$4:$B$6,0),MATCH('Rekomendasi HAV'!I689,'9 Grid'!$D$2:$F$2,0)),"")</f>
        <v/>
      </c>
      <c r="K689" s="146" t="str">
        <f>IFERROR(INDEX('9 Grid'!$D$8:$F$8,1,MATCH('Rekomendasi HAV'!I689,'9 Grid'!$D$2:$F$2,0)),"")</f>
        <v>(ST) Within 12 - 18 month</v>
      </c>
      <c r="L689" s="146">
        <f>IF(ISNUMBER(SEARCH("EST",Assessment[[#This Row],[JOB TARGET]])),SUBSTITUTE(Assessment[[#This Row],[JOB TARGET]],"EST","DEV"),Assessment[[#This Row],[JOB TARGET]])</f>
        <v>0</v>
      </c>
      <c r="M689" s="146" t="str" cm="1">
        <f t="array" aca="1" ref="M689" ca="1">IF(Assessment[[#This Row],[JOB TARGET]]="","Job Target Kosong",IF(COUNT(IF('Data Assessment'!$N689:$Z689-OFFSET(Standar!$B$2,MATCH(Assessment[[#This Row],[JOB TARGET
(DEV)]],Standar[NAMA JABATAN],0)-1,1,1,13)&lt;0,1,""))&lt;=3,'9 Grid'!$B$4,IF(COUNT(IF('Data Assessment'!$N689:$Z689-OFFSET(Standar!$B$2,MATCH(Assessment[[#This Row],[JOB TARGET
(DEV)]],Standar[NAMA JABATAN],0)-1,1,1,13)&lt;0,1,""))&gt;=7,'9 Grid'!$B$6,'9 Grid'!$B$5)))</f>
        <v>Job Target Kosong</v>
      </c>
      <c r="N689" s="146" t="str">
        <f>IFERROR(IF(Data_Assessment[[#This Row],[IPP (3 YEARS AVERAGE)]]="","(IPP Belum Ada)",IF(Data_Assessment[[#This Row],[IPP (3 YEARS AVERAGE)]]&lt;2,'9 Grid'!$F$2,IF(Data_Assessment[[#This Row],[IPP (3 YEARS AVERAGE)]]&gt;=4,'9 Grid'!$D$2,'9 Grid'!$E$2))),"")</f>
        <v>Fully Competence Performance</v>
      </c>
      <c r="O689" s="146" t="str">
        <f ca="1">IFERROR(INDEX('9 Grid'!$D$4:$F$6,MATCH('Rekomendasi HAV'!M689,'9 Grid'!$B$4:$B$6,0),MATCH('Rekomendasi HAV'!N689,'9 Grid'!$D$2:$F$2,0)),"")</f>
        <v/>
      </c>
      <c r="P689" s="147" t="str">
        <f>IFERROR(INDEX('9 Grid'!$D$8:$F$8,1,MATCH('Rekomendasi HAV'!N689,'9 Grid'!$D$2:$F$2,0)),"")</f>
        <v>(ST) Within 12 - 18 month</v>
      </c>
    </row>
    <row r="690" spans="1:16" ht="28.5">
      <c r="A690" s="67">
        <v>689</v>
      </c>
      <c r="B690" s="68" t="str">
        <f>INDEX(Data_Assessment[],MATCH('Rekomendasi HAV'!$A690,Data_Assessment[[INDEX]:[INDEX]],0),MATCH('Rekomendasi HAV'!B$1,Data_Assessment[#Headers],0))</f>
        <v>Zulkarnain Nasution</v>
      </c>
      <c r="C690" s="68" t="str">
        <f>INDEX(Data_Assessment[],MATCH('Rekomendasi HAV'!$A690,Data_Assessment[[INDEX]:[INDEX]],0),MATCH('Rekomendasi HAV'!C$1,Data_Assessment[#Headers],0))</f>
        <v>Sumatera Selatan</v>
      </c>
      <c r="D690" s="68" t="str">
        <f>INDEX(Data_Assessment[],MATCH('Rekomendasi HAV'!$A690,Data_Assessment[[INDEX]:[INDEX]],0),MATCH('Rekomendasi HAV'!D$1,Data_Assessment[#Headers],0))</f>
        <v>LSIP - Gunung Bais Estate</v>
      </c>
      <c r="E690" s="68">
        <f>INDEX(Data_Assessment[],MATCH('Rekomendasi HAV'!$B690,Data_Assessment[[NAME]:[NAME]],0),MATCH('Rekomendasi HAV'!E$1,Data_Assessment[#Headers],0))</f>
        <v>0</v>
      </c>
      <c r="F690" s="68"/>
      <c r="G690" s="68">
        <f>IF(ISNUMBER(SEARCH("DEV",Assessment[[#This Row],[JOB TARGET]])),SUBSTITUTE(Assessment[[#This Row],[JOB TARGET]],"DEV","EST"),Assessment[[#This Row],[JOB TARGET]])</f>
        <v>0</v>
      </c>
      <c r="H690" s="146" t="str" cm="1">
        <f t="array" aca="1" ref="H690" ca="1">IF(Assessment[[#This Row],[JOB TARGET]]="","Job Target Kosong",IF(COUNT(IF('Data Assessment'!$N690:$Z690-OFFSET(Standar!$B$2,MATCH(Assessment[[#This Row],[JOB TARGET
(EST)]],Standar[NAMA JABATAN],0)-1,1,1,13)&lt;0,1,""))&lt;=3,'9 Grid'!$B$4,IF(COUNT(IF('Data Assessment'!$N690:$Z690-OFFSET(Standar!$B$2,MATCH(Assessment[[#This Row],[JOB TARGET]],Standar[NAMA JABATAN],0)-1,1,1,13)&lt;0,1,""))&gt;=7,'9 Grid'!$B$6,'9 Grid'!$B$5)))</f>
        <v>Job Target Kosong</v>
      </c>
      <c r="I690" s="146" t="str">
        <f>IFERROR(IF(Data_Assessment[[#This Row],[IPP (3 YEARS AVERAGE)]]="","(IPP Belum Ada)",IF(Data_Assessment[[#This Row],[IPP (3 YEARS AVERAGE)]]&lt;2,'9 Grid'!$F$2,IF(Data_Assessment[[#This Row],[IPP (3 YEARS AVERAGE)]]&gt;=4,'9 Grid'!$D$2,'9 Grid'!$E$2))),"")</f>
        <v>Fully Competence Performance</v>
      </c>
      <c r="J690" s="146" t="str">
        <f ca="1">IFERROR(INDEX('9 Grid'!$D$4:$F$6,MATCH('Rekomendasi HAV'!H690,'9 Grid'!$B$4:$B$6,0),MATCH('Rekomendasi HAV'!I690,'9 Grid'!$D$2:$F$2,0)),"")</f>
        <v/>
      </c>
      <c r="K690" s="146" t="str">
        <f>IFERROR(INDEX('9 Grid'!$D$8:$F$8,1,MATCH('Rekomendasi HAV'!I690,'9 Grid'!$D$2:$F$2,0)),"")</f>
        <v>(ST) Within 12 - 18 month</v>
      </c>
      <c r="L690" s="146">
        <f>IF(ISNUMBER(SEARCH("EST",Assessment[[#This Row],[JOB TARGET]])),SUBSTITUTE(Assessment[[#This Row],[JOB TARGET]],"EST","DEV"),Assessment[[#This Row],[JOB TARGET]])</f>
        <v>0</v>
      </c>
      <c r="M690" s="146" t="str" cm="1">
        <f t="array" aca="1" ref="M690" ca="1">IF(Assessment[[#This Row],[JOB TARGET]]="","Job Target Kosong",IF(COUNT(IF('Data Assessment'!$N690:$Z690-OFFSET(Standar!$B$2,MATCH(Assessment[[#This Row],[JOB TARGET
(DEV)]],Standar[NAMA JABATAN],0)-1,1,1,13)&lt;0,1,""))&lt;=3,'9 Grid'!$B$4,IF(COUNT(IF('Data Assessment'!$N690:$Z690-OFFSET(Standar!$B$2,MATCH(Assessment[[#This Row],[JOB TARGET
(DEV)]],Standar[NAMA JABATAN],0)-1,1,1,13)&lt;0,1,""))&gt;=7,'9 Grid'!$B$6,'9 Grid'!$B$5)))</f>
        <v>Job Target Kosong</v>
      </c>
      <c r="N690" s="146" t="str">
        <f>IFERROR(IF(Data_Assessment[[#This Row],[IPP (3 YEARS AVERAGE)]]="","(IPP Belum Ada)",IF(Data_Assessment[[#This Row],[IPP (3 YEARS AVERAGE)]]&lt;2,'9 Grid'!$F$2,IF(Data_Assessment[[#This Row],[IPP (3 YEARS AVERAGE)]]&gt;=4,'9 Grid'!$D$2,'9 Grid'!$E$2))),"")</f>
        <v>Fully Competence Performance</v>
      </c>
      <c r="O690" s="146" t="str">
        <f ca="1">IFERROR(INDEX('9 Grid'!$D$4:$F$6,MATCH('Rekomendasi HAV'!M690,'9 Grid'!$B$4:$B$6,0),MATCH('Rekomendasi HAV'!N690,'9 Grid'!$D$2:$F$2,0)),"")</f>
        <v/>
      </c>
      <c r="P690" s="147" t="str">
        <f>IFERROR(INDEX('9 Grid'!$D$8:$F$8,1,MATCH('Rekomendasi HAV'!N690,'9 Grid'!$D$2:$F$2,0)),"")</f>
        <v>(ST) Within 12 - 18 month</v>
      </c>
    </row>
    <row r="691" spans="1:16" ht="28.5">
      <c r="A691" s="67">
        <v>690</v>
      </c>
      <c r="B691" s="68" t="str">
        <f>INDEX(Data_Assessment[],MATCH('Rekomendasi HAV'!$A691,Data_Assessment[[INDEX]:[INDEX]],0),MATCH('Rekomendasi HAV'!B$1,Data_Assessment[#Headers],0))</f>
        <v>Junaidi, Sp</v>
      </c>
      <c r="C691" s="68" t="str">
        <f>INDEX(Data_Assessment[],MATCH('Rekomendasi HAV'!$A691,Data_Assessment[[INDEX]:[INDEX]],0),MATCH('Rekomendasi HAV'!C$1,Data_Assessment[#Headers],0))</f>
        <v>Sumatera Selatan</v>
      </c>
      <c r="D691" s="68" t="str">
        <f>INDEX(Data_Assessment[],MATCH('Rekomendasi HAV'!$A691,Data_Assessment[[INDEX]:[INDEX]],0),MATCH('Rekomendasi HAV'!D$1,Data_Assessment[#Headers],0))</f>
        <v>TAS - Pring Permai Estate</v>
      </c>
      <c r="E691" s="68">
        <f>INDEX(Data_Assessment[],MATCH('Rekomendasi HAV'!$B691,Data_Assessment[[NAME]:[NAME]],0),MATCH('Rekomendasi HAV'!E$1,Data_Assessment[#Headers],0))</f>
        <v>0</v>
      </c>
      <c r="F691" s="68"/>
      <c r="G691" s="68">
        <f>IF(ISNUMBER(SEARCH("DEV",Assessment[[#This Row],[JOB TARGET]])),SUBSTITUTE(Assessment[[#This Row],[JOB TARGET]],"DEV","EST"),Assessment[[#This Row],[JOB TARGET]])</f>
        <v>0</v>
      </c>
      <c r="H691" s="146" t="str" cm="1">
        <f t="array" aca="1" ref="H691" ca="1">IF(Assessment[[#This Row],[JOB TARGET]]="","Job Target Kosong",IF(COUNT(IF('Data Assessment'!$N691:$Z691-OFFSET(Standar!$B$2,MATCH(Assessment[[#This Row],[JOB TARGET
(EST)]],Standar[NAMA JABATAN],0)-1,1,1,13)&lt;0,1,""))&lt;=3,'9 Grid'!$B$4,IF(COUNT(IF('Data Assessment'!$N691:$Z691-OFFSET(Standar!$B$2,MATCH(Assessment[[#This Row],[JOB TARGET]],Standar[NAMA JABATAN],0)-1,1,1,13)&lt;0,1,""))&gt;=7,'9 Grid'!$B$6,'9 Grid'!$B$5)))</f>
        <v>Job Target Kosong</v>
      </c>
      <c r="I691" s="146" t="str">
        <f>IFERROR(IF(Data_Assessment[[#This Row],[IPP (3 YEARS AVERAGE)]]="","(IPP Belum Ada)",IF(Data_Assessment[[#This Row],[IPP (3 YEARS AVERAGE)]]&lt;2,'9 Grid'!$F$2,IF(Data_Assessment[[#This Row],[IPP (3 YEARS AVERAGE)]]&gt;=4,'9 Grid'!$D$2,'9 Grid'!$E$2))),"")</f>
        <v>Fully Competence Performance</v>
      </c>
      <c r="J691" s="146" t="str">
        <f ca="1">IFERROR(INDEX('9 Grid'!$D$4:$F$6,MATCH('Rekomendasi HAV'!H691,'9 Grid'!$B$4:$B$6,0),MATCH('Rekomendasi HAV'!I691,'9 Grid'!$D$2:$F$2,0)),"")</f>
        <v/>
      </c>
      <c r="K691" s="146" t="str">
        <f>IFERROR(INDEX('9 Grid'!$D$8:$F$8,1,MATCH('Rekomendasi HAV'!I691,'9 Grid'!$D$2:$F$2,0)),"")</f>
        <v>(ST) Within 12 - 18 month</v>
      </c>
      <c r="L691" s="146">
        <f>IF(ISNUMBER(SEARCH("EST",Assessment[[#This Row],[JOB TARGET]])),SUBSTITUTE(Assessment[[#This Row],[JOB TARGET]],"EST","DEV"),Assessment[[#This Row],[JOB TARGET]])</f>
        <v>0</v>
      </c>
      <c r="M691" s="146" t="str" cm="1">
        <f t="array" aca="1" ref="M691" ca="1">IF(Assessment[[#This Row],[JOB TARGET]]="","Job Target Kosong",IF(COUNT(IF('Data Assessment'!$N691:$Z691-OFFSET(Standar!$B$2,MATCH(Assessment[[#This Row],[JOB TARGET
(DEV)]],Standar[NAMA JABATAN],0)-1,1,1,13)&lt;0,1,""))&lt;=3,'9 Grid'!$B$4,IF(COUNT(IF('Data Assessment'!$N691:$Z691-OFFSET(Standar!$B$2,MATCH(Assessment[[#This Row],[JOB TARGET
(DEV)]],Standar[NAMA JABATAN],0)-1,1,1,13)&lt;0,1,""))&gt;=7,'9 Grid'!$B$6,'9 Grid'!$B$5)))</f>
        <v>Job Target Kosong</v>
      </c>
      <c r="N691" s="146" t="str">
        <f>IFERROR(IF(Data_Assessment[[#This Row],[IPP (3 YEARS AVERAGE)]]="","(IPP Belum Ada)",IF(Data_Assessment[[#This Row],[IPP (3 YEARS AVERAGE)]]&lt;2,'9 Grid'!$F$2,IF(Data_Assessment[[#This Row],[IPP (3 YEARS AVERAGE)]]&gt;=4,'9 Grid'!$D$2,'9 Grid'!$E$2))),"")</f>
        <v>Fully Competence Performance</v>
      </c>
      <c r="O691" s="146" t="str">
        <f ca="1">IFERROR(INDEX('9 Grid'!$D$4:$F$6,MATCH('Rekomendasi HAV'!M691,'9 Grid'!$B$4:$B$6,0),MATCH('Rekomendasi HAV'!N691,'9 Grid'!$D$2:$F$2,0)),"")</f>
        <v/>
      </c>
      <c r="P691" s="147" t="str">
        <f>IFERROR(INDEX('9 Grid'!$D$8:$F$8,1,MATCH('Rekomendasi HAV'!N691,'9 Grid'!$D$2:$F$2,0)),"")</f>
        <v>(ST) Within 12 - 18 month</v>
      </c>
    </row>
    <row r="692" spans="1:16" ht="28.5">
      <c r="A692" s="67">
        <v>691</v>
      </c>
      <c r="B692" s="68" t="str">
        <f>INDEX(Data_Assessment[],MATCH('Rekomendasi HAV'!$A692,Data_Assessment[[INDEX]:[INDEX]],0),MATCH('Rekomendasi HAV'!B$1,Data_Assessment[#Headers],0))</f>
        <v>Abizar Dasopang, SP</v>
      </c>
      <c r="C692" s="68" t="str">
        <f>INDEX(Data_Assessment[],MATCH('Rekomendasi HAV'!$A692,Data_Assessment[[INDEX]:[INDEX]],0),MATCH('Rekomendasi HAV'!C$1,Data_Assessment[#Headers],0))</f>
        <v>Sumatera Selatan</v>
      </c>
      <c r="D692" s="68" t="str">
        <f>INDEX(Data_Assessment[],MATCH('Rekomendasi HAV'!$A692,Data_Assessment[[INDEX]:[INDEX]],0),MATCH('Rekomendasi HAV'!D$1,Data_Assessment[#Headers],0))</f>
        <v>TAS - Pring Permai Estate</v>
      </c>
      <c r="E692" s="68">
        <f>INDEX(Data_Assessment[],MATCH('Rekomendasi HAV'!$B692,Data_Assessment[[NAME]:[NAME]],0),MATCH('Rekomendasi HAV'!E$1,Data_Assessment[#Headers],0))</f>
        <v>0</v>
      </c>
      <c r="F692" s="68"/>
      <c r="G692" s="68">
        <f>IF(ISNUMBER(SEARCH("DEV",Assessment[[#This Row],[JOB TARGET]])),SUBSTITUTE(Assessment[[#This Row],[JOB TARGET]],"DEV","EST"),Assessment[[#This Row],[JOB TARGET]])</f>
        <v>0</v>
      </c>
      <c r="H692" s="146" t="str" cm="1">
        <f t="array" aca="1" ref="H692" ca="1">IF(Assessment[[#This Row],[JOB TARGET]]="","Job Target Kosong",IF(COUNT(IF('Data Assessment'!$N692:$Z692-OFFSET(Standar!$B$2,MATCH(Assessment[[#This Row],[JOB TARGET
(EST)]],Standar[NAMA JABATAN],0)-1,1,1,13)&lt;0,1,""))&lt;=3,'9 Grid'!$B$4,IF(COUNT(IF('Data Assessment'!$N692:$Z692-OFFSET(Standar!$B$2,MATCH(Assessment[[#This Row],[JOB TARGET]],Standar[NAMA JABATAN],0)-1,1,1,13)&lt;0,1,""))&gt;=7,'9 Grid'!$B$6,'9 Grid'!$B$5)))</f>
        <v>Job Target Kosong</v>
      </c>
      <c r="I692" s="146" t="str">
        <f>IFERROR(IF(Data_Assessment[[#This Row],[IPP (3 YEARS AVERAGE)]]="","(IPP Belum Ada)",IF(Data_Assessment[[#This Row],[IPP (3 YEARS AVERAGE)]]&lt;2,'9 Grid'!$F$2,IF(Data_Assessment[[#This Row],[IPP (3 YEARS AVERAGE)]]&gt;=4,'9 Grid'!$D$2,'9 Grid'!$E$2))),"")</f>
        <v>Fully Competence Performance</v>
      </c>
      <c r="J692" s="146" t="str">
        <f ca="1">IFERROR(INDEX('9 Grid'!$D$4:$F$6,MATCH('Rekomendasi HAV'!H692,'9 Grid'!$B$4:$B$6,0),MATCH('Rekomendasi HAV'!I692,'9 Grid'!$D$2:$F$2,0)),"")</f>
        <v/>
      </c>
      <c r="K692" s="146" t="str">
        <f>IFERROR(INDEX('9 Grid'!$D$8:$F$8,1,MATCH('Rekomendasi HAV'!I692,'9 Grid'!$D$2:$F$2,0)),"")</f>
        <v>(ST) Within 12 - 18 month</v>
      </c>
      <c r="L692" s="146">
        <f>IF(ISNUMBER(SEARCH("EST",Assessment[[#This Row],[JOB TARGET]])),SUBSTITUTE(Assessment[[#This Row],[JOB TARGET]],"EST","DEV"),Assessment[[#This Row],[JOB TARGET]])</f>
        <v>0</v>
      </c>
      <c r="M692" s="146" t="str" cm="1">
        <f t="array" aca="1" ref="M692" ca="1">IF(Assessment[[#This Row],[JOB TARGET]]="","Job Target Kosong",IF(COUNT(IF('Data Assessment'!$N692:$Z692-OFFSET(Standar!$B$2,MATCH(Assessment[[#This Row],[JOB TARGET
(DEV)]],Standar[NAMA JABATAN],0)-1,1,1,13)&lt;0,1,""))&lt;=3,'9 Grid'!$B$4,IF(COUNT(IF('Data Assessment'!$N692:$Z692-OFFSET(Standar!$B$2,MATCH(Assessment[[#This Row],[JOB TARGET
(DEV)]],Standar[NAMA JABATAN],0)-1,1,1,13)&lt;0,1,""))&gt;=7,'9 Grid'!$B$6,'9 Grid'!$B$5)))</f>
        <v>Job Target Kosong</v>
      </c>
      <c r="N692" s="146" t="str">
        <f>IFERROR(IF(Data_Assessment[[#This Row],[IPP (3 YEARS AVERAGE)]]="","(IPP Belum Ada)",IF(Data_Assessment[[#This Row],[IPP (3 YEARS AVERAGE)]]&lt;2,'9 Grid'!$F$2,IF(Data_Assessment[[#This Row],[IPP (3 YEARS AVERAGE)]]&gt;=4,'9 Grid'!$D$2,'9 Grid'!$E$2))),"")</f>
        <v>Fully Competence Performance</v>
      </c>
      <c r="O692" s="146" t="str">
        <f ca="1">IFERROR(INDEX('9 Grid'!$D$4:$F$6,MATCH('Rekomendasi HAV'!M692,'9 Grid'!$B$4:$B$6,0),MATCH('Rekomendasi HAV'!N692,'9 Grid'!$D$2:$F$2,0)),"")</f>
        <v/>
      </c>
      <c r="P692" s="147" t="str">
        <f>IFERROR(INDEX('9 Grid'!$D$8:$F$8,1,MATCH('Rekomendasi HAV'!N692,'9 Grid'!$D$2:$F$2,0)),"")</f>
        <v>(ST) Within 12 - 18 month</v>
      </c>
    </row>
    <row r="693" spans="1:16" ht="28.5">
      <c r="A693" s="67">
        <v>692</v>
      </c>
      <c r="B693" s="68" t="str">
        <f>INDEX(Data_Assessment[],MATCH('Rekomendasi HAV'!$A693,Data_Assessment[[INDEX]:[INDEX]],0),MATCH('Rekomendasi HAV'!B$1,Data_Assessment[#Headers],0))</f>
        <v>Ilham Ibrahim</v>
      </c>
      <c r="C693" s="68" t="str">
        <f>INDEX(Data_Assessment[],MATCH('Rekomendasi HAV'!$A693,Data_Assessment[[INDEX]:[INDEX]],0),MATCH('Rekomendasi HAV'!C$1,Data_Assessment[#Headers],0))</f>
        <v>Sumatera Selatan</v>
      </c>
      <c r="D693" s="68" t="str">
        <f>INDEX(Data_Assessment[],MATCH('Rekomendasi HAV'!$A693,Data_Assessment[[INDEX]:[INDEX]],0),MATCH('Rekomendasi HAV'!D$1,Data_Assessment[#Headers],0))</f>
        <v>LSIP - Mentari Kulim Estate</v>
      </c>
      <c r="E693" s="68">
        <f>INDEX(Data_Assessment[],MATCH('Rekomendasi HAV'!$B693,Data_Assessment[[NAME]:[NAME]],0),MATCH('Rekomendasi HAV'!E$1,Data_Assessment[#Headers],0))</f>
        <v>0</v>
      </c>
      <c r="F693" s="68"/>
      <c r="G693" s="68">
        <f>IF(ISNUMBER(SEARCH("DEV",Assessment[[#This Row],[JOB TARGET]])),SUBSTITUTE(Assessment[[#This Row],[JOB TARGET]],"DEV","EST"),Assessment[[#This Row],[JOB TARGET]])</f>
        <v>0</v>
      </c>
      <c r="H693" s="146" t="str" cm="1">
        <f t="array" aca="1" ref="H693" ca="1">IF(Assessment[[#This Row],[JOB TARGET]]="","Job Target Kosong",IF(COUNT(IF('Data Assessment'!$N693:$Z693-OFFSET(Standar!$B$2,MATCH(Assessment[[#This Row],[JOB TARGET
(EST)]],Standar[NAMA JABATAN],0)-1,1,1,13)&lt;0,1,""))&lt;=3,'9 Grid'!$B$4,IF(COUNT(IF('Data Assessment'!$N693:$Z693-OFFSET(Standar!$B$2,MATCH(Assessment[[#This Row],[JOB TARGET]],Standar[NAMA JABATAN],0)-1,1,1,13)&lt;0,1,""))&gt;=7,'9 Grid'!$B$6,'9 Grid'!$B$5)))</f>
        <v>Job Target Kosong</v>
      </c>
      <c r="I693" s="146" t="str">
        <f>IFERROR(IF(Data_Assessment[[#This Row],[IPP (3 YEARS AVERAGE)]]="","(IPP Belum Ada)",IF(Data_Assessment[[#This Row],[IPP (3 YEARS AVERAGE)]]&lt;2,'9 Grid'!$F$2,IF(Data_Assessment[[#This Row],[IPP (3 YEARS AVERAGE)]]&gt;=4,'9 Grid'!$D$2,'9 Grid'!$E$2))),"")</f>
        <v>Fully Competence Performance</v>
      </c>
      <c r="J693" s="146" t="str">
        <f ca="1">IFERROR(INDEX('9 Grid'!$D$4:$F$6,MATCH('Rekomendasi HAV'!H693,'9 Grid'!$B$4:$B$6,0),MATCH('Rekomendasi HAV'!I693,'9 Grid'!$D$2:$F$2,0)),"")</f>
        <v/>
      </c>
      <c r="K693" s="146" t="str">
        <f>IFERROR(INDEX('9 Grid'!$D$8:$F$8,1,MATCH('Rekomendasi HAV'!I693,'9 Grid'!$D$2:$F$2,0)),"")</f>
        <v>(ST) Within 12 - 18 month</v>
      </c>
      <c r="L693" s="146">
        <f>IF(ISNUMBER(SEARCH("EST",Assessment[[#This Row],[JOB TARGET]])),SUBSTITUTE(Assessment[[#This Row],[JOB TARGET]],"EST","DEV"),Assessment[[#This Row],[JOB TARGET]])</f>
        <v>0</v>
      </c>
      <c r="M693" s="146" t="str" cm="1">
        <f t="array" aca="1" ref="M693" ca="1">IF(Assessment[[#This Row],[JOB TARGET]]="","Job Target Kosong",IF(COUNT(IF('Data Assessment'!$N693:$Z693-OFFSET(Standar!$B$2,MATCH(Assessment[[#This Row],[JOB TARGET
(DEV)]],Standar[NAMA JABATAN],0)-1,1,1,13)&lt;0,1,""))&lt;=3,'9 Grid'!$B$4,IF(COUNT(IF('Data Assessment'!$N693:$Z693-OFFSET(Standar!$B$2,MATCH(Assessment[[#This Row],[JOB TARGET
(DEV)]],Standar[NAMA JABATAN],0)-1,1,1,13)&lt;0,1,""))&gt;=7,'9 Grid'!$B$6,'9 Grid'!$B$5)))</f>
        <v>Job Target Kosong</v>
      </c>
      <c r="N693" s="146" t="str">
        <f>IFERROR(IF(Data_Assessment[[#This Row],[IPP (3 YEARS AVERAGE)]]="","(IPP Belum Ada)",IF(Data_Assessment[[#This Row],[IPP (3 YEARS AVERAGE)]]&lt;2,'9 Grid'!$F$2,IF(Data_Assessment[[#This Row],[IPP (3 YEARS AVERAGE)]]&gt;=4,'9 Grid'!$D$2,'9 Grid'!$E$2))),"")</f>
        <v>Fully Competence Performance</v>
      </c>
      <c r="O693" s="146" t="str">
        <f ca="1">IFERROR(INDEX('9 Grid'!$D$4:$F$6,MATCH('Rekomendasi HAV'!M693,'9 Grid'!$B$4:$B$6,0),MATCH('Rekomendasi HAV'!N693,'9 Grid'!$D$2:$F$2,0)),"")</f>
        <v/>
      </c>
      <c r="P693" s="147" t="str">
        <f>IFERROR(INDEX('9 Grid'!$D$8:$F$8,1,MATCH('Rekomendasi HAV'!N693,'9 Grid'!$D$2:$F$2,0)),"")</f>
        <v>(ST) Within 12 - 18 month</v>
      </c>
    </row>
    <row r="694" spans="1:16" ht="28.5">
      <c r="A694" s="67">
        <v>693</v>
      </c>
      <c r="B694" s="68" t="str">
        <f>INDEX(Data_Assessment[],MATCH('Rekomendasi HAV'!$A694,Data_Assessment[[INDEX]:[INDEX]],0),MATCH('Rekomendasi HAV'!B$1,Data_Assessment[#Headers],0))</f>
        <v>Dwi Haryanto</v>
      </c>
      <c r="C694" s="68" t="str">
        <f>INDEX(Data_Assessment[],MATCH('Rekomendasi HAV'!$A694,Data_Assessment[[INDEX]:[INDEX]],0),MATCH('Rekomendasi HAV'!C$1,Data_Assessment[#Headers],0))</f>
        <v>Sumatera Selatan</v>
      </c>
      <c r="D694" s="68" t="str">
        <f>INDEX(Data_Assessment[],MATCH('Rekomendasi HAV'!$A694,Data_Assessment[[INDEX]:[INDEX]],0),MATCH('Rekomendasi HAV'!D$1,Data_Assessment[#Headers],0))</f>
        <v>LSIP - Mentari Kulim Estate</v>
      </c>
      <c r="E694" s="68">
        <f>INDEX(Data_Assessment[],MATCH('Rekomendasi HAV'!$B694,Data_Assessment[[NAME]:[NAME]],0),MATCH('Rekomendasi HAV'!E$1,Data_Assessment[#Headers],0))</f>
        <v>0</v>
      </c>
      <c r="F694" s="68"/>
      <c r="G694" s="68">
        <f>IF(ISNUMBER(SEARCH("DEV",Assessment[[#This Row],[JOB TARGET]])),SUBSTITUTE(Assessment[[#This Row],[JOB TARGET]],"DEV","EST"),Assessment[[#This Row],[JOB TARGET]])</f>
        <v>0</v>
      </c>
      <c r="H694" s="146" t="str" cm="1">
        <f t="array" aca="1" ref="H694" ca="1">IF(Assessment[[#This Row],[JOB TARGET]]="","Job Target Kosong",IF(COUNT(IF('Data Assessment'!$N694:$Z694-OFFSET(Standar!$B$2,MATCH(Assessment[[#This Row],[JOB TARGET
(EST)]],Standar[NAMA JABATAN],0)-1,1,1,13)&lt;0,1,""))&lt;=3,'9 Grid'!$B$4,IF(COUNT(IF('Data Assessment'!$N694:$Z694-OFFSET(Standar!$B$2,MATCH(Assessment[[#This Row],[JOB TARGET]],Standar[NAMA JABATAN],0)-1,1,1,13)&lt;0,1,""))&gt;=7,'9 Grid'!$B$6,'9 Grid'!$B$5)))</f>
        <v>Job Target Kosong</v>
      </c>
      <c r="I694" s="146" t="str">
        <f>IFERROR(IF(Data_Assessment[[#This Row],[IPP (3 YEARS AVERAGE)]]="","(IPP Belum Ada)",IF(Data_Assessment[[#This Row],[IPP (3 YEARS AVERAGE)]]&lt;2,'9 Grid'!$F$2,IF(Data_Assessment[[#This Row],[IPP (3 YEARS AVERAGE)]]&gt;=4,'9 Grid'!$D$2,'9 Grid'!$E$2))),"")</f>
        <v>Fully Competence Performance</v>
      </c>
      <c r="J694" s="146" t="str">
        <f ca="1">IFERROR(INDEX('9 Grid'!$D$4:$F$6,MATCH('Rekomendasi HAV'!H694,'9 Grid'!$B$4:$B$6,0),MATCH('Rekomendasi HAV'!I694,'9 Grid'!$D$2:$F$2,0)),"")</f>
        <v/>
      </c>
      <c r="K694" s="146" t="str">
        <f>IFERROR(INDEX('9 Grid'!$D$8:$F$8,1,MATCH('Rekomendasi HAV'!I694,'9 Grid'!$D$2:$F$2,0)),"")</f>
        <v>(ST) Within 12 - 18 month</v>
      </c>
      <c r="L694" s="146">
        <f>IF(ISNUMBER(SEARCH("EST",Assessment[[#This Row],[JOB TARGET]])),SUBSTITUTE(Assessment[[#This Row],[JOB TARGET]],"EST","DEV"),Assessment[[#This Row],[JOB TARGET]])</f>
        <v>0</v>
      </c>
      <c r="M694" s="146" t="str" cm="1">
        <f t="array" aca="1" ref="M694" ca="1">IF(Assessment[[#This Row],[JOB TARGET]]="","Job Target Kosong",IF(COUNT(IF('Data Assessment'!$N694:$Z694-OFFSET(Standar!$B$2,MATCH(Assessment[[#This Row],[JOB TARGET
(DEV)]],Standar[NAMA JABATAN],0)-1,1,1,13)&lt;0,1,""))&lt;=3,'9 Grid'!$B$4,IF(COUNT(IF('Data Assessment'!$N694:$Z694-OFFSET(Standar!$B$2,MATCH(Assessment[[#This Row],[JOB TARGET
(DEV)]],Standar[NAMA JABATAN],0)-1,1,1,13)&lt;0,1,""))&gt;=7,'9 Grid'!$B$6,'9 Grid'!$B$5)))</f>
        <v>Job Target Kosong</v>
      </c>
      <c r="N694" s="146" t="str">
        <f>IFERROR(IF(Data_Assessment[[#This Row],[IPP (3 YEARS AVERAGE)]]="","(IPP Belum Ada)",IF(Data_Assessment[[#This Row],[IPP (3 YEARS AVERAGE)]]&lt;2,'9 Grid'!$F$2,IF(Data_Assessment[[#This Row],[IPP (3 YEARS AVERAGE)]]&gt;=4,'9 Grid'!$D$2,'9 Grid'!$E$2))),"")</f>
        <v>Fully Competence Performance</v>
      </c>
      <c r="O694" s="146" t="str">
        <f ca="1">IFERROR(INDEX('9 Grid'!$D$4:$F$6,MATCH('Rekomendasi HAV'!M694,'9 Grid'!$B$4:$B$6,0),MATCH('Rekomendasi HAV'!N694,'9 Grid'!$D$2:$F$2,0)),"")</f>
        <v/>
      </c>
      <c r="P694" s="147" t="str">
        <f>IFERROR(INDEX('9 Grid'!$D$8:$F$8,1,MATCH('Rekomendasi HAV'!N694,'9 Grid'!$D$2:$F$2,0)),"")</f>
        <v>(ST) Within 12 - 18 month</v>
      </c>
    </row>
    <row r="695" spans="1:16" ht="28.5">
      <c r="A695" s="67">
        <v>694</v>
      </c>
      <c r="B695" s="68" t="str">
        <f>INDEX(Data_Assessment[],MATCH('Rekomendasi HAV'!$A695,Data_Assessment[[INDEX]:[INDEX]],0),MATCH('Rekomendasi HAV'!B$1,Data_Assessment[#Headers],0))</f>
        <v>Jontara Hutabalian</v>
      </c>
      <c r="C695" s="68" t="str">
        <f>INDEX(Data_Assessment[],MATCH('Rekomendasi HAV'!$A695,Data_Assessment[[INDEX]:[INDEX]],0),MATCH('Rekomendasi HAV'!C$1,Data_Assessment[#Headers],0))</f>
        <v>Sumatera Selatan</v>
      </c>
      <c r="D695" s="68" t="str">
        <f>INDEX(Data_Assessment[],MATCH('Rekomendasi HAV'!$A695,Data_Assessment[[INDEX]:[INDEX]],0),MATCH('Rekomendasi HAV'!D$1,Data_Assessment[#Headers],0))</f>
        <v>LSIP - Mentari Kulim Estate</v>
      </c>
      <c r="E695" s="68">
        <f>INDEX(Data_Assessment[],MATCH('Rekomendasi HAV'!$B695,Data_Assessment[[NAME]:[NAME]],0),MATCH('Rekomendasi HAV'!E$1,Data_Assessment[#Headers],0))</f>
        <v>0</v>
      </c>
      <c r="F695" s="68"/>
      <c r="G695" s="68">
        <f>IF(ISNUMBER(SEARCH("DEV",Assessment[[#This Row],[JOB TARGET]])),SUBSTITUTE(Assessment[[#This Row],[JOB TARGET]],"DEV","EST"),Assessment[[#This Row],[JOB TARGET]])</f>
        <v>0</v>
      </c>
      <c r="H695" s="146" t="str" cm="1">
        <f t="array" aca="1" ref="H695" ca="1">IF(Assessment[[#This Row],[JOB TARGET]]="","Job Target Kosong",IF(COUNT(IF('Data Assessment'!$N695:$Z695-OFFSET(Standar!$B$2,MATCH(Assessment[[#This Row],[JOB TARGET
(EST)]],Standar[NAMA JABATAN],0)-1,1,1,13)&lt;0,1,""))&lt;=3,'9 Grid'!$B$4,IF(COUNT(IF('Data Assessment'!$N695:$Z695-OFFSET(Standar!$B$2,MATCH(Assessment[[#This Row],[JOB TARGET]],Standar[NAMA JABATAN],0)-1,1,1,13)&lt;0,1,""))&gt;=7,'9 Grid'!$B$6,'9 Grid'!$B$5)))</f>
        <v>Job Target Kosong</v>
      </c>
      <c r="I695" s="146" t="str">
        <f>IFERROR(IF(Data_Assessment[[#This Row],[IPP (3 YEARS AVERAGE)]]="","(IPP Belum Ada)",IF(Data_Assessment[[#This Row],[IPP (3 YEARS AVERAGE)]]&lt;2,'9 Grid'!$F$2,IF(Data_Assessment[[#This Row],[IPP (3 YEARS AVERAGE)]]&gt;=4,'9 Grid'!$D$2,'9 Grid'!$E$2))),"")</f>
        <v>Fully Competence Performance</v>
      </c>
      <c r="J695" s="146" t="str">
        <f ca="1">IFERROR(INDEX('9 Grid'!$D$4:$F$6,MATCH('Rekomendasi HAV'!H695,'9 Grid'!$B$4:$B$6,0),MATCH('Rekomendasi HAV'!I695,'9 Grid'!$D$2:$F$2,0)),"")</f>
        <v/>
      </c>
      <c r="K695" s="146" t="str">
        <f>IFERROR(INDEX('9 Grid'!$D$8:$F$8,1,MATCH('Rekomendasi HAV'!I695,'9 Grid'!$D$2:$F$2,0)),"")</f>
        <v>(ST) Within 12 - 18 month</v>
      </c>
      <c r="L695" s="146">
        <f>IF(ISNUMBER(SEARCH("EST",Assessment[[#This Row],[JOB TARGET]])),SUBSTITUTE(Assessment[[#This Row],[JOB TARGET]],"EST","DEV"),Assessment[[#This Row],[JOB TARGET]])</f>
        <v>0</v>
      </c>
      <c r="M695" s="146" t="str" cm="1">
        <f t="array" aca="1" ref="M695" ca="1">IF(Assessment[[#This Row],[JOB TARGET]]="","Job Target Kosong",IF(COUNT(IF('Data Assessment'!$N695:$Z695-OFFSET(Standar!$B$2,MATCH(Assessment[[#This Row],[JOB TARGET
(DEV)]],Standar[NAMA JABATAN],0)-1,1,1,13)&lt;0,1,""))&lt;=3,'9 Grid'!$B$4,IF(COUNT(IF('Data Assessment'!$N695:$Z695-OFFSET(Standar!$B$2,MATCH(Assessment[[#This Row],[JOB TARGET
(DEV)]],Standar[NAMA JABATAN],0)-1,1,1,13)&lt;0,1,""))&gt;=7,'9 Grid'!$B$6,'9 Grid'!$B$5)))</f>
        <v>Job Target Kosong</v>
      </c>
      <c r="N695" s="146" t="str">
        <f>IFERROR(IF(Data_Assessment[[#This Row],[IPP (3 YEARS AVERAGE)]]="","(IPP Belum Ada)",IF(Data_Assessment[[#This Row],[IPP (3 YEARS AVERAGE)]]&lt;2,'9 Grid'!$F$2,IF(Data_Assessment[[#This Row],[IPP (3 YEARS AVERAGE)]]&gt;=4,'9 Grid'!$D$2,'9 Grid'!$E$2))),"")</f>
        <v>Fully Competence Performance</v>
      </c>
      <c r="O695" s="146" t="str">
        <f ca="1">IFERROR(INDEX('9 Grid'!$D$4:$F$6,MATCH('Rekomendasi HAV'!M695,'9 Grid'!$B$4:$B$6,0),MATCH('Rekomendasi HAV'!N695,'9 Grid'!$D$2:$F$2,0)),"")</f>
        <v/>
      </c>
      <c r="P695" s="147" t="str">
        <f>IFERROR(INDEX('9 Grid'!$D$8:$F$8,1,MATCH('Rekomendasi HAV'!N695,'9 Grid'!$D$2:$F$2,0)),"")</f>
        <v>(ST) Within 12 - 18 month</v>
      </c>
    </row>
    <row r="696" spans="1:16" ht="28.5">
      <c r="A696" s="67">
        <v>695</v>
      </c>
      <c r="B696" s="68" t="str">
        <f>INDEX(Data_Assessment[],MATCH('Rekomendasi HAV'!$A696,Data_Assessment[[INDEX]:[INDEX]],0),MATCH('Rekomendasi HAV'!B$1,Data_Assessment[#Headers],0))</f>
        <v>Nanda Satria</v>
      </c>
      <c r="C696" s="68" t="str">
        <f>INDEX(Data_Assessment[],MATCH('Rekomendasi HAV'!$A696,Data_Assessment[[INDEX]:[INDEX]],0),MATCH('Rekomendasi HAV'!C$1,Data_Assessment[#Headers],0))</f>
        <v>Sumatera Utara</v>
      </c>
      <c r="D696" s="68" t="str">
        <f>INDEX(Data_Assessment[],MATCH('Rekomendasi HAV'!$A696,Data_Assessment[[INDEX]:[INDEX]],0),MATCH('Rekomendasi HAV'!D$1,Data_Assessment[#Headers],0))</f>
        <v>SAS - Kelingi Lestari Estate</v>
      </c>
      <c r="E696" s="68">
        <f>INDEX(Data_Assessment[],MATCH('Rekomendasi HAV'!$B696,Data_Assessment[[NAME]:[NAME]],0),MATCH('Rekomendasi HAV'!E$1,Data_Assessment[#Headers],0))</f>
        <v>0</v>
      </c>
      <c r="F696" s="68"/>
      <c r="G696" s="68">
        <f>IF(ISNUMBER(SEARCH("DEV",Assessment[[#This Row],[JOB TARGET]])),SUBSTITUTE(Assessment[[#This Row],[JOB TARGET]],"DEV","EST"),Assessment[[#This Row],[JOB TARGET]])</f>
        <v>0</v>
      </c>
      <c r="H696" s="146" t="str" cm="1">
        <f t="array" aca="1" ref="H696" ca="1">IF(Assessment[[#This Row],[JOB TARGET]]="","Job Target Kosong",IF(COUNT(IF('Data Assessment'!$N696:$Z696-OFFSET(Standar!$B$2,MATCH(Assessment[[#This Row],[JOB TARGET
(EST)]],Standar[NAMA JABATAN],0)-1,1,1,13)&lt;0,1,""))&lt;=3,'9 Grid'!$B$4,IF(COUNT(IF('Data Assessment'!$N696:$Z696-OFFSET(Standar!$B$2,MATCH(Assessment[[#This Row],[JOB TARGET]],Standar[NAMA JABATAN],0)-1,1,1,13)&lt;0,1,""))&gt;=7,'9 Grid'!$B$6,'9 Grid'!$B$5)))</f>
        <v>Job Target Kosong</v>
      </c>
      <c r="I696" s="146" t="str">
        <f>IFERROR(IF(Data_Assessment[[#This Row],[IPP (3 YEARS AVERAGE)]]="","(IPP Belum Ada)",IF(Data_Assessment[[#This Row],[IPP (3 YEARS AVERAGE)]]&lt;2,'9 Grid'!$F$2,IF(Data_Assessment[[#This Row],[IPP (3 YEARS AVERAGE)]]&gt;=4,'9 Grid'!$D$2,'9 Grid'!$E$2))),"")</f>
        <v>Fully Competence Performance</v>
      </c>
      <c r="J696" s="146" t="str">
        <f ca="1">IFERROR(INDEX('9 Grid'!$D$4:$F$6,MATCH('Rekomendasi HAV'!H696,'9 Grid'!$B$4:$B$6,0),MATCH('Rekomendasi HAV'!I696,'9 Grid'!$D$2:$F$2,0)),"")</f>
        <v/>
      </c>
      <c r="K696" s="146" t="str">
        <f>IFERROR(INDEX('9 Grid'!$D$8:$F$8,1,MATCH('Rekomendasi HAV'!I696,'9 Grid'!$D$2:$F$2,0)),"")</f>
        <v>(ST) Within 12 - 18 month</v>
      </c>
      <c r="L696" s="146">
        <f>IF(ISNUMBER(SEARCH("EST",Assessment[[#This Row],[JOB TARGET]])),SUBSTITUTE(Assessment[[#This Row],[JOB TARGET]],"EST","DEV"),Assessment[[#This Row],[JOB TARGET]])</f>
        <v>0</v>
      </c>
      <c r="M696" s="146" t="str" cm="1">
        <f t="array" aca="1" ref="M696" ca="1">IF(Assessment[[#This Row],[JOB TARGET]]="","Job Target Kosong",IF(COUNT(IF('Data Assessment'!$N696:$Z696-OFFSET(Standar!$B$2,MATCH(Assessment[[#This Row],[JOB TARGET
(DEV)]],Standar[NAMA JABATAN],0)-1,1,1,13)&lt;0,1,""))&lt;=3,'9 Grid'!$B$4,IF(COUNT(IF('Data Assessment'!$N696:$Z696-OFFSET(Standar!$B$2,MATCH(Assessment[[#This Row],[JOB TARGET
(DEV)]],Standar[NAMA JABATAN],0)-1,1,1,13)&lt;0,1,""))&gt;=7,'9 Grid'!$B$6,'9 Grid'!$B$5)))</f>
        <v>Job Target Kosong</v>
      </c>
      <c r="N696" s="146" t="str">
        <f>IFERROR(IF(Data_Assessment[[#This Row],[IPP (3 YEARS AVERAGE)]]="","(IPP Belum Ada)",IF(Data_Assessment[[#This Row],[IPP (3 YEARS AVERAGE)]]&lt;2,'9 Grid'!$F$2,IF(Data_Assessment[[#This Row],[IPP (3 YEARS AVERAGE)]]&gt;=4,'9 Grid'!$D$2,'9 Grid'!$E$2))),"")</f>
        <v>Fully Competence Performance</v>
      </c>
      <c r="O696" s="146" t="str">
        <f ca="1">IFERROR(INDEX('9 Grid'!$D$4:$F$6,MATCH('Rekomendasi HAV'!M696,'9 Grid'!$B$4:$B$6,0),MATCH('Rekomendasi HAV'!N696,'9 Grid'!$D$2:$F$2,0)),"")</f>
        <v/>
      </c>
      <c r="P696" s="147" t="str">
        <f>IFERROR(INDEX('9 Grid'!$D$8:$F$8,1,MATCH('Rekomendasi HAV'!N696,'9 Grid'!$D$2:$F$2,0)),"")</f>
        <v>(ST) Within 12 - 18 month</v>
      </c>
    </row>
    <row r="697" spans="1:16" ht="14.25">
      <c r="A697" s="67">
        <v>696</v>
      </c>
      <c r="B697" s="68" t="str">
        <f>INDEX(Data_Assessment[],MATCH('Rekomendasi HAV'!$A697,Data_Assessment[[INDEX]:[INDEX]],0),MATCH('Rekomendasi HAV'!B$1,Data_Assessment[#Headers],0))</f>
        <v>Bambang Hermanto, Ir.</v>
      </c>
      <c r="C697" s="68" t="str">
        <f>INDEX(Data_Assessment[],MATCH('Rekomendasi HAV'!$A697,Data_Assessment[[INDEX]:[INDEX]],0),MATCH('Rekomendasi HAV'!C$1,Data_Assessment[#Headers],0))</f>
        <v>Sumatera Selatan</v>
      </c>
      <c r="D697" s="68" t="str">
        <f>INDEX(Data_Assessment[],MATCH('Rekomendasi HAV'!$A697,Data_Assessment[[INDEX]:[INDEX]],0),MATCH('Rekomendasi HAV'!D$1,Data_Assessment[#Headers],0))</f>
        <v>LSIP - Bukit Hijau Estate</v>
      </c>
      <c r="E697" s="68">
        <f>INDEX(Data_Assessment[],MATCH('Rekomendasi HAV'!$B697,Data_Assessment[[NAME]:[NAME]],0),MATCH('Rekomendasi HAV'!E$1,Data_Assessment[#Headers],0))</f>
        <v>0</v>
      </c>
      <c r="F697" s="68"/>
      <c r="G697" s="68">
        <f>IF(ISNUMBER(SEARCH("DEV",Assessment[[#This Row],[JOB TARGET]])),SUBSTITUTE(Assessment[[#This Row],[JOB TARGET]],"DEV","EST"),Assessment[[#This Row],[JOB TARGET]])</f>
        <v>0</v>
      </c>
      <c r="H697" s="146" t="str" cm="1">
        <f t="array" aca="1" ref="H697" ca="1">IF(Assessment[[#This Row],[JOB TARGET]]="","Job Target Kosong",IF(COUNT(IF('Data Assessment'!$N697:$Z697-OFFSET(Standar!$B$2,MATCH(Assessment[[#This Row],[JOB TARGET
(EST)]],Standar[NAMA JABATAN],0)-1,1,1,13)&lt;0,1,""))&lt;=3,'9 Grid'!$B$4,IF(COUNT(IF('Data Assessment'!$N697:$Z697-OFFSET(Standar!$B$2,MATCH(Assessment[[#This Row],[JOB TARGET]],Standar[NAMA JABATAN],0)-1,1,1,13)&lt;0,1,""))&gt;=7,'9 Grid'!$B$6,'9 Grid'!$B$5)))</f>
        <v>Job Target Kosong</v>
      </c>
      <c r="I697" s="146" t="str">
        <f>IFERROR(IF(Data_Assessment[[#This Row],[IPP (3 YEARS AVERAGE)]]="","(IPP Belum Ada)",IF(Data_Assessment[[#This Row],[IPP (3 YEARS AVERAGE)]]&lt;2,'9 Grid'!$F$2,IF(Data_Assessment[[#This Row],[IPP (3 YEARS AVERAGE)]]&gt;=4,'9 Grid'!$D$2,'9 Grid'!$E$2))),"")</f>
        <v>Exceptional Performance</v>
      </c>
      <c r="J697" s="146" t="str">
        <f ca="1">IFERROR(INDEX('9 Grid'!$D$4:$F$6,MATCH('Rekomendasi HAV'!H697,'9 Grid'!$B$4:$B$6,0),MATCH('Rekomendasi HAV'!I697,'9 Grid'!$D$2:$F$2,0)),"")</f>
        <v/>
      </c>
      <c r="K697" s="146" t="str">
        <f>IFERROR(INDEX('9 Grid'!$D$8:$F$8,1,MATCH('Rekomendasi HAV'!I697,'9 Grid'!$D$2:$F$2,0)),"")</f>
        <v>(I) Immediately</v>
      </c>
      <c r="L697" s="146">
        <f>IF(ISNUMBER(SEARCH("EST",Assessment[[#This Row],[JOB TARGET]])),SUBSTITUTE(Assessment[[#This Row],[JOB TARGET]],"EST","DEV"),Assessment[[#This Row],[JOB TARGET]])</f>
        <v>0</v>
      </c>
      <c r="M697" s="146" t="str" cm="1">
        <f t="array" aca="1" ref="M697" ca="1">IF(Assessment[[#This Row],[JOB TARGET]]="","Job Target Kosong",IF(COUNT(IF('Data Assessment'!$N697:$Z697-OFFSET(Standar!$B$2,MATCH(Assessment[[#This Row],[JOB TARGET
(DEV)]],Standar[NAMA JABATAN],0)-1,1,1,13)&lt;0,1,""))&lt;=3,'9 Grid'!$B$4,IF(COUNT(IF('Data Assessment'!$N697:$Z697-OFFSET(Standar!$B$2,MATCH(Assessment[[#This Row],[JOB TARGET
(DEV)]],Standar[NAMA JABATAN],0)-1,1,1,13)&lt;0,1,""))&gt;=7,'9 Grid'!$B$6,'9 Grid'!$B$5)))</f>
        <v>Job Target Kosong</v>
      </c>
      <c r="N697" s="146" t="str">
        <f>IFERROR(IF(Data_Assessment[[#This Row],[IPP (3 YEARS AVERAGE)]]="","(IPP Belum Ada)",IF(Data_Assessment[[#This Row],[IPP (3 YEARS AVERAGE)]]&lt;2,'9 Grid'!$F$2,IF(Data_Assessment[[#This Row],[IPP (3 YEARS AVERAGE)]]&gt;=4,'9 Grid'!$D$2,'9 Grid'!$E$2))),"")</f>
        <v>Exceptional Performance</v>
      </c>
      <c r="O697" s="146" t="str">
        <f ca="1">IFERROR(INDEX('9 Grid'!$D$4:$F$6,MATCH('Rekomendasi HAV'!M697,'9 Grid'!$B$4:$B$6,0),MATCH('Rekomendasi HAV'!N697,'9 Grid'!$D$2:$F$2,0)),"")</f>
        <v/>
      </c>
      <c r="P697" s="147" t="str">
        <f>IFERROR(INDEX('9 Grid'!$D$8:$F$8,1,MATCH('Rekomendasi HAV'!N697,'9 Grid'!$D$2:$F$2,0)),"")</f>
        <v>(I) Immediately</v>
      </c>
    </row>
    <row r="698" spans="1:16" ht="28.5">
      <c r="A698" s="67">
        <v>697</v>
      </c>
      <c r="B698" s="68" t="str">
        <f>INDEX(Data_Assessment[],MATCH('Rekomendasi HAV'!$A698,Data_Assessment[[INDEX]:[INDEX]],0),MATCH('Rekomendasi HAV'!B$1,Data_Assessment[#Headers],0))</f>
        <v>Suhunan Sinaga, S.Sos</v>
      </c>
      <c r="C698" s="68" t="str">
        <f>INDEX(Data_Assessment[],MATCH('Rekomendasi HAV'!$A698,Data_Assessment[[INDEX]:[INDEX]],0),MATCH('Rekomendasi HAV'!C$1,Data_Assessment[#Headers],0))</f>
        <v>Sumatera Selatan</v>
      </c>
      <c r="D698" s="68" t="str">
        <f>INDEX(Data_Assessment[],MATCH('Rekomendasi HAV'!$A698,Data_Assessment[[INDEX]:[INDEX]],0),MATCH('Rekomendasi HAV'!D$1,Data_Assessment[#Headers],0))</f>
        <v>LSIP - Bukit Hijau Estate</v>
      </c>
      <c r="E698" s="68">
        <f>INDEX(Data_Assessment[],MATCH('Rekomendasi HAV'!$B698,Data_Assessment[[NAME]:[NAME]],0),MATCH('Rekomendasi HAV'!E$1,Data_Assessment[#Headers],0))</f>
        <v>0</v>
      </c>
      <c r="F698" s="68"/>
      <c r="G698" s="68">
        <f>IF(ISNUMBER(SEARCH("DEV",Assessment[[#This Row],[JOB TARGET]])),SUBSTITUTE(Assessment[[#This Row],[JOB TARGET]],"DEV","EST"),Assessment[[#This Row],[JOB TARGET]])</f>
        <v>0</v>
      </c>
      <c r="H698" s="146" t="str" cm="1">
        <f t="array" aca="1" ref="H698" ca="1">IF(Assessment[[#This Row],[JOB TARGET]]="","Job Target Kosong",IF(COUNT(IF('Data Assessment'!$N698:$Z698-OFFSET(Standar!$B$2,MATCH(Assessment[[#This Row],[JOB TARGET
(EST)]],Standar[NAMA JABATAN],0)-1,1,1,13)&lt;0,1,""))&lt;=3,'9 Grid'!$B$4,IF(COUNT(IF('Data Assessment'!$N698:$Z698-OFFSET(Standar!$B$2,MATCH(Assessment[[#This Row],[JOB TARGET]],Standar[NAMA JABATAN],0)-1,1,1,13)&lt;0,1,""))&gt;=7,'9 Grid'!$B$6,'9 Grid'!$B$5)))</f>
        <v>Job Target Kosong</v>
      </c>
      <c r="I698" s="146" t="str">
        <f>IFERROR(IF(Data_Assessment[[#This Row],[IPP (3 YEARS AVERAGE)]]="","(IPP Belum Ada)",IF(Data_Assessment[[#This Row],[IPP (3 YEARS AVERAGE)]]&lt;2,'9 Grid'!$F$2,IF(Data_Assessment[[#This Row],[IPP (3 YEARS AVERAGE)]]&gt;=4,'9 Grid'!$D$2,'9 Grid'!$E$2))),"")</f>
        <v>Fully Competence Performance</v>
      </c>
      <c r="J698" s="146" t="str">
        <f ca="1">IFERROR(INDEX('9 Grid'!$D$4:$F$6,MATCH('Rekomendasi HAV'!H698,'9 Grid'!$B$4:$B$6,0),MATCH('Rekomendasi HAV'!I698,'9 Grid'!$D$2:$F$2,0)),"")</f>
        <v/>
      </c>
      <c r="K698" s="146" t="str">
        <f>IFERROR(INDEX('9 Grid'!$D$8:$F$8,1,MATCH('Rekomendasi HAV'!I698,'9 Grid'!$D$2:$F$2,0)),"")</f>
        <v>(ST) Within 12 - 18 month</v>
      </c>
      <c r="L698" s="146">
        <f>IF(ISNUMBER(SEARCH("EST",Assessment[[#This Row],[JOB TARGET]])),SUBSTITUTE(Assessment[[#This Row],[JOB TARGET]],"EST","DEV"),Assessment[[#This Row],[JOB TARGET]])</f>
        <v>0</v>
      </c>
      <c r="M698" s="146" t="str" cm="1">
        <f t="array" aca="1" ref="M698" ca="1">IF(Assessment[[#This Row],[JOB TARGET]]="","Job Target Kosong",IF(COUNT(IF('Data Assessment'!$N698:$Z698-OFFSET(Standar!$B$2,MATCH(Assessment[[#This Row],[JOB TARGET
(DEV)]],Standar[NAMA JABATAN],0)-1,1,1,13)&lt;0,1,""))&lt;=3,'9 Grid'!$B$4,IF(COUNT(IF('Data Assessment'!$N698:$Z698-OFFSET(Standar!$B$2,MATCH(Assessment[[#This Row],[JOB TARGET
(DEV)]],Standar[NAMA JABATAN],0)-1,1,1,13)&lt;0,1,""))&gt;=7,'9 Grid'!$B$6,'9 Grid'!$B$5)))</f>
        <v>Job Target Kosong</v>
      </c>
      <c r="N698" s="146" t="str">
        <f>IFERROR(IF(Data_Assessment[[#This Row],[IPP (3 YEARS AVERAGE)]]="","(IPP Belum Ada)",IF(Data_Assessment[[#This Row],[IPP (3 YEARS AVERAGE)]]&lt;2,'9 Grid'!$F$2,IF(Data_Assessment[[#This Row],[IPP (3 YEARS AVERAGE)]]&gt;=4,'9 Grid'!$D$2,'9 Grid'!$E$2))),"")</f>
        <v>Fully Competence Performance</v>
      </c>
      <c r="O698" s="146" t="str">
        <f ca="1">IFERROR(INDEX('9 Grid'!$D$4:$F$6,MATCH('Rekomendasi HAV'!M698,'9 Grid'!$B$4:$B$6,0),MATCH('Rekomendasi HAV'!N698,'9 Grid'!$D$2:$F$2,0)),"")</f>
        <v/>
      </c>
      <c r="P698" s="147" t="str">
        <f>IFERROR(INDEX('9 Grid'!$D$8:$F$8,1,MATCH('Rekomendasi HAV'!N698,'9 Grid'!$D$2:$F$2,0)),"")</f>
        <v>(ST) Within 12 - 18 month</v>
      </c>
    </row>
    <row r="699" spans="1:16" ht="28.5">
      <c r="A699" s="67">
        <v>698</v>
      </c>
      <c r="B699" s="68" t="str">
        <f>INDEX(Data_Assessment[],MATCH('Rekomendasi HAV'!$A699,Data_Assessment[[INDEX]:[INDEX]],0),MATCH('Rekomendasi HAV'!B$1,Data_Assessment[#Headers],0))</f>
        <v>Bobi Chandra</v>
      </c>
      <c r="C699" s="68" t="str">
        <f>INDEX(Data_Assessment[],MATCH('Rekomendasi HAV'!$A699,Data_Assessment[[INDEX]:[INDEX]],0),MATCH('Rekomendasi HAV'!C$1,Data_Assessment[#Headers],0))</f>
        <v>Sumatera Selatan</v>
      </c>
      <c r="D699" s="68" t="str">
        <f>INDEX(Data_Assessment[],MATCH('Rekomendasi HAV'!$A699,Data_Assessment[[INDEX]:[INDEX]],0),MATCH('Rekomendasi HAV'!D$1,Data_Assessment[#Headers],0))</f>
        <v>LSIP - Bukit Hijau Estate</v>
      </c>
      <c r="E699" s="68">
        <f>INDEX(Data_Assessment[],MATCH('Rekomendasi HAV'!$B699,Data_Assessment[[NAME]:[NAME]],0),MATCH('Rekomendasi HAV'!E$1,Data_Assessment[#Headers],0))</f>
        <v>0</v>
      </c>
      <c r="F699" s="68"/>
      <c r="G699" s="68">
        <f>IF(ISNUMBER(SEARCH("DEV",Assessment[[#This Row],[JOB TARGET]])),SUBSTITUTE(Assessment[[#This Row],[JOB TARGET]],"DEV","EST"),Assessment[[#This Row],[JOB TARGET]])</f>
        <v>0</v>
      </c>
      <c r="H699" s="146" t="str" cm="1">
        <f t="array" aca="1" ref="H699" ca="1">IF(Assessment[[#This Row],[JOB TARGET]]="","Job Target Kosong",IF(COUNT(IF('Data Assessment'!$N699:$Z699-OFFSET(Standar!$B$2,MATCH(Assessment[[#This Row],[JOB TARGET
(EST)]],Standar[NAMA JABATAN],0)-1,1,1,13)&lt;0,1,""))&lt;=3,'9 Grid'!$B$4,IF(COUNT(IF('Data Assessment'!$N699:$Z699-OFFSET(Standar!$B$2,MATCH(Assessment[[#This Row],[JOB TARGET]],Standar[NAMA JABATAN],0)-1,1,1,13)&lt;0,1,""))&gt;=7,'9 Grid'!$B$6,'9 Grid'!$B$5)))</f>
        <v>Job Target Kosong</v>
      </c>
      <c r="I699" s="146" t="str">
        <f>IFERROR(IF(Data_Assessment[[#This Row],[IPP (3 YEARS AVERAGE)]]="","(IPP Belum Ada)",IF(Data_Assessment[[#This Row],[IPP (3 YEARS AVERAGE)]]&lt;2,'9 Grid'!$F$2,IF(Data_Assessment[[#This Row],[IPP (3 YEARS AVERAGE)]]&gt;=4,'9 Grid'!$D$2,'9 Grid'!$E$2))),"")</f>
        <v>Fully Competence Performance</v>
      </c>
      <c r="J699" s="146" t="str">
        <f ca="1">IFERROR(INDEX('9 Grid'!$D$4:$F$6,MATCH('Rekomendasi HAV'!H699,'9 Grid'!$B$4:$B$6,0),MATCH('Rekomendasi HAV'!I699,'9 Grid'!$D$2:$F$2,0)),"")</f>
        <v/>
      </c>
      <c r="K699" s="146" t="str">
        <f>IFERROR(INDEX('9 Grid'!$D$8:$F$8,1,MATCH('Rekomendasi HAV'!I699,'9 Grid'!$D$2:$F$2,0)),"")</f>
        <v>(ST) Within 12 - 18 month</v>
      </c>
      <c r="L699" s="146">
        <f>IF(ISNUMBER(SEARCH("EST",Assessment[[#This Row],[JOB TARGET]])),SUBSTITUTE(Assessment[[#This Row],[JOB TARGET]],"EST","DEV"),Assessment[[#This Row],[JOB TARGET]])</f>
        <v>0</v>
      </c>
      <c r="M699" s="146" t="str" cm="1">
        <f t="array" aca="1" ref="M699" ca="1">IF(Assessment[[#This Row],[JOB TARGET]]="","Job Target Kosong",IF(COUNT(IF('Data Assessment'!$N699:$Z699-OFFSET(Standar!$B$2,MATCH(Assessment[[#This Row],[JOB TARGET
(DEV)]],Standar[NAMA JABATAN],0)-1,1,1,13)&lt;0,1,""))&lt;=3,'9 Grid'!$B$4,IF(COUNT(IF('Data Assessment'!$N699:$Z699-OFFSET(Standar!$B$2,MATCH(Assessment[[#This Row],[JOB TARGET
(DEV)]],Standar[NAMA JABATAN],0)-1,1,1,13)&lt;0,1,""))&gt;=7,'9 Grid'!$B$6,'9 Grid'!$B$5)))</f>
        <v>Job Target Kosong</v>
      </c>
      <c r="N699" s="146" t="str">
        <f>IFERROR(IF(Data_Assessment[[#This Row],[IPP (3 YEARS AVERAGE)]]="","(IPP Belum Ada)",IF(Data_Assessment[[#This Row],[IPP (3 YEARS AVERAGE)]]&lt;2,'9 Grid'!$F$2,IF(Data_Assessment[[#This Row],[IPP (3 YEARS AVERAGE)]]&gt;=4,'9 Grid'!$D$2,'9 Grid'!$E$2))),"")</f>
        <v>Fully Competence Performance</v>
      </c>
      <c r="O699" s="146" t="str">
        <f ca="1">IFERROR(INDEX('9 Grid'!$D$4:$F$6,MATCH('Rekomendasi HAV'!M699,'9 Grid'!$B$4:$B$6,0),MATCH('Rekomendasi HAV'!N699,'9 Grid'!$D$2:$F$2,0)),"")</f>
        <v/>
      </c>
      <c r="P699" s="147" t="str">
        <f>IFERROR(INDEX('9 Grid'!$D$8:$F$8,1,MATCH('Rekomendasi HAV'!N699,'9 Grid'!$D$2:$F$2,0)),"")</f>
        <v>(ST) Within 12 - 18 month</v>
      </c>
    </row>
    <row r="700" spans="1:16" ht="28.5">
      <c r="A700" s="67">
        <v>699</v>
      </c>
      <c r="B700" s="68" t="str">
        <f>INDEX(Data_Assessment[],MATCH('Rekomendasi HAV'!$A700,Data_Assessment[[INDEX]:[INDEX]],0),MATCH('Rekomendasi HAV'!B$1,Data_Assessment[#Headers],0))</f>
        <v>Matjuri</v>
      </c>
      <c r="C700" s="68" t="str">
        <f>INDEX(Data_Assessment[],MATCH('Rekomendasi HAV'!$A700,Data_Assessment[[INDEX]:[INDEX]],0),MATCH('Rekomendasi HAV'!C$1,Data_Assessment[#Headers],0))</f>
        <v>Sumatera Selatan</v>
      </c>
      <c r="D700" s="68" t="str">
        <f>INDEX(Data_Assessment[],MATCH('Rekomendasi HAV'!$A700,Data_Assessment[[INDEX]:[INDEX]],0),MATCH('Rekomendasi HAV'!D$1,Data_Assessment[#Headers],0))</f>
        <v>LSIP - Ketapat Bening Estate</v>
      </c>
      <c r="E700" s="68">
        <f>INDEX(Data_Assessment[],MATCH('Rekomendasi HAV'!$B700,Data_Assessment[[NAME]:[NAME]],0),MATCH('Rekomendasi HAV'!E$1,Data_Assessment[#Headers],0))</f>
        <v>0</v>
      </c>
      <c r="F700" s="68"/>
      <c r="G700" s="68">
        <f>IF(ISNUMBER(SEARCH("DEV",Assessment[[#This Row],[JOB TARGET]])),SUBSTITUTE(Assessment[[#This Row],[JOB TARGET]],"DEV","EST"),Assessment[[#This Row],[JOB TARGET]])</f>
        <v>0</v>
      </c>
      <c r="H700" s="146" t="str" cm="1">
        <f t="array" aca="1" ref="H700" ca="1">IF(Assessment[[#This Row],[JOB TARGET]]="","Job Target Kosong",IF(COUNT(IF('Data Assessment'!$N700:$Z700-OFFSET(Standar!$B$2,MATCH(Assessment[[#This Row],[JOB TARGET
(EST)]],Standar[NAMA JABATAN],0)-1,1,1,13)&lt;0,1,""))&lt;=3,'9 Grid'!$B$4,IF(COUNT(IF('Data Assessment'!$N700:$Z700-OFFSET(Standar!$B$2,MATCH(Assessment[[#This Row],[JOB TARGET]],Standar[NAMA JABATAN],0)-1,1,1,13)&lt;0,1,""))&gt;=7,'9 Grid'!$B$6,'9 Grid'!$B$5)))</f>
        <v>Job Target Kosong</v>
      </c>
      <c r="I700" s="146" t="str">
        <f>IFERROR(IF(Data_Assessment[[#This Row],[IPP (3 YEARS AVERAGE)]]="","(IPP Belum Ada)",IF(Data_Assessment[[#This Row],[IPP (3 YEARS AVERAGE)]]&lt;2,'9 Grid'!$F$2,IF(Data_Assessment[[#This Row],[IPP (3 YEARS AVERAGE)]]&gt;=4,'9 Grid'!$D$2,'9 Grid'!$E$2))),"")</f>
        <v>Fully Competence Performance</v>
      </c>
      <c r="J700" s="146" t="str">
        <f ca="1">IFERROR(INDEX('9 Grid'!$D$4:$F$6,MATCH('Rekomendasi HAV'!H700,'9 Grid'!$B$4:$B$6,0),MATCH('Rekomendasi HAV'!I700,'9 Grid'!$D$2:$F$2,0)),"")</f>
        <v/>
      </c>
      <c r="K700" s="146" t="str">
        <f>IFERROR(INDEX('9 Grid'!$D$8:$F$8,1,MATCH('Rekomendasi HAV'!I700,'9 Grid'!$D$2:$F$2,0)),"")</f>
        <v>(ST) Within 12 - 18 month</v>
      </c>
      <c r="L700" s="146">
        <f>IF(ISNUMBER(SEARCH("EST",Assessment[[#This Row],[JOB TARGET]])),SUBSTITUTE(Assessment[[#This Row],[JOB TARGET]],"EST","DEV"),Assessment[[#This Row],[JOB TARGET]])</f>
        <v>0</v>
      </c>
      <c r="M700" s="146" t="str" cm="1">
        <f t="array" aca="1" ref="M700" ca="1">IF(Assessment[[#This Row],[JOB TARGET]]="","Job Target Kosong",IF(COUNT(IF('Data Assessment'!$N700:$Z700-OFFSET(Standar!$B$2,MATCH(Assessment[[#This Row],[JOB TARGET
(DEV)]],Standar[NAMA JABATAN],0)-1,1,1,13)&lt;0,1,""))&lt;=3,'9 Grid'!$B$4,IF(COUNT(IF('Data Assessment'!$N700:$Z700-OFFSET(Standar!$B$2,MATCH(Assessment[[#This Row],[JOB TARGET
(DEV)]],Standar[NAMA JABATAN],0)-1,1,1,13)&lt;0,1,""))&gt;=7,'9 Grid'!$B$6,'9 Grid'!$B$5)))</f>
        <v>Job Target Kosong</v>
      </c>
      <c r="N700" s="146" t="str">
        <f>IFERROR(IF(Data_Assessment[[#This Row],[IPP (3 YEARS AVERAGE)]]="","(IPP Belum Ada)",IF(Data_Assessment[[#This Row],[IPP (3 YEARS AVERAGE)]]&lt;2,'9 Grid'!$F$2,IF(Data_Assessment[[#This Row],[IPP (3 YEARS AVERAGE)]]&gt;=4,'9 Grid'!$D$2,'9 Grid'!$E$2))),"")</f>
        <v>Fully Competence Performance</v>
      </c>
      <c r="O700" s="146" t="str">
        <f ca="1">IFERROR(INDEX('9 Grid'!$D$4:$F$6,MATCH('Rekomendasi HAV'!M700,'9 Grid'!$B$4:$B$6,0),MATCH('Rekomendasi HAV'!N700,'9 Grid'!$D$2:$F$2,0)),"")</f>
        <v/>
      </c>
      <c r="P700" s="147" t="str">
        <f>IFERROR(INDEX('9 Grid'!$D$8:$F$8,1,MATCH('Rekomendasi HAV'!N700,'9 Grid'!$D$2:$F$2,0)),"")</f>
        <v>(ST) Within 12 - 18 month</v>
      </c>
    </row>
    <row r="701" spans="1:16" ht="28.5">
      <c r="A701" s="67">
        <v>700</v>
      </c>
      <c r="B701" s="68" t="str">
        <f>INDEX(Data_Assessment[],MATCH('Rekomendasi HAV'!$A701,Data_Assessment[[INDEX]:[INDEX]],0),MATCH('Rekomendasi HAV'!B$1,Data_Assessment[#Headers],0))</f>
        <v>Reinhard Situmeang</v>
      </c>
      <c r="C701" s="68" t="str">
        <f>INDEX(Data_Assessment[],MATCH('Rekomendasi HAV'!$A701,Data_Assessment[[INDEX]:[INDEX]],0),MATCH('Rekomendasi HAV'!C$1,Data_Assessment[#Headers],0))</f>
        <v>Sumatera Selatan</v>
      </c>
      <c r="D701" s="68" t="str">
        <f>INDEX(Data_Assessment[],MATCH('Rekomendasi HAV'!$A701,Data_Assessment[[INDEX]:[INDEX]],0),MATCH('Rekomendasi HAV'!D$1,Data_Assessment[#Headers],0))</f>
        <v>LSIP - Ketapat Bening Estate</v>
      </c>
      <c r="E701" s="68">
        <f>INDEX(Data_Assessment[],MATCH('Rekomendasi HAV'!$B701,Data_Assessment[[NAME]:[NAME]],0),MATCH('Rekomendasi HAV'!E$1,Data_Assessment[#Headers],0))</f>
        <v>0</v>
      </c>
      <c r="F701" s="68"/>
      <c r="G701" s="68">
        <f>IF(ISNUMBER(SEARCH("DEV",Assessment[[#This Row],[JOB TARGET]])),SUBSTITUTE(Assessment[[#This Row],[JOB TARGET]],"DEV","EST"),Assessment[[#This Row],[JOB TARGET]])</f>
        <v>0</v>
      </c>
      <c r="H701" s="146" t="str" cm="1">
        <f t="array" aca="1" ref="H701" ca="1">IF(Assessment[[#This Row],[JOB TARGET]]="","Job Target Kosong",IF(COUNT(IF('Data Assessment'!$N701:$Z701-OFFSET(Standar!$B$2,MATCH(Assessment[[#This Row],[JOB TARGET
(EST)]],Standar[NAMA JABATAN],0)-1,1,1,13)&lt;0,1,""))&lt;=3,'9 Grid'!$B$4,IF(COUNT(IF('Data Assessment'!$N701:$Z701-OFFSET(Standar!$B$2,MATCH(Assessment[[#This Row],[JOB TARGET]],Standar[NAMA JABATAN],0)-1,1,1,13)&lt;0,1,""))&gt;=7,'9 Grid'!$B$6,'9 Grid'!$B$5)))</f>
        <v>Job Target Kosong</v>
      </c>
      <c r="I701" s="146" t="str">
        <f>IFERROR(IF(Data_Assessment[[#This Row],[IPP (3 YEARS AVERAGE)]]="","(IPP Belum Ada)",IF(Data_Assessment[[#This Row],[IPP (3 YEARS AVERAGE)]]&lt;2,'9 Grid'!$F$2,IF(Data_Assessment[[#This Row],[IPP (3 YEARS AVERAGE)]]&gt;=4,'9 Grid'!$D$2,'9 Grid'!$E$2))),"")</f>
        <v>Fully Competence Performance</v>
      </c>
      <c r="J701" s="146" t="str">
        <f ca="1">IFERROR(INDEX('9 Grid'!$D$4:$F$6,MATCH('Rekomendasi HAV'!H701,'9 Grid'!$B$4:$B$6,0),MATCH('Rekomendasi HAV'!I701,'9 Grid'!$D$2:$F$2,0)),"")</f>
        <v/>
      </c>
      <c r="K701" s="146" t="str">
        <f>IFERROR(INDEX('9 Grid'!$D$8:$F$8,1,MATCH('Rekomendasi HAV'!I701,'9 Grid'!$D$2:$F$2,0)),"")</f>
        <v>(ST) Within 12 - 18 month</v>
      </c>
      <c r="L701" s="146">
        <f>IF(ISNUMBER(SEARCH("EST",Assessment[[#This Row],[JOB TARGET]])),SUBSTITUTE(Assessment[[#This Row],[JOB TARGET]],"EST","DEV"),Assessment[[#This Row],[JOB TARGET]])</f>
        <v>0</v>
      </c>
      <c r="M701" s="146" t="str" cm="1">
        <f t="array" aca="1" ref="M701" ca="1">IF(Assessment[[#This Row],[JOB TARGET]]="","Job Target Kosong",IF(COUNT(IF('Data Assessment'!$N701:$Z701-OFFSET(Standar!$B$2,MATCH(Assessment[[#This Row],[JOB TARGET
(DEV)]],Standar[NAMA JABATAN],0)-1,1,1,13)&lt;0,1,""))&lt;=3,'9 Grid'!$B$4,IF(COUNT(IF('Data Assessment'!$N701:$Z701-OFFSET(Standar!$B$2,MATCH(Assessment[[#This Row],[JOB TARGET
(DEV)]],Standar[NAMA JABATAN],0)-1,1,1,13)&lt;0,1,""))&gt;=7,'9 Grid'!$B$6,'9 Grid'!$B$5)))</f>
        <v>Job Target Kosong</v>
      </c>
      <c r="N701" s="146" t="str">
        <f>IFERROR(IF(Data_Assessment[[#This Row],[IPP (3 YEARS AVERAGE)]]="","(IPP Belum Ada)",IF(Data_Assessment[[#This Row],[IPP (3 YEARS AVERAGE)]]&lt;2,'9 Grid'!$F$2,IF(Data_Assessment[[#This Row],[IPP (3 YEARS AVERAGE)]]&gt;=4,'9 Grid'!$D$2,'9 Grid'!$E$2))),"")</f>
        <v>Fully Competence Performance</v>
      </c>
      <c r="O701" s="146" t="str">
        <f ca="1">IFERROR(INDEX('9 Grid'!$D$4:$F$6,MATCH('Rekomendasi HAV'!M701,'9 Grid'!$B$4:$B$6,0),MATCH('Rekomendasi HAV'!N701,'9 Grid'!$D$2:$F$2,0)),"")</f>
        <v/>
      </c>
      <c r="P701" s="147" t="str">
        <f>IFERROR(INDEX('9 Grid'!$D$8:$F$8,1,MATCH('Rekomendasi HAV'!N701,'9 Grid'!$D$2:$F$2,0)),"")</f>
        <v>(ST) Within 12 - 18 month</v>
      </c>
    </row>
    <row r="702" spans="1:16" ht="28.5">
      <c r="A702" s="67">
        <v>701</v>
      </c>
      <c r="B702" s="68" t="str">
        <f>INDEX(Data_Assessment[],MATCH('Rekomendasi HAV'!$A702,Data_Assessment[[INDEX]:[INDEX]],0),MATCH('Rekomendasi HAV'!B$1,Data_Assessment[#Headers],0))</f>
        <v>Boy Rahman</v>
      </c>
      <c r="C702" s="68" t="str">
        <f>INDEX(Data_Assessment[],MATCH('Rekomendasi HAV'!$A702,Data_Assessment[[INDEX]:[INDEX]],0),MATCH('Rekomendasi HAV'!C$1,Data_Assessment[#Headers],0))</f>
        <v>Sumatera Selatan</v>
      </c>
      <c r="D702" s="68" t="str">
        <f>INDEX(Data_Assessment[],MATCH('Rekomendasi HAV'!$A702,Data_Assessment[[INDEX]:[INDEX]],0),MATCH('Rekomendasi HAV'!D$1,Data_Assessment[#Headers],0))</f>
        <v>LSIP - Sei Kepayang Estate</v>
      </c>
      <c r="E702" s="68">
        <f>INDEX(Data_Assessment[],MATCH('Rekomendasi HAV'!$B702,Data_Assessment[[NAME]:[NAME]],0),MATCH('Rekomendasi HAV'!E$1,Data_Assessment[#Headers],0))</f>
        <v>0</v>
      </c>
      <c r="F702" s="68"/>
      <c r="G702" s="68">
        <f>IF(ISNUMBER(SEARCH("DEV",Assessment[[#This Row],[JOB TARGET]])),SUBSTITUTE(Assessment[[#This Row],[JOB TARGET]],"DEV","EST"),Assessment[[#This Row],[JOB TARGET]])</f>
        <v>0</v>
      </c>
      <c r="H702" s="146" t="str" cm="1">
        <f t="array" aca="1" ref="H702" ca="1">IF(Assessment[[#This Row],[JOB TARGET]]="","Job Target Kosong",IF(COUNT(IF('Data Assessment'!$N702:$Z702-OFFSET(Standar!$B$2,MATCH(Assessment[[#This Row],[JOB TARGET
(EST)]],Standar[NAMA JABATAN],0)-1,1,1,13)&lt;0,1,""))&lt;=3,'9 Grid'!$B$4,IF(COUNT(IF('Data Assessment'!$N702:$Z702-OFFSET(Standar!$B$2,MATCH(Assessment[[#This Row],[JOB TARGET]],Standar[NAMA JABATAN],0)-1,1,1,13)&lt;0,1,""))&gt;=7,'9 Grid'!$B$6,'9 Grid'!$B$5)))</f>
        <v>Job Target Kosong</v>
      </c>
      <c r="I702" s="146" t="str">
        <f>IFERROR(IF(Data_Assessment[[#This Row],[IPP (3 YEARS AVERAGE)]]="","(IPP Belum Ada)",IF(Data_Assessment[[#This Row],[IPP (3 YEARS AVERAGE)]]&lt;2,'9 Grid'!$F$2,IF(Data_Assessment[[#This Row],[IPP (3 YEARS AVERAGE)]]&gt;=4,'9 Grid'!$D$2,'9 Grid'!$E$2))),"")</f>
        <v>Fully Competence Performance</v>
      </c>
      <c r="J702" s="146" t="str">
        <f ca="1">IFERROR(INDEX('9 Grid'!$D$4:$F$6,MATCH('Rekomendasi HAV'!H702,'9 Grid'!$B$4:$B$6,0),MATCH('Rekomendasi HAV'!I702,'9 Grid'!$D$2:$F$2,0)),"")</f>
        <v/>
      </c>
      <c r="K702" s="146" t="str">
        <f>IFERROR(INDEX('9 Grid'!$D$8:$F$8,1,MATCH('Rekomendasi HAV'!I702,'9 Grid'!$D$2:$F$2,0)),"")</f>
        <v>(ST) Within 12 - 18 month</v>
      </c>
      <c r="L702" s="146">
        <f>IF(ISNUMBER(SEARCH("EST",Assessment[[#This Row],[JOB TARGET]])),SUBSTITUTE(Assessment[[#This Row],[JOB TARGET]],"EST","DEV"),Assessment[[#This Row],[JOB TARGET]])</f>
        <v>0</v>
      </c>
      <c r="M702" s="146" t="str" cm="1">
        <f t="array" aca="1" ref="M702" ca="1">IF(Assessment[[#This Row],[JOB TARGET]]="","Job Target Kosong",IF(COUNT(IF('Data Assessment'!$N702:$Z702-OFFSET(Standar!$B$2,MATCH(Assessment[[#This Row],[JOB TARGET
(DEV)]],Standar[NAMA JABATAN],0)-1,1,1,13)&lt;0,1,""))&lt;=3,'9 Grid'!$B$4,IF(COUNT(IF('Data Assessment'!$N702:$Z702-OFFSET(Standar!$B$2,MATCH(Assessment[[#This Row],[JOB TARGET
(DEV)]],Standar[NAMA JABATAN],0)-1,1,1,13)&lt;0,1,""))&gt;=7,'9 Grid'!$B$6,'9 Grid'!$B$5)))</f>
        <v>Job Target Kosong</v>
      </c>
      <c r="N702" s="146" t="str">
        <f>IFERROR(IF(Data_Assessment[[#This Row],[IPP (3 YEARS AVERAGE)]]="","(IPP Belum Ada)",IF(Data_Assessment[[#This Row],[IPP (3 YEARS AVERAGE)]]&lt;2,'9 Grid'!$F$2,IF(Data_Assessment[[#This Row],[IPP (3 YEARS AVERAGE)]]&gt;=4,'9 Grid'!$D$2,'9 Grid'!$E$2))),"")</f>
        <v>Fully Competence Performance</v>
      </c>
      <c r="O702" s="146" t="str">
        <f ca="1">IFERROR(INDEX('9 Grid'!$D$4:$F$6,MATCH('Rekomendasi HAV'!M702,'9 Grid'!$B$4:$B$6,0),MATCH('Rekomendasi HAV'!N702,'9 Grid'!$D$2:$F$2,0)),"")</f>
        <v/>
      </c>
      <c r="P702" s="147" t="str">
        <f>IFERROR(INDEX('9 Grid'!$D$8:$F$8,1,MATCH('Rekomendasi HAV'!N702,'9 Grid'!$D$2:$F$2,0)),"")</f>
        <v>(ST) Within 12 - 18 month</v>
      </c>
    </row>
    <row r="703" spans="1:16" ht="28.5">
      <c r="A703" s="67">
        <v>702</v>
      </c>
      <c r="B703" s="68" t="str">
        <f>INDEX(Data_Assessment[],MATCH('Rekomendasi HAV'!$A703,Data_Assessment[[INDEX]:[INDEX]],0),MATCH('Rekomendasi HAV'!B$1,Data_Assessment[#Headers],0))</f>
        <v>Eldo Petrik</v>
      </c>
      <c r="C703" s="68" t="str">
        <f>INDEX(Data_Assessment[],MATCH('Rekomendasi HAV'!$A703,Data_Assessment[[INDEX]:[INDEX]],0),MATCH('Rekomendasi HAV'!C$1,Data_Assessment[#Headers],0))</f>
        <v>Sumatera Selatan</v>
      </c>
      <c r="D703" s="68" t="str">
        <f>INDEX(Data_Assessment[],MATCH('Rekomendasi HAV'!$A703,Data_Assessment[[INDEX]:[INDEX]],0),MATCH('Rekomendasi HAV'!D$1,Data_Assessment[#Headers],0))</f>
        <v>LSIP - Sei Kepayang Estate</v>
      </c>
      <c r="E703" s="68">
        <f>INDEX(Data_Assessment[],MATCH('Rekomendasi HAV'!$B703,Data_Assessment[[NAME]:[NAME]],0),MATCH('Rekomendasi HAV'!E$1,Data_Assessment[#Headers],0))</f>
        <v>0</v>
      </c>
      <c r="F703" s="68"/>
      <c r="G703" s="68">
        <f>IF(ISNUMBER(SEARCH("DEV",Assessment[[#This Row],[JOB TARGET]])),SUBSTITUTE(Assessment[[#This Row],[JOB TARGET]],"DEV","EST"),Assessment[[#This Row],[JOB TARGET]])</f>
        <v>0</v>
      </c>
      <c r="H703" s="146" t="str" cm="1">
        <f t="array" aca="1" ref="H703" ca="1">IF(Assessment[[#This Row],[JOB TARGET]]="","Job Target Kosong",IF(COUNT(IF('Data Assessment'!$N703:$Z703-OFFSET(Standar!$B$2,MATCH(Assessment[[#This Row],[JOB TARGET
(EST)]],Standar[NAMA JABATAN],0)-1,1,1,13)&lt;0,1,""))&lt;=3,'9 Grid'!$B$4,IF(COUNT(IF('Data Assessment'!$N703:$Z703-OFFSET(Standar!$B$2,MATCH(Assessment[[#This Row],[JOB TARGET]],Standar[NAMA JABATAN],0)-1,1,1,13)&lt;0,1,""))&gt;=7,'9 Grid'!$B$6,'9 Grid'!$B$5)))</f>
        <v>Job Target Kosong</v>
      </c>
      <c r="I703" s="146" t="str">
        <f>IFERROR(IF(Data_Assessment[[#This Row],[IPP (3 YEARS AVERAGE)]]="","(IPP Belum Ada)",IF(Data_Assessment[[#This Row],[IPP (3 YEARS AVERAGE)]]&lt;2,'9 Grid'!$F$2,IF(Data_Assessment[[#This Row],[IPP (3 YEARS AVERAGE)]]&gt;=4,'9 Grid'!$D$2,'9 Grid'!$E$2))),"")</f>
        <v>Fully Competence Performance</v>
      </c>
      <c r="J703" s="146" t="str">
        <f ca="1">IFERROR(INDEX('9 Grid'!$D$4:$F$6,MATCH('Rekomendasi HAV'!H703,'9 Grid'!$B$4:$B$6,0),MATCH('Rekomendasi HAV'!I703,'9 Grid'!$D$2:$F$2,0)),"")</f>
        <v/>
      </c>
      <c r="K703" s="146" t="str">
        <f>IFERROR(INDEX('9 Grid'!$D$8:$F$8,1,MATCH('Rekomendasi HAV'!I703,'9 Grid'!$D$2:$F$2,0)),"")</f>
        <v>(ST) Within 12 - 18 month</v>
      </c>
      <c r="L703" s="146">
        <f>IF(ISNUMBER(SEARCH("EST",Assessment[[#This Row],[JOB TARGET]])),SUBSTITUTE(Assessment[[#This Row],[JOB TARGET]],"EST","DEV"),Assessment[[#This Row],[JOB TARGET]])</f>
        <v>0</v>
      </c>
      <c r="M703" s="146" t="str" cm="1">
        <f t="array" aca="1" ref="M703" ca="1">IF(Assessment[[#This Row],[JOB TARGET]]="","Job Target Kosong",IF(COUNT(IF('Data Assessment'!$N703:$Z703-OFFSET(Standar!$B$2,MATCH(Assessment[[#This Row],[JOB TARGET
(DEV)]],Standar[NAMA JABATAN],0)-1,1,1,13)&lt;0,1,""))&lt;=3,'9 Grid'!$B$4,IF(COUNT(IF('Data Assessment'!$N703:$Z703-OFFSET(Standar!$B$2,MATCH(Assessment[[#This Row],[JOB TARGET
(DEV)]],Standar[NAMA JABATAN],0)-1,1,1,13)&lt;0,1,""))&gt;=7,'9 Grid'!$B$6,'9 Grid'!$B$5)))</f>
        <v>Job Target Kosong</v>
      </c>
      <c r="N703" s="146" t="str">
        <f>IFERROR(IF(Data_Assessment[[#This Row],[IPP (3 YEARS AVERAGE)]]="","(IPP Belum Ada)",IF(Data_Assessment[[#This Row],[IPP (3 YEARS AVERAGE)]]&lt;2,'9 Grid'!$F$2,IF(Data_Assessment[[#This Row],[IPP (3 YEARS AVERAGE)]]&gt;=4,'9 Grid'!$D$2,'9 Grid'!$E$2))),"")</f>
        <v>Fully Competence Performance</v>
      </c>
      <c r="O703" s="146" t="str">
        <f ca="1">IFERROR(INDEX('9 Grid'!$D$4:$F$6,MATCH('Rekomendasi HAV'!M703,'9 Grid'!$B$4:$B$6,0),MATCH('Rekomendasi HAV'!N703,'9 Grid'!$D$2:$F$2,0)),"")</f>
        <v/>
      </c>
      <c r="P703" s="147" t="str">
        <f>IFERROR(INDEX('9 Grid'!$D$8:$F$8,1,MATCH('Rekomendasi HAV'!N703,'9 Grid'!$D$2:$F$2,0)),"")</f>
        <v>(ST) Within 12 - 18 month</v>
      </c>
    </row>
    <row r="704" spans="1:16" ht="28.5">
      <c r="A704" s="67">
        <v>703</v>
      </c>
      <c r="B704" s="68" t="str">
        <f>INDEX(Data_Assessment[],MATCH('Rekomendasi HAV'!$A704,Data_Assessment[[INDEX]:[INDEX]],0),MATCH('Rekomendasi HAV'!B$1,Data_Assessment[#Headers],0))</f>
        <v>Rihul Azhar, Ir.</v>
      </c>
      <c r="C704" s="68" t="str">
        <f>INDEX(Data_Assessment[],MATCH('Rekomendasi HAV'!$A704,Data_Assessment[[INDEX]:[INDEX]],0),MATCH('Rekomendasi HAV'!C$1,Data_Assessment[#Headers],0))</f>
        <v>Sumatera Selatan</v>
      </c>
      <c r="D704" s="68" t="str">
        <f>INDEX(Data_Assessment[],MATCH('Rekomendasi HAV'!$A704,Data_Assessment[[INDEX]:[INDEX]],0),MATCH('Rekomendasi HAV'!D$1,Data_Assessment[#Headers],0))</f>
        <v>LSIP - Sei Kepayang Estate</v>
      </c>
      <c r="E704" s="68">
        <f>INDEX(Data_Assessment[],MATCH('Rekomendasi HAV'!$B704,Data_Assessment[[NAME]:[NAME]],0),MATCH('Rekomendasi HAV'!E$1,Data_Assessment[#Headers],0))</f>
        <v>0</v>
      </c>
      <c r="F704" s="68"/>
      <c r="G704" s="68">
        <f>IF(ISNUMBER(SEARCH("DEV",Assessment[[#This Row],[JOB TARGET]])),SUBSTITUTE(Assessment[[#This Row],[JOB TARGET]],"DEV","EST"),Assessment[[#This Row],[JOB TARGET]])</f>
        <v>0</v>
      </c>
      <c r="H704" s="146" t="str" cm="1">
        <f t="array" aca="1" ref="H704" ca="1">IF(Assessment[[#This Row],[JOB TARGET]]="","Job Target Kosong",IF(COUNT(IF('Data Assessment'!$N704:$Z704-OFFSET(Standar!$B$2,MATCH(Assessment[[#This Row],[JOB TARGET
(EST)]],Standar[NAMA JABATAN],0)-1,1,1,13)&lt;0,1,""))&lt;=3,'9 Grid'!$B$4,IF(COUNT(IF('Data Assessment'!$N704:$Z704-OFFSET(Standar!$B$2,MATCH(Assessment[[#This Row],[JOB TARGET]],Standar[NAMA JABATAN],0)-1,1,1,13)&lt;0,1,""))&gt;=7,'9 Grid'!$B$6,'9 Grid'!$B$5)))</f>
        <v>Job Target Kosong</v>
      </c>
      <c r="I704" s="146" t="str">
        <f>IFERROR(IF(Data_Assessment[[#This Row],[IPP (3 YEARS AVERAGE)]]="","(IPP Belum Ada)",IF(Data_Assessment[[#This Row],[IPP (3 YEARS AVERAGE)]]&lt;2,'9 Grid'!$F$2,IF(Data_Assessment[[#This Row],[IPP (3 YEARS AVERAGE)]]&gt;=4,'9 Grid'!$D$2,'9 Grid'!$E$2))),"")</f>
        <v>Fully Competence Performance</v>
      </c>
      <c r="J704" s="146" t="str">
        <f ca="1">IFERROR(INDEX('9 Grid'!$D$4:$F$6,MATCH('Rekomendasi HAV'!H704,'9 Grid'!$B$4:$B$6,0),MATCH('Rekomendasi HAV'!I704,'9 Grid'!$D$2:$F$2,0)),"")</f>
        <v/>
      </c>
      <c r="K704" s="146" t="str">
        <f>IFERROR(INDEX('9 Grid'!$D$8:$F$8,1,MATCH('Rekomendasi HAV'!I704,'9 Grid'!$D$2:$F$2,0)),"")</f>
        <v>(ST) Within 12 - 18 month</v>
      </c>
      <c r="L704" s="146">
        <f>IF(ISNUMBER(SEARCH("EST",Assessment[[#This Row],[JOB TARGET]])),SUBSTITUTE(Assessment[[#This Row],[JOB TARGET]],"EST","DEV"),Assessment[[#This Row],[JOB TARGET]])</f>
        <v>0</v>
      </c>
      <c r="M704" s="146" t="str" cm="1">
        <f t="array" aca="1" ref="M704" ca="1">IF(Assessment[[#This Row],[JOB TARGET]]="","Job Target Kosong",IF(COUNT(IF('Data Assessment'!$N704:$Z704-OFFSET(Standar!$B$2,MATCH(Assessment[[#This Row],[JOB TARGET
(DEV)]],Standar[NAMA JABATAN],0)-1,1,1,13)&lt;0,1,""))&lt;=3,'9 Grid'!$B$4,IF(COUNT(IF('Data Assessment'!$N704:$Z704-OFFSET(Standar!$B$2,MATCH(Assessment[[#This Row],[JOB TARGET
(DEV)]],Standar[NAMA JABATAN],0)-1,1,1,13)&lt;0,1,""))&gt;=7,'9 Grid'!$B$6,'9 Grid'!$B$5)))</f>
        <v>Job Target Kosong</v>
      </c>
      <c r="N704" s="146" t="str">
        <f>IFERROR(IF(Data_Assessment[[#This Row],[IPP (3 YEARS AVERAGE)]]="","(IPP Belum Ada)",IF(Data_Assessment[[#This Row],[IPP (3 YEARS AVERAGE)]]&lt;2,'9 Grid'!$F$2,IF(Data_Assessment[[#This Row],[IPP (3 YEARS AVERAGE)]]&gt;=4,'9 Grid'!$D$2,'9 Grid'!$E$2))),"")</f>
        <v>Fully Competence Performance</v>
      </c>
      <c r="O704" s="146" t="str">
        <f ca="1">IFERROR(INDEX('9 Grid'!$D$4:$F$6,MATCH('Rekomendasi HAV'!M704,'9 Grid'!$B$4:$B$6,0),MATCH('Rekomendasi HAV'!N704,'9 Grid'!$D$2:$F$2,0)),"")</f>
        <v/>
      </c>
      <c r="P704" s="147" t="str">
        <f>IFERROR(INDEX('9 Grid'!$D$8:$F$8,1,MATCH('Rekomendasi HAV'!N704,'9 Grid'!$D$2:$F$2,0)),"")</f>
        <v>(ST) Within 12 - 18 month</v>
      </c>
    </row>
    <row r="705" spans="1:16" ht="14.25">
      <c r="A705" s="67">
        <v>704</v>
      </c>
      <c r="B705" s="68" t="str">
        <f>INDEX(Data_Assessment[],MATCH('Rekomendasi HAV'!$A705,Data_Assessment[[INDEX]:[INDEX]],0),MATCH('Rekomendasi HAV'!B$1,Data_Assessment[#Headers],0))</f>
        <v>Muhammad Irfan, Ir.</v>
      </c>
      <c r="C705" s="68" t="str">
        <f>INDEX(Data_Assessment[],MATCH('Rekomendasi HAV'!$A705,Data_Assessment[[INDEX]:[INDEX]],0),MATCH('Rekomendasi HAV'!C$1,Data_Assessment[#Headers],0))</f>
        <v>Sumatera Selatan</v>
      </c>
      <c r="D705" s="68" t="str">
        <f>INDEX(Data_Assessment[],MATCH('Rekomendasi HAV'!$A705,Data_Assessment[[INDEX]:[INDEX]],0),MATCH('Rekomendasi HAV'!D$1,Data_Assessment[#Headers],0))</f>
        <v>LSIP - Sei Kepayang Estate</v>
      </c>
      <c r="E705" s="68">
        <f>INDEX(Data_Assessment[],MATCH('Rekomendasi HAV'!$B705,Data_Assessment[[NAME]:[NAME]],0),MATCH('Rekomendasi HAV'!E$1,Data_Assessment[#Headers],0))</f>
        <v>0</v>
      </c>
      <c r="F705" s="68"/>
      <c r="G705" s="68">
        <f>IF(ISNUMBER(SEARCH("DEV",Assessment[[#This Row],[JOB TARGET]])),SUBSTITUTE(Assessment[[#This Row],[JOB TARGET]],"DEV","EST"),Assessment[[#This Row],[JOB TARGET]])</f>
        <v>0</v>
      </c>
      <c r="H705" s="146" t="str" cm="1">
        <f t="array" aca="1" ref="H705" ca="1">IF(Assessment[[#This Row],[JOB TARGET]]="","Job Target Kosong",IF(COUNT(IF('Data Assessment'!$N705:$Z705-OFFSET(Standar!$B$2,MATCH(Assessment[[#This Row],[JOB TARGET
(EST)]],Standar[NAMA JABATAN],0)-1,1,1,13)&lt;0,1,""))&lt;=3,'9 Grid'!$B$4,IF(COUNT(IF('Data Assessment'!$N705:$Z705-OFFSET(Standar!$B$2,MATCH(Assessment[[#This Row],[JOB TARGET]],Standar[NAMA JABATAN],0)-1,1,1,13)&lt;0,1,""))&gt;=7,'9 Grid'!$B$6,'9 Grid'!$B$5)))</f>
        <v>Job Target Kosong</v>
      </c>
      <c r="I705" s="146" t="str">
        <f>IFERROR(IF(Data_Assessment[[#This Row],[IPP (3 YEARS AVERAGE)]]="","(IPP Belum Ada)",IF(Data_Assessment[[#This Row],[IPP (3 YEARS AVERAGE)]]&lt;2,'9 Grid'!$F$2,IF(Data_Assessment[[#This Row],[IPP (3 YEARS AVERAGE)]]&gt;=4,'9 Grid'!$D$2,'9 Grid'!$E$2))),"")</f>
        <v>Exceptional Performance</v>
      </c>
      <c r="J705" s="146" t="str">
        <f ca="1">IFERROR(INDEX('9 Grid'!$D$4:$F$6,MATCH('Rekomendasi HAV'!H705,'9 Grid'!$B$4:$B$6,0),MATCH('Rekomendasi HAV'!I705,'9 Grid'!$D$2:$F$2,0)),"")</f>
        <v/>
      </c>
      <c r="K705" s="146" t="str">
        <f>IFERROR(INDEX('9 Grid'!$D$8:$F$8,1,MATCH('Rekomendasi HAV'!I705,'9 Grid'!$D$2:$F$2,0)),"")</f>
        <v>(I) Immediately</v>
      </c>
      <c r="L705" s="146">
        <f>IF(ISNUMBER(SEARCH("EST",Assessment[[#This Row],[JOB TARGET]])),SUBSTITUTE(Assessment[[#This Row],[JOB TARGET]],"EST","DEV"),Assessment[[#This Row],[JOB TARGET]])</f>
        <v>0</v>
      </c>
      <c r="M705" s="146" t="str" cm="1">
        <f t="array" aca="1" ref="M705" ca="1">IF(Assessment[[#This Row],[JOB TARGET]]="","Job Target Kosong",IF(COUNT(IF('Data Assessment'!$N705:$Z705-OFFSET(Standar!$B$2,MATCH(Assessment[[#This Row],[JOB TARGET
(DEV)]],Standar[NAMA JABATAN],0)-1,1,1,13)&lt;0,1,""))&lt;=3,'9 Grid'!$B$4,IF(COUNT(IF('Data Assessment'!$N705:$Z705-OFFSET(Standar!$B$2,MATCH(Assessment[[#This Row],[JOB TARGET
(DEV)]],Standar[NAMA JABATAN],0)-1,1,1,13)&lt;0,1,""))&gt;=7,'9 Grid'!$B$6,'9 Grid'!$B$5)))</f>
        <v>Job Target Kosong</v>
      </c>
      <c r="N705" s="146" t="str">
        <f>IFERROR(IF(Data_Assessment[[#This Row],[IPP (3 YEARS AVERAGE)]]="","(IPP Belum Ada)",IF(Data_Assessment[[#This Row],[IPP (3 YEARS AVERAGE)]]&lt;2,'9 Grid'!$F$2,IF(Data_Assessment[[#This Row],[IPP (3 YEARS AVERAGE)]]&gt;=4,'9 Grid'!$D$2,'9 Grid'!$E$2))),"")</f>
        <v>Exceptional Performance</v>
      </c>
      <c r="O705" s="146" t="str">
        <f ca="1">IFERROR(INDEX('9 Grid'!$D$4:$F$6,MATCH('Rekomendasi HAV'!M705,'9 Grid'!$B$4:$B$6,0),MATCH('Rekomendasi HAV'!N705,'9 Grid'!$D$2:$F$2,0)),"")</f>
        <v/>
      </c>
      <c r="P705" s="147" t="str">
        <f>IFERROR(INDEX('9 Grid'!$D$8:$F$8,1,MATCH('Rekomendasi HAV'!N705,'9 Grid'!$D$2:$F$2,0)),"")</f>
        <v>(I) Immediately</v>
      </c>
    </row>
    <row r="706" spans="1:16" ht="28.5">
      <c r="A706" s="67">
        <v>705</v>
      </c>
      <c r="B706" s="68" t="str">
        <f>INDEX(Data_Assessment[],MATCH('Rekomendasi HAV'!$A706,Data_Assessment[[INDEX]:[INDEX]],0),MATCH('Rekomendasi HAV'!B$1,Data_Assessment[#Headers],0))</f>
        <v>Mulyono</v>
      </c>
      <c r="C706" s="68" t="str">
        <f>INDEX(Data_Assessment[],MATCH('Rekomendasi HAV'!$A706,Data_Assessment[[INDEX]:[INDEX]],0),MATCH('Rekomendasi HAV'!C$1,Data_Assessment[#Headers],0))</f>
        <v>Sumatera Selatan</v>
      </c>
      <c r="D706" s="68" t="str">
        <f>INDEX(Data_Assessment[],MATCH('Rekomendasi HAV'!$A706,Data_Assessment[[INDEX]:[INDEX]],0),MATCH('Rekomendasi HAV'!D$1,Data_Assessment[#Headers],0))</f>
        <v>LSIP - Bukit Hijau Estate</v>
      </c>
      <c r="E706" s="68">
        <f>INDEX(Data_Assessment[],MATCH('Rekomendasi HAV'!$B706,Data_Assessment[[NAME]:[NAME]],0),MATCH('Rekomendasi HAV'!E$1,Data_Assessment[#Headers],0))</f>
        <v>0</v>
      </c>
      <c r="F706" s="68"/>
      <c r="G706" s="68">
        <f>IF(ISNUMBER(SEARCH("DEV",Assessment[[#This Row],[JOB TARGET]])),SUBSTITUTE(Assessment[[#This Row],[JOB TARGET]],"DEV","EST"),Assessment[[#This Row],[JOB TARGET]])</f>
        <v>0</v>
      </c>
      <c r="H706" s="146" t="str" cm="1">
        <f t="array" aca="1" ref="H706" ca="1">IF(Assessment[[#This Row],[JOB TARGET]]="","Job Target Kosong",IF(COUNT(IF('Data Assessment'!$N706:$Z706-OFFSET(Standar!$B$2,MATCH(Assessment[[#This Row],[JOB TARGET
(EST)]],Standar[NAMA JABATAN],0)-1,1,1,13)&lt;0,1,""))&lt;=3,'9 Grid'!$B$4,IF(COUNT(IF('Data Assessment'!$N706:$Z706-OFFSET(Standar!$B$2,MATCH(Assessment[[#This Row],[JOB TARGET]],Standar[NAMA JABATAN],0)-1,1,1,13)&lt;0,1,""))&gt;=7,'9 Grid'!$B$6,'9 Grid'!$B$5)))</f>
        <v>Job Target Kosong</v>
      </c>
      <c r="I706" s="146" t="str">
        <f>IFERROR(IF(Data_Assessment[[#This Row],[IPP (3 YEARS AVERAGE)]]="","(IPP Belum Ada)",IF(Data_Assessment[[#This Row],[IPP (3 YEARS AVERAGE)]]&lt;2,'9 Grid'!$F$2,IF(Data_Assessment[[#This Row],[IPP (3 YEARS AVERAGE)]]&gt;=4,'9 Grid'!$D$2,'9 Grid'!$E$2))),"")</f>
        <v>Fully Competence Performance</v>
      </c>
      <c r="J706" s="146" t="str">
        <f ca="1">IFERROR(INDEX('9 Grid'!$D$4:$F$6,MATCH('Rekomendasi HAV'!H706,'9 Grid'!$B$4:$B$6,0),MATCH('Rekomendasi HAV'!I706,'9 Grid'!$D$2:$F$2,0)),"")</f>
        <v/>
      </c>
      <c r="K706" s="146" t="str">
        <f>IFERROR(INDEX('9 Grid'!$D$8:$F$8,1,MATCH('Rekomendasi HAV'!I706,'9 Grid'!$D$2:$F$2,0)),"")</f>
        <v>(ST) Within 12 - 18 month</v>
      </c>
      <c r="L706" s="146">
        <f>IF(ISNUMBER(SEARCH("EST",Assessment[[#This Row],[JOB TARGET]])),SUBSTITUTE(Assessment[[#This Row],[JOB TARGET]],"EST","DEV"),Assessment[[#This Row],[JOB TARGET]])</f>
        <v>0</v>
      </c>
      <c r="M706" s="146" t="str" cm="1">
        <f t="array" aca="1" ref="M706" ca="1">IF(Assessment[[#This Row],[JOB TARGET]]="","Job Target Kosong",IF(COUNT(IF('Data Assessment'!$N706:$Z706-OFFSET(Standar!$B$2,MATCH(Assessment[[#This Row],[JOB TARGET
(DEV)]],Standar[NAMA JABATAN],0)-1,1,1,13)&lt;0,1,""))&lt;=3,'9 Grid'!$B$4,IF(COUNT(IF('Data Assessment'!$N706:$Z706-OFFSET(Standar!$B$2,MATCH(Assessment[[#This Row],[JOB TARGET
(DEV)]],Standar[NAMA JABATAN],0)-1,1,1,13)&lt;0,1,""))&gt;=7,'9 Grid'!$B$6,'9 Grid'!$B$5)))</f>
        <v>Job Target Kosong</v>
      </c>
      <c r="N706" s="146" t="str">
        <f>IFERROR(IF(Data_Assessment[[#This Row],[IPP (3 YEARS AVERAGE)]]="","(IPP Belum Ada)",IF(Data_Assessment[[#This Row],[IPP (3 YEARS AVERAGE)]]&lt;2,'9 Grid'!$F$2,IF(Data_Assessment[[#This Row],[IPP (3 YEARS AVERAGE)]]&gt;=4,'9 Grid'!$D$2,'9 Grid'!$E$2))),"")</f>
        <v>Fully Competence Performance</v>
      </c>
      <c r="O706" s="146" t="str">
        <f ca="1">IFERROR(INDEX('9 Grid'!$D$4:$F$6,MATCH('Rekomendasi HAV'!M706,'9 Grid'!$B$4:$B$6,0),MATCH('Rekomendasi HAV'!N706,'9 Grid'!$D$2:$F$2,0)),"")</f>
        <v/>
      </c>
      <c r="P706" s="147" t="str">
        <f>IFERROR(INDEX('9 Grid'!$D$8:$F$8,1,MATCH('Rekomendasi HAV'!N706,'9 Grid'!$D$2:$F$2,0)),"")</f>
        <v>(ST) Within 12 - 18 month</v>
      </c>
    </row>
    <row r="707" spans="1:16" ht="28.5">
      <c r="A707" s="67">
        <v>706</v>
      </c>
      <c r="B707" s="68" t="str">
        <f>INDEX(Data_Assessment[],MATCH('Rekomendasi HAV'!$A707,Data_Assessment[[INDEX]:[INDEX]],0),MATCH('Rekomendasi HAV'!B$1,Data_Assessment[#Headers],0))</f>
        <v>Muhammad Iqbal, Ir.</v>
      </c>
      <c r="C707" s="68" t="str">
        <f>INDEX(Data_Assessment[],MATCH('Rekomendasi HAV'!$A707,Data_Assessment[[INDEX]:[INDEX]],0),MATCH('Rekomendasi HAV'!C$1,Data_Assessment[#Headers],0))</f>
        <v>Sumatera Selatan</v>
      </c>
      <c r="D707" s="68" t="str">
        <f>INDEX(Data_Assessment[],MATCH('Rekomendasi HAV'!$A707,Data_Assessment[[INDEX]:[INDEX]],0),MATCH('Rekomendasi HAV'!D$1,Data_Assessment[#Headers],0))</f>
        <v>LSIP - Bukit Hijau Estate</v>
      </c>
      <c r="E707" s="68">
        <f>INDEX(Data_Assessment[],MATCH('Rekomendasi HAV'!$B707,Data_Assessment[[NAME]:[NAME]],0),MATCH('Rekomendasi HAV'!E$1,Data_Assessment[#Headers],0))</f>
        <v>0</v>
      </c>
      <c r="F707" s="68"/>
      <c r="G707" s="68">
        <f>IF(ISNUMBER(SEARCH("DEV",Assessment[[#This Row],[JOB TARGET]])),SUBSTITUTE(Assessment[[#This Row],[JOB TARGET]],"DEV","EST"),Assessment[[#This Row],[JOB TARGET]])</f>
        <v>0</v>
      </c>
      <c r="H707" s="146" t="str" cm="1">
        <f t="array" aca="1" ref="H707" ca="1">IF(Assessment[[#This Row],[JOB TARGET]]="","Job Target Kosong",IF(COUNT(IF('Data Assessment'!$N707:$Z707-OFFSET(Standar!$B$2,MATCH(Assessment[[#This Row],[JOB TARGET
(EST)]],Standar[NAMA JABATAN],0)-1,1,1,13)&lt;0,1,""))&lt;=3,'9 Grid'!$B$4,IF(COUNT(IF('Data Assessment'!$N707:$Z707-OFFSET(Standar!$B$2,MATCH(Assessment[[#This Row],[JOB TARGET]],Standar[NAMA JABATAN],0)-1,1,1,13)&lt;0,1,""))&gt;=7,'9 Grid'!$B$6,'9 Grid'!$B$5)))</f>
        <v>Job Target Kosong</v>
      </c>
      <c r="I707" s="146" t="str">
        <f>IFERROR(IF(Data_Assessment[[#This Row],[IPP (3 YEARS AVERAGE)]]="","(IPP Belum Ada)",IF(Data_Assessment[[#This Row],[IPP (3 YEARS AVERAGE)]]&lt;2,'9 Grid'!$F$2,IF(Data_Assessment[[#This Row],[IPP (3 YEARS AVERAGE)]]&gt;=4,'9 Grid'!$D$2,'9 Grid'!$E$2))),"")</f>
        <v>Fully Competence Performance</v>
      </c>
      <c r="J707" s="146" t="str">
        <f ca="1">IFERROR(INDEX('9 Grid'!$D$4:$F$6,MATCH('Rekomendasi HAV'!H707,'9 Grid'!$B$4:$B$6,0),MATCH('Rekomendasi HAV'!I707,'9 Grid'!$D$2:$F$2,0)),"")</f>
        <v/>
      </c>
      <c r="K707" s="146" t="str">
        <f>IFERROR(INDEX('9 Grid'!$D$8:$F$8,1,MATCH('Rekomendasi HAV'!I707,'9 Grid'!$D$2:$F$2,0)),"")</f>
        <v>(ST) Within 12 - 18 month</v>
      </c>
      <c r="L707" s="146">
        <f>IF(ISNUMBER(SEARCH("EST",Assessment[[#This Row],[JOB TARGET]])),SUBSTITUTE(Assessment[[#This Row],[JOB TARGET]],"EST","DEV"),Assessment[[#This Row],[JOB TARGET]])</f>
        <v>0</v>
      </c>
      <c r="M707" s="146" t="str" cm="1">
        <f t="array" aca="1" ref="M707" ca="1">IF(Assessment[[#This Row],[JOB TARGET]]="","Job Target Kosong",IF(COUNT(IF('Data Assessment'!$N707:$Z707-OFFSET(Standar!$B$2,MATCH(Assessment[[#This Row],[JOB TARGET
(DEV)]],Standar[NAMA JABATAN],0)-1,1,1,13)&lt;0,1,""))&lt;=3,'9 Grid'!$B$4,IF(COUNT(IF('Data Assessment'!$N707:$Z707-OFFSET(Standar!$B$2,MATCH(Assessment[[#This Row],[JOB TARGET
(DEV)]],Standar[NAMA JABATAN],0)-1,1,1,13)&lt;0,1,""))&gt;=7,'9 Grid'!$B$6,'9 Grid'!$B$5)))</f>
        <v>Job Target Kosong</v>
      </c>
      <c r="N707" s="146" t="str">
        <f>IFERROR(IF(Data_Assessment[[#This Row],[IPP (3 YEARS AVERAGE)]]="","(IPP Belum Ada)",IF(Data_Assessment[[#This Row],[IPP (3 YEARS AVERAGE)]]&lt;2,'9 Grid'!$F$2,IF(Data_Assessment[[#This Row],[IPP (3 YEARS AVERAGE)]]&gt;=4,'9 Grid'!$D$2,'9 Grid'!$E$2))),"")</f>
        <v>Fully Competence Performance</v>
      </c>
      <c r="O707" s="146" t="str">
        <f ca="1">IFERROR(INDEX('9 Grid'!$D$4:$F$6,MATCH('Rekomendasi HAV'!M707,'9 Grid'!$B$4:$B$6,0),MATCH('Rekomendasi HAV'!N707,'9 Grid'!$D$2:$F$2,0)),"")</f>
        <v/>
      </c>
      <c r="P707" s="147" t="str">
        <f>IFERROR(INDEX('9 Grid'!$D$8:$F$8,1,MATCH('Rekomendasi HAV'!N707,'9 Grid'!$D$2:$F$2,0)),"")</f>
        <v>(ST) Within 12 - 18 month</v>
      </c>
    </row>
    <row r="708" spans="1:16" ht="28.5">
      <c r="A708" s="67">
        <v>707</v>
      </c>
      <c r="B708" s="68" t="str">
        <f>INDEX(Data_Assessment[],MATCH('Rekomendasi HAV'!$A708,Data_Assessment[[INDEX]:[INDEX]],0),MATCH('Rekomendasi HAV'!B$1,Data_Assessment[#Headers],0))</f>
        <v>Muhammad Iqbal, Ir.</v>
      </c>
      <c r="C708" s="68" t="str">
        <f>INDEX(Data_Assessment[],MATCH('Rekomendasi HAV'!$A708,Data_Assessment[[INDEX]:[INDEX]],0),MATCH('Rekomendasi HAV'!C$1,Data_Assessment[#Headers],0))</f>
        <v>Sumatera Selatan</v>
      </c>
      <c r="D708" s="68" t="str">
        <f>INDEX(Data_Assessment[],MATCH('Rekomendasi HAV'!$A708,Data_Assessment[[INDEX]:[INDEX]],0),MATCH('Rekomendasi HAV'!D$1,Data_Assessment[#Headers],0))</f>
        <v>LSIP - Air Bening Region</v>
      </c>
      <c r="E708" s="68">
        <f>INDEX(Data_Assessment[],MATCH('Rekomendasi HAV'!$B708,Data_Assessment[[NAME]:[NAME]],0),MATCH('Rekomendasi HAV'!E$1,Data_Assessment[#Headers],0))</f>
        <v>0</v>
      </c>
      <c r="F708" s="68"/>
      <c r="G708" s="68">
        <f>IF(ISNUMBER(SEARCH("DEV",Assessment[[#This Row],[JOB TARGET]])),SUBSTITUTE(Assessment[[#This Row],[JOB TARGET]],"DEV","EST"),Assessment[[#This Row],[JOB TARGET]])</f>
        <v>0</v>
      </c>
      <c r="H708" s="146" t="str" cm="1">
        <f t="array" aca="1" ref="H708" ca="1">IF(Assessment[[#This Row],[JOB TARGET]]="","Job Target Kosong",IF(COUNT(IF('Data Assessment'!$N708:$Z708-OFFSET(Standar!$B$2,MATCH(Assessment[[#This Row],[JOB TARGET
(EST)]],Standar[NAMA JABATAN],0)-1,1,1,13)&lt;0,1,""))&lt;=3,'9 Grid'!$B$4,IF(COUNT(IF('Data Assessment'!$N708:$Z708-OFFSET(Standar!$B$2,MATCH(Assessment[[#This Row],[JOB TARGET]],Standar[NAMA JABATAN],0)-1,1,1,13)&lt;0,1,""))&gt;=7,'9 Grid'!$B$6,'9 Grid'!$B$5)))</f>
        <v>Job Target Kosong</v>
      </c>
      <c r="I708" s="146" t="str">
        <f>IFERROR(IF(Data_Assessment[[#This Row],[IPP (3 YEARS AVERAGE)]]="","(IPP Belum Ada)",IF(Data_Assessment[[#This Row],[IPP (3 YEARS AVERAGE)]]&lt;2,'9 Grid'!$F$2,IF(Data_Assessment[[#This Row],[IPP (3 YEARS AVERAGE)]]&gt;=4,'9 Grid'!$D$2,'9 Grid'!$E$2))),"")</f>
        <v>Fully Competence Performance</v>
      </c>
      <c r="J708" s="146" t="str">
        <f ca="1">IFERROR(INDEX('9 Grid'!$D$4:$F$6,MATCH('Rekomendasi HAV'!H708,'9 Grid'!$B$4:$B$6,0),MATCH('Rekomendasi HAV'!I708,'9 Grid'!$D$2:$F$2,0)),"")</f>
        <v/>
      </c>
      <c r="K708" s="146" t="str">
        <f>IFERROR(INDEX('9 Grid'!$D$8:$F$8,1,MATCH('Rekomendasi HAV'!I708,'9 Grid'!$D$2:$F$2,0)),"")</f>
        <v>(ST) Within 12 - 18 month</v>
      </c>
      <c r="L708" s="146">
        <f>IF(ISNUMBER(SEARCH("EST",Assessment[[#This Row],[JOB TARGET]])),SUBSTITUTE(Assessment[[#This Row],[JOB TARGET]],"EST","DEV"),Assessment[[#This Row],[JOB TARGET]])</f>
        <v>0</v>
      </c>
      <c r="M708" s="146" t="str" cm="1">
        <f t="array" aca="1" ref="M708" ca="1">IF(Assessment[[#This Row],[JOB TARGET]]="","Job Target Kosong",IF(COUNT(IF('Data Assessment'!$N708:$Z708-OFFSET(Standar!$B$2,MATCH(Assessment[[#This Row],[JOB TARGET
(DEV)]],Standar[NAMA JABATAN],0)-1,1,1,13)&lt;0,1,""))&lt;=3,'9 Grid'!$B$4,IF(COUNT(IF('Data Assessment'!$N708:$Z708-OFFSET(Standar!$B$2,MATCH(Assessment[[#This Row],[JOB TARGET
(DEV)]],Standar[NAMA JABATAN],0)-1,1,1,13)&lt;0,1,""))&gt;=7,'9 Grid'!$B$6,'9 Grid'!$B$5)))</f>
        <v>Job Target Kosong</v>
      </c>
      <c r="N708" s="146" t="str">
        <f>IFERROR(IF(Data_Assessment[[#This Row],[IPP (3 YEARS AVERAGE)]]="","(IPP Belum Ada)",IF(Data_Assessment[[#This Row],[IPP (3 YEARS AVERAGE)]]&lt;2,'9 Grid'!$F$2,IF(Data_Assessment[[#This Row],[IPP (3 YEARS AVERAGE)]]&gt;=4,'9 Grid'!$D$2,'9 Grid'!$E$2))),"")</f>
        <v>Fully Competence Performance</v>
      </c>
      <c r="O708" s="146" t="str">
        <f ca="1">IFERROR(INDEX('9 Grid'!$D$4:$F$6,MATCH('Rekomendasi HAV'!M708,'9 Grid'!$B$4:$B$6,0),MATCH('Rekomendasi HAV'!N708,'9 Grid'!$D$2:$F$2,0)),"")</f>
        <v/>
      </c>
      <c r="P708" s="147" t="str">
        <f>IFERROR(INDEX('9 Grid'!$D$8:$F$8,1,MATCH('Rekomendasi HAV'!N708,'9 Grid'!$D$2:$F$2,0)),"")</f>
        <v>(ST) Within 12 - 18 month</v>
      </c>
    </row>
    <row r="709" spans="1:16" ht="28.5">
      <c r="A709" s="67">
        <v>708</v>
      </c>
      <c r="B709" s="68" t="str">
        <f>INDEX(Data_Assessment[],MATCH('Rekomendasi HAV'!$A709,Data_Assessment[[INDEX]:[INDEX]],0),MATCH('Rekomendasi HAV'!B$1,Data_Assessment[#Headers],0))</f>
        <v>Iskandarsyah Lubis</v>
      </c>
      <c r="C709" s="68" t="str">
        <f>INDEX(Data_Assessment[],MATCH('Rekomendasi HAV'!$A709,Data_Assessment[[INDEX]:[INDEX]],0),MATCH('Rekomendasi HAV'!C$1,Data_Assessment[#Headers],0))</f>
        <v>Sumatera Selatan</v>
      </c>
      <c r="D709" s="68" t="str">
        <f>INDEX(Data_Assessment[],MATCH('Rekomendasi HAV'!$A709,Data_Assessment[[INDEX]:[INDEX]],0),MATCH('Rekomendasi HAV'!D$1,Data_Assessment[#Headers],0))</f>
        <v>LSIP - Belani Elok Estate</v>
      </c>
      <c r="E709" s="68">
        <f>INDEX(Data_Assessment[],MATCH('Rekomendasi HAV'!$B709,Data_Assessment[[NAME]:[NAME]],0),MATCH('Rekomendasi HAV'!E$1,Data_Assessment[#Headers],0))</f>
        <v>0</v>
      </c>
      <c r="F709" s="68"/>
      <c r="G709" s="68">
        <f>IF(ISNUMBER(SEARCH("DEV",Assessment[[#This Row],[JOB TARGET]])),SUBSTITUTE(Assessment[[#This Row],[JOB TARGET]],"DEV","EST"),Assessment[[#This Row],[JOB TARGET]])</f>
        <v>0</v>
      </c>
      <c r="H709" s="146" t="str" cm="1">
        <f t="array" aca="1" ref="H709" ca="1">IF(Assessment[[#This Row],[JOB TARGET]]="","Job Target Kosong",IF(COUNT(IF('Data Assessment'!$N709:$Z709-OFFSET(Standar!$B$2,MATCH(Assessment[[#This Row],[JOB TARGET
(EST)]],Standar[NAMA JABATAN],0)-1,1,1,13)&lt;0,1,""))&lt;=3,'9 Grid'!$B$4,IF(COUNT(IF('Data Assessment'!$N709:$Z709-OFFSET(Standar!$B$2,MATCH(Assessment[[#This Row],[JOB TARGET]],Standar[NAMA JABATAN],0)-1,1,1,13)&lt;0,1,""))&gt;=7,'9 Grid'!$B$6,'9 Grid'!$B$5)))</f>
        <v>Job Target Kosong</v>
      </c>
      <c r="I709" s="146" t="str">
        <f>IFERROR(IF(Data_Assessment[[#This Row],[IPP (3 YEARS AVERAGE)]]="","(IPP Belum Ada)",IF(Data_Assessment[[#This Row],[IPP (3 YEARS AVERAGE)]]&lt;2,'9 Grid'!$F$2,IF(Data_Assessment[[#This Row],[IPP (3 YEARS AVERAGE)]]&gt;=4,'9 Grid'!$D$2,'9 Grid'!$E$2))),"")</f>
        <v>Fully Competence Performance</v>
      </c>
      <c r="J709" s="146" t="str">
        <f ca="1">IFERROR(INDEX('9 Grid'!$D$4:$F$6,MATCH('Rekomendasi HAV'!H709,'9 Grid'!$B$4:$B$6,0),MATCH('Rekomendasi HAV'!I709,'9 Grid'!$D$2:$F$2,0)),"")</f>
        <v/>
      </c>
      <c r="K709" s="146" t="str">
        <f>IFERROR(INDEX('9 Grid'!$D$8:$F$8,1,MATCH('Rekomendasi HAV'!I709,'9 Grid'!$D$2:$F$2,0)),"")</f>
        <v>(ST) Within 12 - 18 month</v>
      </c>
      <c r="L709" s="146">
        <f>IF(ISNUMBER(SEARCH("EST",Assessment[[#This Row],[JOB TARGET]])),SUBSTITUTE(Assessment[[#This Row],[JOB TARGET]],"EST","DEV"),Assessment[[#This Row],[JOB TARGET]])</f>
        <v>0</v>
      </c>
      <c r="M709" s="146" t="str" cm="1">
        <f t="array" aca="1" ref="M709" ca="1">IF(Assessment[[#This Row],[JOB TARGET]]="","Job Target Kosong",IF(COUNT(IF('Data Assessment'!$N709:$Z709-OFFSET(Standar!$B$2,MATCH(Assessment[[#This Row],[JOB TARGET
(DEV)]],Standar[NAMA JABATAN],0)-1,1,1,13)&lt;0,1,""))&lt;=3,'9 Grid'!$B$4,IF(COUNT(IF('Data Assessment'!$N709:$Z709-OFFSET(Standar!$B$2,MATCH(Assessment[[#This Row],[JOB TARGET
(DEV)]],Standar[NAMA JABATAN],0)-1,1,1,13)&lt;0,1,""))&gt;=7,'9 Grid'!$B$6,'9 Grid'!$B$5)))</f>
        <v>Job Target Kosong</v>
      </c>
      <c r="N709" s="146" t="str">
        <f>IFERROR(IF(Data_Assessment[[#This Row],[IPP (3 YEARS AVERAGE)]]="","(IPP Belum Ada)",IF(Data_Assessment[[#This Row],[IPP (3 YEARS AVERAGE)]]&lt;2,'9 Grid'!$F$2,IF(Data_Assessment[[#This Row],[IPP (3 YEARS AVERAGE)]]&gt;=4,'9 Grid'!$D$2,'9 Grid'!$E$2))),"")</f>
        <v>Fully Competence Performance</v>
      </c>
      <c r="O709" s="146" t="str">
        <f ca="1">IFERROR(INDEX('9 Grid'!$D$4:$F$6,MATCH('Rekomendasi HAV'!M709,'9 Grid'!$B$4:$B$6,0),MATCH('Rekomendasi HAV'!N709,'9 Grid'!$D$2:$F$2,0)),"")</f>
        <v/>
      </c>
      <c r="P709" s="147" t="str">
        <f>IFERROR(INDEX('9 Grid'!$D$8:$F$8,1,MATCH('Rekomendasi HAV'!N709,'9 Grid'!$D$2:$F$2,0)),"")</f>
        <v>(ST) Within 12 - 18 month</v>
      </c>
    </row>
    <row r="710" spans="1:16" ht="14.25">
      <c r="A710" s="67">
        <v>709</v>
      </c>
      <c r="B710" s="68" t="str">
        <f>INDEX(Data_Assessment[],MATCH('Rekomendasi HAV'!$A710,Data_Assessment[[INDEX]:[INDEX]],0),MATCH('Rekomendasi HAV'!B$1,Data_Assessment[#Headers],0))</f>
        <v>Repada A. Damanik</v>
      </c>
      <c r="C710" s="68" t="str">
        <f>INDEX(Data_Assessment[],MATCH('Rekomendasi HAV'!$A710,Data_Assessment[[INDEX]:[INDEX]],0),MATCH('Rekomendasi HAV'!C$1,Data_Assessment[#Headers],0))</f>
        <v>Sumatera Selatan</v>
      </c>
      <c r="D710" s="68" t="str">
        <f>INDEX(Data_Assessment[],MATCH('Rekomendasi HAV'!$A710,Data_Assessment[[INDEX]:[INDEX]],0),MATCH('Rekomendasi HAV'!D$1,Data_Assessment[#Headers],0))</f>
        <v>LSIP - Belani Elok Estate</v>
      </c>
      <c r="E710" s="68">
        <f>INDEX(Data_Assessment[],MATCH('Rekomendasi HAV'!$B710,Data_Assessment[[NAME]:[NAME]],0),MATCH('Rekomendasi HAV'!E$1,Data_Assessment[#Headers],0))</f>
        <v>0</v>
      </c>
      <c r="F710" s="68"/>
      <c r="G710" s="68">
        <f>IF(ISNUMBER(SEARCH("DEV",Assessment[[#This Row],[JOB TARGET]])),SUBSTITUTE(Assessment[[#This Row],[JOB TARGET]],"DEV","EST"),Assessment[[#This Row],[JOB TARGET]])</f>
        <v>0</v>
      </c>
      <c r="H710" s="146" t="str" cm="1">
        <f t="array" aca="1" ref="H710" ca="1">IF(Assessment[[#This Row],[JOB TARGET]]="","Job Target Kosong",IF(COUNT(IF('Data Assessment'!$N710:$Z710-OFFSET(Standar!$B$2,MATCH(Assessment[[#This Row],[JOB TARGET
(EST)]],Standar[NAMA JABATAN],0)-1,1,1,13)&lt;0,1,""))&lt;=3,'9 Grid'!$B$4,IF(COUNT(IF('Data Assessment'!$N710:$Z710-OFFSET(Standar!$B$2,MATCH(Assessment[[#This Row],[JOB TARGET]],Standar[NAMA JABATAN],0)-1,1,1,13)&lt;0,1,""))&gt;=7,'9 Grid'!$B$6,'9 Grid'!$B$5)))</f>
        <v>Job Target Kosong</v>
      </c>
      <c r="I710" s="146" t="str">
        <f>IFERROR(IF(Data_Assessment[[#This Row],[IPP (3 YEARS AVERAGE)]]="","(IPP Belum Ada)",IF(Data_Assessment[[#This Row],[IPP (3 YEARS AVERAGE)]]&lt;2,'9 Grid'!$F$2,IF(Data_Assessment[[#This Row],[IPP (3 YEARS AVERAGE)]]&gt;=4,'9 Grid'!$D$2,'9 Grid'!$E$2))),"")</f>
        <v>Exceptional Performance</v>
      </c>
      <c r="J710" s="146" t="str">
        <f ca="1">IFERROR(INDEX('9 Grid'!$D$4:$F$6,MATCH('Rekomendasi HAV'!H710,'9 Grid'!$B$4:$B$6,0),MATCH('Rekomendasi HAV'!I710,'9 Grid'!$D$2:$F$2,0)),"")</f>
        <v/>
      </c>
      <c r="K710" s="146" t="str">
        <f>IFERROR(INDEX('9 Grid'!$D$8:$F$8,1,MATCH('Rekomendasi HAV'!I710,'9 Grid'!$D$2:$F$2,0)),"")</f>
        <v>(I) Immediately</v>
      </c>
      <c r="L710" s="146">
        <f>IF(ISNUMBER(SEARCH("EST",Assessment[[#This Row],[JOB TARGET]])),SUBSTITUTE(Assessment[[#This Row],[JOB TARGET]],"EST","DEV"),Assessment[[#This Row],[JOB TARGET]])</f>
        <v>0</v>
      </c>
      <c r="M710" s="146" t="str" cm="1">
        <f t="array" aca="1" ref="M710" ca="1">IF(Assessment[[#This Row],[JOB TARGET]]="","Job Target Kosong",IF(COUNT(IF('Data Assessment'!$N710:$Z710-OFFSET(Standar!$B$2,MATCH(Assessment[[#This Row],[JOB TARGET
(DEV)]],Standar[NAMA JABATAN],0)-1,1,1,13)&lt;0,1,""))&lt;=3,'9 Grid'!$B$4,IF(COUNT(IF('Data Assessment'!$N710:$Z710-OFFSET(Standar!$B$2,MATCH(Assessment[[#This Row],[JOB TARGET
(DEV)]],Standar[NAMA JABATAN],0)-1,1,1,13)&lt;0,1,""))&gt;=7,'9 Grid'!$B$6,'9 Grid'!$B$5)))</f>
        <v>Job Target Kosong</v>
      </c>
      <c r="N710" s="146" t="str">
        <f>IFERROR(IF(Data_Assessment[[#This Row],[IPP (3 YEARS AVERAGE)]]="","(IPP Belum Ada)",IF(Data_Assessment[[#This Row],[IPP (3 YEARS AVERAGE)]]&lt;2,'9 Grid'!$F$2,IF(Data_Assessment[[#This Row],[IPP (3 YEARS AVERAGE)]]&gt;=4,'9 Grid'!$D$2,'9 Grid'!$E$2))),"")</f>
        <v>Exceptional Performance</v>
      </c>
      <c r="O710" s="146" t="str">
        <f ca="1">IFERROR(INDEX('9 Grid'!$D$4:$F$6,MATCH('Rekomendasi HAV'!M710,'9 Grid'!$B$4:$B$6,0),MATCH('Rekomendasi HAV'!N710,'9 Grid'!$D$2:$F$2,0)),"")</f>
        <v/>
      </c>
      <c r="P710" s="147" t="str">
        <f>IFERROR(INDEX('9 Grid'!$D$8:$F$8,1,MATCH('Rekomendasi HAV'!N710,'9 Grid'!$D$2:$F$2,0)),"")</f>
        <v>(I) Immediately</v>
      </c>
    </row>
    <row r="711" spans="1:16" ht="14.25">
      <c r="A711" s="67">
        <v>710</v>
      </c>
      <c r="B711" s="68" t="str">
        <f>INDEX(Data_Assessment[],MATCH('Rekomendasi HAV'!$A711,Data_Assessment[[INDEX]:[INDEX]],0),MATCH('Rekomendasi HAV'!B$1,Data_Assessment[#Headers],0))</f>
        <v>Eko Wiyono</v>
      </c>
      <c r="C711" s="68" t="str">
        <f>INDEX(Data_Assessment[],MATCH('Rekomendasi HAV'!$A711,Data_Assessment[[INDEX]:[INDEX]],0),MATCH('Rekomendasi HAV'!C$1,Data_Assessment[#Headers],0))</f>
        <v>Sumatera Selatan</v>
      </c>
      <c r="D711" s="68" t="str">
        <f>INDEX(Data_Assessment[],MATCH('Rekomendasi HAV'!$A711,Data_Assessment[[INDEX]:[INDEX]],0),MATCH('Rekomendasi HAV'!D$1,Data_Assessment[#Headers],0))</f>
        <v>LSIP - Tulung Gelam Estate</v>
      </c>
      <c r="E711" s="68">
        <f>INDEX(Data_Assessment[],MATCH('Rekomendasi HAV'!$B711,Data_Assessment[[NAME]:[NAME]],0),MATCH('Rekomendasi HAV'!E$1,Data_Assessment[#Headers],0))</f>
        <v>0</v>
      </c>
      <c r="F711" s="68"/>
      <c r="G711" s="68">
        <f>IF(ISNUMBER(SEARCH("DEV",Assessment[[#This Row],[JOB TARGET]])),SUBSTITUTE(Assessment[[#This Row],[JOB TARGET]],"DEV","EST"),Assessment[[#This Row],[JOB TARGET]])</f>
        <v>0</v>
      </c>
      <c r="H711" s="146" t="str" cm="1">
        <f t="array" aca="1" ref="H711" ca="1">IF(Assessment[[#This Row],[JOB TARGET]]="","Job Target Kosong",IF(COUNT(IF('Data Assessment'!$N711:$Z711-OFFSET(Standar!$B$2,MATCH(Assessment[[#This Row],[JOB TARGET
(EST)]],Standar[NAMA JABATAN],0)-1,1,1,13)&lt;0,1,""))&lt;=3,'9 Grid'!$B$4,IF(COUNT(IF('Data Assessment'!$N711:$Z711-OFFSET(Standar!$B$2,MATCH(Assessment[[#This Row],[JOB TARGET]],Standar[NAMA JABATAN],0)-1,1,1,13)&lt;0,1,""))&gt;=7,'9 Grid'!$B$6,'9 Grid'!$B$5)))</f>
        <v>Job Target Kosong</v>
      </c>
      <c r="I711" s="146" t="str">
        <f>IFERROR(IF(Data_Assessment[[#This Row],[IPP (3 YEARS AVERAGE)]]="","(IPP Belum Ada)",IF(Data_Assessment[[#This Row],[IPP (3 YEARS AVERAGE)]]&lt;2,'9 Grid'!$F$2,IF(Data_Assessment[[#This Row],[IPP (3 YEARS AVERAGE)]]&gt;=4,'9 Grid'!$D$2,'9 Grid'!$E$2))),"")</f>
        <v>Exceptional Performance</v>
      </c>
      <c r="J711" s="146" t="str">
        <f ca="1">IFERROR(INDEX('9 Grid'!$D$4:$F$6,MATCH('Rekomendasi HAV'!H711,'9 Grid'!$B$4:$B$6,0),MATCH('Rekomendasi HAV'!I711,'9 Grid'!$D$2:$F$2,0)),"")</f>
        <v/>
      </c>
      <c r="K711" s="146" t="str">
        <f>IFERROR(INDEX('9 Grid'!$D$8:$F$8,1,MATCH('Rekomendasi HAV'!I711,'9 Grid'!$D$2:$F$2,0)),"")</f>
        <v>(I) Immediately</v>
      </c>
      <c r="L711" s="146">
        <f>IF(ISNUMBER(SEARCH("EST",Assessment[[#This Row],[JOB TARGET]])),SUBSTITUTE(Assessment[[#This Row],[JOB TARGET]],"EST","DEV"),Assessment[[#This Row],[JOB TARGET]])</f>
        <v>0</v>
      </c>
      <c r="M711" s="146" t="str" cm="1">
        <f t="array" aca="1" ref="M711" ca="1">IF(Assessment[[#This Row],[JOB TARGET]]="","Job Target Kosong",IF(COUNT(IF('Data Assessment'!$N711:$Z711-OFFSET(Standar!$B$2,MATCH(Assessment[[#This Row],[JOB TARGET
(DEV)]],Standar[NAMA JABATAN],0)-1,1,1,13)&lt;0,1,""))&lt;=3,'9 Grid'!$B$4,IF(COUNT(IF('Data Assessment'!$N711:$Z711-OFFSET(Standar!$B$2,MATCH(Assessment[[#This Row],[JOB TARGET
(DEV)]],Standar[NAMA JABATAN],0)-1,1,1,13)&lt;0,1,""))&gt;=7,'9 Grid'!$B$6,'9 Grid'!$B$5)))</f>
        <v>Job Target Kosong</v>
      </c>
      <c r="N711" s="146" t="str">
        <f>IFERROR(IF(Data_Assessment[[#This Row],[IPP (3 YEARS AVERAGE)]]="","(IPP Belum Ada)",IF(Data_Assessment[[#This Row],[IPP (3 YEARS AVERAGE)]]&lt;2,'9 Grid'!$F$2,IF(Data_Assessment[[#This Row],[IPP (3 YEARS AVERAGE)]]&gt;=4,'9 Grid'!$D$2,'9 Grid'!$E$2))),"")</f>
        <v>Exceptional Performance</v>
      </c>
      <c r="O711" s="146" t="str">
        <f ca="1">IFERROR(INDEX('9 Grid'!$D$4:$F$6,MATCH('Rekomendasi HAV'!M711,'9 Grid'!$B$4:$B$6,0),MATCH('Rekomendasi HAV'!N711,'9 Grid'!$D$2:$F$2,0)),"")</f>
        <v/>
      </c>
      <c r="P711" s="147" t="str">
        <f>IFERROR(INDEX('9 Grid'!$D$8:$F$8,1,MATCH('Rekomendasi HAV'!N711,'9 Grid'!$D$2:$F$2,0)),"")</f>
        <v>(I) Immediately</v>
      </c>
    </row>
    <row r="712" spans="1:16" ht="28.5">
      <c r="A712" s="67">
        <v>711</v>
      </c>
      <c r="B712" s="68" t="str">
        <f>INDEX(Data_Assessment[],MATCH('Rekomendasi HAV'!$A712,Data_Assessment[[INDEX]:[INDEX]],0),MATCH('Rekomendasi HAV'!B$1,Data_Assessment[#Headers],0))</f>
        <v>Prihatiningsih</v>
      </c>
      <c r="C712" s="68" t="str">
        <f>INDEX(Data_Assessment[],MATCH('Rekomendasi HAV'!$A712,Data_Assessment[[INDEX]:[INDEX]],0),MATCH('Rekomendasi HAV'!C$1,Data_Assessment[#Headers],0))</f>
        <v>Sumatera Selatan</v>
      </c>
      <c r="D712" s="68" t="str">
        <f>INDEX(Data_Assessment[],MATCH('Rekomendasi HAV'!$A712,Data_Assessment[[INDEX]:[INDEX]],0),MATCH('Rekomendasi HAV'!D$1,Data_Assessment[#Headers],0))</f>
        <v>LSIP - Tulung Gelam Estate</v>
      </c>
      <c r="E712" s="68">
        <f>INDEX(Data_Assessment[],MATCH('Rekomendasi HAV'!$B712,Data_Assessment[[NAME]:[NAME]],0),MATCH('Rekomendasi HAV'!E$1,Data_Assessment[#Headers],0))</f>
        <v>0</v>
      </c>
      <c r="F712" s="68"/>
      <c r="G712" s="68">
        <f>IF(ISNUMBER(SEARCH("DEV",Assessment[[#This Row],[JOB TARGET]])),SUBSTITUTE(Assessment[[#This Row],[JOB TARGET]],"DEV","EST"),Assessment[[#This Row],[JOB TARGET]])</f>
        <v>0</v>
      </c>
      <c r="H712" s="146" t="str" cm="1">
        <f t="array" aca="1" ref="H712" ca="1">IF(Assessment[[#This Row],[JOB TARGET]]="","Job Target Kosong",IF(COUNT(IF('Data Assessment'!$N712:$Z712-OFFSET(Standar!$B$2,MATCH(Assessment[[#This Row],[JOB TARGET
(EST)]],Standar[NAMA JABATAN],0)-1,1,1,13)&lt;0,1,""))&lt;=3,'9 Grid'!$B$4,IF(COUNT(IF('Data Assessment'!$N712:$Z712-OFFSET(Standar!$B$2,MATCH(Assessment[[#This Row],[JOB TARGET]],Standar[NAMA JABATAN],0)-1,1,1,13)&lt;0,1,""))&gt;=7,'9 Grid'!$B$6,'9 Grid'!$B$5)))</f>
        <v>Job Target Kosong</v>
      </c>
      <c r="I712" s="146" t="str">
        <f>IFERROR(IF(Data_Assessment[[#This Row],[IPP (3 YEARS AVERAGE)]]="","(IPP Belum Ada)",IF(Data_Assessment[[#This Row],[IPP (3 YEARS AVERAGE)]]&lt;2,'9 Grid'!$F$2,IF(Data_Assessment[[#This Row],[IPP (3 YEARS AVERAGE)]]&gt;=4,'9 Grid'!$D$2,'9 Grid'!$E$2))),"")</f>
        <v>Fully Competence Performance</v>
      </c>
      <c r="J712" s="146" t="str">
        <f ca="1">IFERROR(INDEX('9 Grid'!$D$4:$F$6,MATCH('Rekomendasi HAV'!H712,'9 Grid'!$B$4:$B$6,0),MATCH('Rekomendasi HAV'!I712,'9 Grid'!$D$2:$F$2,0)),"")</f>
        <v/>
      </c>
      <c r="K712" s="146" t="str">
        <f>IFERROR(INDEX('9 Grid'!$D$8:$F$8,1,MATCH('Rekomendasi HAV'!I712,'9 Grid'!$D$2:$F$2,0)),"")</f>
        <v>(ST) Within 12 - 18 month</v>
      </c>
      <c r="L712" s="146">
        <f>IF(ISNUMBER(SEARCH("EST",Assessment[[#This Row],[JOB TARGET]])),SUBSTITUTE(Assessment[[#This Row],[JOB TARGET]],"EST","DEV"),Assessment[[#This Row],[JOB TARGET]])</f>
        <v>0</v>
      </c>
      <c r="M712" s="146" t="str" cm="1">
        <f t="array" aca="1" ref="M712" ca="1">IF(Assessment[[#This Row],[JOB TARGET]]="","Job Target Kosong",IF(COUNT(IF('Data Assessment'!$N712:$Z712-OFFSET(Standar!$B$2,MATCH(Assessment[[#This Row],[JOB TARGET
(DEV)]],Standar[NAMA JABATAN],0)-1,1,1,13)&lt;0,1,""))&lt;=3,'9 Grid'!$B$4,IF(COUNT(IF('Data Assessment'!$N712:$Z712-OFFSET(Standar!$B$2,MATCH(Assessment[[#This Row],[JOB TARGET
(DEV)]],Standar[NAMA JABATAN],0)-1,1,1,13)&lt;0,1,""))&gt;=7,'9 Grid'!$B$6,'9 Grid'!$B$5)))</f>
        <v>Job Target Kosong</v>
      </c>
      <c r="N712" s="146" t="str">
        <f>IFERROR(IF(Data_Assessment[[#This Row],[IPP (3 YEARS AVERAGE)]]="","(IPP Belum Ada)",IF(Data_Assessment[[#This Row],[IPP (3 YEARS AVERAGE)]]&lt;2,'9 Grid'!$F$2,IF(Data_Assessment[[#This Row],[IPP (3 YEARS AVERAGE)]]&gt;=4,'9 Grid'!$D$2,'9 Grid'!$E$2))),"")</f>
        <v>Fully Competence Performance</v>
      </c>
      <c r="O712" s="146" t="str">
        <f ca="1">IFERROR(INDEX('9 Grid'!$D$4:$F$6,MATCH('Rekomendasi HAV'!M712,'9 Grid'!$B$4:$B$6,0),MATCH('Rekomendasi HAV'!N712,'9 Grid'!$D$2:$F$2,0)),"")</f>
        <v/>
      </c>
      <c r="P712" s="147" t="str">
        <f>IFERROR(INDEX('9 Grid'!$D$8:$F$8,1,MATCH('Rekomendasi HAV'!N712,'9 Grid'!$D$2:$F$2,0)),"")</f>
        <v>(ST) Within 12 - 18 month</v>
      </c>
    </row>
    <row r="713" spans="1:16" ht="14.25">
      <c r="A713" s="67">
        <v>712</v>
      </c>
      <c r="B713" s="68" t="str">
        <f>INDEX(Data_Assessment[],MATCH('Rekomendasi HAV'!$A713,Data_Assessment[[INDEX]:[INDEX]],0),MATCH('Rekomendasi HAV'!B$1,Data_Assessment[#Headers],0))</f>
        <v>Aris Setiadi, Ir.</v>
      </c>
      <c r="C713" s="68" t="str">
        <f>INDEX(Data_Assessment[],MATCH('Rekomendasi HAV'!$A713,Data_Assessment[[INDEX]:[INDEX]],0),MATCH('Rekomendasi HAV'!C$1,Data_Assessment[#Headers],0))</f>
        <v>Sumatera Selatan</v>
      </c>
      <c r="D713" s="68" t="str">
        <f>INDEX(Data_Assessment[],MATCH('Rekomendasi HAV'!$A713,Data_Assessment[[INDEX]:[INDEX]],0),MATCH('Rekomendasi HAV'!D$1,Data_Assessment[#Headers],0))</f>
        <v>LSIP - Arta Kencana Estate</v>
      </c>
      <c r="E713" s="68">
        <f>INDEX(Data_Assessment[],MATCH('Rekomendasi HAV'!$B713,Data_Assessment[[NAME]:[NAME]],0),MATCH('Rekomendasi HAV'!E$1,Data_Assessment[#Headers],0))</f>
        <v>0</v>
      </c>
      <c r="F713" s="68"/>
      <c r="G713" s="68">
        <f>IF(ISNUMBER(SEARCH("DEV",Assessment[[#This Row],[JOB TARGET]])),SUBSTITUTE(Assessment[[#This Row],[JOB TARGET]],"DEV","EST"),Assessment[[#This Row],[JOB TARGET]])</f>
        <v>0</v>
      </c>
      <c r="H713" s="146" t="str" cm="1">
        <f t="array" aca="1" ref="H713" ca="1">IF(Assessment[[#This Row],[JOB TARGET]]="","Job Target Kosong",IF(COUNT(IF('Data Assessment'!$N713:$Z713-OFFSET(Standar!$B$2,MATCH(Assessment[[#This Row],[JOB TARGET
(EST)]],Standar[NAMA JABATAN],0)-1,1,1,13)&lt;0,1,""))&lt;=3,'9 Grid'!$B$4,IF(COUNT(IF('Data Assessment'!$N713:$Z713-OFFSET(Standar!$B$2,MATCH(Assessment[[#This Row],[JOB TARGET]],Standar[NAMA JABATAN],0)-1,1,1,13)&lt;0,1,""))&gt;=7,'9 Grid'!$B$6,'9 Grid'!$B$5)))</f>
        <v>Job Target Kosong</v>
      </c>
      <c r="I713" s="146" t="str">
        <f>IFERROR(IF(Data_Assessment[[#This Row],[IPP (3 YEARS AVERAGE)]]="","(IPP Belum Ada)",IF(Data_Assessment[[#This Row],[IPP (3 YEARS AVERAGE)]]&lt;2,'9 Grid'!$F$2,IF(Data_Assessment[[#This Row],[IPP (3 YEARS AVERAGE)]]&gt;=4,'9 Grid'!$D$2,'9 Grid'!$E$2))),"")</f>
        <v>Exceptional Performance</v>
      </c>
      <c r="J713" s="146" t="str">
        <f ca="1">IFERROR(INDEX('9 Grid'!$D$4:$F$6,MATCH('Rekomendasi HAV'!H713,'9 Grid'!$B$4:$B$6,0),MATCH('Rekomendasi HAV'!I713,'9 Grid'!$D$2:$F$2,0)),"")</f>
        <v/>
      </c>
      <c r="K713" s="146" t="str">
        <f>IFERROR(INDEX('9 Grid'!$D$8:$F$8,1,MATCH('Rekomendasi HAV'!I713,'9 Grid'!$D$2:$F$2,0)),"")</f>
        <v>(I) Immediately</v>
      </c>
      <c r="L713" s="146">
        <f>IF(ISNUMBER(SEARCH("EST",Assessment[[#This Row],[JOB TARGET]])),SUBSTITUTE(Assessment[[#This Row],[JOB TARGET]],"EST","DEV"),Assessment[[#This Row],[JOB TARGET]])</f>
        <v>0</v>
      </c>
      <c r="M713" s="146" t="str" cm="1">
        <f t="array" aca="1" ref="M713" ca="1">IF(Assessment[[#This Row],[JOB TARGET]]="","Job Target Kosong",IF(COUNT(IF('Data Assessment'!$N713:$Z713-OFFSET(Standar!$B$2,MATCH(Assessment[[#This Row],[JOB TARGET
(DEV)]],Standar[NAMA JABATAN],0)-1,1,1,13)&lt;0,1,""))&lt;=3,'9 Grid'!$B$4,IF(COUNT(IF('Data Assessment'!$N713:$Z713-OFFSET(Standar!$B$2,MATCH(Assessment[[#This Row],[JOB TARGET
(DEV)]],Standar[NAMA JABATAN],0)-1,1,1,13)&lt;0,1,""))&gt;=7,'9 Grid'!$B$6,'9 Grid'!$B$5)))</f>
        <v>Job Target Kosong</v>
      </c>
      <c r="N713" s="146" t="str">
        <f>IFERROR(IF(Data_Assessment[[#This Row],[IPP (3 YEARS AVERAGE)]]="","(IPP Belum Ada)",IF(Data_Assessment[[#This Row],[IPP (3 YEARS AVERAGE)]]&lt;2,'9 Grid'!$F$2,IF(Data_Assessment[[#This Row],[IPP (3 YEARS AVERAGE)]]&gt;=4,'9 Grid'!$D$2,'9 Grid'!$E$2))),"")</f>
        <v>Exceptional Performance</v>
      </c>
      <c r="O713" s="146" t="str">
        <f ca="1">IFERROR(INDEX('9 Grid'!$D$4:$F$6,MATCH('Rekomendasi HAV'!M713,'9 Grid'!$B$4:$B$6,0),MATCH('Rekomendasi HAV'!N713,'9 Grid'!$D$2:$F$2,0)),"")</f>
        <v/>
      </c>
      <c r="P713" s="147" t="str">
        <f>IFERROR(INDEX('9 Grid'!$D$8:$F$8,1,MATCH('Rekomendasi HAV'!N713,'9 Grid'!$D$2:$F$2,0)),"")</f>
        <v>(I) Immediately</v>
      </c>
    </row>
    <row r="714" spans="1:16" ht="28.5">
      <c r="A714" s="67">
        <v>713</v>
      </c>
      <c r="B714" s="68" t="str">
        <f>INDEX(Data_Assessment[],MATCH('Rekomendasi HAV'!$A714,Data_Assessment[[INDEX]:[INDEX]],0),MATCH('Rekomendasi HAV'!B$1,Data_Assessment[#Headers],0))</f>
        <v>Syahfan A Lubis</v>
      </c>
      <c r="C714" s="68" t="str">
        <f>INDEX(Data_Assessment[],MATCH('Rekomendasi HAV'!$A714,Data_Assessment[[INDEX]:[INDEX]],0),MATCH('Rekomendasi HAV'!C$1,Data_Assessment[#Headers],0))</f>
        <v>Sumatera Selatan</v>
      </c>
      <c r="D714" s="68" t="str">
        <f>INDEX(Data_Assessment[],MATCH('Rekomendasi HAV'!$A714,Data_Assessment[[INDEX]:[INDEX]],0),MATCH('Rekomendasi HAV'!D$1,Data_Assessment[#Headers],0))</f>
        <v>LSIP - Arta Kencana Estate</v>
      </c>
      <c r="E714" s="68">
        <f>INDEX(Data_Assessment[],MATCH('Rekomendasi HAV'!$B714,Data_Assessment[[NAME]:[NAME]],0),MATCH('Rekomendasi HAV'!E$1,Data_Assessment[#Headers],0))</f>
        <v>0</v>
      </c>
      <c r="F714" s="68"/>
      <c r="G714" s="68">
        <f>IF(ISNUMBER(SEARCH("DEV",Assessment[[#This Row],[JOB TARGET]])),SUBSTITUTE(Assessment[[#This Row],[JOB TARGET]],"DEV","EST"),Assessment[[#This Row],[JOB TARGET]])</f>
        <v>0</v>
      </c>
      <c r="H714" s="146" t="str" cm="1">
        <f t="array" aca="1" ref="H714" ca="1">IF(Assessment[[#This Row],[JOB TARGET]]="","Job Target Kosong",IF(COUNT(IF('Data Assessment'!$N714:$Z714-OFFSET(Standar!$B$2,MATCH(Assessment[[#This Row],[JOB TARGET
(EST)]],Standar[NAMA JABATAN],0)-1,1,1,13)&lt;0,1,""))&lt;=3,'9 Grid'!$B$4,IF(COUNT(IF('Data Assessment'!$N714:$Z714-OFFSET(Standar!$B$2,MATCH(Assessment[[#This Row],[JOB TARGET]],Standar[NAMA JABATAN],0)-1,1,1,13)&lt;0,1,""))&gt;=7,'9 Grid'!$B$6,'9 Grid'!$B$5)))</f>
        <v>Job Target Kosong</v>
      </c>
      <c r="I714" s="146" t="str">
        <f>IFERROR(IF(Data_Assessment[[#This Row],[IPP (3 YEARS AVERAGE)]]="","(IPP Belum Ada)",IF(Data_Assessment[[#This Row],[IPP (3 YEARS AVERAGE)]]&lt;2,'9 Grid'!$F$2,IF(Data_Assessment[[#This Row],[IPP (3 YEARS AVERAGE)]]&gt;=4,'9 Grid'!$D$2,'9 Grid'!$E$2))),"")</f>
        <v>Fully Competence Performance</v>
      </c>
      <c r="J714" s="146" t="str">
        <f ca="1">IFERROR(INDEX('9 Grid'!$D$4:$F$6,MATCH('Rekomendasi HAV'!H714,'9 Grid'!$B$4:$B$6,0),MATCH('Rekomendasi HAV'!I714,'9 Grid'!$D$2:$F$2,0)),"")</f>
        <v/>
      </c>
      <c r="K714" s="146" t="str">
        <f>IFERROR(INDEX('9 Grid'!$D$8:$F$8,1,MATCH('Rekomendasi HAV'!I714,'9 Grid'!$D$2:$F$2,0)),"")</f>
        <v>(ST) Within 12 - 18 month</v>
      </c>
      <c r="L714" s="146">
        <f>IF(ISNUMBER(SEARCH("EST",Assessment[[#This Row],[JOB TARGET]])),SUBSTITUTE(Assessment[[#This Row],[JOB TARGET]],"EST","DEV"),Assessment[[#This Row],[JOB TARGET]])</f>
        <v>0</v>
      </c>
      <c r="M714" s="146" t="str" cm="1">
        <f t="array" aca="1" ref="M714" ca="1">IF(Assessment[[#This Row],[JOB TARGET]]="","Job Target Kosong",IF(COUNT(IF('Data Assessment'!$N714:$Z714-OFFSET(Standar!$B$2,MATCH(Assessment[[#This Row],[JOB TARGET
(DEV)]],Standar[NAMA JABATAN],0)-1,1,1,13)&lt;0,1,""))&lt;=3,'9 Grid'!$B$4,IF(COUNT(IF('Data Assessment'!$N714:$Z714-OFFSET(Standar!$B$2,MATCH(Assessment[[#This Row],[JOB TARGET
(DEV)]],Standar[NAMA JABATAN],0)-1,1,1,13)&lt;0,1,""))&gt;=7,'9 Grid'!$B$6,'9 Grid'!$B$5)))</f>
        <v>Job Target Kosong</v>
      </c>
      <c r="N714" s="146" t="str">
        <f>IFERROR(IF(Data_Assessment[[#This Row],[IPP (3 YEARS AVERAGE)]]="","(IPP Belum Ada)",IF(Data_Assessment[[#This Row],[IPP (3 YEARS AVERAGE)]]&lt;2,'9 Grid'!$F$2,IF(Data_Assessment[[#This Row],[IPP (3 YEARS AVERAGE)]]&gt;=4,'9 Grid'!$D$2,'9 Grid'!$E$2))),"")</f>
        <v>Fully Competence Performance</v>
      </c>
      <c r="O714" s="146" t="str">
        <f ca="1">IFERROR(INDEX('9 Grid'!$D$4:$F$6,MATCH('Rekomendasi HAV'!M714,'9 Grid'!$B$4:$B$6,0),MATCH('Rekomendasi HAV'!N714,'9 Grid'!$D$2:$F$2,0)),"")</f>
        <v/>
      </c>
      <c r="P714" s="147" t="str">
        <f>IFERROR(INDEX('9 Grid'!$D$8:$F$8,1,MATCH('Rekomendasi HAV'!N714,'9 Grid'!$D$2:$F$2,0)),"")</f>
        <v>(ST) Within 12 - 18 month</v>
      </c>
    </row>
    <row r="715" spans="1:16" ht="28.5">
      <c r="A715" s="67">
        <v>714</v>
      </c>
      <c r="B715" s="68" t="str">
        <f>INDEX(Data_Assessment[],MATCH('Rekomendasi HAV'!$A715,Data_Assessment[[INDEX]:[INDEX]],0),MATCH('Rekomendasi HAV'!B$1,Data_Assessment[#Headers],0))</f>
        <v>Artoni</v>
      </c>
      <c r="C715" s="68" t="str">
        <f>INDEX(Data_Assessment[],MATCH('Rekomendasi HAV'!$A715,Data_Assessment[[INDEX]:[INDEX]],0),MATCH('Rekomendasi HAV'!C$1,Data_Assessment[#Headers],0))</f>
        <v>Sumatera Selatan</v>
      </c>
      <c r="D715" s="68" t="str">
        <f>INDEX(Data_Assessment[],MATCH('Rekomendasi HAV'!$A715,Data_Assessment[[INDEX]:[INDEX]],0),MATCH('Rekomendasi HAV'!D$1,Data_Assessment[#Headers],0))</f>
        <v>LSIP - Kencana Sari Estate</v>
      </c>
      <c r="E715" s="68">
        <f>INDEX(Data_Assessment[],MATCH('Rekomendasi HAV'!$B715,Data_Assessment[[NAME]:[NAME]],0),MATCH('Rekomendasi HAV'!E$1,Data_Assessment[#Headers],0))</f>
        <v>0</v>
      </c>
      <c r="F715" s="68"/>
      <c r="G715" s="68">
        <f>IF(ISNUMBER(SEARCH("DEV",Assessment[[#This Row],[JOB TARGET]])),SUBSTITUTE(Assessment[[#This Row],[JOB TARGET]],"DEV","EST"),Assessment[[#This Row],[JOB TARGET]])</f>
        <v>0</v>
      </c>
      <c r="H715" s="146" t="str" cm="1">
        <f t="array" aca="1" ref="H715" ca="1">IF(Assessment[[#This Row],[JOB TARGET]]="","Job Target Kosong",IF(COUNT(IF('Data Assessment'!$N715:$Z715-OFFSET(Standar!$B$2,MATCH(Assessment[[#This Row],[JOB TARGET
(EST)]],Standar[NAMA JABATAN],0)-1,1,1,13)&lt;0,1,""))&lt;=3,'9 Grid'!$B$4,IF(COUNT(IF('Data Assessment'!$N715:$Z715-OFFSET(Standar!$B$2,MATCH(Assessment[[#This Row],[JOB TARGET]],Standar[NAMA JABATAN],0)-1,1,1,13)&lt;0,1,""))&gt;=7,'9 Grid'!$B$6,'9 Grid'!$B$5)))</f>
        <v>Job Target Kosong</v>
      </c>
      <c r="I715" s="146" t="str">
        <f>IFERROR(IF(Data_Assessment[[#This Row],[IPP (3 YEARS AVERAGE)]]="","(IPP Belum Ada)",IF(Data_Assessment[[#This Row],[IPP (3 YEARS AVERAGE)]]&lt;2,'9 Grid'!$F$2,IF(Data_Assessment[[#This Row],[IPP (3 YEARS AVERAGE)]]&gt;=4,'9 Grid'!$D$2,'9 Grid'!$E$2))),"")</f>
        <v>Fully Competence Performance</v>
      </c>
      <c r="J715" s="146" t="str">
        <f ca="1">IFERROR(INDEX('9 Grid'!$D$4:$F$6,MATCH('Rekomendasi HAV'!H715,'9 Grid'!$B$4:$B$6,0),MATCH('Rekomendasi HAV'!I715,'9 Grid'!$D$2:$F$2,0)),"")</f>
        <v/>
      </c>
      <c r="K715" s="146" t="str">
        <f>IFERROR(INDEX('9 Grid'!$D$8:$F$8,1,MATCH('Rekomendasi HAV'!I715,'9 Grid'!$D$2:$F$2,0)),"")</f>
        <v>(ST) Within 12 - 18 month</v>
      </c>
      <c r="L715" s="146">
        <f>IF(ISNUMBER(SEARCH("EST",Assessment[[#This Row],[JOB TARGET]])),SUBSTITUTE(Assessment[[#This Row],[JOB TARGET]],"EST","DEV"),Assessment[[#This Row],[JOB TARGET]])</f>
        <v>0</v>
      </c>
      <c r="M715" s="146" t="str" cm="1">
        <f t="array" aca="1" ref="M715" ca="1">IF(Assessment[[#This Row],[JOB TARGET]]="","Job Target Kosong",IF(COUNT(IF('Data Assessment'!$N715:$Z715-OFFSET(Standar!$B$2,MATCH(Assessment[[#This Row],[JOB TARGET
(DEV)]],Standar[NAMA JABATAN],0)-1,1,1,13)&lt;0,1,""))&lt;=3,'9 Grid'!$B$4,IF(COUNT(IF('Data Assessment'!$N715:$Z715-OFFSET(Standar!$B$2,MATCH(Assessment[[#This Row],[JOB TARGET
(DEV)]],Standar[NAMA JABATAN],0)-1,1,1,13)&lt;0,1,""))&gt;=7,'9 Grid'!$B$6,'9 Grid'!$B$5)))</f>
        <v>Job Target Kosong</v>
      </c>
      <c r="N715" s="146" t="str">
        <f>IFERROR(IF(Data_Assessment[[#This Row],[IPP (3 YEARS AVERAGE)]]="","(IPP Belum Ada)",IF(Data_Assessment[[#This Row],[IPP (3 YEARS AVERAGE)]]&lt;2,'9 Grid'!$F$2,IF(Data_Assessment[[#This Row],[IPP (3 YEARS AVERAGE)]]&gt;=4,'9 Grid'!$D$2,'9 Grid'!$E$2))),"")</f>
        <v>Fully Competence Performance</v>
      </c>
      <c r="O715" s="146" t="str">
        <f ca="1">IFERROR(INDEX('9 Grid'!$D$4:$F$6,MATCH('Rekomendasi HAV'!M715,'9 Grid'!$B$4:$B$6,0),MATCH('Rekomendasi HAV'!N715,'9 Grid'!$D$2:$F$2,0)),"")</f>
        <v/>
      </c>
      <c r="P715" s="147" t="str">
        <f>IFERROR(INDEX('9 Grid'!$D$8:$F$8,1,MATCH('Rekomendasi HAV'!N715,'9 Grid'!$D$2:$F$2,0)),"")</f>
        <v>(ST) Within 12 - 18 month</v>
      </c>
    </row>
    <row r="716" spans="1:16" ht="28.5">
      <c r="A716" s="67">
        <v>715</v>
      </c>
      <c r="B716" s="68" t="str">
        <f>INDEX(Data_Assessment[],MATCH('Rekomendasi HAV'!$A716,Data_Assessment[[INDEX]:[INDEX]],0),MATCH('Rekomendasi HAV'!B$1,Data_Assessment[#Headers],0))</f>
        <v>Wenry Reinmar Siahaan</v>
      </c>
      <c r="C716" s="68" t="str">
        <f>INDEX(Data_Assessment[],MATCH('Rekomendasi HAV'!$A716,Data_Assessment[[INDEX]:[INDEX]],0),MATCH('Rekomendasi HAV'!C$1,Data_Assessment[#Headers],0))</f>
        <v>Sumatera Selatan</v>
      </c>
      <c r="D716" s="68" t="str">
        <f>INDEX(Data_Assessment[],MATCH('Rekomendasi HAV'!$A716,Data_Assessment[[INDEX]:[INDEX]],0),MATCH('Rekomendasi HAV'!D$1,Data_Assessment[#Headers],0))</f>
        <v>LSIP - Kencana Sari Estate</v>
      </c>
      <c r="E716" s="68">
        <f>INDEX(Data_Assessment[],MATCH('Rekomendasi HAV'!$B716,Data_Assessment[[NAME]:[NAME]],0),MATCH('Rekomendasi HAV'!E$1,Data_Assessment[#Headers],0))</f>
        <v>0</v>
      </c>
      <c r="F716" s="68"/>
      <c r="G716" s="68">
        <f>IF(ISNUMBER(SEARCH("DEV",Assessment[[#This Row],[JOB TARGET]])),SUBSTITUTE(Assessment[[#This Row],[JOB TARGET]],"DEV","EST"),Assessment[[#This Row],[JOB TARGET]])</f>
        <v>0</v>
      </c>
      <c r="H716" s="146" t="str" cm="1">
        <f t="array" aca="1" ref="H716" ca="1">IF(Assessment[[#This Row],[JOB TARGET]]="","Job Target Kosong",IF(COUNT(IF('Data Assessment'!$N716:$Z716-OFFSET(Standar!$B$2,MATCH(Assessment[[#This Row],[JOB TARGET
(EST)]],Standar[NAMA JABATAN],0)-1,1,1,13)&lt;0,1,""))&lt;=3,'9 Grid'!$B$4,IF(COUNT(IF('Data Assessment'!$N716:$Z716-OFFSET(Standar!$B$2,MATCH(Assessment[[#This Row],[JOB TARGET]],Standar[NAMA JABATAN],0)-1,1,1,13)&lt;0,1,""))&gt;=7,'9 Grid'!$B$6,'9 Grid'!$B$5)))</f>
        <v>Job Target Kosong</v>
      </c>
      <c r="I716" s="146" t="str">
        <f>IFERROR(IF(Data_Assessment[[#This Row],[IPP (3 YEARS AVERAGE)]]="","(IPP Belum Ada)",IF(Data_Assessment[[#This Row],[IPP (3 YEARS AVERAGE)]]&lt;2,'9 Grid'!$F$2,IF(Data_Assessment[[#This Row],[IPP (3 YEARS AVERAGE)]]&gt;=4,'9 Grid'!$D$2,'9 Grid'!$E$2))),"")</f>
        <v>Fully Competence Performance</v>
      </c>
      <c r="J716" s="146" t="str">
        <f ca="1">IFERROR(INDEX('9 Grid'!$D$4:$F$6,MATCH('Rekomendasi HAV'!H716,'9 Grid'!$B$4:$B$6,0),MATCH('Rekomendasi HAV'!I716,'9 Grid'!$D$2:$F$2,0)),"")</f>
        <v/>
      </c>
      <c r="K716" s="146" t="str">
        <f>IFERROR(INDEX('9 Grid'!$D$8:$F$8,1,MATCH('Rekomendasi HAV'!I716,'9 Grid'!$D$2:$F$2,0)),"")</f>
        <v>(ST) Within 12 - 18 month</v>
      </c>
      <c r="L716" s="146">
        <f>IF(ISNUMBER(SEARCH("EST",Assessment[[#This Row],[JOB TARGET]])),SUBSTITUTE(Assessment[[#This Row],[JOB TARGET]],"EST","DEV"),Assessment[[#This Row],[JOB TARGET]])</f>
        <v>0</v>
      </c>
      <c r="M716" s="146" t="str" cm="1">
        <f t="array" aca="1" ref="M716" ca="1">IF(Assessment[[#This Row],[JOB TARGET]]="","Job Target Kosong",IF(COUNT(IF('Data Assessment'!$N716:$Z716-OFFSET(Standar!$B$2,MATCH(Assessment[[#This Row],[JOB TARGET
(DEV)]],Standar[NAMA JABATAN],0)-1,1,1,13)&lt;0,1,""))&lt;=3,'9 Grid'!$B$4,IF(COUNT(IF('Data Assessment'!$N716:$Z716-OFFSET(Standar!$B$2,MATCH(Assessment[[#This Row],[JOB TARGET
(DEV)]],Standar[NAMA JABATAN],0)-1,1,1,13)&lt;0,1,""))&gt;=7,'9 Grid'!$B$6,'9 Grid'!$B$5)))</f>
        <v>Job Target Kosong</v>
      </c>
      <c r="N716" s="146" t="str">
        <f>IFERROR(IF(Data_Assessment[[#This Row],[IPP (3 YEARS AVERAGE)]]="","(IPP Belum Ada)",IF(Data_Assessment[[#This Row],[IPP (3 YEARS AVERAGE)]]&lt;2,'9 Grid'!$F$2,IF(Data_Assessment[[#This Row],[IPP (3 YEARS AVERAGE)]]&gt;=4,'9 Grid'!$D$2,'9 Grid'!$E$2))),"")</f>
        <v>Fully Competence Performance</v>
      </c>
      <c r="O716" s="146" t="str">
        <f ca="1">IFERROR(INDEX('9 Grid'!$D$4:$F$6,MATCH('Rekomendasi HAV'!M716,'9 Grid'!$B$4:$B$6,0),MATCH('Rekomendasi HAV'!N716,'9 Grid'!$D$2:$F$2,0)),"")</f>
        <v/>
      </c>
      <c r="P716" s="147" t="str">
        <f>IFERROR(INDEX('9 Grid'!$D$8:$F$8,1,MATCH('Rekomendasi HAV'!N716,'9 Grid'!$D$2:$F$2,0)),"")</f>
        <v>(ST) Within 12 - 18 month</v>
      </c>
    </row>
    <row r="717" spans="1:16" ht="28.5">
      <c r="A717" s="67">
        <v>716</v>
      </c>
      <c r="B717" s="68" t="str">
        <f>INDEX(Data_Assessment[],MATCH('Rekomendasi HAV'!$A717,Data_Assessment[[INDEX]:[INDEX]],0),MATCH('Rekomendasi HAV'!B$1,Data_Assessment[#Headers],0))</f>
        <v>Coco Andi Putra</v>
      </c>
      <c r="C717" s="68" t="str">
        <f>INDEX(Data_Assessment[],MATCH('Rekomendasi HAV'!$A717,Data_Assessment[[INDEX]:[INDEX]],0),MATCH('Rekomendasi HAV'!C$1,Data_Assessment[#Headers],0))</f>
        <v>Sumatera Selatan</v>
      </c>
      <c r="D717" s="68" t="str">
        <f>INDEX(Data_Assessment[],MATCH('Rekomendasi HAV'!$A717,Data_Assessment[[INDEX]:[INDEX]],0),MATCH('Rekomendasi HAV'!D$1,Data_Assessment[#Headers],0))</f>
        <v>LSIP - Arta Kencana Estate</v>
      </c>
      <c r="E717" s="68">
        <f>INDEX(Data_Assessment[],MATCH('Rekomendasi HAV'!$B717,Data_Assessment[[NAME]:[NAME]],0),MATCH('Rekomendasi HAV'!E$1,Data_Assessment[#Headers],0))</f>
        <v>0</v>
      </c>
      <c r="F717" s="68"/>
      <c r="G717" s="68">
        <f>IF(ISNUMBER(SEARCH("DEV",Assessment[[#This Row],[JOB TARGET]])),SUBSTITUTE(Assessment[[#This Row],[JOB TARGET]],"DEV","EST"),Assessment[[#This Row],[JOB TARGET]])</f>
        <v>0</v>
      </c>
      <c r="H717" s="146" t="str" cm="1">
        <f t="array" aca="1" ref="H717" ca="1">IF(Assessment[[#This Row],[JOB TARGET]]="","Job Target Kosong",IF(COUNT(IF('Data Assessment'!$N717:$Z717-OFFSET(Standar!$B$2,MATCH(Assessment[[#This Row],[JOB TARGET
(EST)]],Standar[NAMA JABATAN],0)-1,1,1,13)&lt;0,1,""))&lt;=3,'9 Grid'!$B$4,IF(COUNT(IF('Data Assessment'!$N717:$Z717-OFFSET(Standar!$B$2,MATCH(Assessment[[#This Row],[JOB TARGET]],Standar[NAMA JABATAN],0)-1,1,1,13)&lt;0,1,""))&gt;=7,'9 Grid'!$B$6,'9 Grid'!$B$5)))</f>
        <v>Job Target Kosong</v>
      </c>
      <c r="I717" s="146" t="str">
        <f>IFERROR(IF(Data_Assessment[[#This Row],[IPP (3 YEARS AVERAGE)]]="","(IPP Belum Ada)",IF(Data_Assessment[[#This Row],[IPP (3 YEARS AVERAGE)]]&lt;2,'9 Grid'!$F$2,IF(Data_Assessment[[#This Row],[IPP (3 YEARS AVERAGE)]]&gt;=4,'9 Grid'!$D$2,'9 Grid'!$E$2))),"")</f>
        <v>Fully Competence Performance</v>
      </c>
      <c r="J717" s="146" t="str">
        <f ca="1">IFERROR(INDEX('9 Grid'!$D$4:$F$6,MATCH('Rekomendasi HAV'!H717,'9 Grid'!$B$4:$B$6,0),MATCH('Rekomendasi HAV'!I717,'9 Grid'!$D$2:$F$2,0)),"")</f>
        <v/>
      </c>
      <c r="K717" s="146" t="str">
        <f>IFERROR(INDEX('9 Grid'!$D$8:$F$8,1,MATCH('Rekomendasi HAV'!I717,'9 Grid'!$D$2:$F$2,0)),"")</f>
        <v>(ST) Within 12 - 18 month</v>
      </c>
      <c r="L717" s="146">
        <f>IF(ISNUMBER(SEARCH("EST",Assessment[[#This Row],[JOB TARGET]])),SUBSTITUTE(Assessment[[#This Row],[JOB TARGET]],"EST","DEV"),Assessment[[#This Row],[JOB TARGET]])</f>
        <v>0</v>
      </c>
      <c r="M717" s="146" t="str" cm="1">
        <f t="array" aca="1" ref="M717" ca="1">IF(Assessment[[#This Row],[JOB TARGET]]="","Job Target Kosong",IF(COUNT(IF('Data Assessment'!$N717:$Z717-OFFSET(Standar!$B$2,MATCH(Assessment[[#This Row],[JOB TARGET
(DEV)]],Standar[NAMA JABATAN],0)-1,1,1,13)&lt;0,1,""))&lt;=3,'9 Grid'!$B$4,IF(COUNT(IF('Data Assessment'!$N717:$Z717-OFFSET(Standar!$B$2,MATCH(Assessment[[#This Row],[JOB TARGET
(DEV)]],Standar[NAMA JABATAN],0)-1,1,1,13)&lt;0,1,""))&gt;=7,'9 Grid'!$B$6,'9 Grid'!$B$5)))</f>
        <v>Job Target Kosong</v>
      </c>
      <c r="N717" s="146" t="str">
        <f>IFERROR(IF(Data_Assessment[[#This Row],[IPP (3 YEARS AVERAGE)]]="","(IPP Belum Ada)",IF(Data_Assessment[[#This Row],[IPP (3 YEARS AVERAGE)]]&lt;2,'9 Grid'!$F$2,IF(Data_Assessment[[#This Row],[IPP (3 YEARS AVERAGE)]]&gt;=4,'9 Grid'!$D$2,'9 Grid'!$E$2))),"")</f>
        <v>Fully Competence Performance</v>
      </c>
      <c r="O717" s="146" t="str">
        <f ca="1">IFERROR(INDEX('9 Grid'!$D$4:$F$6,MATCH('Rekomendasi HAV'!M717,'9 Grid'!$B$4:$B$6,0),MATCH('Rekomendasi HAV'!N717,'9 Grid'!$D$2:$F$2,0)),"")</f>
        <v/>
      </c>
      <c r="P717" s="147" t="str">
        <f>IFERROR(INDEX('9 Grid'!$D$8:$F$8,1,MATCH('Rekomendasi HAV'!N717,'9 Grid'!$D$2:$F$2,0)),"")</f>
        <v>(ST) Within 12 - 18 month</v>
      </c>
    </row>
    <row r="718" spans="1:16" ht="28.5">
      <c r="A718" s="67">
        <v>717</v>
      </c>
      <c r="B718" s="68" t="str">
        <f>INDEX(Data_Assessment[],MATCH('Rekomendasi HAV'!$A718,Data_Assessment[[INDEX]:[INDEX]],0),MATCH('Rekomendasi HAV'!B$1,Data_Assessment[#Headers],0))</f>
        <v>Auzai Matondang, Ir.</v>
      </c>
      <c r="C718" s="68" t="str">
        <f>INDEX(Data_Assessment[],MATCH('Rekomendasi HAV'!$A718,Data_Assessment[[INDEX]:[INDEX]],0),MATCH('Rekomendasi HAV'!C$1,Data_Assessment[#Headers],0))</f>
        <v>Sumatera Selatan</v>
      </c>
      <c r="D718" s="68" t="str">
        <f>INDEX(Data_Assessment[],MATCH('Rekomendasi HAV'!$A718,Data_Assessment[[INDEX]:[INDEX]],0),MATCH('Rekomendasi HAV'!D$1,Data_Assessment[#Headers],0))</f>
        <v>LSIP - Bukit Hijau Estate</v>
      </c>
      <c r="E718" s="68">
        <f>INDEX(Data_Assessment[],MATCH('Rekomendasi HAV'!$B718,Data_Assessment[[NAME]:[NAME]],0),MATCH('Rekomendasi HAV'!E$1,Data_Assessment[#Headers],0))</f>
        <v>0</v>
      </c>
      <c r="F718" s="68"/>
      <c r="G718" s="68">
        <f>IF(ISNUMBER(SEARCH("DEV",Assessment[[#This Row],[JOB TARGET]])),SUBSTITUTE(Assessment[[#This Row],[JOB TARGET]],"DEV","EST"),Assessment[[#This Row],[JOB TARGET]])</f>
        <v>0</v>
      </c>
      <c r="H718" s="146" t="str" cm="1">
        <f t="array" aca="1" ref="H718" ca="1">IF(Assessment[[#This Row],[JOB TARGET]]="","Job Target Kosong",IF(COUNT(IF('Data Assessment'!$N718:$Z718-OFFSET(Standar!$B$2,MATCH(Assessment[[#This Row],[JOB TARGET
(EST)]],Standar[NAMA JABATAN],0)-1,1,1,13)&lt;0,1,""))&lt;=3,'9 Grid'!$B$4,IF(COUNT(IF('Data Assessment'!$N718:$Z718-OFFSET(Standar!$B$2,MATCH(Assessment[[#This Row],[JOB TARGET]],Standar[NAMA JABATAN],0)-1,1,1,13)&lt;0,1,""))&gt;=7,'9 Grid'!$B$6,'9 Grid'!$B$5)))</f>
        <v>Job Target Kosong</v>
      </c>
      <c r="I718" s="146" t="str">
        <f>IFERROR(IF(Data_Assessment[[#This Row],[IPP (3 YEARS AVERAGE)]]="","(IPP Belum Ada)",IF(Data_Assessment[[#This Row],[IPP (3 YEARS AVERAGE)]]&lt;2,'9 Grid'!$F$2,IF(Data_Assessment[[#This Row],[IPP (3 YEARS AVERAGE)]]&gt;=4,'9 Grid'!$D$2,'9 Grid'!$E$2))),"")</f>
        <v>Fully Competence Performance</v>
      </c>
      <c r="J718" s="146" t="str">
        <f ca="1">IFERROR(INDEX('9 Grid'!$D$4:$F$6,MATCH('Rekomendasi HAV'!H718,'9 Grid'!$B$4:$B$6,0),MATCH('Rekomendasi HAV'!I718,'9 Grid'!$D$2:$F$2,0)),"")</f>
        <v/>
      </c>
      <c r="K718" s="146" t="str">
        <f>IFERROR(INDEX('9 Grid'!$D$8:$F$8,1,MATCH('Rekomendasi HAV'!I718,'9 Grid'!$D$2:$F$2,0)),"")</f>
        <v>(ST) Within 12 - 18 month</v>
      </c>
      <c r="L718" s="146">
        <f>IF(ISNUMBER(SEARCH("EST",Assessment[[#This Row],[JOB TARGET]])),SUBSTITUTE(Assessment[[#This Row],[JOB TARGET]],"EST","DEV"),Assessment[[#This Row],[JOB TARGET]])</f>
        <v>0</v>
      </c>
      <c r="M718" s="146" t="str" cm="1">
        <f t="array" aca="1" ref="M718" ca="1">IF(Assessment[[#This Row],[JOB TARGET]]="","Job Target Kosong",IF(COUNT(IF('Data Assessment'!$N718:$Z718-OFFSET(Standar!$B$2,MATCH(Assessment[[#This Row],[JOB TARGET
(DEV)]],Standar[NAMA JABATAN],0)-1,1,1,13)&lt;0,1,""))&lt;=3,'9 Grid'!$B$4,IF(COUNT(IF('Data Assessment'!$N718:$Z718-OFFSET(Standar!$B$2,MATCH(Assessment[[#This Row],[JOB TARGET
(DEV)]],Standar[NAMA JABATAN],0)-1,1,1,13)&lt;0,1,""))&gt;=7,'9 Grid'!$B$6,'9 Grid'!$B$5)))</f>
        <v>Job Target Kosong</v>
      </c>
      <c r="N718" s="146" t="str">
        <f>IFERROR(IF(Data_Assessment[[#This Row],[IPP (3 YEARS AVERAGE)]]="","(IPP Belum Ada)",IF(Data_Assessment[[#This Row],[IPP (3 YEARS AVERAGE)]]&lt;2,'9 Grid'!$F$2,IF(Data_Assessment[[#This Row],[IPP (3 YEARS AVERAGE)]]&gt;=4,'9 Grid'!$D$2,'9 Grid'!$E$2))),"")</f>
        <v>Fully Competence Performance</v>
      </c>
      <c r="O718" s="146" t="str">
        <f ca="1">IFERROR(INDEX('9 Grid'!$D$4:$F$6,MATCH('Rekomendasi HAV'!M718,'9 Grid'!$B$4:$B$6,0),MATCH('Rekomendasi HAV'!N718,'9 Grid'!$D$2:$F$2,0)),"")</f>
        <v/>
      </c>
      <c r="P718" s="147" t="str">
        <f>IFERROR(INDEX('9 Grid'!$D$8:$F$8,1,MATCH('Rekomendasi HAV'!N718,'9 Grid'!$D$2:$F$2,0)),"")</f>
        <v>(ST) Within 12 - 18 month</v>
      </c>
    </row>
    <row r="719" spans="1:16" ht="28.5">
      <c r="A719" s="67">
        <v>718</v>
      </c>
      <c r="B719" s="68" t="str">
        <f>INDEX(Data_Assessment[],MATCH('Rekomendasi HAV'!$A719,Data_Assessment[[INDEX]:[INDEX]],0),MATCH('Rekomendasi HAV'!B$1,Data_Assessment[#Headers],0))</f>
        <v>Roland Asmoro</v>
      </c>
      <c r="C719" s="68" t="str">
        <f>INDEX(Data_Assessment[],MATCH('Rekomendasi HAV'!$A719,Data_Assessment[[INDEX]:[INDEX]],0),MATCH('Rekomendasi HAV'!C$1,Data_Assessment[#Headers],0))</f>
        <v>Sumatera Utara</v>
      </c>
      <c r="D719" s="68" t="str">
        <f>INDEX(Data_Assessment[],MATCH('Rekomendasi HAV'!$A719,Data_Assessment[[INDEX]:[INDEX]],0),MATCH('Rekomendasi HAV'!D$1,Data_Assessment[#Headers],0))</f>
        <v>LSIP - Arta Kencana Estate</v>
      </c>
      <c r="E719" s="68">
        <f>INDEX(Data_Assessment[],MATCH('Rekomendasi HAV'!$B719,Data_Assessment[[NAME]:[NAME]],0),MATCH('Rekomendasi HAV'!E$1,Data_Assessment[#Headers],0))</f>
        <v>0</v>
      </c>
      <c r="F719" s="68"/>
      <c r="G719" s="68">
        <f>IF(ISNUMBER(SEARCH("DEV",Assessment[[#This Row],[JOB TARGET]])),SUBSTITUTE(Assessment[[#This Row],[JOB TARGET]],"DEV","EST"),Assessment[[#This Row],[JOB TARGET]])</f>
        <v>0</v>
      </c>
      <c r="H719" s="146" t="str" cm="1">
        <f t="array" aca="1" ref="H719" ca="1">IF(Assessment[[#This Row],[JOB TARGET]]="","Job Target Kosong",IF(COUNT(IF('Data Assessment'!$N719:$Z719-OFFSET(Standar!$B$2,MATCH(Assessment[[#This Row],[JOB TARGET
(EST)]],Standar[NAMA JABATAN],0)-1,1,1,13)&lt;0,1,""))&lt;=3,'9 Grid'!$B$4,IF(COUNT(IF('Data Assessment'!$N719:$Z719-OFFSET(Standar!$B$2,MATCH(Assessment[[#This Row],[JOB TARGET]],Standar[NAMA JABATAN],0)-1,1,1,13)&lt;0,1,""))&gt;=7,'9 Grid'!$B$6,'9 Grid'!$B$5)))</f>
        <v>Job Target Kosong</v>
      </c>
      <c r="I719" s="146" t="str">
        <f>IFERROR(IF(Data_Assessment[[#This Row],[IPP (3 YEARS AVERAGE)]]="","(IPP Belum Ada)",IF(Data_Assessment[[#This Row],[IPP (3 YEARS AVERAGE)]]&lt;2,'9 Grid'!$F$2,IF(Data_Assessment[[#This Row],[IPP (3 YEARS AVERAGE)]]&gt;=4,'9 Grid'!$D$2,'9 Grid'!$E$2))),"")</f>
        <v>Fully Competence Performance</v>
      </c>
      <c r="J719" s="146" t="str">
        <f ca="1">IFERROR(INDEX('9 Grid'!$D$4:$F$6,MATCH('Rekomendasi HAV'!H719,'9 Grid'!$B$4:$B$6,0),MATCH('Rekomendasi HAV'!I719,'9 Grid'!$D$2:$F$2,0)),"")</f>
        <v/>
      </c>
      <c r="K719" s="146" t="str">
        <f>IFERROR(INDEX('9 Grid'!$D$8:$F$8,1,MATCH('Rekomendasi HAV'!I719,'9 Grid'!$D$2:$F$2,0)),"")</f>
        <v>(ST) Within 12 - 18 month</v>
      </c>
      <c r="L719" s="146">
        <f>IF(ISNUMBER(SEARCH("EST",Assessment[[#This Row],[JOB TARGET]])),SUBSTITUTE(Assessment[[#This Row],[JOB TARGET]],"EST","DEV"),Assessment[[#This Row],[JOB TARGET]])</f>
        <v>0</v>
      </c>
      <c r="M719" s="146" t="str" cm="1">
        <f t="array" aca="1" ref="M719" ca="1">IF(Assessment[[#This Row],[JOB TARGET]]="","Job Target Kosong",IF(COUNT(IF('Data Assessment'!$N719:$Z719-OFFSET(Standar!$B$2,MATCH(Assessment[[#This Row],[JOB TARGET
(DEV)]],Standar[NAMA JABATAN],0)-1,1,1,13)&lt;0,1,""))&lt;=3,'9 Grid'!$B$4,IF(COUNT(IF('Data Assessment'!$N719:$Z719-OFFSET(Standar!$B$2,MATCH(Assessment[[#This Row],[JOB TARGET
(DEV)]],Standar[NAMA JABATAN],0)-1,1,1,13)&lt;0,1,""))&gt;=7,'9 Grid'!$B$6,'9 Grid'!$B$5)))</f>
        <v>Job Target Kosong</v>
      </c>
      <c r="N719" s="146" t="str">
        <f>IFERROR(IF(Data_Assessment[[#This Row],[IPP (3 YEARS AVERAGE)]]="","(IPP Belum Ada)",IF(Data_Assessment[[#This Row],[IPP (3 YEARS AVERAGE)]]&lt;2,'9 Grid'!$F$2,IF(Data_Assessment[[#This Row],[IPP (3 YEARS AVERAGE)]]&gt;=4,'9 Grid'!$D$2,'9 Grid'!$E$2))),"")</f>
        <v>Fully Competence Performance</v>
      </c>
      <c r="O719" s="146" t="str">
        <f ca="1">IFERROR(INDEX('9 Grid'!$D$4:$F$6,MATCH('Rekomendasi HAV'!M719,'9 Grid'!$B$4:$B$6,0),MATCH('Rekomendasi HAV'!N719,'9 Grid'!$D$2:$F$2,0)),"")</f>
        <v/>
      </c>
      <c r="P719" s="147" t="str">
        <f>IFERROR(INDEX('9 Grid'!$D$8:$F$8,1,MATCH('Rekomendasi HAV'!N719,'9 Grid'!$D$2:$F$2,0)),"")</f>
        <v>(ST) Within 12 - 18 month</v>
      </c>
    </row>
    <row r="720" spans="1:16" ht="28.5">
      <c r="A720" s="67">
        <v>719</v>
      </c>
      <c r="B720" s="68" t="str">
        <f>INDEX(Data_Assessment[],MATCH('Rekomendasi HAV'!$A720,Data_Assessment[[INDEX]:[INDEX]],0),MATCH('Rekomendasi HAV'!B$1,Data_Assessment[#Headers],0))</f>
        <v>Andika Rahmad</v>
      </c>
      <c r="C720" s="68" t="str">
        <f>INDEX(Data_Assessment[],MATCH('Rekomendasi HAV'!$A720,Data_Assessment[[INDEX]:[INDEX]],0),MATCH('Rekomendasi HAV'!C$1,Data_Assessment[#Headers],0))</f>
        <v>Sumatera Utara</v>
      </c>
      <c r="D720" s="68" t="str">
        <f>INDEX(Data_Assessment[],MATCH('Rekomendasi HAV'!$A720,Data_Assessment[[INDEX]:[INDEX]],0),MATCH('Rekomendasi HAV'!D$1,Data_Assessment[#Headers],0))</f>
        <v>LSIP - Arta Kencana Estate</v>
      </c>
      <c r="E720" s="68">
        <f>INDEX(Data_Assessment[],MATCH('Rekomendasi HAV'!$B720,Data_Assessment[[NAME]:[NAME]],0),MATCH('Rekomendasi HAV'!E$1,Data_Assessment[#Headers],0))</f>
        <v>0</v>
      </c>
      <c r="F720" s="68"/>
      <c r="G720" s="68">
        <f>IF(ISNUMBER(SEARCH("DEV",Assessment[[#This Row],[JOB TARGET]])),SUBSTITUTE(Assessment[[#This Row],[JOB TARGET]],"DEV","EST"),Assessment[[#This Row],[JOB TARGET]])</f>
        <v>0</v>
      </c>
      <c r="H720" s="146" t="str" cm="1">
        <f t="array" aca="1" ref="H720" ca="1">IF(Assessment[[#This Row],[JOB TARGET]]="","Job Target Kosong",IF(COUNT(IF('Data Assessment'!$N720:$Z720-OFFSET(Standar!$B$2,MATCH(Assessment[[#This Row],[JOB TARGET
(EST)]],Standar[NAMA JABATAN],0)-1,1,1,13)&lt;0,1,""))&lt;=3,'9 Grid'!$B$4,IF(COUNT(IF('Data Assessment'!$N720:$Z720-OFFSET(Standar!$B$2,MATCH(Assessment[[#This Row],[JOB TARGET]],Standar[NAMA JABATAN],0)-1,1,1,13)&lt;0,1,""))&gt;=7,'9 Grid'!$B$6,'9 Grid'!$B$5)))</f>
        <v>Job Target Kosong</v>
      </c>
      <c r="I720" s="146" t="str">
        <f>IFERROR(IF(Data_Assessment[[#This Row],[IPP (3 YEARS AVERAGE)]]="","(IPP Belum Ada)",IF(Data_Assessment[[#This Row],[IPP (3 YEARS AVERAGE)]]&lt;2,'9 Grid'!$F$2,IF(Data_Assessment[[#This Row],[IPP (3 YEARS AVERAGE)]]&gt;=4,'9 Grid'!$D$2,'9 Grid'!$E$2))),"")</f>
        <v>Fully Competence Performance</v>
      </c>
      <c r="J720" s="146" t="str">
        <f ca="1">IFERROR(INDEX('9 Grid'!$D$4:$F$6,MATCH('Rekomendasi HAV'!H720,'9 Grid'!$B$4:$B$6,0),MATCH('Rekomendasi HAV'!I720,'9 Grid'!$D$2:$F$2,0)),"")</f>
        <v/>
      </c>
      <c r="K720" s="146" t="str">
        <f>IFERROR(INDEX('9 Grid'!$D$8:$F$8,1,MATCH('Rekomendasi HAV'!I720,'9 Grid'!$D$2:$F$2,0)),"")</f>
        <v>(ST) Within 12 - 18 month</v>
      </c>
      <c r="L720" s="146">
        <f>IF(ISNUMBER(SEARCH("EST",Assessment[[#This Row],[JOB TARGET]])),SUBSTITUTE(Assessment[[#This Row],[JOB TARGET]],"EST","DEV"),Assessment[[#This Row],[JOB TARGET]])</f>
        <v>0</v>
      </c>
      <c r="M720" s="146" t="str" cm="1">
        <f t="array" aca="1" ref="M720" ca="1">IF(Assessment[[#This Row],[JOB TARGET]]="","Job Target Kosong",IF(COUNT(IF('Data Assessment'!$N720:$Z720-OFFSET(Standar!$B$2,MATCH(Assessment[[#This Row],[JOB TARGET
(DEV)]],Standar[NAMA JABATAN],0)-1,1,1,13)&lt;0,1,""))&lt;=3,'9 Grid'!$B$4,IF(COUNT(IF('Data Assessment'!$N720:$Z720-OFFSET(Standar!$B$2,MATCH(Assessment[[#This Row],[JOB TARGET
(DEV)]],Standar[NAMA JABATAN],0)-1,1,1,13)&lt;0,1,""))&gt;=7,'9 Grid'!$B$6,'9 Grid'!$B$5)))</f>
        <v>Job Target Kosong</v>
      </c>
      <c r="N720" s="146" t="str">
        <f>IFERROR(IF(Data_Assessment[[#This Row],[IPP (3 YEARS AVERAGE)]]="","(IPP Belum Ada)",IF(Data_Assessment[[#This Row],[IPP (3 YEARS AVERAGE)]]&lt;2,'9 Grid'!$F$2,IF(Data_Assessment[[#This Row],[IPP (3 YEARS AVERAGE)]]&gt;=4,'9 Grid'!$D$2,'9 Grid'!$E$2))),"")</f>
        <v>Fully Competence Performance</v>
      </c>
      <c r="O720" s="146" t="str">
        <f ca="1">IFERROR(INDEX('9 Grid'!$D$4:$F$6,MATCH('Rekomendasi HAV'!M720,'9 Grid'!$B$4:$B$6,0),MATCH('Rekomendasi HAV'!N720,'9 Grid'!$D$2:$F$2,0)),"")</f>
        <v/>
      </c>
      <c r="P720" s="147" t="str">
        <f>IFERROR(INDEX('9 Grid'!$D$8:$F$8,1,MATCH('Rekomendasi HAV'!N720,'9 Grid'!$D$2:$F$2,0)),"")</f>
        <v>(ST) Within 12 - 18 month</v>
      </c>
    </row>
    <row r="721" spans="1:16" ht="14.25">
      <c r="A721" s="67">
        <v>720</v>
      </c>
      <c r="B721" s="68" t="str">
        <f>INDEX(Data_Assessment[],MATCH('Rekomendasi HAV'!$A721,Data_Assessment[[INDEX]:[INDEX]],0),MATCH('Rekomendasi HAV'!B$1,Data_Assessment[#Headers],0))</f>
        <v>Prima Verazona Putra</v>
      </c>
      <c r="C721" s="68" t="str">
        <f>INDEX(Data_Assessment[],MATCH('Rekomendasi HAV'!$A721,Data_Assessment[[INDEX]:[INDEX]],0),MATCH('Rekomendasi HAV'!C$1,Data_Assessment[#Headers],0))</f>
        <v>Sumatera Selatan</v>
      </c>
      <c r="D721" s="68" t="str">
        <f>INDEX(Data_Assessment[],MATCH('Rekomendasi HAV'!$A721,Data_Assessment[[INDEX]:[INDEX]],0),MATCH('Rekomendasi HAV'!D$1,Data_Assessment[#Headers],0))</f>
        <v>LSIP - Suka Bangun Estate</v>
      </c>
      <c r="E721" s="68">
        <f>INDEX(Data_Assessment[],MATCH('Rekomendasi HAV'!$B721,Data_Assessment[[NAME]:[NAME]],0),MATCH('Rekomendasi HAV'!E$1,Data_Assessment[#Headers],0))</f>
        <v>0</v>
      </c>
      <c r="F721" s="68"/>
      <c r="G721" s="68">
        <f>IF(ISNUMBER(SEARCH("DEV",Assessment[[#This Row],[JOB TARGET]])),SUBSTITUTE(Assessment[[#This Row],[JOB TARGET]],"DEV","EST"),Assessment[[#This Row],[JOB TARGET]])</f>
        <v>0</v>
      </c>
      <c r="H721" s="146" t="str" cm="1">
        <f t="array" aca="1" ref="H721" ca="1">IF(Assessment[[#This Row],[JOB TARGET]]="","Job Target Kosong",IF(COUNT(IF('Data Assessment'!$N721:$Z721-OFFSET(Standar!$B$2,MATCH(Assessment[[#This Row],[JOB TARGET
(EST)]],Standar[NAMA JABATAN],0)-1,1,1,13)&lt;0,1,""))&lt;=3,'9 Grid'!$B$4,IF(COUNT(IF('Data Assessment'!$N721:$Z721-OFFSET(Standar!$B$2,MATCH(Assessment[[#This Row],[JOB TARGET]],Standar[NAMA JABATAN],0)-1,1,1,13)&lt;0,1,""))&gt;=7,'9 Grid'!$B$6,'9 Grid'!$B$5)))</f>
        <v>Job Target Kosong</v>
      </c>
      <c r="I721" s="146" t="str">
        <f>IFERROR(IF(Data_Assessment[[#This Row],[IPP (3 YEARS AVERAGE)]]="","(IPP Belum Ada)",IF(Data_Assessment[[#This Row],[IPP (3 YEARS AVERAGE)]]&lt;2,'9 Grid'!$F$2,IF(Data_Assessment[[#This Row],[IPP (3 YEARS AVERAGE)]]&gt;=4,'9 Grid'!$D$2,'9 Grid'!$E$2))),"")</f>
        <v>Exceptional Performance</v>
      </c>
      <c r="J721" s="146" t="str">
        <f ca="1">IFERROR(INDEX('9 Grid'!$D$4:$F$6,MATCH('Rekomendasi HAV'!H721,'9 Grid'!$B$4:$B$6,0),MATCH('Rekomendasi HAV'!I721,'9 Grid'!$D$2:$F$2,0)),"")</f>
        <v/>
      </c>
      <c r="K721" s="146" t="str">
        <f>IFERROR(INDEX('9 Grid'!$D$8:$F$8,1,MATCH('Rekomendasi HAV'!I721,'9 Grid'!$D$2:$F$2,0)),"")</f>
        <v>(I) Immediately</v>
      </c>
      <c r="L721" s="146">
        <f>IF(ISNUMBER(SEARCH("EST",Assessment[[#This Row],[JOB TARGET]])),SUBSTITUTE(Assessment[[#This Row],[JOB TARGET]],"EST","DEV"),Assessment[[#This Row],[JOB TARGET]])</f>
        <v>0</v>
      </c>
      <c r="M721" s="146" t="str" cm="1">
        <f t="array" aca="1" ref="M721" ca="1">IF(Assessment[[#This Row],[JOB TARGET]]="","Job Target Kosong",IF(COUNT(IF('Data Assessment'!$N721:$Z721-OFFSET(Standar!$B$2,MATCH(Assessment[[#This Row],[JOB TARGET
(DEV)]],Standar[NAMA JABATAN],0)-1,1,1,13)&lt;0,1,""))&lt;=3,'9 Grid'!$B$4,IF(COUNT(IF('Data Assessment'!$N721:$Z721-OFFSET(Standar!$B$2,MATCH(Assessment[[#This Row],[JOB TARGET
(DEV)]],Standar[NAMA JABATAN],0)-1,1,1,13)&lt;0,1,""))&gt;=7,'9 Grid'!$B$6,'9 Grid'!$B$5)))</f>
        <v>Job Target Kosong</v>
      </c>
      <c r="N721" s="146" t="str">
        <f>IFERROR(IF(Data_Assessment[[#This Row],[IPP (3 YEARS AVERAGE)]]="","(IPP Belum Ada)",IF(Data_Assessment[[#This Row],[IPP (3 YEARS AVERAGE)]]&lt;2,'9 Grid'!$F$2,IF(Data_Assessment[[#This Row],[IPP (3 YEARS AVERAGE)]]&gt;=4,'9 Grid'!$D$2,'9 Grid'!$E$2))),"")</f>
        <v>Exceptional Performance</v>
      </c>
      <c r="O721" s="146" t="str">
        <f ca="1">IFERROR(INDEX('9 Grid'!$D$4:$F$6,MATCH('Rekomendasi HAV'!M721,'9 Grid'!$B$4:$B$6,0),MATCH('Rekomendasi HAV'!N721,'9 Grid'!$D$2:$F$2,0)),"")</f>
        <v/>
      </c>
      <c r="P721" s="147" t="str">
        <f>IFERROR(INDEX('9 Grid'!$D$8:$F$8,1,MATCH('Rekomendasi HAV'!N721,'9 Grid'!$D$2:$F$2,0)),"")</f>
        <v>(I) Immediately</v>
      </c>
    </row>
    <row r="722" spans="1:16" ht="28.5">
      <c r="A722" s="67">
        <v>721</v>
      </c>
      <c r="B722" s="68" t="str">
        <f>INDEX(Data_Assessment[],MATCH('Rekomendasi HAV'!$A722,Data_Assessment[[INDEX]:[INDEX]],0),MATCH('Rekomendasi HAV'!B$1,Data_Assessment[#Headers],0))</f>
        <v>Agus Wahyudi Sutrisno</v>
      </c>
      <c r="C722" s="68" t="str">
        <f>INDEX(Data_Assessment[],MATCH('Rekomendasi HAV'!$A722,Data_Assessment[[INDEX]:[INDEX]],0),MATCH('Rekomendasi HAV'!C$1,Data_Assessment[#Headers],0))</f>
        <v>Sumatera Selatan</v>
      </c>
      <c r="D722" s="68" t="str">
        <f>INDEX(Data_Assessment[],MATCH('Rekomendasi HAV'!$A722,Data_Assessment[[INDEX]:[INDEX]],0),MATCH('Rekomendasi HAV'!D$1,Data_Assessment[#Headers],0))</f>
        <v>LSIP - Bangun Harjo Estate</v>
      </c>
      <c r="E722" s="68">
        <f>INDEX(Data_Assessment[],MATCH('Rekomendasi HAV'!$B722,Data_Assessment[[NAME]:[NAME]],0),MATCH('Rekomendasi HAV'!E$1,Data_Assessment[#Headers],0))</f>
        <v>0</v>
      </c>
      <c r="F722" s="68"/>
      <c r="G722" s="68">
        <f>IF(ISNUMBER(SEARCH("DEV",Assessment[[#This Row],[JOB TARGET]])),SUBSTITUTE(Assessment[[#This Row],[JOB TARGET]],"DEV","EST"),Assessment[[#This Row],[JOB TARGET]])</f>
        <v>0</v>
      </c>
      <c r="H722" s="146" t="str" cm="1">
        <f t="array" aca="1" ref="H722" ca="1">IF(Assessment[[#This Row],[JOB TARGET]]="","Job Target Kosong",IF(COUNT(IF('Data Assessment'!$N722:$Z722-OFFSET(Standar!$B$2,MATCH(Assessment[[#This Row],[JOB TARGET
(EST)]],Standar[NAMA JABATAN],0)-1,1,1,13)&lt;0,1,""))&lt;=3,'9 Grid'!$B$4,IF(COUNT(IF('Data Assessment'!$N722:$Z722-OFFSET(Standar!$B$2,MATCH(Assessment[[#This Row],[JOB TARGET]],Standar[NAMA JABATAN],0)-1,1,1,13)&lt;0,1,""))&gt;=7,'9 Grid'!$B$6,'9 Grid'!$B$5)))</f>
        <v>Job Target Kosong</v>
      </c>
      <c r="I722" s="146" t="str">
        <f>IFERROR(IF(Data_Assessment[[#This Row],[IPP (3 YEARS AVERAGE)]]="","(IPP Belum Ada)",IF(Data_Assessment[[#This Row],[IPP (3 YEARS AVERAGE)]]&lt;2,'9 Grid'!$F$2,IF(Data_Assessment[[#This Row],[IPP (3 YEARS AVERAGE)]]&gt;=4,'9 Grid'!$D$2,'9 Grid'!$E$2))),"")</f>
        <v>Fully Competence Performance</v>
      </c>
      <c r="J722" s="146" t="str">
        <f ca="1">IFERROR(INDEX('9 Grid'!$D$4:$F$6,MATCH('Rekomendasi HAV'!H722,'9 Grid'!$B$4:$B$6,0),MATCH('Rekomendasi HAV'!I722,'9 Grid'!$D$2:$F$2,0)),"")</f>
        <v/>
      </c>
      <c r="K722" s="146" t="str">
        <f>IFERROR(INDEX('9 Grid'!$D$8:$F$8,1,MATCH('Rekomendasi HAV'!I722,'9 Grid'!$D$2:$F$2,0)),"")</f>
        <v>(ST) Within 12 - 18 month</v>
      </c>
      <c r="L722" s="146">
        <f>IF(ISNUMBER(SEARCH("EST",Assessment[[#This Row],[JOB TARGET]])),SUBSTITUTE(Assessment[[#This Row],[JOB TARGET]],"EST","DEV"),Assessment[[#This Row],[JOB TARGET]])</f>
        <v>0</v>
      </c>
      <c r="M722" s="146" t="str" cm="1">
        <f t="array" aca="1" ref="M722" ca="1">IF(Assessment[[#This Row],[JOB TARGET]]="","Job Target Kosong",IF(COUNT(IF('Data Assessment'!$N722:$Z722-OFFSET(Standar!$B$2,MATCH(Assessment[[#This Row],[JOB TARGET
(DEV)]],Standar[NAMA JABATAN],0)-1,1,1,13)&lt;0,1,""))&lt;=3,'9 Grid'!$B$4,IF(COUNT(IF('Data Assessment'!$N722:$Z722-OFFSET(Standar!$B$2,MATCH(Assessment[[#This Row],[JOB TARGET
(DEV)]],Standar[NAMA JABATAN],0)-1,1,1,13)&lt;0,1,""))&gt;=7,'9 Grid'!$B$6,'9 Grid'!$B$5)))</f>
        <v>Job Target Kosong</v>
      </c>
      <c r="N722" s="146" t="str">
        <f>IFERROR(IF(Data_Assessment[[#This Row],[IPP (3 YEARS AVERAGE)]]="","(IPP Belum Ada)",IF(Data_Assessment[[#This Row],[IPP (3 YEARS AVERAGE)]]&lt;2,'9 Grid'!$F$2,IF(Data_Assessment[[#This Row],[IPP (3 YEARS AVERAGE)]]&gt;=4,'9 Grid'!$D$2,'9 Grid'!$E$2))),"")</f>
        <v>Fully Competence Performance</v>
      </c>
      <c r="O722" s="146" t="str">
        <f ca="1">IFERROR(INDEX('9 Grid'!$D$4:$F$6,MATCH('Rekomendasi HAV'!M722,'9 Grid'!$B$4:$B$6,0),MATCH('Rekomendasi HAV'!N722,'9 Grid'!$D$2:$F$2,0)),"")</f>
        <v/>
      </c>
      <c r="P722" s="147" t="str">
        <f>IFERROR(INDEX('9 Grid'!$D$8:$F$8,1,MATCH('Rekomendasi HAV'!N722,'9 Grid'!$D$2:$F$2,0)),"")</f>
        <v>(ST) Within 12 - 18 month</v>
      </c>
    </row>
    <row r="723" spans="1:16" ht="28.5">
      <c r="A723" s="67">
        <v>722</v>
      </c>
      <c r="B723" s="68" t="str">
        <f>INDEX(Data_Assessment[],MATCH('Rekomendasi HAV'!$A723,Data_Assessment[[INDEX]:[INDEX]],0),MATCH('Rekomendasi HAV'!B$1,Data_Assessment[#Headers],0))</f>
        <v>Muhammad Habib Nasution</v>
      </c>
      <c r="C723" s="68" t="str">
        <f>INDEX(Data_Assessment[],MATCH('Rekomendasi HAV'!$A723,Data_Assessment[[INDEX]:[INDEX]],0),MATCH('Rekomendasi HAV'!C$1,Data_Assessment[#Headers],0))</f>
        <v>Sumatera Selatan</v>
      </c>
      <c r="D723" s="68" t="str">
        <f>INDEX(Data_Assessment[],MATCH('Rekomendasi HAV'!$A723,Data_Assessment[[INDEX]:[INDEX]],0),MATCH('Rekomendasi HAV'!D$1,Data_Assessment[#Headers],0))</f>
        <v>TMP - Sei Punjung Estate</v>
      </c>
      <c r="E723" s="68">
        <f>INDEX(Data_Assessment[],MATCH('Rekomendasi HAV'!$B723,Data_Assessment[[NAME]:[NAME]],0),MATCH('Rekomendasi HAV'!E$1,Data_Assessment[#Headers],0))</f>
        <v>0</v>
      </c>
      <c r="F723" s="68"/>
      <c r="G723" s="68">
        <f>IF(ISNUMBER(SEARCH("DEV",Assessment[[#This Row],[JOB TARGET]])),SUBSTITUTE(Assessment[[#This Row],[JOB TARGET]],"DEV","EST"),Assessment[[#This Row],[JOB TARGET]])</f>
        <v>0</v>
      </c>
      <c r="H723" s="146" t="str" cm="1">
        <f t="array" aca="1" ref="H723" ca="1">IF(Assessment[[#This Row],[JOB TARGET]]="","Job Target Kosong",IF(COUNT(IF('Data Assessment'!$N723:$Z723-OFFSET(Standar!$B$2,MATCH(Assessment[[#This Row],[JOB TARGET
(EST)]],Standar[NAMA JABATAN],0)-1,1,1,13)&lt;0,1,""))&lt;=3,'9 Grid'!$B$4,IF(COUNT(IF('Data Assessment'!$N723:$Z723-OFFSET(Standar!$B$2,MATCH(Assessment[[#This Row],[JOB TARGET]],Standar[NAMA JABATAN],0)-1,1,1,13)&lt;0,1,""))&gt;=7,'9 Grid'!$B$6,'9 Grid'!$B$5)))</f>
        <v>Job Target Kosong</v>
      </c>
      <c r="I723" s="146" t="str">
        <f>IFERROR(IF(Data_Assessment[[#This Row],[IPP (3 YEARS AVERAGE)]]="","(IPP Belum Ada)",IF(Data_Assessment[[#This Row],[IPP (3 YEARS AVERAGE)]]&lt;2,'9 Grid'!$F$2,IF(Data_Assessment[[#This Row],[IPP (3 YEARS AVERAGE)]]&gt;=4,'9 Grid'!$D$2,'9 Grid'!$E$2))),"")</f>
        <v>Contributor</v>
      </c>
      <c r="J723" s="146" t="str">
        <f ca="1">IFERROR(INDEX('9 Grid'!$D$4:$F$6,MATCH('Rekomendasi HAV'!H723,'9 Grid'!$B$4:$B$6,0),MATCH('Rekomendasi HAV'!I723,'9 Grid'!$D$2:$F$2,0)),"")</f>
        <v/>
      </c>
      <c r="K723" s="146" t="str">
        <f>IFERROR(INDEX('9 Grid'!$D$8:$F$8,1,MATCH('Rekomendasi HAV'!I723,'9 Grid'!$D$2:$F$2,0)),"")</f>
        <v>(LT) More 2 - 3 year</v>
      </c>
      <c r="L723" s="146">
        <f>IF(ISNUMBER(SEARCH("EST",Assessment[[#This Row],[JOB TARGET]])),SUBSTITUTE(Assessment[[#This Row],[JOB TARGET]],"EST","DEV"),Assessment[[#This Row],[JOB TARGET]])</f>
        <v>0</v>
      </c>
      <c r="M723" s="146" t="str" cm="1">
        <f t="array" aca="1" ref="M723" ca="1">IF(Assessment[[#This Row],[JOB TARGET]]="","Job Target Kosong",IF(COUNT(IF('Data Assessment'!$N723:$Z723-OFFSET(Standar!$B$2,MATCH(Assessment[[#This Row],[JOB TARGET
(DEV)]],Standar[NAMA JABATAN],0)-1,1,1,13)&lt;0,1,""))&lt;=3,'9 Grid'!$B$4,IF(COUNT(IF('Data Assessment'!$N723:$Z723-OFFSET(Standar!$B$2,MATCH(Assessment[[#This Row],[JOB TARGET
(DEV)]],Standar[NAMA JABATAN],0)-1,1,1,13)&lt;0,1,""))&gt;=7,'9 Grid'!$B$6,'9 Grid'!$B$5)))</f>
        <v>Job Target Kosong</v>
      </c>
      <c r="N723" s="146" t="str">
        <f>IFERROR(IF(Data_Assessment[[#This Row],[IPP (3 YEARS AVERAGE)]]="","(IPP Belum Ada)",IF(Data_Assessment[[#This Row],[IPP (3 YEARS AVERAGE)]]&lt;2,'9 Grid'!$F$2,IF(Data_Assessment[[#This Row],[IPP (3 YEARS AVERAGE)]]&gt;=4,'9 Grid'!$D$2,'9 Grid'!$E$2))),"")</f>
        <v>Contributor</v>
      </c>
      <c r="O723" s="146" t="str">
        <f ca="1">IFERROR(INDEX('9 Grid'!$D$4:$F$6,MATCH('Rekomendasi HAV'!M723,'9 Grid'!$B$4:$B$6,0),MATCH('Rekomendasi HAV'!N723,'9 Grid'!$D$2:$F$2,0)),"")</f>
        <v/>
      </c>
      <c r="P723" s="147" t="str">
        <f>IFERROR(INDEX('9 Grid'!$D$8:$F$8,1,MATCH('Rekomendasi HAV'!N723,'9 Grid'!$D$2:$F$2,0)),"")</f>
        <v>(LT) More 2 - 3 year</v>
      </c>
    </row>
    <row r="724" spans="1:16" ht="14.25">
      <c r="A724" s="67">
        <v>723</v>
      </c>
      <c r="B724" s="68" t="str">
        <f>INDEX(Data_Assessment[],MATCH('Rekomendasi HAV'!$A724,Data_Assessment[[INDEX]:[INDEX]],0),MATCH('Rekomendasi HAV'!B$1,Data_Assessment[#Headers],0))</f>
        <v>Yakobus Dualolo, Ir.</v>
      </c>
      <c r="C724" s="68" t="str">
        <f>INDEX(Data_Assessment[],MATCH('Rekomendasi HAV'!$A724,Data_Assessment[[INDEX]:[INDEX]],0),MATCH('Rekomendasi HAV'!C$1,Data_Assessment[#Headers],0))</f>
        <v>Sumatera Selatan</v>
      </c>
      <c r="D724" s="68" t="str">
        <f>INDEX(Data_Assessment[],MATCH('Rekomendasi HAV'!$A724,Data_Assessment[[INDEX]:[INDEX]],0),MATCH('Rekomendasi HAV'!D$1,Data_Assessment[#Headers],0))</f>
        <v>LSIP - Tirta Agung Estate</v>
      </c>
      <c r="E724" s="68">
        <f>INDEX(Data_Assessment[],MATCH('Rekomendasi HAV'!$B724,Data_Assessment[[NAME]:[NAME]],0),MATCH('Rekomendasi HAV'!E$1,Data_Assessment[#Headers],0))</f>
        <v>0</v>
      </c>
      <c r="F724" s="68"/>
      <c r="G724" s="68">
        <f>IF(ISNUMBER(SEARCH("DEV",Assessment[[#This Row],[JOB TARGET]])),SUBSTITUTE(Assessment[[#This Row],[JOB TARGET]],"DEV","EST"),Assessment[[#This Row],[JOB TARGET]])</f>
        <v>0</v>
      </c>
      <c r="H724" s="146" t="str" cm="1">
        <f t="array" aca="1" ref="H724" ca="1">IF(Assessment[[#This Row],[JOB TARGET]]="","Job Target Kosong",IF(COUNT(IF('Data Assessment'!$N724:$Z724-OFFSET(Standar!$B$2,MATCH(Assessment[[#This Row],[JOB TARGET
(EST)]],Standar[NAMA JABATAN],0)-1,1,1,13)&lt;0,1,""))&lt;=3,'9 Grid'!$B$4,IF(COUNT(IF('Data Assessment'!$N724:$Z724-OFFSET(Standar!$B$2,MATCH(Assessment[[#This Row],[JOB TARGET]],Standar[NAMA JABATAN],0)-1,1,1,13)&lt;0,1,""))&gt;=7,'9 Grid'!$B$6,'9 Grid'!$B$5)))</f>
        <v>Job Target Kosong</v>
      </c>
      <c r="I724" s="146" t="str">
        <f>IFERROR(IF(Data_Assessment[[#This Row],[IPP (3 YEARS AVERAGE)]]="","(IPP Belum Ada)",IF(Data_Assessment[[#This Row],[IPP (3 YEARS AVERAGE)]]&lt;2,'9 Grid'!$F$2,IF(Data_Assessment[[#This Row],[IPP (3 YEARS AVERAGE)]]&gt;=4,'9 Grid'!$D$2,'9 Grid'!$E$2))),"")</f>
        <v>Exceptional Performance</v>
      </c>
      <c r="J724" s="146" t="str">
        <f ca="1">IFERROR(INDEX('9 Grid'!$D$4:$F$6,MATCH('Rekomendasi HAV'!H724,'9 Grid'!$B$4:$B$6,0),MATCH('Rekomendasi HAV'!I724,'9 Grid'!$D$2:$F$2,0)),"")</f>
        <v/>
      </c>
      <c r="K724" s="146" t="str">
        <f>IFERROR(INDEX('9 Grid'!$D$8:$F$8,1,MATCH('Rekomendasi HAV'!I724,'9 Grid'!$D$2:$F$2,0)),"")</f>
        <v>(I) Immediately</v>
      </c>
      <c r="L724" s="146">
        <f>IF(ISNUMBER(SEARCH("EST",Assessment[[#This Row],[JOB TARGET]])),SUBSTITUTE(Assessment[[#This Row],[JOB TARGET]],"EST","DEV"),Assessment[[#This Row],[JOB TARGET]])</f>
        <v>0</v>
      </c>
      <c r="M724" s="146" t="str" cm="1">
        <f t="array" aca="1" ref="M724" ca="1">IF(Assessment[[#This Row],[JOB TARGET]]="","Job Target Kosong",IF(COUNT(IF('Data Assessment'!$N724:$Z724-OFFSET(Standar!$B$2,MATCH(Assessment[[#This Row],[JOB TARGET
(DEV)]],Standar[NAMA JABATAN],0)-1,1,1,13)&lt;0,1,""))&lt;=3,'9 Grid'!$B$4,IF(COUNT(IF('Data Assessment'!$N724:$Z724-OFFSET(Standar!$B$2,MATCH(Assessment[[#This Row],[JOB TARGET
(DEV)]],Standar[NAMA JABATAN],0)-1,1,1,13)&lt;0,1,""))&gt;=7,'9 Grid'!$B$6,'9 Grid'!$B$5)))</f>
        <v>Job Target Kosong</v>
      </c>
      <c r="N724" s="146" t="str">
        <f>IFERROR(IF(Data_Assessment[[#This Row],[IPP (3 YEARS AVERAGE)]]="","(IPP Belum Ada)",IF(Data_Assessment[[#This Row],[IPP (3 YEARS AVERAGE)]]&lt;2,'9 Grid'!$F$2,IF(Data_Assessment[[#This Row],[IPP (3 YEARS AVERAGE)]]&gt;=4,'9 Grid'!$D$2,'9 Grid'!$E$2))),"")</f>
        <v>Exceptional Performance</v>
      </c>
      <c r="O724" s="146" t="str">
        <f ca="1">IFERROR(INDEX('9 Grid'!$D$4:$F$6,MATCH('Rekomendasi HAV'!M724,'9 Grid'!$B$4:$B$6,0),MATCH('Rekomendasi HAV'!N724,'9 Grid'!$D$2:$F$2,0)),"")</f>
        <v/>
      </c>
      <c r="P724" s="147" t="str">
        <f>IFERROR(INDEX('9 Grid'!$D$8:$F$8,1,MATCH('Rekomendasi HAV'!N724,'9 Grid'!$D$2:$F$2,0)),"")</f>
        <v>(I) Immediately</v>
      </c>
    </row>
    <row r="725" spans="1:16" ht="28.5">
      <c r="A725" s="67">
        <v>724</v>
      </c>
      <c r="B725" s="68" t="str">
        <f>INDEX(Data_Assessment[],MATCH('Rekomendasi HAV'!$A725,Data_Assessment[[INDEX]:[INDEX]],0),MATCH('Rekomendasi HAV'!B$1,Data_Assessment[#Headers],0))</f>
        <v>M. Anggoro Cipto</v>
      </c>
      <c r="C725" s="68" t="str">
        <f>INDEX(Data_Assessment[],MATCH('Rekomendasi HAV'!$A725,Data_Assessment[[INDEX]:[INDEX]],0),MATCH('Rekomendasi HAV'!C$1,Data_Assessment[#Headers],0))</f>
        <v>Sumatera Selatan</v>
      </c>
      <c r="D725" s="68" t="str">
        <f>INDEX(Data_Assessment[],MATCH('Rekomendasi HAV'!$A725,Data_Assessment[[INDEX]:[INDEX]],0),MATCH('Rekomendasi HAV'!D$1,Data_Assessment[#Headers],0))</f>
        <v>LSIP - Tirta Agung Estate</v>
      </c>
      <c r="E725" s="68">
        <f>INDEX(Data_Assessment[],MATCH('Rekomendasi HAV'!$B725,Data_Assessment[[NAME]:[NAME]],0),MATCH('Rekomendasi HAV'!E$1,Data_Assessment[#Headers],0))</f>
        <v>0</v>
      </c>
      <c r="F725" s="68"/>
      <c r="G725" s="68">
        <f>IF(ISNUMBER(SEARCH("DEV",Assessment[[#This Row],[JOB TARGET]])),SUBSTITUTE(Assessment[[#This Row],[JOB TARGET]],"DEV","EST"),Assessment[[#This Row],[JOB TARGET]])</f>
        <v>0</v>
      </c>
      <c r="H725" s="146" t="str" cm="1">
        <f t="array" aca="1" ref="H725" ca="1">IF(Assessment[[#This Row],[JOB TARGET]]="","Job Target Kosong",IF(COUNT(IF('Data Assessment'!$N725:$Z725-OFFSET(Standar!$B$2,MATCH(Assessment[[#This Row],[JOB TARGET
(EST)]],Standar[NAMA JABATAN],0)-1,1,1,13)&lt;0,1,""))&lt;=3,'9 Grid'!$B$4,IF(COUNT(IF('Data Assessment'!$N725:$Z725-OFFSET(Standar!$B$2,MATCH(Assessment[[#This Row],[JOB TARGET]],Standar[NAMA JABATAN],0)-1,1,1,13)&lt;0,1,""))&gt;=7,'9 Grid'!$B$6,'9 Grid'!$B$5)))</f>
        <v>Job Target Kosong</v>
      </c>
      <c r="I725" s="146" t="str">
        <f>IFERROR(IF(Data_Assessment[[#This Row],[IPP (3 YEARS AVERAGE)]]="","(IPP Belum Ada)",IF(Data_Assessment[[#This Row],[IPP (3 YEARS AVERAGE)]]&lt;2,'9 Grid'!$F$2,IF(Data_Assessment[[#This Row],[IPP (3 YEARS AVERAGE)]]&gt;=4,'9 Grid'!$D$2,'9 Grid'!$E$2))),"")</f>
        <v>Fully Competence Performance</v>
      </c>
      <c r="J725" s="146" t="str">
        <f ca="1">IFERROR(INDEX('9 Grid'!$D$4:$F$6,MATCH('Rekomendasi HAV'!H725,'9 Grid'!$B$4:$B$6,0),MATCH('Rekomendasi HAV'!I725,'9 Grid'!$D$2:$F$2,0)),"")</f>
        <v/>
      </c>
      <c r="K725" s="146" t="str">
        <f>IFERROR(INDEX('9 Grid'!$D$8:$F$8,1,MATCH('Rekomendasi HAV'!I725,'9 Grid'!$D$2:$F$2,0)),"")</f>
        <v>(ST) Within 12 - 18 month</v>
      </c>
      <c r="L725" s="146">
        <f>IF(ISNUMBER(SEARCH("EST",Assessment[[#This Row],[JOB TARGET]])),SUBSTITUTE(Assessment[[#This Row],[JOB TARGET]],"EST","DEV"),Assessment[[#This Row],[JOB TARGET]])</f>
        <v>0</v>
      </c>
      <c r="M725" s="146" t="str" cm="1">
        <f t="array" aca="1" ref="M725" ca="1">IF(Assessment[[#This Row],[JOB TARGET]]="","Job Target Kosong",IF(COUNT(IF('Data Assessment'!$N725:$Z725-OFFSET(Standar!$B$2,MATCH(Assessment[[#This Row],[JOB TARGET
(DEV)]],Standar[NAMA JABATAN],0)-1,1,1,13)&lt;0,1,""))&lt;=3,'9 Grid'!$B$4,IF(COUNT(IF('Data Assessment'!$N725:$Z725-OFFSET(Standar!$B$2,MATCH(Assessment[[#This Row],[JOB TARGET
(DEV)]],Standar[NAMA JABATAN],0)-1,1,1,13)&lt;0,1,""))&gt;=7,'9 Grid'!$B$6,'9 Grid'!$B$5)))</f>
        <v>Job Target Kosong</v>
      </c>
      <c r="N725" s="146" t="str">
        <f>IFERROR(IF(Data_Assessment[[#This Row],[IPP (3 YEARS AVERAGE)]]="","(IPP Belum Ada)",IF(Data_Assessment[[#This Row],[IPP (3 YEARS AVERAGE)]]&lt;2,'9 Grid'!$F$2,IF(Data_Assessment[[#This Row],[IPP (3 YEARS AVERAGE)]]&gt;=4,'9 Grid'!$D$2,'9 Grid'!$E$2))),"")</f>
        <v>Fully Competence Performance</v>
      </c>
      <c r="O725" s="146" t="str">
        <f ca="1">IFERROR(INDEX('9 Grid'!$D$4:$F$6,MATCH('Rekomendasi HAV'!M725,'9 Grid'!$B$4:$B$6,0),MATCH('Rekomendasi HAV'!N725,'9 Grid'!$D$2:$F$2,0)),"")</f>
        <v/>
      </c>
      <c r="P725" s="147" t="str">
        <f>IFERROR(INDEX('9 Grid'!$D$8:$F$8,1,MATCH('Rekomendasi HAV'!N725,'9 Grid'!$D$2:$F$2,0)),"")</f>
        <v>(ST) Within 12 - 18 month</v>
      </c>
    </row>
    <row r="726" spans="1:16" ht="28.5">
      <c r="A726" s="67">
        <v>725</v>
      </c>
      <c r="B726" s="68" t="str">
        <f>INDEX(Data_Assessment[],MATCH('Rekomendasi HAV'!$A726,Data_Assessment[[INDEX]:[INDEX]],0),MATCH('Rekomendasi HAV'!B$1,Data_Assessment[#Headers],0))</f>
        <v>Syafaruddin, Ir.</v>
      </c>
      <c r="C726" s="68" t="str">
        <f>INDEX(Data_Assessment[],MATCH('Rekomendasi HAV'!$A726,Data_Assessment[[INDEX]:[INDEX]],0),MATCH('Rekomendasi HAV'!C$1,Data_Assessment[#Headers],0))</f>
        <v>Sumatera Selatan</v>
      </c>
      <c r="D726" s="68" t="str">
        <f>INDEX(Data_Assessment[],MATCH('Rekomendasi HAV'!$A726,Data_Assessment[[INDEX]:[INDEX]],0),MATCH('Rekomendasi HAV'!D$1,Data_Assessment[#Headers],0))</f>
        <v>LSIP - Tirta Agung Estate</v>
      </c>
      <c r="E726" s="68">
        <f>INDEX(Data_Assessment[],MATCH('Rekomendasi HAV'!$B726,Data_Assessment[[NAME]:[NAME]],0),MATCH('Rekomendasi HAV'!E$1,Data_Assessment[#Headers],0))</f>
        <v>0</v>
      </c>
      <c r="F726" s="68"/>
      <c r="G726" s="68">
        <f>IF(ISNUMBER(SEARCH("DEV",Assessment[[#This Row],[JOB TARGET]])),SUBSTITUTE(Assessment[[#This Row],[JOB TARGET]],"DEV","EST"),Assessment[[#This Row],[JOB TARGET]])</f>
        <v>0</v>
      </c>
      <c r="H726" s="146" t="str" cm="1">
        <f t="array" aca="1" ref="H726" ca="1">IF(Assessment[[#This Row],[JOB TARGET]]="","Job Target Kosong",IF(COUNT(IF('Data Assessment'!$N726:$Z726-OFFSET(Standar!$B$2,MATCH(Assessment[[#This Row],[JOB TARGET
(EST)]],Standar[NAMA JABATAN],0)-1,1,1,13)&lt;0,1,""))&lt;=3,'9 Grid'!$B$4,IF(COUNT(IF('Data Assessment'!$N726:$Z726-OFFSET(Standar!$B$2,MATCH(Assessment[[#This Row],[JOB TARGET]],Standar[NAMA JABATAN],0)-1,1,1,13)&lt;0,1,""))&gt;=7,'9 Grid'!$B$6,'9 Grid'!$B$5)))</f>
        <v>Job Target Kosong</v>
      </c>
      <c r="I726" s="146" t="str">
        <f>IFERROR(IF(Data_Assessment[[#This Row],[IPP (3 YEARS AVERAGE)]]="","(IPP Belum Ada)",IF(Data_Assessment[[#This Row],[IPP (3 YEARS AVERAGE)]]&lt;2,'9 Grid'!$F$2,IF(Data_Assessment[[#This Row],[IPP (3 YEARS AVERAGE)]]&gt;=4,'9 Grid'!$D$2,'9 Grid'!$E$2))),"")</f>
        <v>Fully Competence Performance</v>
      </c>
      <c r="J726" s="146" t="str">
        <f ca="1">IFERROR(INDEX('9 Grid'!$D$4:$F$6,MATCH('Rekomendasi HAV'!H726,'9 Grid'!$B$4:$B$6,0),MATCH('Rekomendasi HAV'!I726,'9 Grid'!$D$2:$F$2,0)),"")</f>
        <v/>
      </c>
      <c r="K726" s="146" t="str">
        <f>IFERROR(INDEX('9 Grid'!$D$8:$F$8,1,MATCH('Rekomendasi HAV'!I726,'9 Grid'!$D$2:$F$2,0)),"")</f>
        <v>(ST) Within 12 - 18 month</v>
      </c>
      <c r="L726" s="146">
        <f>IF(ISNUMBER(SEARCH("EST",Assessment[[#This Row],[JOB TARGET]])),SUBSTITUTE(Assessment[[#This Row],[JOB TARGET]],"EST","DEV"),Assessment[[#This Row],[JOB TARGET]])</f>
        <v>0</v>
      </c>
      <c r="M726" s="146" t="str" cm="1">
        <f t="array" aca="1" ref="M726" ca="1">IF(Assessment[[#This Row],[JOB TARGET]]="","Job Target Kosong",IF(COUNT(IF('Data Assessment'!$N726:$Z726-OFFSET(Standar!$B$2,MATCH(Assessment[[#This Row],[JOB TARGET
(DEV)]],Standar[NAMA JABATAN],0)-1,1,1,13)&lt;0,1,""))&lt;=3,'9 Grid'!$B$4,IF(COUNT(IF('Data Assessment'!$N726:$Z726-OFFSET(Standar!$B$2,MATCH(Assessment[[#This Row],[JOB TARGET
(DEV)]],Standar[NAMA JABATAN],0)-1,1,1,13)&lt;0,1,""))&gt;=7,'9 Grid'!$B$6,'9 Grid'!$B$5)))</f>
        <v>Job Target Kosong</v>
      </c>
      <c r="N726" s="146" t="str">
        <f>IFERROR(IF(Data_Assessment[[#This Row],[IPP (3 YEARS AVERAGE)]]="","(IPP Belum Ada)",IF(Data_Assessment[[#This Row],[IPP (3 YEARS AVERAGE)]]&lt;2,'9 Grid'!$F$2,IF(Data_Assessment[[#This Row],[IPP (3 YEARS AVERAGE)]]&gt;=4,'9 Grid'!$D$2,'9 Grid'!$E$2))),"")</f>
        <v>Fully Competence Performance</v>
      </c>
      <c r="O726" s="146" t="str">
        <f ca="1">IFERROR(INDEX('9 Grid'!$D$4:$F$6,MATCH('Rekomendasi HAV'!M726,'9 Grid'!$B$4:$B$6,0),MATCH('Rekomendasi HAV'!N726,'9 Grid'!$D$2:$F$2,0)),"")</f>
        <v/>
      </c>
      <c r="P726" s="147" t="str">
        <f>IFERROR(INDEX('9 Grid'!$D$8:$F$8,1,MATCH('Rekomendasi HAV'!N726,'9 Grid'!$D$2:$F$2,0)),"")</f>
        <v>(ST) Within 12 - 18 month</v>
      </c>
    </row>
    <row r="727" spans="1:16" ht="28.5">
      <c r="A727" s="67">
        <v>726</v>
      </c>
      <c r="B727" s="68" t="str">
        <f>INDEX(Data_Assessment[],MATCH('Rekomendasi HAV'!$A727,Data_Assessment[[INDEX]:[INDEX]],0),MATCH('Rekomendasi HAV'!B$1,Data_Assessment[#Headers],0))</f>
        <v>Wawan Kristiawan</v>
      </c>
      <c r="C727" s="68" t="str">
        <f>INDEX(Data_Assessment[],MATCH('Rekomendasi HAV'!$A727,Data_Assessment[[INDEX]:[INDEX]],0),MATCH('Rekomendasi HAV'!C$1,Data_Assessment[#Headers],0))</f>
        <v>Sumatera Selatan</v>
      </c>
      <c r="D727" s="68" t="str">
        <f>INDEX(Data_Assessment[],MATCH('Rekomendasi HAV'!$A727,Data_Assessment[[INDEX]:[INDEX]],0),MATCH('Rekomendasi HAV'!D$1,Data_Assessment[#Headers],0))</f>
        <v>LSIP - Tirta Agung Estate</v>
      </c>
      <c r="E727" s="68">
        <f>INDEX(Data_Assessment[],MATCH('Rekomendasi HAV'!$B727,Data_Assessment[[NAME]:[NAME]],0),MATCH('Rekomendasi HAV'!E$1,Data_Assessment[#Headers],0))</f>
        <v>0</v>
      </c>
      <c r="F727" s="68"/>
      <c r="G727" s="68">
        <f>IF(ISNUMBER(SEARCH("DEV",Assessment[[#This Row],[JOB TARGET]])),SUBSTITUTE(Assessment[[#This Row],[JOB TARGET]],"DEV","EST"),Assessment[[#This Row],[JOB TARGET]])</f>
        <v>0</v>
      </c>
      <c r="H727" s="146" t="str" cm="1">
        <f t="array" aca="1" ref="H727" ca="1">IF(Assessment[[#This Row],[JOB TARGET]]="","Job Target Kosong",IF(COUNT(IF('Data Assessment'!$N727:$Z727-OFFSET(Standar!$B$2,MATCH(Assessment[[#This Row],[JOB TARGET
(EST)]],Standar[NAMA JABATAN],0)-1,1,1,13)&lt;0,1,""))&lt;=3,'9 Grid'!$B$4,IF(COUNT(IF('Data Assessment'!$N727:$Z727-OFFSET(Standar!$B$2,MATCH(Assessment[[#This Row],[JOB TARGET]],Standar[NAMA JABATAN],0)-1,1,1,13)&lt;0,1,""))&gt;=7,'9 Grid'!$B$6,'9 Grid'!$B$5)))</f>
        <v>Job Target Kosong</v>
      </c>
      <c r="I727" s="146" t="str">
        <f>IFERROR(IF(Data_Assessment[[#This Row],[IPP (3 YEARS AVERAGE)]]="","(IPP Belum Ada)",IF(Data_Assessment[[#This Row],[IPP (3 YEARS AVERAGE)]]&lt;2,'9 Grid'!$F$2,IF(Data_Assessment[[#This Row],[IPP (3 YEARS AVERAGE)]]&gt;=4,'9 Grid'!$D$2,'9 Grid'!$E$2))),"")</f>
        <v>Fully Competence Performance</v>
      </c>
      <c r="J727" s="146" t="str">
        <f ca="1">IFERROR(INDEX('9 Grid'!$D$4:$F$6,MATCH('Rekomendasi HAV'!H727,'9 Grid'!$B$4:$B$6,0),MATCH('Rekomendasi HAV'!I727,'9 Grid'!$D$2:$F$2,0)),"")</f>
        <v/>
      </c>
      <c r="K727" s="146" t="str">
        <f>IFERROR(INDEX('9 Grid'!$D$8:$F$8,1,MATCH('Rekomendasi HAV'!I727,'9 Grid'!$D$2:$F$2,0)),"")</f>
        <v>(ST) Within 12 - 18 month</v>
      </c>
      <c r="L727" s="146">
        <f>IF(ISNUMBER(SEARCH("EST",Assessment[[#This Row],[JOB TARGET]])),SUBSTITUTE(Assessment[[#This Row],[JOB TARGET]],"EST","DEV"),Assessment[[#This Row],[JOB TARGET]])</f>
        <v>0</v>
      </c>
      <c r="M727" s="146" t="str" cm="1">
        <f t="array" aca="1" ref="M727" ca="1">IF(Assessment[[#This Row],[JOB TARGET]]="","Job Target Kosong",IF(COUNT(IF('Data Assessment'!$N727:$Z727-OFFSET(Standar!$B$2,MATCH(Assessment[[#This Row],[JOB TARGET
(DEV)]],Standar[NAMA JABATAN],0)-1,1,1,13)&lt;0,1,""))&lt;=3,'9 Grid'!$B$4,IF(COUNT(IF('Data Assessment'!$N727:$Z727-OFFSET(Standar!$B$2,MATCH(Assessment[[#This Row],[JOB TARGET
(DEV)]],Standar[NAMA JABATAN],0)-1,1,1,13)&lt;0,1,""))&gt;=7,'9 Grid'!$B$6,'9 Grid'!$B$5)))</f>
        <v>Job Target Kosong</v>
      </c>
      <c r="N727" s="146" t="str">
        <f>IFERROR(IF(Data_Assessment[[#This Row],[IPP (3 YEARS AVERAGE)]]="","(IPP Belum Ada)",IF(Data_Assessment[[#This Row],[IPP (3 YEARS AVERAGE)]]&lt;2,'9 Grid'!$F$2,IF(Data_Assessment[[#This Row],[IPP (3 YEARS AVERAGE)]]&gt;=4,'9 Grid'!$D$2,'9 Grid'!$E$2))),"")</f>
        <v>Fully Competence Performance</v>
      </c>
      <c r="O727" s="146" t="str">
        <f ca="1">IFERROR(INDEX('9 Grid'!$D$4:$F$6,MATCH('Rekomendasi HAV'!M727,'9 Grid'!$B$4:$B$6,0),MATCH('Rekomendasi HAV'!N727,'9 Grid'!$D$2:$F$2,0)),"")</f>
        <v/>
      </c>
      <c r="P727" s="147" t="str">
        <f>IFERROR(INDEX('9 Grid'!$D$8:$F$8,1,MATCH('Rekomendasi HAV'!N727,'9 Grid'!$D$2:$F$2,0)),"")</f>
        <v>(ST) Within 12 - 18 month</v>
      </c>
    </row>
    <row r="728" spans="1:16" ht="28.5">
      <c r="A728" s="67">
        <v>727</v>
      </c>
      <c r="B728" s="68" t="str">
        <f>INDEX(Data_Assessment[],MATCH('Rekomendasi HAV'!$A728,Data_Assessment[[INDEX]:[INDEX]],0),MATCH('Rekomendasi HAV'!B$1,Data_Assessment[#Headers],0))</f>
        <v>Ikbal Afriansyah</v>
      </c>
      <c r="C728" s="68" t="str">
        <f>INDEX(Data_Assessment[],MATCH('Rekomendasi HAV'!$A728,Data_Assessment[[INDEX]:[INDEX]],0),MATCH('Rekomendasi HAV'!C$1,Data_Assessment[#Headers],0))</f>
        <v>Sumatera Selatan</v>
      </c>
      <c r="D728" s="68" t="str">
        <f>INDEX(Data_Assessment[],MATCH('Rekomendasi HAV'!$A728,Data_Assessment[[INDEX]:[INDEX]],0),MATCH('Rekomendasi HAV'!D$1,Data_Assessment[#Headers],0))</f>
        <v>LSIP - Suka Damai Estate</v>
      </c>
      <c r="E728" s="68">
        <f>INDEX(Data_Assessment[],MATCH('Rekomendasi HAV'!$B728,Data_Assessment[[NAME]:[NAME]],0),MATCH('Rekomendasi HAV'!E$1,Data_Assessment[#Headers],0))</f>
        <v>0</v>
      </c>
      <c r="F728" s="68"/>
      <c r="G728" s="68">
        <f>IF(ISNUMBER(SEARCH("DEV",Assessment[[#This Row],[JOB TARGET]])),SUBSTITUTE(Assessment[[#This Row],[JOB TARGET]],"DEV","EST"),Assessment[[#This Row],[JOB TARGET]])</f>
        <v>0</v>
      </c>
      <c r="H728" s="146" t="str" cm="1">
        <f t="array" aca="1" ref="H728" ca="1">IF(Assessment[[#This Row],[JOB TARGET]]="","Job Target Kosong",IF(COUNT(IF('Data Assessment'!$N728:$Z728-OFFSET(Standar!$B$2,MATCH(Assessment[[#This Row],[JOB TARGET
(EST)]],Standar[NAMA JABATAN],0)-1,1,1,13)&lt;0,1,""))&lt;=3,'9 Grid'!$B$4,IF(COUNT(IF('Data Assessment'!$N728:$Z728-OFFSET(Standar!$B$2,MATCH(Assessment[[#This Row],[JOB TARGET]],Standar[NAMA JABATAN],0)-1,1,1,13)&lt;0,1,""))&gt;=7,'9 Grid'!$B$6,'9 Grid'!$B$5)))</f>
        <v>Job Target Kosong</v>
      </c>
      <c r="I728" s="146" t="str">
        <f>IFERROR(IF(Data_Assessment[[#This Row],[IPP (3 YEARS AVERAGE)]]="","(IPP Belum Ada)",IF(Data_Assessment[[#This Row],[IPP (3 YEARS AVERAGE)]]&lt;2,'9 Grid'!$F$2,IF(Data_Assessment[[#This Row],[IPP (3 YEARS AVERAGE)]]&gt;=4,'9 Grid'!$D$2,'9 Grid'!$E$2))),"")</f>
        <v>Fully Competence Performance</v>
      </c>
      <c r="J728" s="146" t="str">
        <f ca="1">IFERROR(INDEX('9 Grid'!$D$4:$F$6,MATCH('Rekomendasi HAV'!H728,'9 Grid'!$B$4:$B$6,0),MATCH('Rekomendasi HAV'!I728,'9 Grid'!$D$2:$F$2,0)),"")</f>
        <v/>
      </c>
      <c r="K728" s="146" t="str">
        <f>IFERROR(INDEX('9 Grid'!$D$8:$F$8,1,MATCH('Rekomendasi HAV'!I728,'9 Grid'!$D$2:$F$2,0)),"")</f>
        <v>(ST) Within 12 - 18 month</v>
      </c>
      <c r="L728" s="146">
        <f>IF(ISNUMBER(SEARCH("EST",Assessment[[#This Row],[JOB TARGET]])),SUBSTITUTE(Assessment[[#This Row],[JOB TARGET]],"EST","DEV"),Assessment[[#This Row],[JOB TARGET]])</f>
        <v>0</v>
      </c>
      <c r="M728" s="146" t="str" cm="1">
        <f t="array" aca="1" ref="M728" ca="1">IF(Assessment[[#This Row],[JOB TARGET]]="","Job Target Kosong",IF(COUNT(IF('Data Assessment'!$N728:$Z728-OFFSET(Standar!$B$2,MATCH(Assessment[[#This Row],[JOB TARGET
(DEV)]],Standar[NAMA JABATAN],0)-1,1,1,13)&lt;0,1,""))&lt;=3,'9 Grid'!$B$4,IF(COUNT(IF('Data Assessment'!$N728:$Z728-OFFSET(Standar!$B$2,MATCH(Assessment[[#This Row],[JOB TARGET
(DEV)]],Standar[NAMA JABATAN],0)-1,1,1,13)&lt;0,1,""))&gt;=7,'9 Grid'!$B$6,'9 Grid'!$B$5)))</f>
        <v>Job Target Kosong</v>
      </c>
      <c r="N728" s="146" t="str">
        <f>IFERROR(IF(Data_Assessment[[#This Row],[IPP (3 YEARS AVERAGE)]]="","(IPP Belum Ada)",IF(Data_Assessment[[#This Row],[IPP (3 YEARS AVERAGE)]]&lt;2,'9 Grid'!$F$2,IF(Data_Assessment[[#This Row],[IPP (3 YEARS AVERAGE)]]&gt;=4,'9 Grid'!$D$2,'9 Grid'!$E$2))),"")</f>
        <v>Fully Competence Performance</v>
      </c>
      <c r="O728" s="146" t="str">
        <f ca="1">IFERROR(INDEX('9 Grid'!$D$4:$F$6,MATCH('Rekomendasi HAV'!M728,'9 Grid'!$B$4:$B$6,0),MATCH('Rekomendasi HAV'!N728,'9 Grid'!$D$2:$F$2,0)),"")</f>
        <v/>
      </c>
      <c r="P728" s="147" t="str">
        <f>IFERROR(INDEX('9 Grid'!$D$8:$F$8,1,MATCH('Rekomendasi HAV'!N728,'9 Grid'!$D$2:$F$2,0)),"")</f>
        <v>(ST) Within 12 - 18 month</v>
      </c>
    </row>
    <row r="729" spans="1:16" ht="14.25">
      <c r="A729" s="67">
        <v>728</v>
      </c>
      <c r="B729" s="68" t="str">
        <f>INDEX(Data_Assessment[],MATCH('Rekomendasi HAV'!$A729,Data_Assessment[[INDEX]:[INDEX]],0),MATCH('Rekomendasi HAV'!B$1,Data_Assessment[#Headers],0))</f>
        <v>M. Karyani</v>
      </c>
      <c r="C729" s="68" t="str">
        <f>INDEX(Data_Assessment[],MATCH('Rekomendasi HAV'!$A729,Data_Assessment[[INDEX]:[INDEX]],0),MATCH('Rekomendasi HAV'!C$1,Data_Assessment[#Headers],0))</f>
        <v>Sumatera Selatan</v>
      </c>
      <c r="D729" s="68" t="str">
        <f>INDEX(Data_Assessment[],MATCH('Rekomendasi HAV'!$A729,Data_Assessment[[INDEX]:[INDEX]],0),MATCH('Rekomendasi HAV'!D$1,Data_Assessment[#Headers],0))</f>
        <v>LSIP - Budi Tirta Estate</v>
      </c>
      <c r="E729" s="68">
        <f>INDEX(Data_Assessment[],MATCH('Rekomendasi HAV'!$B729,Data_Assessment[[NAME]:[NAME]],0),MATCH('Rekomendasi HAV'!E$1,Data_Assessment[#Headers],0))</f>
        <v>0</v>
      </c>
      <c r="F729" s="68"/>
      <c r="G729" s="68">
        <f>IF(ISNUMBER(SEARCH("DEV",Assessment[[#This Row],[JOB TARGET]])),SUBSTITUTE(Assessment[[#This Row],[JOB TARGET]],"DEV","EST"),Assessment[[#This Row],[JOB TARGET]])</f>
        <v>0</v>
      </c>
      <c r="H729" s="146" t="str" cm="1">
        <f t="array" aca="1" ref="H729" ca="1">IF(Assessment[[#This Row],[JOB TARGET]]="","Job Target Kosong",IF(COUNT(IF('Data Assessment'!$N729:$Z729-OFFSET(Standar!$B$2,MATCH(Assessment[[#This Row],[JOB TARGET
(EST)]],Standar[NAMA JABATAN],0)-1,1,1,13)&lt;0,1,""))&lt;=3,'9 Grid'!$B$4,IF(COUNT(IF('Data Assessment'!$N729:$Z729-OFFSET(Standar!$B$2,MATCH(Assessment[[#This Row],[JOB TARGET]],Standar[NAMA JABATAN],0)-1,1,1,13)&lt;0,1,""))&gt;=7,'9 Grid'!$B$6,'9 Grid'!$B$5)))</f>
        <v>Job Target Kosong</v>
      </c>
      <c r="I729" s="146" t="str">
        <f>IFERROR(IF(Data_Assessment[[#This Row],[IPP (3 YEARS AVERAGE)]]="","(IPP Belum Ada)",IF(Data_Assessment[[#This Row],[IPP (3 YEARS AVERAGE)]]&lt;2,'9 Grid'!$F$2,IF(Data_Assessment[[#This Row],[IPP (3 YEARS AVERAGE)]]&gt;=4,'9 Grid'!$D$2,'9 Grid'!$E$2))),"")</f>
        <v>Exceptional Performance</v>
      </c>
      <c r="J729" s="146" t="str">
        <f ca="1">IFERROR(INDEX('9 Grid'!$D$4:$F$6,MATCH('Rekomendasi HAV'!H729,'9 Grid'!$B$4:$B$6,0),MATCH('Rekomendasi HAV'!I729,'9 Grid'!$D$2:$F$2,0)),"")</f>
        <v/>
      </c>
      <c r="K729" s="146" t="str">
        <f>IFERROR(INDEX('9 Grid'!$D$8:$F$8,1,MATCH('Rekomendasi HAV'!I729,'9 Grid'!$D$2:$F$2,0)),"")</f>
        <v>(I) Immediately</v>
      </c>
      <c r="L729" s="146">
        <f>IF(ISNUMBER(SEARCH("EST",Assessment[[#This Row],[JOB TARGET]])),SUBSTITUTE(Assessment[[#This Row],[JOB TARGET]],"EST","DEV"),Assessment[[#This Row],[JOB TARGET]])</f>
        <v>0</v>
      </c>
      <c r="M729" s="146" t="str" cm="1">
        <f t="array" aca="1" ref="M729" ca="1">IF(Assessment[[#This Row],[JOB TARGET]]="","Job Target Kosong",IF(COUNT(IF('Data Assessment'!$N729:$Z729-OFFSET(Standar!$B$2,MATCH(Assessment[[#This Row],[JOB TARGET
(DEV)]],Standar[NAMA JABATAN],0)-1,1,1,13)&lt;0,1,""))&lt;=3,'9 Grid'!$B$4,IF(COUNT(IF('Data Assessment'!$N729:$Z729-OFFSET(Standar!$B$2,MATCH(Assessment[[#This Row],[JOB TARGET
(DEV)]],Standar[NAMA JABATAN],0)-1,1,1,13)&lt;0,1,""))&gt;=7,'9 Grid'!$B$6,'9 Grid'!$B$5)))</f>
        <v>Job Target Kosong</v>
      </c>
      <c r="N729" s="146" t="str">
        <f>IFERROR(IF(Data_Assessment[[#This Row],[IPP (3 YEARS AVERAGE)]]="","(IPP Belum Ada)",IF(Data_Assessment[[#This Row],[IPP (3 YEARS AVERAGE)]]&lt;2,'9 Grid'!$F$2,IF(Data_Assessment[[#This Row],[IPP (3 YEARS AVERAGE)]]&gt;=4,'9 Grid'!$D$2,'9 Grid'!$E$2))),"")</f>
        <v>Exceptional Performance</v>
      </c>
      <c r="O729" s="146" t="str">
        <f ca="1">IFERROR(INDEX('9 Grid'!$D$4:$F$6,MATCH('Rekomendasi HAV'!M729,'9 Grid'!$B$4:$B$6,0),MATCH('Rekomendasi HAV'!N729,'9 Grid'!$D$2:$F$2,0)),"")</f>
        <v/>
      </c>
      <c r="P729" s="147" t="str">
        <f>IFERROR(INDEX('9 Grid'!$D$8:$F$8,1,MATCH('Rekomendasi HAV'!N729,'9 Grid'!$D$2:$F$2,0)),"")</f>
        <v>(I) Immediately</v>
      </c>
    </row>
    <row r="730" spans="1:16" ht="28.5">
      <c r="A730" s="67">
        <v>729</v>
      </c>
      <c r="B730" s="68" t="str">
        <f>INDEX(Data_Assessment[],MATCH('Rekomendasi HAV'!$A730,Data_Assessment[[INDEX]:[INDEX]],0),MATCH('Rekomendasi HAV'!B$1,Data_Assessment[#Headers],0))</f>
        <v>Azrai Karim</v>
      </c>
      <c r="C730" s="68" t="str">
        <f>INDEX(Data_Assessment[],MATCH('Rekomendasi HAV'!$A730,Data_Assessment[[INDEX]:[INDEX]],0),MATCH('Rekomendasi HAV'!C$1,Data_Assessment[#Headers],0))</f>
        <v>Sumatera Selatan</v>
      </c>
      <c r="D730" s="68" t="str">
        <f>INDEX(Data_Assessment[],MATCH('Rekomendasi HAV'!$A730,Data_Assessment[[INDEX]:[INDEX]],0),MATCH('Rekomendasi HAV'!D$1,Data_Assessment[#Headers],0))</f>
        <v>LSIP - Budi Tirta Estate</v>
      </c>
      <c r="E730" s="68">
        <f>INDEX(Data_Assessment[],MATCH('Rekomendasi HAV'!$B730,Data_Assessment[[NAME]:[NAME]],0),MATCH('Rekomendasi HAV'!E$1,Data_Assessment[#Headers],0))</f>
        <v>0</v>
      </c>
      <c r="F730" s="68"/>
      <c r="G730" s="68">
        <f>IF(ISNUMBER(SEARCH("DEV",Assessment[[#This Row],[JOB TARGET]])),SUBSTITUTE(Assessment[[#This Row],[JOB TARGET]],"DEV","EST"),Assessment[[#This Row],[JOB TARGET]])</f>
        <v>0</v>
      </c>
      <c r="H730" s="146" t="str" cm="1">
        <f t="array" aca="1" ref="H730" ca="1">IF(Assessment[[#This Row],[JOB TARGET]]="","Job Target Kosong",IF(COUNT(IF('Data Assessment'!$N730:$Z730-OFFSET(Standar!$B$2,MATCH(Assessment[[#This Row],[JOB TARGET
(EST)]],Standar[NAMA JABATAN],0)-1,1,1,13)&lt;0,1,""))&lt;=3,'9 Grid'!$B$4,IF(COUNT(IF('Data Assessment'!$N730:$Z730-OFFSET(Standar!$B$2,MATCH(Assessment[[#This Row],[JOB TARGET]],Standar[NAMA JABATAN],0)-1,1,1,13)&lt;0,1,""))&gt;=7,'9 Grid'!$B$6,'9 Grid'!$B$5)))</f>
        <v>Job Target Kosong</v>
      </c>
      <c r="I730" s="146" t="str">
        <f>IFERROR(IF(Data_Assessment[[#This Row],[IPP (3 YEARS AVERAGE)]]="","(IPP Belum Ada)",IF(Data_Assessment[[#This Row],[IPP (3 YEARS AVERAGE)]]&lt;2,'9 Grid'!$F$2,IF(Data_Assessment[[#This Row],[IPP (3 YEARS AVERAGE)]]&gt;=4,'9 Grid'!$D$2,'9 Grid'!$E$2))),"")</f>
        <v>Fully Competence Performance</v>
      </c>
      <c r="J730" s="146" t="str">
        <f ca="1">IFERROR(INDEX('9 Grid'!$D$4:$F$6,MATCH('Rekomendasi HAV'!H730,'9 Grid'!$B$4:$B$6,0),MATCH('Rekomendasi HAV'!I730,'9 Grid'!$D$2:$F$2,0)),"")</f>
        <v/>
      </c>
      <c r="K730" s="146" t="str">
        <f>IFERROR(INDEX('9 Grid'!$D$8:$F$8,1,MATCH('Rekomendasi HAV'!I730,'9 Grid'!$D$2:$F$2,0)),"")</f>
        <v>(ST) Within 12 - 18 month</v>
      </c>
      <c r="L730" s="146">
        <f>IF(ISNUMBER(SEARCH("EST",Assessment[[#This Row],[JOB TARGET]])),SUBSTITUTE(Assessment[[#This Row],[JOB TARGET]],"EST","DEV"),Assessment[[#This Row],[JOB TARGET]])</f>
        <v>0</v>
      </c>
      <c r="M730" s="146" t="str" cm="1">
        <f t="array" aca="1" ref="M730" ca="1">IF(Assessment[[#This Row],[JOB TARGET]]="","Job Target Kosong",IF(COUNT(IF('Data Assessment'!$N730:$Z730-OFFSET(Standar!$B$2,MATCH(Assessment[[#This Row],[JOB TARGET
(DEV)]],Standar[NAMA JABATAN],0)-1,1,1,13)&lt;0,1,""))&lt;=3,'9 Grid'!$B$4,IF(COUNT(IF('Data Assessment'!$N730:$Z730-OFFSET(Standar!$B$2,MATCH(Assessment[[#This Row],[JOB TARGET
(DEV)]],Standar[NAMA JABATAN],0)-1,1,1,13)&lt;0,1,""))&gt;=7,'9 Grid'!$B$6,'9 Grid'!$B$5)))</f>
        <v>Job Target Kosong</v>
      </c>
      <c r="N730" s="146" t="str">
        <f>IFERROR(IF(Data_Assessment[[#This Row],[IPP (3 YEARS AVERAGE)]]="","(IPP Belum Ada)",IF(Data_Assessment[[#This Row],[IPP (3 YEARS AVERAGE)]]&lt;2,'9 Grid'!$F$2,IF(Data_Assessment[[#This Row],[IPP (3 YEARS AVERAGE)]]&gt;=4,'9 Grid'!$D$2,'9 Grid'!$E$2))),"")</f>
        <v>Fully Competence Performance</v>
      </c>
      <c r="O730" s="146" t="str">
        <f ca="1">IFERROR(INDEX('9 Grid'!$D$4:$F$6,MATCH('Rekomendasi HAV'!M730,'9 Grid'!$B$4:$B$6,0),MATCH('Rekomendasi HAV'!N730,'9 Grid'!$D$2:$F$2,0)),"")</f>
        <v/>
      </c>
      <c r="P730" s="147" t="str">
        <f>IFERROR(INDEX('9 Grid'!$D$8:$F$8,1,MATCH('Rekomendasi HAV'!N730,'9 Grid'!$D$2:$F$2,0)),"")</f>
        <v>(ST) Within 12 - 18 month</v>
      </c>
    </row>
    <row r="731" spans="1:16" ht="28.5">
      <c r="A731" s="67">
        <v>730</v>
      </c>
      <c r="B731" s="68" t="str">
        <f>INDEX(Data_Assessment[],MATCH('Rekomendasi HAV'!$A731,Data_Assessment[[INDEX]:[INDEX]],0),MATCH('Rekomendasi HAV'!B$1,Data_Assessment[#Headers],0))</f>
        <v>Arie Munirianto</v>
      </c>
      <c r="C731" s="68" t="str">
        <f>INDEX(Data_Assessment[],MATCH('Rekomendasi HAV'!$A731,Data_Assessment[[INDEX]:[INDEX]],0),MATCH('Rekomendasi HAV'!C$1,Data_Assessment[#Headers],0))</f>
        <v>Sumatera Selatan</v>
      </c>
      <c r="D731" s="68" t="str">
        <f>INDEX(Data_Assessment[],MATCH('Rekomendasi HAV'!$A731,Data_Assessment[[INDEX]:[INDEX]],0),MATCH('Rekomendasi HAV'!D$1,Data_Assessment[#Headers],0))</f>
        <v>LSIP - Budi Tirta Estate</v>
      </c>
      <c r="E731" s="68">
        <f>INDEX(Data_Assessment[],MATCH('Rekomendasi HAV'!$B731,Data_Assessment[[NAME]:[NAME]],0),MATCH('Rekomendasi HAV'!E$1,Data_Assessment[#Headers],0))</f>
        <v>0</v>
      </c>
      <c r="F731" s="68"/>
      <c r="G731" s="68">
        <f>IF(ISNUMBER(SEARCH("DEV",Assessment[[#This Row],[JOB TARGET]])),SUBSTITUTE(Assessment[[#This Row],[JOB TARGET]],"DEV","EST"),Assessment[[#This Row],[JOB TARGET]])</f>
        <v>0</v>
      </c>
      <c r="H731" s="146" t="str" cm="1">
        <f t="array" aca="1" ref="H731" ca="1">IF(Assessment[[#This Row],[JOB TARGET]]="","Job Target Kosong",IF(COUNT(IF('Data Assessment'!$N731:$Z731-OFFSET(Standar!$B$2,MATCH(Assessment[[#This Row],[JOB TARGET
(EST)]],Standar[NAMA JABATAN],0)-1,1,1,13)&lt;0,1,""))&lt;=3,'9 Grid'!$B$4,IF(COUNT(IF('Data Assessment'!$N731:$Z731-OFFSET(Standar!$B$2,MATCH(Assessment[[#This Row],[JOB TARGET]],Standar[NAMA JABATAN],0)-1,1,1,13)&lt;0,1,""))&gt;=7,'9 Grid'!$B$6,'9 Grid'!$B$5)))</f>
        <v>Job Target Kosong</v>
      </c>
      <c r="I731" s="146" t="str">
        <f>IFERROR(IF(Data_Assessment[[#This Row],[IPP (3 YEARS AVERAGE)]]="","(IPP Belum Ada)",IF(Data_Assessment[[#This Row],[IPP (3 YEARS AVERAGE)]]&lt;2,'9 Grid'!$F$2,IF(Data_Assessment[[#This Row],[IPP (3 YEARS AVERAGE)]]&gt;=4,'9 Grid'!$D$2,'9 Grid'!$E$2))),"")</f>
        <v>Contributor</v>
      </c>
      <c r="J731" s="146" t="str">
        <f ca="1">IFERROR(INDEX('9 Grid'!$D$4:$F$6,MATCH('Rekomendasi HAV'!H731,'9 Grid'!$B$4:$B$6,0),MATCH('Rekomendasi HAV'!I731,'9 Grid'!$D$2:$F$2,0)),"")</f>
        <v/>
      </c>
      <c r="K731" s="146" t="str">
        <f>IFERROR(INDEX('9 Grid'!$D$8:$F$8,1,MATCH('Rekomendasi HAV'!I731,'9 Grid'!$D$2:$F$2,0)),"")</f>
        <v>(LT) More 2 - 3 year</v>
      </c>
      <c r="L731" s="146">
        <f>IF(ISNUMBER(SEARCH("EST",Assessment[[#This Row],[JOB TARGET]])),SUBSTITUTE(Assessment[[#This Row],[JOB TARGET]],"EST","DEV"),Assessment[[#This Row],[JOB TARGET]])</f>
        <v>0</v>
      </c>
      <c r="M731" s="146" t="str" cm="1">
        <f t="array" aca="1" ref="M731" ca="1">IF(Assessment[[#This Row],[JOB TARGET]]="","Job Target Kosong",IF(COUNT(IF('Data Assessment'!$N731:$Z731-OFFSET(Standar!$B$2,MATCH(Assessment[[#This Row],[JOB TARGET
(DEV)]],Standar[NAMA JABATAN],0)-1,1,1,13)&lt;0,1,""))&lt;=3,'9 Grid'!$B$4,IF(COUNT(IF('Data Assessment'!$N731:$Z731-OFFSET(Standar!$B$2,MATCH(Assessment[[#This Row],[JOB TARGET
(DEV)]],Standar[NAMA JABATAN],0)-1,1,1,13)&lt;0,1,""))&gt;=7,'9 Grid'!$B$6,'9 Grid'!$B$5)))</f>
        <v>Job Target Kosong</v>
      </c>
      <c r="N731" s="146" t="str">
        <f>IFERROR(IF(Data_Assessment[[#This Row],[IPP (3 YEARS AVERAGE)]]="","(IPP Belum Ada)",IF(Data_Assessment[[#This Row],[IPP (3 YEARS AVERAGE)]]&lt;2,'9 Grid'!$F$2,IF(Data_Assessment[[#This Row],[IPP (3 YEARS AVERAGE)]]&gt;=4,'9 Grid'!$D$2,'9 Grid'!$E$2))),"")</f>
        <v>Contributor</v>
      </c>
      <c r="O731" s="146" t="str">
        <f ca="1">IFERROR(INDEX('9 Grid'!$D$4:$F$6,MATCH('Rekomendasi HAV'!M731,'9 Grid'!$B$4:$B$6,0),MATCH('Rekomendasi HAV'!N731,'9 Grid'!$D$2:$F$2,0)),"")</f>
        <v/>
      </c>
      <c r="P731" s="147" t="str">
        <f>IFERROR(INDEX('9 Grid'!$D$8:$F$8,1,MATCH('Rekomendasi HAV'!N731,'9 Grid'!$D$2:$F$2,0)),"")</f>
        <v>(LT) More 2 - 3 year</v>
      </c>
    </row>
    <row r="732" spans="1:16" ht="28.5">
      <c r="A732" s="67">
        <v>731</v>
      </c>
      <c r="B732" s="68" t="str">
        <f>INDEX(Data_Assessment[],MATCH('Rekomendasi HAV'!$A732,Data_Assessment[[INDEX]:[INDEX]],0),MATCH('Rekomendasi HAV'!B$1,Data_Assessment[#Headers],0))</f>
        <v>Syahri Kurnia, Ir.</v>
      </c>
      <c r="C732" s="68" t="str">
        <f>INDEX(Data_Assessment[],MATCH('Rekomendasi HAV'!$A732,Data_Assessment[[INDEX]:[INDEX]],0),MATCH('Rekomendasi HAV'!C$1,Data_Assessment[#Headers],0))</f>
        <v>Sumatera Selatan</v>
      </c>
      <c r="D732" s="68" t="str">
        <f>INDEX(Data_Assessment[],MATCH('Rekomendasi HAV'!$A732,Data_Assessment[[INDEX]:[INDEX]],0),MATCH('Rekomendasi HAV'!D$1,Data_Assessment[#Headers],0))</f>
        <v>LSIP - Ekasari Region</v>
      </c>
      <c r="E732" s="68">
        <f>INDEX(Data_Assessment[],MATCH('Rekomendasi HAV'!$B732,Data_Assessment[[NAME]:[NAME]],0),MATCH('Rekomendasi HAV'!E$1,Data_Assessment[#Headers],0))</f>
        <v>0</v>
      </c>
      <c r="F732" s="68"/>
      <c r="G732" s="68">
        <f>IF(ISNUMBER(SEARCH("DEV",Assessment[[#This Row],[JOB TARGET]])),SUBSTITUTE(Assessment[[#This Row],[JOB TARGET]],"DEV","EST"),Assessment[[#This Row],[JOB TARGET]])</f>
        <v>0</v>
      </c>
      <c r="H732" s="146" t="str" cm="1">
        <f t="array" aca="1" ref="H732" ca="1">IF(Assessment[[#This Row],[JOB TARGET]]="","Job Target Kosong",IF(COUNT(IF('Data Assessment'!$N732:$Z732-OFFSET(Standar!$B$2,MATCH(Assessment[[#This Row],[JOB TARGET
(EST)]],Standar[NAMA JABATAN],0)-1,1,1,13)&lt;0,1,""))&lt;=3,'9 Grid'!$B$4,IF(COUNT(IF('Data Assessment'!$N732:$Z732-OFFSET(Standar!$B$2,MATCH(Assessment[[#This Row],[JOB TARGET]],Standar[NAMA JABATAN],0)-1,1,1,13)&lt;0,1,""))&gt;=7,'9 Grid'!$B$6,'9 Grid'!$B$5)))</f>
        <v>Job Target Kosong</v>
      </c>
      <c r="I732" s="146" t="str">
        <f>IFERROR(IF(Data_Assessment[[#This Row],[IPP (3 YEARS AVERAGE)]]="","(IPP Belum Ada)",IF(Data_Assessment[[#This Row],[IPP (3 YEARS AVERAGE)]]&lt;2,'9 Grid'!$F$2,IF(Data_Assessment[[#This Row],[IPP (3 YEARS AVERAGE)]]&gt;=4,'9 Grid'!$D$2,'9 Grid'!$E$2))),"")</f>
        <v>Fully Competence Performance</v>
      </c>
      <c r="J732" s="146" t="str">
        <f ca="1">IFERROR(INDEX('9 Grid'!$D$4:$F$6,MATCH('Rekomendasi HAV'!H732,'9 Grid'!$B$4:$B$6,0),MATCH('Rekomendasi HAV'!I732,'9 Grid'!$D$2:$F$2,0)),"")</f>
        <v/>
      </c>
      <c r="K732" s="146" t="str">
        <f>IFERROR(INDEX('9 Grid'!$D$8:$F$8,1,MATCH('Rekomendasi HAV'!I732,'9 Grid'!$D$2:$F$2,0)),"")</f>
        <v>(ST) Within 12 - 18 month</v>
      </c>
      <c r="L732" s="146">
        <f>IF(ISNUMBER(SEARCH("EST",Assessment[[#This Row],[JOB TARGET]])),SUBSTITUTE(Assessment[[#This Row],[JOB TARGET]],"EST","DEV"),Assessment[[#This Row],[JOB TARGET]])</f>
        <v>0</v>
      </c>
      <c r="M732" s="146" t="str" cm="1">
        <f t="array" aca="1" ref="M732" ca="1">IF(Assessment[[#This Row],[JOB TARGET]]="","Job Target Kosong",IF(COUNT(IF('Data Assessment'!$N732:$Z732-OFFSET(Standar!$B$2,MATCH(Assessment[[#This Row],[JOB TARGET
(DEV)]],Standar[NAMA JABATAN],0)-1,1,1,13)&lt;0,1,""))&lt;=3,'9 Grid'!$B$4,IF(COUNT(IF('Data Assessment'!$N732:$Z732-OFFSET(Standar!$B$2,MATCH(Assessment[[#This Row],[JOB TARGET
(DEV)]],Standar[NAMA JABATAN],0)-1,1,1,13)&lt;0,1,""))&gt;=7,'9 Grid'!$B$6,'9 Grid'!$B$5)))</f>
        <v>Job Target Kosong</v>
      </c>
      <c r="N732" s="146" t="str">
        <f>IFERROR(IF(Data_Assessment[[#This Row],[IPP (3 YEARS AVERAGE)]]="","(IPP Belum Ada)",IF(Data_Assessment[[#This Row],[IPP (3 YEARS AVERAGE)]]&lt;2,'9 Grid'!$F$2,IF(Data_Assessment[[#This Row],[IPP (3 YEARS AVERAGE)]]&gt;=4,'9 Grid'!$D$2,'9 Grid'!$E$2))),"")</f>
        <v>Fully Competence Performance</v>
      </c>
      <c r="O732" s="146" t="str">
        <f ca="1">IFERROR(INDEX('9 Grid'!$D$4:$F$6,MATCH('Rekomendasi HAV'!M732,'9 Grid'!$B$4:$B$6,0),MATCH('Rekomendasi HAV'!N732,'9 Grid'!$D$2:$F$2,0)),"")</f>
        <v/>
      </c>
      <c r="P732" s="147" t="str">
        <f>IFERROR(INDEX('9 Grid'!$D$8:$F$8,1,MATCH('Rekomendasi HAV'!N732,'9 Grid'!$D$2:$F$2,0)),"")</f>
        <v>(ST) Within 12 - 18 month</v>
      </c>
    </row>
    <row r="733" spans="1:16" ht="14.25">
      <c r="A733" s="67">
        <v>732</v>
      </c>
      <c r="B733" s="68" t="str">
        <f>INDEX(Data_Assessment[],MATCH('Rekomendasi HAV'!$A733,Data_Assessment[[INDEX]:[INDEX]],0),MATCH('Rekomendasi HAV'!B$1,Data_Assessment[#Headers],0))</f>
        <v>Rizal Enka Pratama K.</v>
      </c>
      <c r="C733" s="68" t="str">
        <f>INDEX(Data_Assessment[],MATCH('Rekomendasi HAV'!$A733,Data_Assessment[[INDEX]:[INDEX]],0),MATCH('Rekomendasi HAV'!C$1,Data_Assessment[#Headers],0))</f>
        <v>Sumatera Selatan</v>
      </c>
      <c r="D733" s="68" t="str">
        <f>INDEX(Data_Assessment[],MATCH('Rekomendasi HAV'!$A733,Data_Assessment[[INDEX]:[INDEX]],0),MATCH('Rekomendasi HAV'!D$1,Data_Assessment[#Headers],0))</f>
        <v>LSIP - Ekasari Region</v>
      </c>
      <c r="E733" s="68">
        <f>INDEX(Data_Assessment[],MATCH('Rekomendasi HAV'!$B733,Data_Assessment[[NAME]:[NAME]],0),MATCH('Rekomendasi HAV'!E$1,Data_Assessment[#Headers],0))</f>
        <v>0</v>
      </c>
      <c r="F733" s="68"/>
      <c r="G733" s="68">
        <f>IF(ISNUMBER(SEARCH("DEV",Assessment[[#This Row],[JOB TARGET]])),SUBSTITUTE(Assessment[[#This Row],[JOB TARGET]],"DEV","EST"),Assessment[[#This Row],[JOB TARGET]])</f>
        <v>0</v>
      </c>
      <c r="H733" s="146" t="str" cm="1">
        <f t="array" aca="1" ref="H733" ca="1">IF(Assessment[[#This Row],[JOB TARGET]]="","Job Target Kosong",IF(COUNT(IF('Data Assessment'!$N733:$Z733-OFFSET(Standar!$B$2,MATCH(Assessment[[#This Row],[JOB TARGET
(EST)]],Standar[NAMA JABATAN],0)-1,1,1,13)&lt;0,1,""))&lt;=3,'9 Grid'!$B$4,IF(COUNT(IF('Data Assessment'!$N733:$Z733-OFFSET(Standar!$B$2,MATCH(Assessment[[#This Row],[JOB TARGET]],Standar[NAMA JABATAN],0)-1,1,1,13)&lt;0,1,""))&gt;=7,'9 Grid'!$B$6,'9 Grid'!$B$5)))</f>
        <v>Job Target Kosong</v>
      </c>
      <c r="I733" s="146" t="str">
        <f>IFERROR(IF(Data_Assessment[[#This Row],[IPP (3 YEARS AVERAGE)]]="","(IPP Belum Ada)",IF(Data_Assessment[[#This Row],[IPP (3 YEARS AVERAGE)]]&lt;2,'9 Grid'!$F$2,IF(Data_Assessment[[#This Row],[IPP (3 YEARS AVERAGE)]]&gt;=4,'9 Grid'!$D$2,'9 Grid'!$E$2))),"")</f>
        <v>Exceptional Performance</v>
      </c>
      <c r="J733" s="146" t="str">
        <f ca="1">IFERROR(INDEX('9 Grid'!$D$4:$F$6,MATCH('Rekomendasi HAV'!H733,'9 Grid'!$B$4:$B$6,0),MATCH('Rekomendasi HAV'!I733,'9 Grid'!$D$2:$F$2,0)),"")</f>
        <v/>
      </c>
      <c r="K733" s="146" t="str">
        <f>IFERROR(INDEX('9 Grid'!$D$8:$F$8,1,MATCH('Rekomendasi HAV'!I733,'9 Grid'!$D$2:$F$2,0)),"")</f>
        <v>(I) Immediately</v>
      </c>
      <c r="L733" s="146">
        <f>IF(ISNUMBER(SEARCH("EST",Assessment[[#This Row],[JOB TARGET]])),SUBSTITUTE(Assessment[[#This Row],[JOB TARGET]],"EST","DEV"),Assessment[[#This Row],[JOB TARGET]])</f>
        <v>0</v>
      </c>
      <c r="M733" s="146" t="str" cm="1">
        <f t="array" aca="1" ref="M733" ca="1">IF(Assessment[[#This Row],[JOB TARGET]]="","Job Target Kosong",IF(COUNT(IF('Data Assessment'!$N733:$Z733-OFFSET(Standar!$B$2,MATCH(Assessment[[#This Row],[JOB TARGET
(DEV)]],Standar[NAMA JABATAN],0)-1,1,1,13)&lt;0,1,""))&lt;=3,'9 Grid'!$B$4,IF(COUNT(IF('Data Assessment'!$N733:$Z733-OFFSET(Standar!$B$2,MATCH(Assessment[[#This Row],[JOB TARGET
(DEV)]],Standar[NAMA JABATAN],0)-1,1,1,13)&lt;0,1,""))&gt;=7,'9 Grid'!$B$6,'9 Grid'!$B$5)))</f>
        <v>Job Target Kosong</v>
      </c>
      <c r="N733" s="146" t="str">
        <f>IFERROR(IF(Data_Assessment[[#This Row],[IPP (3 YEARS AVERAGE)]]="","(IPP Belum Ada)",IF(Data_Assessment[[#This Row],[IPP (3 YEARS AVERAGE)]]&lt;2,'9 Grid'!$F$2,IF(Data_Assessment[[#This Row],[IPP (3 YEARS AVERAGE)]]&gt;=4,'9 Grid'!$D$2,'9 Grid'!$E$2))),"")</f>
        <v>Exceptional Performance</v>
      </c>
      <c r="O733" s="146" t="str">
        <f ca="1">IFERROR(INDEX('9 Grid'!$D$4:$F$6,MATCH('Rekomendasi HAV'!M733,'9 Grid'!$B$4:$B$6,0),MATCH('Rekomendasi HAV'!N733,'9 Grid'!$D$2:$F$2,0)),"")</f>
        <v/>
      </c>
      <c r="P733" s="147" t="str">
        <f>IFERROR(INDEX('9 Grid'!$D$8:$F$8,1,MATCH('Rekomendasi HAV'!N733,'9 Grid'!$D$2:$F$2,0)),"")</f>
        <v>(I) Immediately</v>
      </c>
    </row>
    <row r="734" spans="1:16" ht="28.5">
      <c r="A734" s="67">
        <v>733</v>
      </c>
      <c r="B734" s="68" t="str">
        <f>INDEX(Data_Assessment[],MATCH('Rekomendasi HAV'!$A734,Data_Assessment[[INDEX]:[INDEX]],0),MATCH('Rekomendasi HAV'!B$1,Data_Assessment[#Headers],0))</f>
        <v>Joni Sapri, Ir.</v>
      </c>
      <c r="C734" s="68" t="str">
        <f>INDEX(Data_Assessment[],MATCH('Rekomendasi HAV'!$A734,Data_Assessment[[INDEX]:[INDEX]],0),MATCH('Rekomendasi HAV'!C$1,Data_Assessment[#Headers],0))</f>
        <v>Sumatera Selatan</v>
      </c>
      <c r="D734" s="68" t="str">
        <f>INDEX(Data_Assessment[],MATCH('Rekomendasi HAV'!$A734,Data_Assessment[[INDEX]:[INDEX]],0),MATCH('Rekomendasi HAV'!D$1,Data_Assessment[#Headers],0))</f>
        <v>LSIP - Ekasari Region</v>
      </c>
      <c r="E734" s="68">
        <f>INDEX(Data_Assessment[],MATCH('Rekomendasi HAV'!$B734,Data_Assessment[[NAME]:[NAME]],0),MATCH('Rekomendasi HAV'!E$1,Data_Assessment[#Headers],0))</f>
        <v>0</v>
      </c>
      <c r="F734" s="68"/>
      <c r="G734" s="68">
        <f>IF(ISNUMBER(SEARCH("DEV",Assessment[[#This Row],[JOB TARGET]])),SUBSTITUTE(Assessment[[#This Row],[JOB TARGET]],"DEV","EST"),Assessment[[#This Row],[JOB TARGET]])</f>
        <v>0</v>
      </c>
      <c r="H734" s="146" t="str" cm="1">
        <f t="array" aca="1" ref="H734" ca="1">IF(Assessment[[#This Row],[JOB TARGET]]="","Job Target Kosong",IF(COUNT(IF('Data Assessment'!$N734:$Z734-OFFSET(Standar!$B$2,MATCH(Assessment[[#This Row],[JOB TARGET
(EST)]],Standar[NAMA JABATAN],0)-1,1,1,13)&lt;0,1,""))&lt;=3,'9 Grid'!$B$4,IF(COUNT(IF('Data Assessment'!$N734:$Z734-OFFSET(Standar!$B$2,MATCH(Assessment[[#This Row],[JOB TARGET]],Standar[NAMA JABATAN],0)-1,1,1,13)&lt;0,1,""))&gt;=7,'9 Grid'!$B$6,'9 Grid'!$B$5)))</f>
        <v>Job Target Kosong</v>
      </c>
      <c r="I734" s="146" t="str">
        <f>IFERROR(IF(Data_Assessment[[#This Row],[IPP (3 YEARS AVERAGE)]]="","(IPP Belum Ada)",IF(Data_Assessment[[#This Row],[IPP (3 YEARS AVERAGE)]]&lt;2,'9 Grid'!$F$2,IF(Data_Assessment[[#This Row],[IPP (3 YEARS AVERAGE)]]&gt;=4,'9 Grid'!$D$2,'9 Grid'!$E$2))),"")</f>
        <v>Fully Competence Performance</v>
      </c>
      <c r="J734" s="146" t="str">
        <f ca="1">IFERROR(INDEX('9 Grid'!$D$4:$F$6,MATCH('Rekomendasi HAV'!H734,'9 Grid'!$B$4:$B$6,0),MATCH('Rekomendasi HAV'!I734,'9 Grid'!$D$2:$F$2,0)),"")</f>
        <v/>
      </c>
      <c r="K734" s="146" t="str">
        <f>IFERROR(INDEX('9 Grid'!$D$8:$F$8,1,MATCH('Rekomendasi HAV'!I734,'9 Grid'!$D$2:$F$2,0)),"")</f>
        <v>(ST) Within 12 - 18 month</v>
      </c>
      <c r="L734" s="146">
        <f>IF(ISNUMBER(SEARCH("EST",Assessment[[#This Row],[JOB TARGET]])),SUBSTITUTE(Assessment[[#This Row],[JOB TARGET]],"EST","DEV"),Assessment[[#This Row],[JOB TARGET]])</f>
        <v>0</v>
      </c>
      <c r="M734" s="146" t="str" cm="1">
        <f t="array" aca="1" ref="M734" ca="1">IF(Assessment[[#This Row],[JOB TARGET]]="","Job Target Kosong",IF(COUNT(IF('Data Assessment'!$N734:$Z734-OFFSET(Standar!$B$2,MATCH(Assessment[[#This Row],[JOB TARGET
(DEV)]],Standar[NAMA JABATAN],0)-1,1,1,13)&lt;0,1,""))&lt;=3,'9 Grid'!$B$4,IF(COUNT(IF('Data Assessment'!$N734:$Z734-OFFSET(Standar!$B$2,MATCH(Assessment[[#This Row],[JOB TARGET
(DEV)]],Standar[NAMA JABATAN],0)-1,1,1,13)&lt;0,1,""))&gt;=7,'9 Grid'!$B$6,'9 Grid'!$B$5)))</f>
        <v>Job Target Kosong</v>
      </c>
      <c r="N734" s="146" t="str">
        <f>IFERROR(IF(Data_Assessment[[#This Row],[IPP (3 YEARS AVERAGE)]]="","(IPP Belum Ada)",IF(Data_Assessment[[#This Row],[IPP (3 YEARS AVERAGE)]]&lt;2,'9 Grid'!$F$2,IF(Data_Assessment[[#This Row],[IPP (3 YEARS AVERAGE)]]&gt;=4,'9 Grid'!$D$2,'9 Grid'!$E$2))),"")</f>
        <v>Fully Competence Performance</v>
      </c>
      <c r="O734" s="146" t="str">
        <f ca="1">IFERROR(INDEX('9 Grid'!$D$4:$F$6,MATCH('Rekomendasi HAV'!M734,'9 Grid'!$B$4:$B$6,0),MATCH('Rekomendasi HAV'!N734,'9 Grid'!$D$2:$F$2,0)),"")</f>
        <v/>
      </c>
      <c r="P734" s="147" t="str">
        <f>IFERROR(INDEX('9 Grid'!$D$8:$F$8,1,MATCH('Rekomendasi HAV'!N734,'9 Grid'!$D$2:$F$2,0)),"")</f>
        <v>(ST) Within 12 - 18 month</v>
      </c>
    </row>
    <row r="735" spans="1:16" ht="28.5">
      <c r="A735" s="67">
        <v>734</v>
      </c>
      <c r="B735" s="68" t="str">
        <f>INDEX(Data_Assessment[],MATCH('Rekomendasi HAV'!$A735,Data_Assessment[[INDEX]:[INDEX]],0),MATCH('Rekomendasi HAV'!B$1,Data_Assessment[#Headers],0))</f>
        <v>Bayu Syahputra</v>
      </c>
      <c r="C735" s="68" t="str">
        <f>INDEX(Data_Assessment[],MATCH('Rekomendasi HAV'!$A735,Data_Assessment[[INDEX]:[INDEX]],0),MATCH('Rekomendasi HAV'!C$1,Data_Assessment[#Headers],0))</f>
        <v>Sumatera Selatan</v>
      </c>
      <c r="D735" s="68" t="str">
        <f>INDEX(Data_Assessment[],MATCH('Rekomendasi HAV'!$A735,Data_Assessment[[INDEX]:[INDEX]],0),MATCH('Rekomendasi HAV'!D$1,Data_Assessment[#Headers],0))</f>
        <v>LSIP - Ekasari Region</v>
      </c>
      <c r="E735" s="68">
        <f>INDEX(Data_Assessment[],MATCH('Rekomendasi HAV'!$B735,Data_Assessment[[NAME]:[NAME]],0),MATCH('Rekomendasi HAV'!E$1,Data_Assessment[#Headers],0))</f>
        <v>0</v>
      </c>
      <c r="F735" s="68"/>
      <c r="G735" s="68">
        <f>IF(ISNUMBER(SEARCH("DEV",Assessment[[#This Row],[JOB TARGET]])),SUBSTITUTE(Assessment[[#This Row],[JOB TARGET]],"DEV","EST"),Assessment[[#This Row],[JOB TARGET]])</f>
        <v>0</v>
      </c>
      <c r="H735" s="146" t="str" cm="1">
        <f t="array" aca="1" ref="H735" ca="1">IF(Assessment[[#This Row],[JOB TARGET]]="","Job Target Kosong",IF(COUNT(IF('Data Assessment'!$N735:$Z735-OFFSET(Standar!$B$2,MATCH(Assessment[[#This Row],[JOB TARGET
(EST)]],Standar[NAMA JABATAN],0)-1,1,1,13)&lt;0,1,""))&lt;=3,'9 Grid'!$B$4,IF(COUNT(IF('Data Assessment'!$N735:$Z735-OFFSET(Standar!$B$2,MATCH(Assessment[[#This Row],[JOB TARGET]],Standar[NAMA JABATAN],0)-1,1,1,13)&lt;0,1,""))&gt;=7,'9 Grid'!$B$6,'9 Grid'!$B$5)))</f>
        <v>Job Target Kosong</v>
      </c>
      <c r="I735" s="146" t="str">
        <f>IFERROR(IF(Data_Assessment[[#This Row],[IPP (3 YEARS AVERAGE)]]="","(IPP Belum Ada)",IF(Data_Assessment[[#This Row],[IPP (3 YEARS AVERAGE)]]&lt;2,'9 Grid'!$F$2,IF(Data_Assessment[[#This Row],[IPP (3 YEARS AVERAGE)]]&gt;=4,'9 Grid'!$D$2,'9 Grid'!$E$2))),"")</f>
        <v>Fully Competence Performance</v>
      </c>
      <c r="J735" s="146" t="str">
        <f ca="1">IFERROR(INDEX('9 Grid'!$D$4:$F$6,MATCH('Rekomendasi HAV'!H735,'9 Grid'!$B$4:$B$6,0),MATCH('Rekomendasi HAV'!I735,'9 Grid'!$D$2:$F$2,0)),"")</f>
        <v/>
      </c>
      <c r="K735" s="146" t="str">
        <f>IFERROR(INDEX('9 Grid'!$D$8:$F$8,1,MATCH('Rekomendasi HAV'!I735,'9 Grid'!$D$2:$F$2,0)),"")</f>
        <v>(ST) Within 12 - 18 month</v>
      </c>
      <c r="L735" s="146">
        <f>IF(ISNUMBER(SEARCH("EST",Assessment[[#This Row],[JOB TARGET]])),SUBSTITUTE(Assessment[[#This Row],[JOB TARGET]],"EST","DEV"),Assessment[[#This Row],[JOB TARGET]])</f>
        <v>0</v>
      </c>
      <c r="M735" s="146" t="str" cm="1">
        <f t="array" aca="1" ref="M735" ca="1">IF(Assessment[[#This Row],[JOB TARGET]]="","Job Target Kosong",IF(COUNT(IF('Data Assessment'!$N735:$Z735-OFFSET(Standar!$B$2,MATCH(Assessment[[#This Row],[JOB TARGET
(DEV)]],Standar[NAMA JABATAN],0)-1,1,1,13)&lt;0,1,""))&lt;=3,'9 Grid'!$B$4,IF(COUNT(IF('Data Assessment'!$N735:$Z735-OFFSET(Standar!$B$2,MATCH(Assessment[[#This Row],[JOB TARGET
(DEV)]],Standar[NAMA JABATAN],0)-1,1,1,13)&lt;0,1,""))&gt;=7,'9 Grid'!$B$6,'9 Grid'!$B$5)))</f>
        <v>Job Target Kosong</v>
      </c>
      <c r="N735" s="146" t="str">
        <f>IFERROR(IF(Data_Assessment[[#This Row],[IPP (3 YEARS AVERAGE)]]="","(IPP Belum Ada)",IF(Data_Assessment[[#This Row],[IPP (3 YEARS AVERAGE)]]&lt;2,'9 Grid'!$F$2,IF(Data_Assessment[[#This Row],[IPP (3 YEARS AVERAGE)]]&gt;=4,'9 Grid'!$D$2,'9 Grid'!$E$2))),"")</f>
        <v>Fully Competence Performance</v>
      </c>
      <c r="O735" s="146" t="str">
        <f ca="1">IFERROR(INDEX('9 Grid'!$D$4:$F$6,MATCH('Rekomendasi HAV'!M735,'9 Grid'!$B$4:$B$6,0),MATCH('Rekomendasi HAV'!N735,'9 Grid'!$D$2:$F$2,0)),"")</f>
        <v/>
      </c>
      <c r="P735" s="147" t="str">
        <f>IFERROR(INDEX('9 Grid'!$D$8:$F$8,1,MATCH('Rekomendasi HAV'!N735,'9 Grid'!$D$2:$F$2,0)),"")</f>
        <v>(ST) Within 12 - 18 month</v>
      </c>
    </row>
    <row r="736" spans="1:16" ht="28.5">
      <c r="A736" s="67">
        <v>735</v>
      </c>
      <c r="B736" s="68" t="str">
        <f>INDEX(Data_Assessment[],MATCH('Rekomendasi HAV'!$A736,Data_Assessment[[INDEX]:[INDEX]],0),MATCH('Rekomendasi HAV'!B$1,Data_Assessment[#Headers],0))</f>
        <v>Cindy Haluana Tambunan</v>
      </c>
      <c r="C736" s="68" t="str">
        <f>INDEX(Data_Assessment[],MATCH('Rekomendasi HAV'!$A736,Data_Assessment[[INDEX]:[INDEX]],0),MATCH('Rekomendasi HAV'!C$1,Data_Assessment[#Headers],0))</f>
        <v>Sumatera Selatan</v>
      </c>
      <c r="D736" s="68" t="str">
        <f>INDEX(Data_Assessment[],MATCH('Rekomendasi HAV'!$A736,Data_Assessment[[INDEX]:[INDEX]],0),MATCH('Rekomendasi HAV'!D$1,Data_Assessment[#Headers],0))</f>
        <v>LSIP - Ekasari Region</v>
      </c>
      <c r="E736" s="68">
        <f>INDEX(Data_Assessment[],MATCH('Rekomendasi HAV'!$B736,Data_Assessment[[NAME]:[NAME]],0),MATCH('Rekomendasi HAV'!E$1,Data_Assessment[#Headers],0))</f>
        <v>0</v>
      </c>
      <c r="F736" s="68"/>
      <c r="G736" s="68">
        <f>IF(ISNUMBER(SEARCH("DEV",Assessment[[#This Row],[JOB TARGET]])),SUBSTITUTE(Assessment[[#This Row],[JOB TARGET]],"DEV","EST"),Assessment[[#This Row],[JOB TARGET]])</f>
        <v>0</v>
      </c>
      <c r="H736" s="146" t="str" cm="1">
        <f t="array" aca="1" ref="H736" ca="1">IF(Assessment[[#This Row],[JOB TARGET]]="","Job Target Kosong",IF(COUNT(IF('Data Assessment'!$N736:$Z736-OFFSET(Standar!$B$2,MATCH(Assessment[[#This Row],[JOB TARGET
(EST)]],Standar[NAMA JABATAN],0)-1,1,1,13)&lt;0,1,""))&lt;=3,'9 Grid'!$B$4,IF(COUNT(IF('Data Assessment'!$N736:$Z736-OFFSET(Standar!$B$2,MATCH(Assessment[[#This Row],[JOB TARGET]],Standar[NAMA JABATAN],0)-1,1,1,13)&lt;0,1,""))&gt;=7,'9 Grid'!$B$6,'9 Grid'!$B$5)))</f>
        <v>Job Target Kosong</v>
      </c>
      <c r="I736" s="146" t="str">
        <f>IFERROR(IF(Data_Assessment[[#This Row],[IPP (3 YEARS AVERAGE)]]="","(IPP Belum Ada)",IF(Data_Assessment[[#This Row],[IPP (3 YEARS AVERAGE)]]&lt;2,'9 Grid'!$F$2,IF(Data_Assessment[[#This Row],[IPP (3 YEARS AVERAGE)]]&gt;=4,'9 Grid'!$D$2,'9 Grid'!$E$2))),"")</f>
        <v>Fully Competence Performance</v>
      </c>
      <c r="J736" s="146" t="str">
        <f ca="1">IFERROR(INDEX('9 Grid'!$D$4:$F$6,MATCH('Rekomendasi HAV'!H736,'9 Grid'!$B$4:$B$6,0),MATCH('Rekomendasi HAV'!I736,'9 Grid'!$D$2:$F$2,0)),"")</f>
        <v/>
      </c>
      <c r="K736" s="146" t="str">
        <f>IFERROR(INDEX('9 Grid'!$D$8:$F$8,1,MATCH('Rekomendasi HAV'!I736,'9 Grid'!$D$2:$F$2,0)),"")</f>
        <v>(ST) Within 12 - 18 month</v>
      </c>
      <c r="L736" s="146">
        <f>IF(ISNUMBER(SEARCH("EST",Assessment[[#This Row],[JOB TARGET]])),SUBSTITUTE(Assessment[[#This Row],[JOB TARGET]],"EST","DEV"),Assessment[[#This Row],[JOB TARGET]])</f>
        <v>0</v>
      </c>
      <c r="M736" s="146" t="str" cm="1">
        <f t="array" aca="1" ref="M736" ca="1">IF(Assessment[[#This Row],[JOB TARGET]]="","Job Target Kosong",IF(COUNT(IF('Data Assessment'!$N736:$Z736-OFFSET(Standar!$B$2,MATCH(Assessment[[#This Row],[JOB TARGET
(DEV)]],Standar[NAMA JABATAN],0)-1,1,1,13)&lt;0,1,""))&lt;=3,'9 Grid'!$B$4,IF(COUNT(IF('Data Assessment'!$N736:$Z736-OFFSET(Standar!$B$2,MATCH(Assessment[[#This Row],[JOB TARGET
(DEV)]],Standar[NAMA JABATAN],0)-1,1,1,13)&lt;0,1,""))&gt;=7,'9 Grid'!$B$6,'9 Grid'!$B$5)))</f>
        <v>Job Target Kosong</v>
      </c>
      <c r="N736" s="146" t="str">
        <f>IFERROR(IF(Data_Assessment[[#This Row],[IPP (3 YEARS AVERAGE)]]="","(IPP Belum Ada)",IF(Data_Assessment[[#This Row],[IPP (3 YEARS AVERAGE)]]&lt;2,'9 Grid'!$F$2,IF(Data_Assessment[[#This Row],[IPP (3 YEARS AVERAGE)]]&gt;=4,'9 Grid'!$D$2,'9 Grid'!$E$2))),"")</f>
        <v>Fully Competence Performance</v>
      </c>
      <c r="O736" s="146" t="str">
        <f ca="1">IFERROR(INDEX('9 Grid'!$D$4:$F$6,MATCH('Rekomendasi HAV'!M736,'9 Grid'!$B$4:$B$6,0),MATCH('Rekomendasi HAV'!N736,'9 Grid'!$D$2:$F$2,0)),"")</f>
        <v/>
      </c>
      <c r="P736" s="147" t="str">
        <f>IFERROR(INDEX('9 Grid'!$D$8:$F$8,1,MATCH('Rekomendasi HAV'!N736,'9 Grid'!$D$2:$F$2,0)),"")</f>
        <v>(ST) Within 12 - 18 month</v>
      </c>
    </row>
    <row r="737" spans="1:16" ht="28.5">
      <c r="A737" s="67">
        <v>736</v>
      </c>
      <c r="B737" s="68" t="str">
        <f>INDEX(Data_Assessment[],MATCH('Rekomendasi HAV'!$A737,Data_Assessment[[INDEX]:[INDEX]],0),MATCH('Rekomendasi HAV'!B$1,Data_Assessment[#Headers],0))</f>
        <v>Defryan Lambrocius Pane</v>
      </c>
      <c r="C737" s="68" t="str">
        <f>INDEX(Data_Assessment[],MATCH('Rekomendasi HAV'!$A737,Data_Assessment[[INDEX]:[INDEX]],0),MATCH('Rekomendasi HAV'!C$1,Data_Assessment[#Headers],0))</f>
        <v>Sumatera Selatan</v>
      </c>
      <c r="D737" s="68" t="str">
        <f>INDEX(Data_Assessment[],MATCH('Rekomendasi HAV'!$A737,Data_Assessment[[INDEX]:[INDEX]],0),MATCH('Rekomendasi HAV'!D$1,Data_Assessment[#Headers],0))</f>
        <v>LSIP - Sei Kepayang Estate</v>
      </c>
      <c r="E737" s="68">
        <f>INDEX(Data_Assessment[],MATCH('Rekomendasi HAV'!$B737,Data_Assessment[[NAME]:[NAME]],0),MATCH('Rekomendasi HAV'!E$1,Data_Assessment[#Headers],0))</f>
        <v>0</v>
      </c>
      <c r="F737" s="68"/>
      <c r="G737" s="68">
        <f>IF(ISNUMBER(SEARCH("DEV",Assessment[[#This Row],[JOB TARGET]])),SUBSTITUTE(Assessment[[#This Row],[JOB TARGET]],"DEV","EST"),Assessment[[#This Row],[JOB TARGET]])</f>
        <v>0</v>
      </c>
      <c r="H737" s="146" t="str" cm="1">
        <f t="array" aca="1" ref="H737" ca="1">IF(Assessment[[#This Row],[JOB TARGET]]="","Job Target Kosong",IF(COUNT(IF('Data Assessment'!$N737:$Z737-OFFSET(Standar!$B$2,MATCH(Assessment[[#This Row],[JOB TARGET
(EST)]],Standar[NAMA JABATAN],0)-1,1,1,13)&lt;0,1,""))&lt;=3,'9 Grid'!$B$4,IF(COUNT(IF('Data Assessment'!$N737:$Z737-OFFSET(Standar!$B$2,MATCH(Assessment[[#This Row],[JOB TARGET]],Standar[NAMA JABATAN],0)-1,1,1,13)&lt;0,1,""))&gt;=7,'9 Grid'!$B$6,'9 Grid'!$B$5)))</f>
        <v>Job Target Kosong</v>
      </c>
      <c r="I737" s="146" t="str">
        <f>IFERROR(IF(Data_Assessment[[#This Row],[IPP (3 YEARS AVERAGE)]]="","(IPP Belum Ada)",IF(Data_Assessment[[#This Row],[IPP (3 YEARS AVERAGE)]]&lt;2,'9 Grid'!$F$2,IF(Data_Assessment[[#This Row],[IPP (3 YEARS AVERAGE)]]&gt;=4,'9 Grid'!$D$2,'9 Grid'!$E$2))),"")</f>
        <v>Contributor</v>
      </c>
      <c r="J737" s="146" t="str">
        <f ca="1">IFERROR(INDEX('9 Grid'!$D$4:$F$6,MATCH('Rekomendasi HAV'!H737,'9 Grid'!$B$4:$B$6,0),MATCH('Rekomendasi HAV'!I737,'9 Grid'!$D$2:$F$2,0)),"")</f>
        <v/>
      </c>
      <c r="K737" s="146" t="str">
        <f>IFERROR(INDEX('9 Grid'!$D$8:$F$8,1,MATCH('Rekomendasi HAV'!I737,'9 Grid'!$D$2:$F$2,0)),"")</f>
        <v>(LT) More 2 - 3 year</v>
      </c>
      <c r="L737" s="146">
        <f>IF(ISNUMBER(SEARCH("EST",Assessment[[#This Row],[JOB TARGET]])),SUBSTITUTE(Assessment[[#This Row],[JOB TARGET]],"EST","DEV"),Assessment[[#This Row],[JOB TARGET]])</f>
        <v>0</v>
      </c>
      <c r="M737" s="146" t="str" cm="1">
        <f t="array" aca="1" ref="M737" ca="1">IF(Assessment[[#This Row],[JOB TARGET]]="","Job Target Kosong",IF(COUNT(IF('Data Assessment'!$N737:$Z737-OFFSET(Standar!$B$2,MATCH(Assessment[[#This Row],[JOB TARGET
(DEV)]],Standar[NAMA JABATAN],0)-1,1,1,13)&lt;0,1,""))&lt;=3,'9 Grid'!$B$4,IF(COUNT(IF('Data Assessment'!$N737:$Z737-OFFSET(Standar!$B$2,MATCH(Assessment[[#This Row],[JOB TARGET
(DEV)]],Standar[NAMA JABATAN],0)-1,1,1,13)&lt;0,1,""))&gt;=7,'9 Grid'!$B$6,'9 Grid'!$B$5)))</f>
        <v>Job Target Kosong</v>
      </c>
      <c r="N737" s="146" t="str">
        <f>IFERROR(IF(Data_Assessment[[#This Row],[IPP (3 YEARS AVERAGE)]]="","(IPP Belum Ada)",IF(Data_Assessment[[#This Row],[IPP (3 YEARS AVERAGE)]]&lt;2,'9 Grid'!$F$2,IF(Data_Assessment[[#This Row],[IPP (3 YEARS AVERAGE)]]&gt;=4,'9 Grid'!$D$2,'9 Grid'!$E$2))),"")</f>
        <v>Contributor</v>
      </c>
      <c r="O737" s="146" t="str">
        <f ca="1">IFERROR(INDEX('9 Grid'!$D$4:$F$6,MATCH('Rekomendasi HAV'!M737,'9 Grid'!$B$4:$B$6,0),MATCH('Rekomendasi HAV'!N737,'9 Grid'!$D$2:$F$2,0)),"")</f>
        <v/>
      </c>
      <c r="P737" s="147" t="str">
        <f>IFERROR(INDEX('9 Grid'!$D$8:$F$8,1,MATCH('Rekomendasi HAV'!N737,'9 Grid'!$D$2:$F$2,0)),"")</f>
        <v>(LT) More 2 - 3 year</v>
      </c>
    </row>
    <row r="738" spans="1:16" ht="28.5">
      <c r="A738" s="67">
        <v>737</v>
      </c>
      <c r="B738" s="68" t="str">
        <f>INDEX(Data_Assessment[],MATCH('Rekomendasi HAV'!$A738,Data_Assessment[[INDEX]:[INDEX]],0),MATCH('Rekomendasi HAV'!B$1,Data_Assessment[#Headers],0))</f>
        <v>Reja Eka Putra, Ir.</v>
      </c>
      <c r="C738" s="68" t="str">
        <f>INDEX(Data_Assessment[],MATCH('Rekomendasi HAV'!$A738,Data_Assessment[[INDEX]:[INDEX]],0),MATCH('Rekomendasi HAV'!C$1,Data_Assessment[#Headers],0))</f>
        <v>Sumatera Selatan</v>
      </c>
      <c r="D738" s="68" t="str">
        <f>INDEX(Data_Assessment[],MATCH('Rekomendasi HAV'!$A738,Data_Assessment[[INDEX]:[INDEX]],0),MATCH('Rekomendasi HAV'!D$1,Data_Assessment[#Headers],0))</f>
        <v>LSIP - Ekasari Region</v>
      </c>
      <c r="E738" s="68">
        <f>INDEX(Data_Assessment[],MATCH('Rekomendasi HAV'!$B738,Data_Assessment[[NAME]:[NAME]],0),MATCH('Rekomendasi HAV'!E$1,Data_Assessment[#Headers],0))</f>
        <v>0</v>
      </c>
      <c r="F738" s="68"/>
      <c r="G738" s="68">
        <f>IF(ISNUMBER(SEARCH("DEV",Assessment[[#This Row],[JOB TARGET]])),SUBSTITUTE(Assessment[[#This Row],[JOB TARGET]],"DEV","EST"),Assessment[[#This Row],[JOB TARGET]])</f>
        <v>0</v>
      </c>
      <c r="H738" s="146" t="str" cm="1">
        <f t="array" aca="1" ref="H738" ca="1">IF(Assessment[[#This Row],[JOB TARGET]]="","Job Target Kosong",IF(COUNT(IF('Data Assessment'!$N738:$Z738-OFFSET(Standar!$B$2,MATCH(Assessment[[#This Row],[JOB TARGET
(EST)]],Standar[NAMA JABATAN],0)-1,1,1,13)&lt;0,1,""))&lt;=3,'9 Grid'!$B$4,IF(COUNT(IF('Data Assessment'!$N738:$Z738-OFFSET(Standar!$B$2,MATCH(Assessment[[#This Row],[JOB TARGET]],Standar[NAMA JABATAN],0)-1,1,1,13)&lt;0,1,""))&gt;=7,'9 Grid'!$B$6,'9 Grid'!$B$5)))</f>
        <v>Job Target Kosong</v>
      </c>
      <c r="I738" s="146" t="str">
        <f>IFERROR(IF(Data_Assessment[[#This Row],[IPP (3 YEARS AVERAGE)]]="","(IPP Belum Ada)",IF(Data_Assessment[[#This Row],[IPP (3 YEARS AVERAGE)]]&lt;2,'9 Grid'!$F$2,IF(Data_Assessment[[#This Row],[IPP (3 YEARS AVERAGE)]]&gt;=4,'9 Grid'!$D$2,'9 Grid'!$E$2))),"")</f>
        <v>Contributor</v>
      </c>
      <c r="J738" s="146" t="str">
        <f ca="1">IFERROR(INDEX('9 Grid'!$D$4:$F$6,MATCH('Rekomendasi HAV'!H738,'9 Grid'!$B$4:$B$6,0),MATCH('Rekomendasi HAV'!I738,'9 Grid'!$D$2:$F$2,0)),"")</f>
        <v/>
      </c>
      <c r="K738" s="146" t="str">
        <f>IFERROR(INDEX('9 Grid'!$D$8:$F$8,1,MATCH('Rekomendasi HAV'!I738,'9 Grid'!$D$2:$F$2,0)),"")</f>
        <v>(LT) More 2 - 3 year</v>
      </c>
      <c r="L738" s="146">
        <f>IF(ISNUMBER(SEARCH("EST",Assessment[[#This Row],[JOB TARGET]])),SUBSTITUTE(Assessment[[#This Row],[JOB TARGET]],"EST","DEV"),Assessment[[#This Row],[JOB TARGET]])</f>
        <v>0</v>
      </c>
      <c r="M738" s="146" t="str" cm="1">
        <f t="array" aca="1" ref="M738" ca="1">IF(Assessment[[#This Row],[JOB TARGET]]="","Job Target Kosong",IF(COUNT(IF('Data Assessment'!$N738:$Z738-OFFSET(Standar!$B$2,MATCH(Assessment[[#This Row],[JOB TARGET
(DEV)]],Standar[NAMA JABATAN],0)-1,1,1,13)&lt;0,1,""))&lt;=3,'9 Grid'!$B$4,IF(COUNT(IF('Data Assessment'!$N738:$Z738-OFFSET(Standar!$B$2,MATCH(Assessment[[#This Row],[JOB TARGET
(DEV)]],Standar[NAMA JABATAN],0)-1,1,1,13)&lt;0,1,""))&gt;=7,'9 Grid'!$B$6,'9 Grid'!$B$5)))</f>
        <v>Job Target Kosong</v>
      </c>
      <c r="N738" s="146" t="str">
        <f>IFERROR(IF(Data_Assessment[[#This Row],[IPP (3 YEARS AVERAGE)]]="","(IPP Belum Ada)",IF(Data_Assessment[[#This Row],[IPP (3 YEARS AVERAGE)]]&lt;2,'9 Grid'!$F$2,IF(Data_Assessment[[#This Row],[IPP (3 YEARS AVERAGE)]]&gt;=4,'9 Grid'!$D$2,'9 Grid'!$E$2))),"")</f>
        <v>Contributor</v>
      </c>
      <c r="O738" s="146" t="str">
        <f ca="1">IFERROR(INDEX('9 Grid'!$D$4:$F$6,MATCH('Rekomendasi HAV'!M738,'9 Grid'!$B$4:$B$6,0),MATCH('Rekomendasi HAV'!N738,'9 Grid'!$D$2:$F$2,0)),"")</f>
        <v/>
      </c>
      <c r="P738" s="147" t="str">
        <f>IFERROR(INDEX('9 Grid'!$D$8:$F$8,1,MATCH('Rekomendasi HAV'!N738,'9 Grid'!$D$2:$F$2,0)),"")</f>
        <v>(LT) More 2 - 3 year</v>
      </c>
    </row>
    <row r="739" spans="1:16" ht="28.5">
      <c r="A739" s="67">
        <v>738</v>
      </c>
      <c r="B739" s="68" t="str">
        <f>INDEX(Data_Assessment[],MATCH('Rekomendasi HAV'!$A739,Data_Assessment[[INDEX]:[INDEX]],0),MATCH('Rekomendasi HAV'!B$1,Data_Assessment[#Headers],0))</f>
        <v>Ruslyzar</v>
      </c>
      <c r="C739" s="68" t="str">
        <f>INDEX(Data_Assessment[],MATCH('Rekomendasi HAV'!$A739,Data_Assessment[[INDEX]:[INDEX]],0),MATCH('Rekomendasi HAV'!C$1,Data_Assessment[#Headers],0))</f>
        <v>Sumatera Selatan</v>
      </c>
      <c r="D739" s="68" t="str">
        <f>INDEX(Data_Assessment[],MATCH('Rekomendasi HAV'!$A739,Data_Assessment[[INDEX]:[INDEX]],0),MATCH('Rekomendasi HAV'!D$1,Data_Assessment[#Headers],0))</f>
        <v>LSIP - Dwi Makmur Region</v>
      </c>
      <c r="E739" s="68">
        <f>INDEX(Data_Assessment[],MATCH('Rekomendasi HAV'!$B739,Data_Assessment[[NAME]:[NAME]],0),MATCH('Rekomendasi HAV'!E$1,Data_Assessment[#Headers],0))</f>
        <v>0</v>
      </c>
      <c r="F739" s="68"/>
      <c r="G739" s="68">
        <f>IF(ISNUMBER(SEARCH("DEV",Assessment[[#This Row],[JOB TARGET]])),SUBSTITUTE(Assessment[[#This Row],[JOB TARGET]],"DEV","EST"),Assessment[[#This Row],[JOB TARGET]])</f>
        <v>0</v>
      </c>
      <c r="H739" s="146" t="str" cm="1">
        <f t="array" aca="1" ref="H739" ca="1">IF(Assessment[[#This Row],[JOB TARGET]]="","Job Target Kosong",IF(COUNT(IF('Data Assessment'!$N739:$Z739-OFFSET(Standar!$B$2,MATCH(Assessment[[#This Row],[JOB TARGET
(EST)]],Standar[NAMA JABATAN],0)-1,1,1,13)&lt;0,1,""))&lt;=3,'9 Grid'!$B$4,IF(COUNT(IF('Data Assessment'!$N739:$Z739-OFFSET(Standar!$B$2,MATCH(Assessment[[#This Row],[JOB TARGET]],Standar[NAMA JABATAN],0)-1,1,1,13)&lt;0,1,""))&gt;=7,'9 Grid'!$B$6,'9 Grid'!$B$5)))</f>
        <v>Job Target Kosong</v>
      </c>
      <c r="I739" s="146" t="str">
        <f>IFERROR(IF(Data_Assessment[[#This Row],[IPP (3 YEARS AVERAGE)]]="","(IPP Belum Ada)",IF(Data_Assessment[[#This Row],[IPP (3 YEARS AVERAGE)]]&lt;2,'9 Grid'!$F$2,IF(Data_Assessment[[#This Row],[IPP (3 YEARS AVERAGE)]]&gt;=4,'9 Grid'!$D$2,'9 Grid'!$E$2))),"")</f>
        <v>Fully Competence Performance</v>
      </c>
      <c r="J739" s="146" t="str">
        <f ca="1">IFERROR(INDEX('9 Grid'!$D$4:$F$6,MATCH('Rekomendasi HAV'!H739,'9 Grid'!$B$4:$B$6,0),MATCH('Rekomendasi HAV'!I739,'9 Grid'!$D$2:$F$2,0)),"")</f>
        <v/>
      </c>
      <c r="K739" s="146" t="str">
        <f>IFERROR(INDEX('9 Grid'!$D$8:$F$8,1,MATCH('Rekomendasi HAV'!I739,'9 Grid'!$D$2:$F$2,0)),"")</f>
        <v>(ST) Within 12 - 18 month</v>
      </c>
      <c r="L739" s="146">
        <f>IF(ISNUMBER(SEARCH("EST",Assessment[[#This Row],[JOB TARGET]])),SUBSTITUTE(Assessment[[#This Row],[JOB TARGET]],"EST","DEV"),Assessment[[#This Row],[JOB TARGET]])</f>
        <v>0</v>
      </c>
      <c r="M739" s="146" t="str" cm="1">
        <f t="array" aca="1" ref="M739" ca="1">IF(Assessment[[#This Row],[JOB TARGET]]="","Job Target Kosong",IF(COUNT(IF('Data Assessment'!$N739:$Z739-OFFSET(Standar!$B$2,MATCH(Assessment[[#This Row],[JOB TARGET
(DEV)]],Standar[NAMA JABATAN],0)-1,1,1,13)&lt;0,1,""))&lt;=3,'9 Grid'!$B$4,IF(COUNT(IF('Data Assessment'!$N739:$Z739-OFFSET(Standar!$B$2,MATCH(Assessment[[#This Row],[JOB TARGET
(DEV)]],Standar[NAMA JABATAN],0)-1,1,1,13)&lt;0,1,""))&gt;=7,'9 Grid'!$B$6,'9 Grid'!$B$5)))</f>
        <v>Job Target Kosong</v>
      </c>
      <c r="N739" s="146" t="str">
        <f>IFERROR(IF(Data_Assessment[[#This Row],[IPP (3 YEARS AVERAGE)]]="","(IPP Belum Ada)",IF(Data_Assessment[[#This Row],[IPP (3 YEARS AVERAGE)]]&lt;2,'9 Grid'!$F$2,IF(Data_Assessment[[#This Row],[IPP (3 YEARS AVERAGE)]]&gt;=4,'9 Grid'!$D$2,'9 Grid'!$E$2))),"")</f>
        <v>Fully Competence Performance</v>
      </c>
      <c r="O739" s="146" t="str">
        <f ca="1">IFERROR(INDEX('9 Grid'!$D$4:$F$6,MATCH('Rekomendasi HAV'!M739,'9 Grid'!$B$4:$B$6,0),MATCH('Rekomendasi HAV'!N739,'9 Grid'!$D$2:$F$2,0)),"")</f>
        <v/>
      </c>
      <c r="P739" s="147" t="str">
        <f>IFERROR(INDEX('9 Grid'!$D$8:$F$8,1,MATCH('Rekomendasi HAV'!N739,'9 Grid'!$D$2:$F$2,0)),"")</f>
        <v>(ST) Within 12 - 18 month</v>
      </c>
    </row>
    <row r="740" spans="1:16" ht="28.5">
      <c r="A740" s="67">
        <v>739</v>
      </c>
      <c r="B740" s="68" t="str">
        <f>INDEX(Data_Assessment[],MATCH('Rekomendasi HAV'!$A740,Data_Assessment[[INDEX]:[INDEX]],0),MATCH('Rekomendasi HAV'!B$1,Data_Assessment[#Headers],0))</f>
        <v>Suyatno, Drs</v>
      </c>
      <c r="C740" s="68" t="str">
        <f>INDEX(Data_Assessment[],MATCH('Rekomendasi HAV'!$A740,Data_Assessment[[INDEX]:[INDEX]],0),MATCH('Rekomendasi HAV'!C$1,Data_Assessment[#Headers],0))</f>
        <v>Sumatera Selatan</v>
      </c>
      <c r="D740" s="68" t="str">
        <f>INDEX(Data_Assessment[],MATCH('Rekomendasi HAV'!$A740,Data_Assessment[[INDEX]:[INDEX]],0),MATCH('Rekomendasi HAV'!D$1,Data_Assessment[#Headers],0))</f>
        <v>LSIP - Air Bening Region</v>
      </c>
      <c r="E740" s="68">
        <f>INDEX(Data_Assessment[],MATCH('Rekomendasi HAV'!$B740,Data_Assessment[[NAME]:[NAME]],0),MATCH('Rekomendasi HAV'!E$1,Data_Assessment[#Headers],0))</f>
        <v>0</v>
      </c>
      <c r="F740" s="68"/>
      <c r="G740" s="68">
        <f>IF(ISNUMBER(SEARCH("DEV",Assessment[[#This Row],[JOB TARGET]])),SUBSTITUTE(Assessment[[#This Row],[JOB TARGET]],"DEV","EST"),Assessment[[#This Row],[JOB TARGET]])</f>
        <v>0</v>
      </c>
      <c r="H740" s="146" t="str" cm="1">
        <f t="array" aca="1" ref="H740" ca="1">IF(Assessment[[#This Row],[JOB TARGET]]="","Job Target Kosong",IF(COUNT(IF('Data Assessment'!$N740:$Z740-OFFSET(Standar!$B$2,MATCH(Assessment[[#This Row],[JOB TARGET
(EST)]],Standar[NAMA JABATAN],0)-1,1,1,13)&lt;0,1,""))&lt;=3,'9 Grid'!$B$4,IF(COUNT(IF('Data Assessment'!$N740:$Z740-OFFSET(Standar!$B$2,MATCH(Assessment[[#This Row],[JOB TARGET]],Standar[NAMA JABATAN],0)-1,1,1,13)&lt;0,1,""))&gt;=7,'9 Grid'!$B$6,'9 Grid'!$B$5)))</f>
        <v>Job Target Kosong</v>
      </c>
      <c r="I740" s="146" t="str">
        <f>IFERROR(IF(Data_Assessment[[#This Row],[IPP (3 YEARS AVERAGE)]]="","(IPP Belum Ada)",IF(Data_Assessment[[#This Row],[IPP (3 YEARS AVERAGE)]]&lt;2,'9 Grid'!$F$2,IF(Data_Assessment[[#This Row],[IPP (3 YEARS AVERAGE)]]&gt;=4,'9 Grid'!$D$2,'9 Grid'!$E$2))),"")</f>
        <v>Fully Competence Performance</v>
      </c>
      <c r="J740" s="146" t="str">
        <f ca="1">IFERROR(INDEX('9 Grid'!$D$4:$F$6,MATCH('Rekomendasi HAV'!H740,'9 Grid'!$B$4:$B$6,0),MATCH('Rekomendasi HAV'!I740,'9 Grid'!$D$2:$F$2,0)),"")</f>
        <v/>
      </c>
      <c r="K740" s="146" t="str">
        <f>IFERROR(INDEX('9 Grid'!$D$8:$F$8,1,MATCH('Rekomendasi HAV'!I740,'9 Grid'!$D$2:$F$2,0)),"")</f>
        <v>(ST) Within 12 - 18 month</v>
      </c>
      <c r="L740" s="146">
        <f>IF(ISNUMBER(SEARCH("EST",Assessment[[#This Row],[JOB TARGET]])),SUBSTITUTE(Assessment[[#This Row],[JOB TARGET]],"EST","DEV"),Assessment[[#This Row],[JOB TARGET]])</f>
        <v>0</v>
      </c>
      <c r="M740" s="146" t="str" cm="1">
        <f t="array" aca="1" ref="M740" ca="1">IF(Assessment[[#This Row],[JOB TARGET]]="","Job Target Kosong",IF(COUNT(IF('Data Assessment'!$N740:$Z740-OFFSET(Standar!$B$2,MATCH(Assessment[[#This Row],[JOB TARGET
(DEV)]],Standar[NAMA JABATAN],0)-1,1,1,13)&lt;0,1,""))&lt;=3,'9 Grid'!$B$4,IF(COUNT(IF('Data Assessment'!$N740:$Z740-OFFSET(Standar!$B$2,MATCH(Assessment[[#This Row],[JOB TARGET
(DEV)]],Standar[NAMA JABATAN],0)-1,1,1,13)&lt;0,1,""))&gt;=7,'9 Grid'!$B$6,'9 Grid'!$B$5)))</f>
        <v>Job Target Kosong</v>
      </c>
      <c r="N740" s="146" t="str">
        <f>IFERROR(IF(Data_Assessment[[#This Row],[IPP (3 YEARS AVERAGE)]]="","(IPP Belum Ada)",IF(Data_Assessment[[#This Row],[IPP (3 YEARS AVERAGE)]]&lt;2,'9 Grid'!$F$2,IF(Data_Assessment[[#This Row],[IPP (3 YEARS AVERAGE)]]&gt;=4,'9 Grid'!$D$2,'9 Grid'!$E$2))),"")</f>
        <v>Fully Competence Performance</v>
      </c>
      <c r="O740" s="146" t="str">
        <f ca="1">IFERROR(INDEX('9 Grid'!$D$4:$F$6,MATCH('Rekomendasi HAV'!M740,'9 Grid'!$B$4:$B$6,0),MATCH('Rekomendasi HAV'!N740,'9 Grid'!$D$2:$F$2,0)),"")</f>
        <v/>
      </c>
      <c r="P740" s="147" t="str">
        <f>IFERROR(INDEX('9 Grid'!$D$8:$F$8,1,MATCH('Rekomendasi HAV'!N740,'9 Grid'!$D$2:$F$2,0)),"")</f>
        <v>(ST) Within 12 - 18 month</v>
      </c>
    </row>
    <row r="741" spans="1:16" ht="28.5">
      <c r="A741" s="67">
        <v>740</v>
      </c>
      <c r="B741" s="68" t="str">
        <f>INDEX(Data_Assessment[],MATCH('Rekomendasi HAV'!$A741,Data_Assessment[[INDEX]:[INDEX]],0),MATCH('Rekomendasi HAV'!B$1,Data_Assessment[#Headers],0))</f>
        <v>Yulian Firdaus</v>
      </c>
      <c r="C741" s="68" t="str">
        <f>INDEX(Data_Assessment[],MATCH('Rekomendasi HAV'!$A741,Data_Assessment[[INDEX]:[INDEX]],0),MATCH('Rekomendasi HAV'!C$1,Data_Assessment[#Headers],0))</f>
        <v>Sumatera Selatan</v>
      </c>
      <c r="D741" s="68" t="str">
        <f>INDEX(Data_Assessment[],MATCH('Rekomendasi HAV'!$A741,Data_Assessment[[INDEX]:[INDEX]],0),MATCH('Rekomendasi HAV'!D$1,Data_Assessment[#Headers],0))</f>
        <v>LSIP - Air Bening Region</v>
      </c>
      <c r="E741" s="68">
        <f>INDEX(Data_Assessment[],MATCH('Rekomendasi HAV'!$B741,Data_Assessment[[NAME]:[NAME]],0),MATCH('Rekomendasi HAV'!E$1,Data_Assessment[#Headers],0))</f>
        <v>0</v>
      </c>
      <c r="F741" s="68"/>
      <c r="G741" s="68">
        <f>IF(ISNUMBER(SEARCH("DEV",Assessment[[#This Row],[JOB TARGET]])),SUBSTITUTE(Assessment[[#This Row],[JOB TARGET]],"DEV","EST"),Assessment[[#This Row],[JOB TARGET]])</f>
        <v>0</v>
      </c>
      <c r="H741" s="146" t="str" cm="1">
        <f t="array" aca="1" ref="H741" ca="1">IF(Assessment[[#This Row],[JOB TARGET]]="","Job Target Kosong",IF(COUNT(IF('Data Assessment'!$N741:$Z741-OFFSET(Standar!$B$2,MATCH(Assessment[[#This Row],[JOB TARGET
(EST)]],Standar[NAMA JABATAN],0)-1,1,1,13)&lt;0,1,""))&lt;=3,'9 Grid'!$B$4,IF(COUNT(IF('Data Assessment'!$N741:$Z741-OFFSET(Standar!$B$2,MATCH(Assessment[[#This Row],[JOB TARGET]],Standar[NAMA JABATAN],0)-1,1,1,13)&lt;0,1,""))&gt;=7,'9 Grid'!$B$6,'9 Grid'!$B$5)))</f>
        <v>Job Target Kosong</v>
      </c>
      <c r="I741" s="146" t="str">
        <f>IFERROR(IF(Data_Assessment[[#This Row],[IPP (3 YEARS AVERAGE)]]="","(IPP Belum Ada)",IF(Data_Assessment[[#This Row],[IPP (3 YEARS AVERAGE)]]&lt;2,'9 Grid'!$F$2,IF(Data_Assessment[[#This Row],[IPP (3 YEARS AVERAGE)]]&gt;=4,'9 Grid'!$D$2,'9 Grid'!$E$2))),"")</f>
        <v>Fully Competence Performance</v>
      </c>
      <c r="J741" s="146" t="str">
        <f ca="1">IFERROR(INDEX('9 Grid'!$D$4:$F$6,MATCH('Rekomendasi HAV'!H741,'9 Grid'!$B$4:$B$6,0),MATCH('Rekomendasi HAV'!I741,'9 Grid'!$D$2:$F$2,0)),"")</f>
        <v/>
      </c>
      <c r="K741" s="146" t="str">
        <f>IFERROR(INDEX('9 Grid'!$D$8:$F$8,1,MATCH('Rekomendasi HAV'!I741,'9 Grid'!$D$2:$F$2,0)),"")</f>
        <v>(ST) Within 12 - 18 month</v>
      </c>
      <c r="L741" s="146">
        <f>IF(ISNUMBER(SEARCH("EST",Assessment[[#This Row],[JOB TARGET]])),SUBSTITUTE(Assessment[[#This Row],[JOB TARGET]],"EST","DEV"),Assessment[[#This Row],[JOB TARGET]])</f>
        <v>0</v>
      </c>
      <c r="M741" s="146" t="str" cm="1">
        <f t="array" aca="1" ref="M741" ca="1">IF(Assessment[[#This Row],[JOB TARGET]]="","Job Target Kosong",IF(COUNT(IF('Data Assessment'!$N741:$Z741-OFFSET(Standar!$B$2,MATCH(Assessment[[#This Row],[JOB TARGET
(DEV)]],Standar[NAMA JABATAN],0)-1,1,1,13)&lt;0,1,""))&lt;=3,'9 Grid'!$B$4,IF(COUNT(IF('Data Assessment'!$N741:$Z741-OFFSET(Standar!$B$2,MATCH(Assessment[[#This Row],[JOB TARGET
(DEV)]],Standar[NAMA JABATAN],0)-1,1,1,13)&lt;0,1,""))&gt;=7,'9 Grid'!$B$6,'9 Grid'!$B$5)))</f>
        <v>Job Target Kosong</v>
      </c>
      <c r="N741" s="146" t="str">
        <f>IFERROR(IF(Data_Assessment[[#This Row],[IPP (3 YEARS AVERAGE)]]="","(IPP Belum Ada)",IF(Data_Assessment[[#This Row],[IPP (3 YEARS AVERAGE)]]&lt;2,'9 Grid'!$F$2,IF(Data_Assessment[[#This Row],[IPP (3 YEARS AVERAGE)]]&gt;=4,'9 Grid'!$D$2,'9 Grid'!$E$2))),"")</f>
        <v>Fully Competence Performance</v>
      </c>
      <c r="O741" s="146" t="str">
        <f ca="1">IFERROR(INDEX('9 Grid'!$D$4:$F$6,MATCH('Rekomendasi HAV'!M741,'9 Grid'!$B$4:$B$6,0),MATCH('Rekomendasi HAV'!N741,'9 Grid'!$D$2:$F$2,0)),"")</f>
        <v/>
      </c>
      <c r="P741" s="147" t="str">
        <f>IFERROR(INDEX('9 Grid'!$D$8:$F$8,1,MATCH('Rekomendasi HAV'!N741,'9 Grid'!$D$2:$F$2,0)),"")</f>
        <v>(ST) Within 12 - 18 month</v>
      </c>
    </row>
    <row r="742" spans="1:16" ht="28.5">
      <c r="A742" s="67">
        <v>741</v>
      </c>
      <c r="B742" s="68" t="str">
        <f>INDEX(Data_Assessment[],MATCH('Rekomendasi HAV'!$A742,Data_Assessment[[INDEX]:[INDEX]],0),MATCH('Rekomendasi HAV'!B$1,Data_Assessment[#Headers],0))</f>
        <v>Sarjana Bangun, SE</v>
      </c>
      <c r="C742" s="68" t="str">
        <f>INDEX(Data_Assessment[],MATCH('Rekomendasi HAV'!$A742,Data_Assessment[[INDEX]:[INDEX]],0),MATCH('Rekomendasi HAV'!C$1,Data_Assessment[#Headers],0))</f>
        <v>Sumatera Selatan</v>
      </c>
      <c r="D742" s="68" t="str">
        <f>INDEX(Data_Assessment[],MATCH('Rekomendasi HAV'!$A742,Data_Assessment[[INDEX]:[INDEX]],0),MATCH('Rekomendasi HAV'!D$1,Data_Assessment[#Headers],0))</f>
        <v>LSIP - Marga Sido Region</v>
      </c>
      <c r="E742" s="68">
        <f>INDEX(Data_Assessment[],MATCH('Rekomendasi HAV'!$B742,Data_Assessment[[NAME]:[NAME]],0),MATCH('Rekomendasi HAV'!E$1,Data_Assessment[#Headers],0))</f>
        <v>0</v>
      </c>
      <c r="F742" s="68"/>
      <c r="G742" s="68">
        <f>IF(ISNUMBER(SEARCH("DEV",Assessment[[#This Row],[JOB TARGET]])),SUBSTITUTE(Assessment[[#This Row],[JOB TARGET]],"DEV","EST"),Assessment[[#This Row],[JOB TARGET]])</f>
        <v>0</v>
      </c>
      <c r="H742" s="146" t="str" cm="1">
        <f t="array" aca="1" ref="H742" ca="1">IF(Assessment[[#This Row],[JOB TARGET]]="","Job Target Kosong",IF(COUNT(IF('Data Assessment'!$N742:$Z742-OFFSET(Standar!$B$2,MATCH(Assessment[[#This Row],[JOB TARGET
(EST)]],Standar[NAMA JABATAN],0)-1,1,1,13)&lt;0,1,""))&lt;=3,'9 Grid'!$B$4,IF(COUNT(IF('Data Assessment'!$N742:$Z742-OFFSET(Standar!$B$2,MATCH(Assessment[[#This Row],[JOB TARGET]],Standar[NAMA JABATAN],0)-1,1,1,13)&lt;0,1,""))&gt;=7,'9 Grid'!$B$6,'9 Grid'!$B$5)))</f>
        <v>Job Target Kosong</v>
      </c>
      <c r="I742" s="146" t="str">
        <f>IFERROR(IF(Data_Assessment[[#This Row],[IPP (3 YEARS AVERAGE)]]="","(IPP Belum Ada)",IF(Data_Assessment[[#This Row],[IPP (3 YEARS AVERAGE)]]&lt;2,'9 Grid'!$F$2,IF(Data_Assessment[[#This Row],[IPP (3 YEARS AVERAGE)]]&gt;=4,'9 Grid'!$D$2,'9 Grid'!$E$2))),"")</f>
        <v>Fully Competence Performance</v>
      </c>
      <c r="J742" s="146" t="str">
        <f ca="1">IFERROR(INDEX('9 Grid'!$D$4:$F$6,MATCH('Rekomendasi HAV'!H742,'9 Grid'!$B$4:$B$6,0),MATCH('Rekomendasi HAV'!I742,'9 Grid'!$D$2:$F$2,0)),"")</f>
        <v/>
      </c>
      <c r="K742" s="146" t="str">
        <f>IFERROR(INDEX('9 Grid'!$D$8:$F$8,1,MATCH('Rekomendasi HAV'!I742,'9 Grid'!$D$2:$F$2,0)),"")</f>
        <v>(ST) Within 12 - 18 month</v>
      </c>
      <c r="L742" s="146">
        <f>IF(ISNUMBER(SEARCH("EST",Assessment[[#This Row],[JOB TARGET]])),SUBSTITUTE(Assessment[[#This Row],[JOB TARGET]],"EST","DEV"),Assessment[[#This Row],[JOB TARGET]])</f>
        <v>0</v>
      </c>
      <c r="M742" s="146" t="str" cm="1">
        <f t="array" aca="1" ref="M742" ca="1">IF(Assessment[[#This Row],[JOB TARGET]]="","Job Target Kosong",IF(COUNT(IF('Data Assessment'!$N742:$Z742-OFFSET(Standar!$B$2,MATCH(Assessment[[#This Row],[JOB TARGET
(DEV)]],Standar[NAMA JABATAN],0)-1,1,1,13)&lt;0,1,""))&lt;=3,'9 Grid'!$B$4,IF(COUNT(IF('Data Assessment'!$N742:$Z742-OFFSET(Standar!$B$2,MATCH(Assessment[[#This Row],[JOB TARGET
(DEV)]],Standar[NAMA JABATAN],0)-1,1,1,13)&lt;0,1,""))&gt;=7,'9 Grid'!$B$6,'9 Grid'!$B$5)))</f>
        <v>Job Target Kosong</v>
      </c>
      <c r="N742" s="146" t="str">
        <f>IFERROR(IF(Data_Assessment[[#This Row],[IPP (3 YEARS AVERAGE)]]="","(IPP Belum Ada)",IF(Data_Assessment[[#This Row],[IPP (3 YEARS AVERAGE)]]&lt;2,'9 Grid'!$F$2,IF(Data_Assessment[[#This Row],[IPP (3 YEARS AVERAGE)]]&gt;=4,'9 Grid'!$D$2,'9 Grid'!$E$2))),"")</f>
        <v>Fully Competence Performance</v>
      </c>
      <c r="O742" s="146" t="str">
        <f ca="1">IFERROR(INDEX('9 Grid'!$D$4:$F$6,MATCH('Rekomendasi HAV'!M742,'9 Grid'!$B$4:$B$6,0),MATCH('Rekomendasi HAV'!N742,'9 Grid'!$D$2:$F$2,0)),"")</f>
        <v/>
      </c>
      <c r="P742" s="147" t="str">
        <f>IFERROR(INDEX('9 Grid'!$D$8:$F$8,1,MATCH('Rekomendasi HAV'!N742,'9 Grid'!$D$2:$F$2,0)),"")</f>
        <v>(ST) Within 12 - 18 month</v>
      </c>
    </row>
    <row r="743" spans="1:16" ht="28.5">
      <c r="A743" s="67">
        <v>742</v>
      </c>
      <c r="B743" s="68" t="str">
        <f>INDEX(Data_Assessment[],MATCH('Rekomendasi HAV'!$A743,Data_Assessment[[INDEX]:[INDEX]],0),MATCH('Rekomendasi HAV'!B$1,Data_Assessment[#Headers],0))</f>
        <v>Sofyan Mukholip</v>
      </c>
      <c r="C743" s="68" t="str">
        <f>INDEX(Data_Assessment[],MATCH('Rekomendasi HAV'!$A743,Data_Assessment[[INDEX]:[INDEX]],0),MATCH('Rekomendasi HAV'!C$1,Data_Assessment[#Headers],0))</f>
        <v>Sumatera Selatan</v>
      </c>
      <c r="D743" s="68" t="str">
        <f>INDEX(Data_Assessment[],MATCH('Rekomendasi HAV'!$A743,Data_Assessment[[INDEX]:[INDEX]],0),MATCH('Rekomendasi HAV'!D$1,Data_Assessment[#Headers],0))</f>
        <v>LSIP - Marga Sido Region</v>
      </c>
      <c r="E743" s="68">
        <f>INDEX(Data_Assessment[],MATCH('Rekomendasi HAV'!$B743,Data_Assessment[[NAME]:[NAME]],0),MATCH('Rekomendasi HAV'!E$1,Data_Assessment[#Headers],0))</f>
        <v>0</v>
      </c>
      <c r="F743" s="68"/>
      <c r="G743" s="68">
        <f>IF(ISNUMBER(SEARCH("DEV",Assessment[[#This Row],[JOB TARGET]])),SUBSTITUTE(Assessment[[#This Row],[JOB TARGET]],"DEV","EST"),Assessment[[#This Row],[JOB TARGET]])</f>
        <v>0</v>
      </c>
      <c r="H743" s="146" t="str" cm="1">
        <f t="array" aca="1" ref="H743" ca="1">IF(Assessment[[#This Row],[JOB TARGET]]="","Job Target Kosong",IF(COUNT(IF('Data Assessment'!$N743:$Z743-OFFSET(Standar!$B$2,MATCH(Assessment[[#This Row],[JOB TARGET
(EST)]],Standar[NAMA JABATAN],0)-1,1,1,13)&lt;0,1,""))&lt;=3,'9 Grid'!$B$4,IF(COUNT(IF('Data Assessment'!$N743:$Z743-OFFSET(Standar!$B$2,MATCH(Assessment[[#This Row],[JOB TARGET]],Standar[NAMA JABATAN],0)-1,1,1,13)&lt;0,1,""))&gt;=7,'9 Grid'!$B$6,'9 Grid'!$B$5)))</f>
        <v>Job Target Kosong</v>
      </c>
      <c r="I743" s="146" t="str">
        <f>IFERROR(IF(Data_Assessment[[#This Row],[IPP (3 YEARS AVERAGE)]]="","(IPP Belum Ada)",IF(Data_Assessment[[#This Row],[IPP (3 YEARS AVERAGE)]]&lt;2,'9 Grid'!$F$2,IF(Data_Assessment[[#This Row],[IPP (3 YEARS AVERAGE)]]&gt;=4,'9 Grid'!$D$2,'9 Grid'!$E$2))),"")</f>
        <v>Fully Competence Performance</v>
      </c>
      <c r="J743" s="146" t="str">
        <f ca="1">IFERROR(INDEX('9 Grid'!$D$4:$F$6,MATCH('Rekomendasi HAV'!H743,'9 Grid'!$B$4:$B$6,0),MATCH('Rekomendasi HAV'!I743,'9 Grid'!$D$2:$F$2,0)),"")</f>
        <v/>
      </c>
      <c r="K743" s="146" t="str">
        <f>IFERROR(INDEX('9 Grid'!$D$8:$F$8,1,MATCH('Rekomendasi HAV'!I743,'9 Grid'!$D$2:$F$2,0)),"")</f>
        <v>(ST) Within 12 - 18 month</v>
      </c>
      <c r="L743" s="146">
        <f>IF(ISNUMBER(SEARCH("EST",Assessment[[#This Row],[JOB TARGET]])),SUBSTITUTE(Assessment[[#This Row],[JOB TARGET]],"EST","DEV"),Assessment[[#This Row],[JOB TARGET]])</f>
        <v>0</v>
      </c>
      <c r="M743" s="146" t="str" cm="1">
        <f t="array" aca="1" ref="M743" ca="1">IF(Assessment[[#This Row],[JOB TARGET]]="","Job Target Kosong",IF(COUNT(IF('Data Assessment'!$N743:$Z743-OFFSET(Standar!$B$2,MATCH(Assessment[[#This Row],[JOB TARGET
(DEV)]],Standar[NAMA JABATAN],0)-1,1,1,13)&lt;0,1,""))&lt;=3,'9 Grid'!$B$4,IF(COUNT(IF('Data Assessment'!$N743:$Z743-OFFSET(Standar!$B$2,MATCH(Assessment[[#This Row],[JOB TARGET
(DEV)]],Standar[NAMA JABATAN],0)-1,1,1,13)&lt;0,1,""))&gt;=7,'9 Grid'!$B$6,'9 Grid'!$B$5)))</f>
        <v>Job Target Kosong</v>
      </c>
      <c r="N743" s="146" t="str">
        <f>IFERROR(IF(Data_Assessment[[#This Row],[IPP (3 YEARS AVERAGE)]]="","(IPP Belum Ada)",IF(Data_Assessment[[#This Row],[IPP (3 YEARS AVERAGE)]]&lt;2,'9 Grid'!$F$2,IF(Data_Assessment[[#This Row],[IPP (3 YEARS AVERAGE)]]&gt;=4,'9 Grid'!$D$2,'9 Grid'!$E$2))),"")</f>
        <v>Fully Competence Performance</v>
      </c>
      <c r="O743" s="146" t="str">
        <f ca="1">IFERROR(INDEX('9 Grid'!$D$4:$F$6,MATCH('Rekomendasi HAV'!M743,'9 Grid'!$B$4:$B$6,0),MATCH('Rekomendasi HAV'!N743,'9 Grid'!$D$2:$F$2,0)),"")</f>
        <v/>
      </c>
      <c r="P743" s="147" t="str">
        <f>IFERROR(INDEX('9 Grid'!$D$8:$F$8,1,MATCH('Rekomendasi HAV'!N743,'9 Grid'!$D$2:$F$2,0)),"")</f>
        <v>(ST) Within 12 - 18 month</v>
      </c>
    </row>
    <row r="744" spans="1:16" ht="28.5">
      <c r="A744" s="67">
        <v>743</v>
      </c>
      <c r="B744" s="68" t="str">
        <f>INDEX(Data_Assessment[],MATCH('Rekomendasi HAV'!$A744,Data_Assessment[[INDEX]:[INDEX]],0),MATCH('Rekomendasi HAV'!B$1,Data_Assessment[#Headers],0))</f>
        <v>Novansyah</v>
      </c>
      <c r="C744" s="68" t="str">
        <f>INDEX(Data_Assessment[],MATCH('Rekomendasi HAV'!$A744,Data_Assessment[[INDEX]:[INDEX]],0),MATCH('Rekomendasi HAV'!C$1,Data_Assessment[#Headers],0))</f>
        <v>Sumatera Selatan</v>
      </c>
      <c r="D744" s="68" t="str">
        <f>INDEX(Data_Assessment[],MATCH('Rekomendasi HAV'!$A744,Data_Assessment[[INDEX]:[INDEX]],0),MATCH('Rekomendasi HAV'!D$1,Data_Assessment[#Headers],0))</f>
        <v>LSIP - Bukit Hijau Estate</v>
      </c>
      <c r="E744" s="68">
        <f>INDEX(Data_Assessment[],MATCH('Rekomendasi HAV'!$B744,Data_Assessment[[NAME]:[NAME]],0),MATCH('Rekomendasi HAV'!E$1,Data_Assessment[#Headers],0))</f>
        <v>0</v>
      </c>
      <c r="F744" s="68"/>
      <c r="G744" s="68">
        <f>IF(ISNUMBER(SEARCH("DEV",Assessment[[#This Row],[JOB TARGET]])),SUBSTITUTE(Assessment[[#This Row],[JOB TARGET]],"DEV","EST"),Assessment[[#This Row],[JOB TARGET]])</f>
        <v>0</v>
      </c>
      <c r="H744" s="146" t="str" cm="1">
        <f t="array" aca="1" ref="H744" ca="1">IF(Assessment[[#This Row],[JOB TARGET]]="","Job Target Kosong",IF(COUNT(IF('Data Assessment'!$N744:$Z744-OFFSET(Standar!$B$2,MATCH(Assessment[[#This Row],[JOB TARGET
(EST)]],Standar[NAMA JABATAN],0)-1,1,1,13)&lt;0,1,""))&lt;=3,'9 Grid'!$B$4,IF(COUNT(IF('Data Assessment'!$N744:$Z744-OFFSET(Standar!$B$2,MATCH(Assessment[[#This Row],[JOB TARGET]],Standar[NAMA JABATAN],0)-1,1,1,13)&lt;0,1,""))&gt;=7,'9 Grid'!$B$6,'9 Grid'!$B$5)))</f>
        <v>Job Target Kosong</v>
      </c>
      <c r="I744" s="146" t="str">
        <f>IFERROR(IF(Data_Assessment[[#This Row],[IPP (3 YEARS AVERAGE)]]="","(IPP Belum Ada)",IF(Data_Assessment[[#This Row],[IPP (3 YEARS AVERAGE)]]&lt;2,'9 Grid'!$F$2,IF(Data_Assessment[[#This Row],[IPP (3 YEARS AVERAGE)]]&gt;=4,'9 Grid'!$D$2,'9 Grid'!$E$2))),"")</f>
        <v>Fully Competence Performance</v>
      </c>
      <c r="J744" s="146" t="str">
        <f ca="1">IFERROR(INDEX('9 Grid'!$D$4:$F$6,MATCH('Rekomendasi HAV'!H744,'9 Grid'!$B$4:$B$6,0),MATCH('Rekomendasi HAV'!I744,'9 Grid'!$D$2:$F$2,0)),"")</f>
        <v/>
      </c>
      <c r="K744" s="146" t="str">
        <f>IFERROR(INDEX('9 Grid'!$D$8:$F$8,1,MATCH('Rekomendasi HAV'!I744,'9 Grid'!$D$2:$F$2,0)),"")</f>
        <v>(ST) Within 12 - 18 month</v>
      </c>
      <c r="L744" s="146">
        <f>IF(ISNUMBER(SEARCH("EST",Assessment[[#This Row],[JOB TARGET]])),SUBSTITUTE(Assessment[[#This Row],[JOB TARGET]],"EST","DEV"),Assessment[[#This Row],[JOB TARGET]])</f>
        <v>0</v>
      </c>
      <c r="M744" s="146" t="str" cm="1">
        <f t="array" aca="1" ref="M744" ca="1">IF(Assessment[[#This Row],[JOB TARGET]]="","Job Target Kosong",IF(COUNT(IF('Data Assessment'!$N744:$Z744-OFFSET(Standar!$B$2,MATCH(Assessment[[#This Row],[JOB TARGET
(DEV)]],Standar[NAMA JABATAN],0)-1,1,1,13)&lt;0,1,""))&lt;=3,'9 Grid'!$B$4,IF(COUNT(IF('Data Assessment'!$N744:$Z744-OFFSET(Standar!$B$2,MATCH(Assessment[[#This Row],[JOB TARGET
(DEV)]],Standar[NAMA JABATAN],0)-1,1,1,13)&lt;0,1,""))&gt;=7,'9 Grid'!$B$6,'9 Grid'!$B$5)))</f>
        <v>Job Target Kosong</v>
      </c>
      <c r="N744" s="146" t="str">
        <f>IFERROR(IF(Data_Assessment[[#This Row],[IPP (3 YEARS AVERAGE)]]="","(IPP Belum Ada)",IF(Data_Assessment[[#This Row],[IPP (3 YEARS AVERAGE)]]&lt;2,'9 Grid'!$F$2,IF(Data_Assessment[[#This Row],[IPP (3 YEARS AVERAGE)]]&gt;=4,'9 Grid'!$D$2,'9 Grid'!$E$2))),"")</f>
        <v>Fully Competence Performance</v>
      </c>
      <c r="O744" s="146" t="str">
        <f ca="1">IFERROR(INDEX('9 Grid'!$D$4:$F$6,MATCH('Rekomendasi HAV'!M744,'9 Grid'!$B$4:$B$6,0),MATCH('Rekomendasi HAV'!N744,'9 Grid'!$D$2:$F$2,0)),"")</f>
        <v/>
      </c>
      <c r="P744" s="147" t="str">
        <f>IFERROR(INDEX('9 Grid'!$D$8:$F$8,1,MATCH('Rekomendasi HAV'!N744,'9 Grid'!$D$2:$F$2,0)),"")</f>
        <v>(ST) Within 12 - 18 month</v>
      </c>
    </row>
    <row r="745" spans="1:16" ht="28.5">
      <c r="A745" s="67">
        <v>744</v>
      </c>
      <c r="B745" s="68" t="str">
        <f>INDEX(Data_Assessment[],MATCH('Rekomendasi HAV'!$A745,Data_Assessment[[INDEX]:[INDEX]],0),MATCH('Rekomendasi HAV'!B$1,Data_Assessment[#Headers],0))</f>
        <v>Firmansyah</v>
      </c>
      <c r="C745" s="68" t="str">
        <f>INDEX(Data_Assessment[],MATCH('Rekomendasi HAV'!$A745,Data_Assessment[[INDEX]:[INDEX]],0),MATCH('Rekomendasi HAV'!C$1,Data_Assessment[#Headers],0))</f>
        <v>Sumatera Selatan</v>
      </c>
      <c r="D745" s="68" t="str">
        <f>INDEX(Data_Assessment[],MATCH('Rekomendasi HAV'!$A745,Data_Assessment[[INDEX]:[INDEX]],0),MATCH('Rekomendasi HAV'!D$1,Data_Assessment[#Headers],0))</f>
        <v>LSIP - Marga Sido Region</v>
      </c>
      <c r="E745" s="68">
        <f>INDEX(Data_Assessment[],MATCH('Rekomendasi HAV'!$B745,Data_Assessment[[NAME]:[NAME]],0),MATCH('Rekomendasi HAV'!E$1,Data_Assessment[#Headers],0))</f>
        <v>0</v>
      </c>
      <c r="F745" s="68"/>
      <c r="G745" s="68">
        <f>IF(ISNUMBER(SEARCH("DEV",Assessment[[#This Row],[JOB TARGET]])),SUBSTITUTE(Assessment[[#This Row],[JOB TARGET]],"DEV","EST"),Assessment[[#This Row],[JOB TARGET]])</f>
        <v>0</v>
      </c>
      <c r="H745" s="146" t="str" cm="1">
        <f t="array" aca="1" ref="H745" ca="1">IF(Assessment[[#This Row],[JOB TARGET]]="","Job Target Kosong",IF(COUNT(IF('Data Assessment'!$N745:$Z745-OFFSET(Standar!$B$2,MATCH(Assessment[[#This Row],[JOB TARGET
(EST)]],Standar[NAMA JABATAN],0)-1,1,1,13)&lt;0,1,""))&lt;=3,'9 Grid'!$B$4,IF(COUNT(IF('Data Assessment'!$N745:$Z745-OFFSET(Standar!$B$2,MATCH(Assessment[[#This Row],[JOB TARGET]],Standar[NAMA JABATAN],0)-1,1,1,13)&lt;0,1,""))&gt;=7,'9 Grid'!$B$6,'9 Grid'!$B$5)))</f>
        <v>Job Target Kosong</v>
      </c>
      <c r="I745" s="146" t="str">
        <f>IFERROR(IF(Data_Assessment[[#This Row],[IPP (3 YEARS AVERAGE)]]="","(IPP Belum Ada)",IF(Data_Assessment[[#This Row],[IPP (3 YEARS AVERAGE)]]&lt;2,'9 Grid'!$F$2,IF(Data_Assessment[[#This Row],[IPP (3 YEARS AVERAGE)]]&gt;=4,'9 Grid'!$D$2,'9 Grid'!$E$2))),"")</f>
        <v>Fully Competence Performance</v>
      </c>
      <c r="J745" s="146" t="str">
        <f ca="1">IFERROR(INDEX('9 Grid'!$D$4:$F$6,MATCH('Rekomendasi HAV'!H745,'9 Grid'!$B$4:$B$6,0),MATCH('Rekomendasi HAV'!I745,'9 Grid'!$D$2:$F$2,0)),"")</f>
        <v/>
      </c>
      <c r="K745" s="146" t="str">
        <f>IFERROR(INDEX('9 Grid'!$D$8:$F$8,1,MATCH('Rekomendasi HAV'!I745,'9 Grid'!$D$2:$F$2,0)),"")</f>
        <v>(ST) Within 12 - 18 month</v>
      </c>
      <c r="L745" s="146">
        <f>IF(ISNUMBER(SEARCH("EST",Assessment[[#This Row],[JOB TARGET]])),SUBSTITUTE(Assessment[[#This Row],[JOB TARGET]],"EST","DEV"),Assessment[[#This Row],[JOB TARGET]])</f>
        <v>0</v>
      </c>
      <c r="M745" s="146" t="str" cm="1">
        <f t="array" aca="1" ref="M745" ca="1">IF(Assessment[[#This Row],[JOB TARGET]]="","Job Target Kosong",IF(COUNT(IF('Data Assessment'!$N745:$Z745-OFFSET(Standar!$B$2,MATCH(Assessment[[#This Row],[JOB TARGET
(DEV)]],Standar[NAMA JABATAN],0)-1,1,1,13)&lt;0,1,""))&lt;=3,'9 Grid'!$B$4,IF(COUNT(IF('Data Assessment'!$N745:$Z745-OFFSET(Standar!$B$2,MATCH(Assessment[[#This Row],[JOB TARGET
(DEV)]],Standar[NAMA JABATAN],0)-1,1,1,13)&lt;0,1,""))&gt;=7,'9 Grid'!$B$6,'9 Grid'!$B$5)))</f>
        <v>Job Target Kosong</v>
      </c>
      <c r="N745" s="146" t="str">
        <f>IFERROR(IF(Data_Assessment[[#This Row],[IPP (3 YEARS AVERAGE)]]="","(IPP Belum Ada)",IF(Data_Assessment[[#This Row],[IPP (3 YEARS AVERAGE)]]&lt;2,'9 Grid'!$F$2,IF(Data_Assessment[[#This Row],[IPP (3 YEARS AVERAGE)]]&gt;=4,'9 Grid'!$D$2,'9 Grid'!$E$2))),"")</f>
        <v>Fully Competence Performance</v>
      </c>
      <c r="O745" s="146" t="str">
        <f ca="1">IFERROR(INDEX('9 Grid'!$D$4:$F$6,MATCH('Rekomendasi HAV'!M745,'9 Grid'!$B$4:$B$6,0),MATCH('Rekomendasi HAV'!N745,'9 Grid'!$D$2:$F$2,0)),"")</f>
        <v/>
      </c>
      <c r="P745" s="147" t="str">
        <f>IFERROR(INDEX('9 Grid'!$D$8:$F$8,1,MATCH('Rekomendasi HAV'!N745,'9 Grid'!$D$2:$F$2,0)),"")</f>
        <v>(ST) Within 12 - 18 month</v>
      </c>
    </row>
    <row r="746" spans="1:16" ht="14.25">
      <c r="A746" s="67">
        <v>745</v>
      </c>
      <c r="B746" s="68" t="str">
        <f>INDEX(Data_Assessment[],MATCH('Rekomendasi HAV'!$A746,Data_Assessment[[INDEX]:[INDEX]],0),MATCH('Rekomendasi HAV'!B$1,Data_Assessment[#Headers],0))</f>
        <v>Yus Deddy Andry</v>
      </c>
      <c r="C746" s="68" t="str">
        <f>INDEX(Data_Assessment[],MATCH('Rekomendasi HAV'!$A746,Data_Assessment[[INDEX]:[INDEX]],0),MATCH('Rekomendasi HAV'!C$1,Data_Assessment[#Headers],0))</f>
        <v>Sumatera Selatan</v>
      </c>
      <c r="D746" s="68" t="str">
        <f>INDEX(Data_Assessment[],MATCH('Rekomendasi HAV'!$A746,Data_Assessment[[INDEX]:[INDEX]],0),MATCH('Rekomendasi HAV'!D$1,Data_Assessment[#Headers],0))</f>
        <v>LSIP - Bukit Hijau Estate</v>
      </c>
      <c r="E746" s="68">
        <f>INDEX(Data_Assessment[],MATCH('Rekomendasi HAV'!$B746,Data_Assessment[[NAME]:[NAME]],0),MATCH('Rekomendasi HAV'!E$1,Data_Assessment[#Headers],0))</f>
        <v>0</v>
      </c>
      <c r="F746" s="68"/>
      <c r="G746" s="68">
        <f>IF(ISNUMBER(SEARCH("DEV",Assessment[[#This Row],[JOB TARGET]])),SUBSTITUTE(Assessment[[#This Row],[JOB TARGET]],"DEV","EST"),Assessment[[#This Row],[JOB TARGET]])</f>
        <v>0</v>
      </c>
      <c r="H746" s="146" t="str" cm="1">
        <f t="array" aca="1" ref="H746" ca="1">IF(Assessment[[#This Row],[JOB TARGET]]="","Job Target Kosong",IF(COUNT(IF('Data Assessment'!$N746:$Z746-OFFSET(Standar!$B$2,MATCH(Assessment[[#This Row],[JOB TARGET
(EST)]],Standar[NAMA JABATAN],0)-1,1,1,13)&lt;0,1,""))&lt;=3,'9 Grid'!$B$4,IF(COUNT(IF('Data Assessment'!$N746:$Z746-OFFSET(Standar!$B$2,MATCH(Assessment[[#This Row],[JOB TARGET]],Standar[NAMA JABATAN],0)-1,1,1,13)&lt;0,1,""))&gt;=7,'9 Grid'!$B$6,'9 Grid'!$B$5)))</f>
        <v>Job Target Kosong</v>
      </c>
      <c r="I746" s="146" t="str">
        <f>IFERROR(IF(Data_Assessment[[#This Row],[IPP (3 YEARS AVERAGE)]]="","(IPP Belum Ada)",IF(Data_Assessment[[#This Row],[IPP (3 YEARS AVERAGE)]]&lt;2,'9 Grid'!$F$2,IF(Data_Assessment[[#This Row],[IPP (3 YEARS AVERAGE)]]&gt;=4,'9 Grid'!$D$2,'9 Grid'!$E$2))),"")</f>
        <v>Exceptional Performance</v>
      </c>
      <c r="J746" s="146" t="str">
        <f ca="1">IFERROR(INDEX('9 Grid'!$D$4:$F$6,MATCH('Rekomendasi HAV'!H746,'9 Grid'!$B$4:$B$6,0),MATCH('Rekomendasi HAV'!I746,'9 Grid'!$D$2:$F$2,0)),"")</f>
        <v/>
      </c>
      <c r="K746" s="146" t="str">
        <f>IFERROR(INDEX('9 Grid'!$D$8:$F$8,1,MATCH('Rekomendasi HAV'!I746,'9 Grid'!$D$2:$F$2,0)),"")</f>
        <v>(I) Immediately</v>
      </c>
      <c r="L746" s="146">
        <f>IF(ISNUMBER(SEARCH("EST",Assessment[[#This Row],[JOB TARGET]])),SUBSTITUTE(Assessment[[#This Row],[JOB TARGET]],"EST","DEV"),Assessment[[#This Row],[JOB TARGET]])</f>
        <v>0</v>
      </c>
      <c r="M746" s="146" t="str" cm="1">
        <f t="array" aca="1" ref="M746" ca="1">IF(Assessment[[#This Row],[JOB TARGET]]="","Job Target Kosong",IF(COUNT(IF('Data Assessment'!$N746:$Z746-OFFSET(Standar!$B$2,MATCH(Assessment[[#This Row],[JOB TARGET
(DEV)]],Standar[NAMA JABATAN],0)-1,1,1,13)&lt;0,1,""))&lt;=3,'9 Grid'!$B$4,IF(COUNT(IF('Data Assessment'!$N746:$Z746-OFFSET(Standar!$B$2,MATCH(Assessment[[#This Row],[JOB TARGET
(DEV)]],Standar[NAMA JABATAN],0)-1,1,1,13)&lt;0,1,""))&gt;=7,'9 Grid'!$B$6,'9 Grid'!$B$5)))</f>
        <v>Job Target Kosong</v>
      </c>
      <c r="N746" s="146" t="str">
        <f>IFERROR(IF(Data_Assessment[[#This Row],[IPP (3 YEARS AVERAGE)]]="","(IPP Belum Ada)",IF(Data_Assessment[[#This Row],[IPP (3 YEARS AVERAGE)]]&lt;2,'9 Grid'!$F$2,IF(Data_Assessment[[#This Row],[IPP (3 YEARS AVERAGE)]]&gt;=4,'9 Grid'!$D$2,'9 Grid'!$E$2))),"")</f>
        <v>Exceptional Performance</v>
      </c>
      <c r="O746" s="146" t="str">
        <f ca="1">IFERROR(INDEX('9 Grid'!$D$4:$F$6,MATCH('Rekomendasi HAV'!M746,'9 Grid'!$B$4:$B$6,0),MATCH('Rekomendasi HAV'!N746,'9 Grid'!$D$2:$F$2,0)),"")</f>
        <v/>
      </c>
      <c r="P746" s="147" t="str">
        <f>IFERROR(INDEX('9 Grid'!$D$8:$F$8,1,MATCH('Rekomendasi HAV'!N746,'9 Grid'!$D$2:$F$2,0)),"")</f>
        <v>(I) Immediately</v>
      </c>
    </row>
    <row r="747" spans="1:16" ht="28.5">
      <c r="A747" s="67">
        <v>746</v>
      </c>
      <c r="B747" s="68" t="str">
        <f>INDEX(Data_Assessment[],MATCH('Rekomendasi HAV'!$A747,Data_Assessment[[INDEX]:[INDEX]],0),MATCH('Rekomendasi HAV'!B$1,Data_Assessment[#Headers],0))</f>
        <v>Widagdya Prasetya Utama</v>
      </c>
      <c r="C747" s="68" t="str">
        <f>INDEX(Data_Assessment[],MATCH('Rekomendasi HAV'!$A747,Data_Assessment[[INDEX]:[INDEX]],0),MATCH('Rekomendasi HAV'!C$1,Data_Assessment[#Headers],0))</f>
        <v>Sumatera Selatan</v>
      </c>
      <c r="D747" s="68" t="str">
        <f>INDEX(Data_Assessment[],MATCH('Rekomendasi HAV'!$A747,Data_Assessment[[INDEX]:[INDEX]],0),MATCH('Rekomendasi HAV'!D$1,Data_Assessment[#Headers],0))</f>
        <v>LSIP - Marga Sido Region</v>
      </c>
      <c r="E747" s="68">
        <f>INDEX(Data_Assessment[],MATCH('Rekomendasi HAV'!$B747,Data_Assessment[[NAME]:[NAME]],0),MATCH('Rekomendasi HAV'!E$1,Data_Assessment[#Headers],0))</f>
        <v>0</v>
      </c>
      <c r="F747" s="68"/>
      <c r="G747" s="68">
        <f>IF(ISNUMBER(SEARCH("DEV",Assessment[[#This Row],[JOB TARGET]])),SUBSTITUTE(Assessment[[#This Row],[JOB TARGET]],"DEV","EST"),Assessment[[#This Row],[JOB TARGET]])</f>
        <v>0</v>
      </c>
      <c r="H747" s="146" t="str" cm="1">
        <f t="array" aca="1" ref="H747" ca="1">IF(Assessment[[#This Row],[JOB TARGET]]="","Job Target Kosong",IF(COUNT(IF('Data Assessment'!$N747:$Z747-OFFSET(Standar!$B$2,MATCH(Assessment[[#This Row],[JOB TARGET
(EST)]],Standar[NAMA JABATAN],0)-1,1,1,13)&lt;0,1,""))&lt;=3,'9 Grid'!$B$4,IF(COUNT(IF('Data Assessment'!$N747:$Z747-OFFSET(Standar!$B$2,MATCH(Assessment[[#This Row],[JOB TARGET]],Standar[NAMA JABATAN],0)-1,1,1,13)&lt;0,1,""))&gt;=7,'9 Grid'!$B$6,'9 Grid'!$B$5)))</f>
        <v>Job Target Kosong</v>
      </c>
      <c r="I747" s="146" t="str">
        <f>IFERROR(IF(Data_Assessment[[#This Row],[IPP (3 YEARS AVERAGE)]]="","(IPP Belum Ada)",IF(Data_Assessment[[#This Row],[IPP (3 YEARS AVERAGE)]]&lt;2,'9 Grid'!$F$2,IF(Data_Assessment[[#This Row],[IPP (3 YEARS AVERAGE)]]&gt;=4,'9 Grid'!$D$2,'9 Grid'!$E$2))),"")</f>
        <v>Fully Competence Performance</v>
      </c>
      <c r="J747" s="146" t="str">
        <f ca="1">IFERROR(INDEX('9 Grid'!$D$4:$F$6,MATCH('Rekomendasi HAV'!H747,'9 Grid'!$B$4:$B$6,0),MATCH('Rekomendasi HAV'!I747,'9 Grid'!$D$2:$F$2,0)),"")</f>
        <v/>
      </c>
      <c r="K747" s="146" t="str">
        <f>IFERROR(INDEX('9 Grid'!$D$8:$F$8,1,MATCH('Rekomendasi HAV'!I747,'9 Grid'!$D$2:$F$2,0)),"")</f>
        <v>(ST) Within 12 - 18 month</v>
      </c>
      <c r="L747" s="146">
        <f>IF(ISNUMBER(SEARCH("EST",Assessment[[#This Row],[JOB TARGET]])),SUBSTITUTE(Assessment[[#This Row],[JOB TARGET]],"EST","DEV"),Assessment[[#This Row],[JOB TARGET]])</f>
        <v>0</v>
      </c>
      <c r="M747" s="146" t="str" cm="1">
        <f t="array" aca="1" ref="M747" ca="1">IF(Assessment[[#This Row],[JOB TARGET]]="","Job Target Kosong",IF(COUNT(IF('Data Assessment'!$N747:$Z747-OFFSET(Standar!$B$2,MATCH(Assessment[[#This Row],[JOB TARGET
(DEV)]],Standar[NAMA JABATAN],0)-1,1,1,13)&lt;0,1,""))&lt;=3,'9 Grid'!$B$4,IF(COUNT(IF('Data Assessment'!$N747:$Z747-OFFSET(Standar!$B$2,MATCH(Assessment[[#This Row],[JOB TARGET
(DEV)]],Standar[NAMA JABATAN],0)-1,1,1,13)&lt;0,1,""))&gt;=7,'9 Grid'!$B$6,'9 Grid'!$B$5)))</f>
        <v>Job Target Kosong</v>
      </c>
      <c r="N747" s="146" t="str">
        <f>IFERROR(IF(Data_Assessment[[#This Row],[IPP (3 YEARS AVERAGE)]]="","(IPP Belum Ada)",IF(Data_Assessment[[#This Row],[IPP (3 YEARS AVERAGE)]]&lt;2,'9 Grid'!$F$2,IF(Data_Assessment[[#This Row],[IPP (3 YEARS AVERAGE)]]&gt;=4,'9 Grid'!$D$2,'9 Grid'!$E$2))),"")</f>
        <v>Fully Competence Performance</v>
      </c>
      <c r="O747" s="146" t="str">
        <f ca="1">IFERROR(INDEX('9 Grid'!$D$4:$F$6,MATCH('Rekomendasi HAV'!M747,'9 Grid'!$B$4:$B$6,0),MATCH('Rekomendasi HAV'!N747,'9 Grid'!$D$2:$F$2,0)),"")</f>
        <v/>
      </c>
      <c r="P747" s="147" t="str">
        <f>IFERROR(INDEX('9 Grid'!$D$8:$F$8,1,MATCH('Rekomendasi HAV'!N747,'9 Grid'!$D$2:$F$2,0)),"")</f>
        <v>(ST) Within 12 - 18 month</v>
      </c>
    </row>
    <row r="748" spans="1:16" ht="28.5">
      <c r="A748" s="67">
        <v>747</v>
      </c>
      <c r="B748" s="68" t="str">
        <f>INDEX(Data_Assessment[],MATCH('Rekomendasi HAV'!$A748,Data_Assessment[[INDEX]:[INDEX]],0),MATCH('Rekomendasi HAV'!B$1,Data_Assessment[#Headers],0))</f>
        <v>Agung Aulia Saputra</v>
      </c>
      <c r="C748" s="68" t="str">
        <f>INDEX(Data_Assessment[],MATCH('Rekomendasi HAV'!$A748,Data_Assessment[[INDEX]:[INDEX]],0),MATCH('Rekomendasi HAV'!C$1,Data_Assessment[#Headers],0))</f>
        <v>Sumatera Selatan</v>
      </c>
      <c r="D748" s="68" t="str">
        <f>INDEX(Data_Assessment[],MATCH('Rekomendasi HAV'!$A748,Data_Assessment[[INDEX]:[INDEX]],0),MATCH('Rekomendasi HAV'!D$1,Data_Assessment[#Headers],0))</f>
        <v>LSIP - Pelita Jaya Region</v>
      </c>
      <c r="E748" s="68">
        <f>INDEX(Data_Assessment[],MATCH('Rekomendasi HAV'!$B748,Data_Assessment[[NAME]:[NAME]],0),MATCH('Rekomendasi HAV'!E$1,Data_Assessment[#Headers],0))</f>
        <v>0</v>
      </c>
      <c r="F748" s="68"/>
      <c r="G748" s="68">
        <f>IF(ISNUMBER(SEARCH("DEV",Assessment[[#This Row],[JOB TARGET]])),SUBSTITUTE(Assessment[[#This Row],[JOB TARGET]],"DEV","EST"),Assessment[[#This Row],[JOB TARGET]])</f>
        <v>0</v>
      </c>
      <c r="H748" s="146" t="str" cm="1">
        <f t="array" aca="1" ref="H748" ca="1">IF(Assessment[[#This Row],[JOB TARGET]]="","Job Target Kosong",IF(COUNT(IF('Data Assessment'!$N748:$Z748-OFFSET(Standar!$B$2,MATCH(Assessment[[#This Row],[JOB TARGET
(EST)]],Standar[NAMA JABATAN],0)-1,1,1,13)&lt;0,1,""))&lt;=3,'9 Grid'!$B$4,IF(COUNT(IF('Data Assessment'!$N748:$Z748-OFFSET(Standar!$B$2,MATCH(Assessment[[#This Row],[JOB TARGET]],Standar[NAMA JABATAN],0)-1,1,1,13)&lt;0,1,""))&gt;=7,'9 Grid'!$B$6,'9 Grid'!$B$5)))</f>
        <v>Job Target Kosong</v>
      </c>
      <c r="I748" s="146" t="str">
        <f>IFERROR(IF(Data_Assessment[[#This Row],[IPP (3 YEARS AVERAGE)]]="","(IPP Belum Ada)",IF(Data_Assessment[[#This Row],[IPP (3 YEARS AVERAGE)]]&lt;2,'9 Grid'!$F$2,IF(Data_Assessment[[#This Row],[IPP (3 YEARS AVERAGE)]]&gt;=4,'9 Grid'!$D$2,'9 Grid'!$E$2))),"")</f>
        <v>Fully Competence Performance</v>
      </c>
      <c r="J748" s="146" t="str">
        <f ca="1">IFERROR(INDEX('9 Grid'!$D$4:$F$6,MATCH('Rekomendasi HAV'!H748,'9 Grid'!$B$4:$B$6,0),MATCH('Rekomendasi HAV'!I748,'9 Grid'!$D$2:$F$2,0)),"")</f>
        <v/>
      </c>
      <c r="K748" s="146" t="str">
        <f>IFERROR(INDEX('9 Grid'!$D$8:$F$8,1,MATCH('Rekomendasi HAV'!I748,'9 Grid'!$D$2:$F$2,0)),"")</f>
        <v>(ST) Within 12 - 18 month</v>
      </c>
      <c r="L748" s="146">
        <f>IF(ISNUMBER(SEARCH("EST",Assessment[[#This Row],[JOB TARGET]])),SUBSTITUTE(Assessment[[#This Row],[JOB TARGET]],"EST","DEV"),Assessment[[#This Row],[JOB TARGET]])</f>
        <v>0</v>
      </c>
      <c r="M748" s="146" t="str" cm="1">
        <f t="array" aca="1" ref="M748" ca="1">IF(Assessment[[#This Row],[JOB TARGET]]="","Job Target Kosong",IF(COUNT(IF('Data Assessment'!$N748:$Z748-OFFSET(Standar!$B$2,MATCH(Assessment[[#This Row],[JOB TARGET
(DEV)]],Standar[NAMA JABATAN],0)-1,1,1,13)&lt;0,1,""))&lt;=3,'9 Grid'!$B$4,IF(COUNT(IF('Data Assessment'!$N748:$Z748-OFFSET(Standar!$B$2,MATCH(Assessment[[#This Row],[JOB TARGET
(DEV)]],Standar[NAMA JABATAN],0)-1,1,1,13)&lt;0,1,""))&gt;=7,'9 Grid'!$B$6,'9 Grid'!$B$5)))</f>
        <v>Job Target Kosong</v>
      </c>
      <c r="N748" s="146" t="str">
        <f>IFERROR(IF(Data_Assessment[[#This Row],[IPP (3 YEARS AVERAGE)]]="","(IPP Belum Ada)",IF(Data_Assessment[[#This Row],[IPP (3 YEARS AVERAGE)]]&lt;2,'9 Grid'!$F$2,IF(Data_Assessment[[#This Row],[IPP (3 YEARS AVERAGE)]]&gt;=4,'9 Grid'!$D$2,'9 Grid'!$E$2))),"")</f>
        <v>Fully Competence Performance</v>
      </c>
      <c r="O748" s="146" t="str">
        <f ca="1">IFERROR(INDEX('9 Grid'!$D$4:$F$6,MATCH('Rekomendasi HAV'!M748,'9 Grid'!$B$4:$B$6,0),MATCH('Rekomendasi HAV'!N748,'9 Grid'!$D$2:$F$2,0)),"")</f>
        <v/>
      </c>
      <c r="P748" s="147" t="str">
        <f>IFERROR(INDEX('9 Grid'!$D$8:$F$8,1,MATCH('Rekomendasi HAV'!N748,'9 Grid'!$D$2:$F$2,0)),"")</f>
        <v>(ST) Within 12 - 18 month</v>
      </c>
    </row>
    <row r="749" spans="1:16" ht="28.5">
      <c r="A749" s="67">
        <v>748</v>
      </c>
      <c r="B749" s="68" t="str">
        <f>INDEX(Data_Assessment[],MATCH('Rekomendasi HAV'!$A749,Data_Assessment[[INDEX]:[INDEX]],0),MATCH('Rekomendasi HAV'!B$1,Data_Assessment[#Headers],0))</f>
        <v>M. Fauzi, SE</v>
      </c>
      <c r="C749" s="68" t="str">
        <f>INDEX(Data_Assessment[],MATCH('Rekomendasi HAV'!$A749,Data_Assessment[[INDEX]:[INDEX]],0),MATCH('Rekomendasi HAV'!C$1,Data_Assessment[#Headers],0))</f>
        <v>Sumatera Selatan</v>
      </c>
      <c r="D749" s="68" t="str">
        <f>INDEX(Data_Assessment[],MATCH('Rekomendasi HAV'!$A749,Data_Assessment[[INDEX]:[INDEX]],0),MATCH('Rekomendasi HAV'!D$1,Data_Assessment[#Headers],0))</f>
        <v>LSIP - Muara Kelingi Region</v>
      </c>
      <c r="E749" s="68">
        <f>INDEX(Data_Assessment[],MATCH('Rekomendasi HAV'!$B749,Data_Assessment[[NAME]:[NAME]],0),MATCH('Rekomendasi HAV'!E$1,Data_Assessment[#Headers],0))</f>
        <v>0</v>
      </c>
      <c r="F749" s="68"/>
      <c r="G749" s="68">
        <f>IF(ISNUMBER(SEARCH("DEV",Assessment[[#This Row],[JOB TARGET]])),SUBSTITUTE(Assessment[[#This Row],[JOB TARGET]],"DEV","EST"),Assessment[[#This Row],[JOB TARGET]])</f>
        <v>0</v>
      </c>
      <c r="H749" s="146" t="str" cm="1">
        <f t="array" aca="1" ref="H749" ca="1">IF(Assessment[[#This Row],[JOB TARGET]]="","Job Target Kosong",IF(COUNT(IF('Data Assessment'!$N749:$Z749-OFFSET(Standar!$B$2,MATCH(Assessment[[#This Row],[JOB TARGET
(EST)]],Standar[NAMA JABATAN],0)-1,1,1,13)&lt;0,1,""))&lt;=3,'9 Grid'!$B$4,IF(COUNT(IF('Data Assessment'!$N749:$Z749-OFFSET(Standar!$B$2,MATCH(Assessment[[#This Row],[JOB TARGET]],Standar[NAMA JABATAN],0)-1,1,1,13)&lt;0,1,""))&gt;=7,'9 Grid'!$B$6,'9 Grid'!$B$5)))</f>
        <v>Job Target Kosong</v>
      </c>
      <c r="I749" s="146" t="str">
        <f>IFERROR(IF(Data_Assessment[[#This Row],[IPP (3 YEARS AVERAGE)]]="","(IPP Belum Ada)",IF(Data_Assessment[[#This Row],[IPP (3 YEARS AVERAGE)]]&lt;2,'9 Grid'!$F$2,IF(Data_Assessment[[#This Row],[IPP (3 YEARS AVERAGE)]]&gt;=4,'9 Grid'!$D$2,'9 Grid'!$E$2))),"")</f>
        <v>Fully Competence Performance</v>
      </c>
      <c r="J749" s="146" t="str">
        <f ca="1">IFERROR(INDEX('9 Grid'!$D$4:$F$6,MATCH('Rekomendasi HAV'!H749,'9 Grid'!$B$4:$B$6,0),MATCH('Rekomendasi HAV'!I749,'9 Grid'!$D$2:$F$2,0)),"")</f>
        <v/>
      </c>
      <c r="K749" s="146" t="str">
        <f>IFERROR(INDEX('9 Grid'!$D$8:$F$8,1,MATCH('Rekomendasi HAV'!I749,'9 Grid'!$D$2:$F$2,0)),"")</f>
        <v>(ST) Within 12 - 18 month</v>
      </c>
      <c r="L749" s="146">
        <f>IF(ISNUMBER(SEARCH("EST",Assessment[[#This Row],[JOB TARGET]])),SUBSTITUTE(Assessment[[#This Row],[JOB TARGET]],"EST","DEV"),Assessment[[#This Row],[JOB TARGET]])</f>
        <v>0</v>
      </c>
      <c r="M749" s="146" t="str" cm="1">
        <f t="array" aca="1" ref="M749" ca="1">IF(Assessment[[#This Row],[JOB TARGET]]="","Job Target Kosong",IF(COUNT(IF('Data Assessment'!$N749:$Z749-OFFSET(Standar!$B$2,MATCH(Assessment[[#This Row],[JOB TARGET
(DEV)]],Standar[NAMA JABATAN],0)-1,1,1,13)&lt;0,1,""))&lt;=3,'9 Grid'!$B$4,IF(COUNT(IF('Data Assessment'!$N749:$Z749-OFFSET(Standar!$B$2,MATCH(Assessment[[#This Row],[JOB TARGET
(DEV)]],Standar[NAMA JABATAN],0)-1,1,1,13)&lt;0,1,""))&gt;=7,'9 Grid'!$B$6,'9 Grid'!$B$5)))</f>
        <v>Job Target Kosong</v>
      </c>
      <c r="N749" s="146" t="str">
        <f>IFERROR(IF(Data_Assessment[[#This Row],[IPP (3 YEARS AVERAGE)]]="","(IPP Belum Ada)",IF(Data_Assessment[[#This Row],[IPP (3 YEARS AVERAGE)]]&lt;2,'9 Grid'!$F$2,IF(Data_Assessment[[#This Row],[IPP (3 YEARS AVERAGE)]]&gt;=4,'9 Grid'!$D$2,'9 Grid'!$E$2))),"")</f>
        <v>Fully Competence Performance</v>
      </c>
      <c r="O749" s="146" t="str">
        <f ca="1">IFERROR(INDEX('9 Grid'!$D$4:$F$6,MATCH('Rekomendasi HAV'!M749,'9 Grid'!$B$4:$B$6,0),MATCH('Rekomendasi HAV'!N749,'9 Grid'!$D$2:$F$2,0)),"")</f>
        <v/>
      </c>
      <c r="P749" s="147" t="str">
        <f>IFERROR(INDEX('9 Grid'!$D$8:$F$8,1,MATCH('Rekomendasi HAV'!N749,'9 Grid'!$D$2:$F$2,0)),"")</f>
        <v>(ST) Within 12 - 18 month</v>
      </c>
    </row>
    <row r="750" spans="1:16" ht="28.5">
      <c r="A750" s="67">
        <v>749</v>
      </c>
      <c r="B750" s="68" t="str">
        <f>INDEX(Data_Assessment[],MATCH('Rekomendasi HAV'!$A750,Data_Assessment[[INDEX]:[INDEX]],0),MATCH('Rekomendasi HAV'!B$1,Data_Assessment[#Headers],0))</f>
        <v>Rachmad Hidayat</v>
      </c>
      <c r="C750" s="68" t="str">
        <f>INDEX(Data_Assessment[],MATCH('Rekomendasi HAV'!$A750,Data_Assessment[[INDEX]:[INDEX]],0),MATCH('Rekomendasi HAV'!C$1,Data_Assessment[#Headers],0))</f>
        <v>Sumatera Selatan</v>
      </c>
      <c r="D750" s="68" t="str">
        <f>INDEX(Data_Assessment[],MATCH('Rekomendasi HAV'!$A750,Data_Assessment[[INDEX]:[INDEX]],0),MATCH('Rekomendasi HAV'!D$1,Data_Assessment[#Headers],0))</f>
        <v>LSIP - Muara Kelingi Region</v>
      </c>
      <c r="E750" s="68">
        <f>INDEX(Data_Assessment[],MATCH('Rekomendasi HAV'!$B750,Data_Assessment[[NAME]:[NAME]],0),MATCH('Rekomendasi HAV'!E$1,Data_Assessment[#Headers],0))</f>
        <v>0</v>
      </c>
      <c r="F750" s="68"/>
      <c r="G750" s="68">
        <f>IF(ISNUMBER(SEARCH("DEV",Assessment[[#This Row],[JOB TARGET]])),SUBSTITUTE(Assessment[[#This Row],[JOB TARGET]],"DEV","EST"),Assessment[[#This Row],[JOB TARGET]])</f>
        <v>0</v>
      </c>
      <c r="H750" s="146" t="str" cm="1">
        <f t="array" aca="1" ref="H750" ca="1">IF(Assessment[[#This Row],[JOB TARGET]]="","Job Target Kosong",IF(COUNT(IF('Data Assessment'!$N750:$Z750-OFFSET(Standar!$B$2,MATCH(Assessment[[#This Row],[JOB TARGET
(EST)]],Standar[NAMA JABATAN],0)-1,1,1,13)&lt;0,1,""))&lt;=3,'9 Grid'!$B$4,IF(COUNT(IF('Data Assessment'!$N750:$Z750-OFFSET(Standar!$B$2,MATCH(Assessment[[#This Row],[JOB TARGET]],Standar[NAMA JABATAN],0)-1,1,1,13)&lt;0,1,""))&gt;=7,'9 Grid'!$B$6,'9 Grid'!$B$5)))</f>
        <v>Job Target Kosong</v>
      </c>
      <c r="I750" s="146" t="str">
        <f>IFERROR(IF(Data_Assessment[[#This Row],[IPP (3 YEARS AVERAGE)]]="","(IPP Belum Ada)",IF(Data_Assessment[[#This Row],[IPP (3 YEARS AVERAGE)]]&lt;2,'9 Grid'!$F$2,IF(Data_Assessment[[#This Row],[IPP (3 YEARS AVERAGE)]]&gt;=4,'9 Grid'!$D$2,'9 Grid'!$E$2))),"")</f>
        <v>Fully Competence Performance</v>
      </c>
      <c r="J750" s="146" t="str">
        <f ca="1">IFERROR(INDEX('9 Grid'!$D$4:$F$6,MATCH('Rekomendasi HAV'!H750,'9 Grid'!$B$4:$B$6,0),MATCH('Rekomendasi HAV'!I750,'9 Grid'!$D$2:$F$2,0)),"")</f>
        <v/>
      </c>
      <c r="K750" s="146" t="str">
        <f>IFERROR(INDEX('9 Grid'!$D$8:$F$8,1,MATCH('Rekomendasi HAV'!I750,'9 Grid'!$D$2:$F$2,0)),"")</f>
        <v>(ST) Within 12 - 18 month</v>
      </c>
      <c r="L750" s="146">
        <f>IF(ISNUMBER(SEARCH("EST",Assessment[[#This Row],[JOB TARGET]])),SUBSTITUTE(Assessment[[#This Row],[JOB TARGET]],"EST","DEV"),Assessment[[#This Row],[JOB TARGET]])</f>
        <v>0</v>
      </c>
      <c r="M750" s="146" t="str" cm="1">
        <f t="array" aca="1" ref="M750" ca="1">IF(Assessment[[#This Row],[JOB TARGET]]="","Job Target Kosong",IF(COUNT(IF('Data Assessment'!$N750:$Z750-OFFSET(Standar!$B$2,MATCH(Assessment[[#This Row],[JOB TARGET
(DEV)]],Standar[NAMA JABATAN],0)-1,1,1,13)&lt;0,1,""))&lt;=3,'9 Grid'!$B$4,IF(COUNT(IF('Data Assessment'!$N750:$Z750-OFFSET(Standar!$B$2,MATCH(Assessment[[#This Row],[JOB TARGET
(DEV)]],Standar[NAMA JABATAN],0)-1,1,1,13)&lt;0,1,""))&gt;=7,'9 Grid'!$B$6,'9 Grid'!$B$5)))</f>
        <v>Job Target Kosong</v>
      </c>
      <c r="N750" s="146" t="str">
        <f>IFERROR(IF(Data_Assessment[[#This Row],[IPP (3 YEARS AVERAGE)]]="","(IPP Belum Ada)",IF(Data_Assessment[[#This Row],[IPP (3 YEARS AVERAGE)]]&lt;2,'9 Grid'!$F$2,IF(Data_Assessment[[#This Row],[IPP (3 YEARS AVERAGE)]]&gt;=4,'9 Grid'!$D$2,'9 Grid'!$E$2))),"")</f>
        <v>Fully Competence Performance</v>
      </c>
      <c r="O750" s="146" t="str">
        <f ca="1">IFERROR(INDEX('9 Grid'!$D$4:$F$6,MATCH('Rekomendasi HAV'!M750,'9 Grid'!$B$4:$B$6,0),MATCH('Rekomendasi HAV'!N750,'9 Grid'!$D$2:$F$2,0)),"")</f>
        <v/>
      </c>
      <c r="P750" s="147" t="str">
        <f>IFERROR(INDEX('9 Grid'!$D$8:$F$8,1,MATCH('Rekomendasi HAV'!N750,'9 Grid'!$D$2:$F$2,0)),"")</f>
        <v>(ST) Within 12 - 18 month</v>
      </c>
    </row>
    <row r="751" spans="1:16" ht="28.5">
      <c r="A751" s="67">
        <v>750</v>
      </c>
      <c r="B751" s="68" t="str">
        <f>INDEX(Data_Assessment[],MATCH('Rekomendasi HAV'!$A751,Data_Assessment[[INDEX]:[INDEX]],0),MATCH('Rekomendasi HAV'!B$1,Data_Assessment[#Headers],0))</f>
        <v>Muhammad Naufal Heriza</v>
      </c>
      <c r="C751" s="68" t="str">
        <f>INDEX(Data_Assessment[],MATCH('Rekomendasi HAV'!$A751,Data_Assessment[[INDEX]:[INDEX]],0),MATCH('Rekomendasi HAV'!C$1,Data_Assessment[#Headers],0))</f>
        <v>Sumatera Selatan</v>
      </c>
      <c r="D751" s="68" t="str">
        <f>INDEX(Data_Assessment[],MATCH('Rekomendasi HAV'!$A751,Data_Assessment[[INDEX]:[INDEX]],0),MATCH('Rekomendasi HAV'!D$1,Data_Assessment[#Headers],0))</f>
        <v>LSIP - Muara Kelingi Region</v>
      </c>
      <c r="E751" s="68">
        <f>INDEX(Data_Assessment[],MATCH('Rekomendasi HAV'!$B751,Data_Assessment[[NAME]:[NAME]],0),MATCH('Rekomendasi HAV'!E$1,Data_Assessment[#Headers],0))</f>
        <v>0</v>
      </c>
      <c r="F751" s="68"/>
      <c r="G751" s="68">
        <f>IF(ISNUMBER(SEARCH("DEV",Assessment[[#This Row],[JOB TARGET]])),SUBSTITUTE(Assessment[[#This Row],[JOB TARGET]],"DEV","EST"),Assessment[[#This Row],[JOB TARGET]])</f>
        <v>0</v>
      </c>
      <c r="H751" s="146" t="str" cm="1">
        <f t="array" aca="1" ref="H751" ca="1">IF(Assessment[[#This Row],[JOB TARGET]]="","Job Target Kosong",IF(COUNT(IF('Data Assessment'!$N751:$Z751-OFFSET(Standar!$B$2,MATCH(Assessment[[#This Row],[JOB TARGET
(EST)]],Standar[NAMA JABATAN],0)-1,1,1,13)&lt;0,1,""))&lt;=3,'9 Grid'!$B$4,IF(COUNT(IF('Data Assessment'!$N751:$Z751-OFFSET(Standar!$B$2,MATCH(Assessment[[#This Row],[JOB TARGET]],Standar[NAMA JABATAN],0)-1,1,1,13)&lt;0,1,""))&gt;=7,'9 Grid'!$B$6,'9 Grid'!$B$5)))</f>
        <v>Job Target Kosong</v>
      </c>
      <c r="I751" s="146" t="str">
        <f>IFERROR(IF(Data_Assessment[[#This Row],[IPP (3 YEARS AVERAGE)]]="","(IPP Belum Ada)",IF(Data_Assessment[[#This Row],[IPP (3 YEARS AVERAGE)]]&lt;2,'9 Grid'!$F$2,IF(Data_Assessment[[#This Row],[IPP (3 YEARS AVERAGE)]]&gt;=4,'9 Grid'!$D$2,'9 Grid'!$E$2))),"")</f>
        <v>Fully Competence Performance</v>
      </c>
      <c r="J751" s="146" t="str">
        <f ca="1">IFERROR(INDEX('9 Grid'!$D$4:$F$6,MATCH('Rekomendasi HAV'!H751,'9 Grid'!$B$4:$B$6,0),MATCH('Rekomendasi HAV'!I751,'9 Grid'!$D$2:$F$2,0)),"")</f>
        <v/>
      </c>
      <c r="K751" s="146" t="str">
        <f>IFERROR(INDEX('9 Grid'!$D$8:$F$8,1,MATCH('Rekomendasi HAV'!I751,'9 Grid'!$D$2:$F$2,0)),"")</f>
        <v>(ST) Within 12 - 18 month</v>
      </c>
      <c r="L751" s="146">
        <f>IF(ISNUMBER(SEARCH("EST",Assessment[[#This Row],[JOB TARGET]])),SUBSTITUTE(Assessment[[#This Row],[JOB TARGET]],"EST","DEV"),Assessment[[#This Row],[JOB TARGET]])</f>
        <v>0</v>
      </c>
      <c r="M751" s="146" t="str" cm="1">
        <f t="array" aca="1" ref="M751" ca="1">IF(Assessment[[#This Row],[JOB TARGET]]="","Job Target Kosong",IF(COUNT(IF('Data Assessment'!$N751:$Z751-OFFSET(Standar!$B$2,MATCH(Assessment[[#This Row],[JOB TARGET
(DEV)]],Standar[NAMA JABATAN],0)-1,1,1,13)&lt;0,1,""))&lt;=3,'9 Grid'!$B$4,IF(COUNT(IF('Data Assessment'!$N751:$Z751-OFFSET(Standar!$B$2,MATCH(Assessment[[#This Row],[JOB TARGET
(DEV)]],Standar[NAMA JABATAN],0)-1,1,1,13)&lt;0,1,""))&gt;=7,'9 Grid'!$B$6,'9 Grid'!$B$5)))</f>
        <v>Job Target Kosong</v>
      </c>
      <c r="N751" s="146" t="str">
        <f>IFERROR(IF(Data_Assessment[[#This Row],[IPP (3 YEARS AVERAGE)]]="","(IPP Belum Ada)",IF(Data_Assessment[[#This Row],[IPP (3 YEARS AVERAGE)]]&lt;2,'9 Grid'!$F$2,IF(Data_Assessment[[#This Row],[IPP (3 YEARS AVERAGE)]]&gt;=4,'9 Grid'!$D$2,'9 Grid'!$E$2))),"")</f>
        <v>Fully Competence Performance</v>
      </c>
      <c r="O751" s="146" t="str">
        <f ca="1">IFERROR(INDEX('9 Grid'!$D$4:$F$6,MATCH('Rekomendasi HAV'!M751,'9 Grid'!$B$4:$B$6,0),MATCH('Rekomendasi HAV'!N751,'9 Grid'!$D$2:$F$2,0)),"")</f>
        <v/>
      </c>
      <c r="P751" s="147" t="str">
        <f>IFERROR(INDEX('9 Grid'!$D$8:$F$8,1,MATCH('Rekomendasi HAV'!N751,'9 Grid'!$D$2:$F$2,0)),"")</f>
        <v>(ST) Within 12 - 18 month</v>
      </c>
    </row>
    <row r="752" spans="1:16" ht="28.5">
      <c r="A752" s="67">
        <v>751</v>
      </c>
      <c r="B752" s="68" t="str">
        <f>INDEX(Data_Assessment[],MATCH('Rekomendasi HAV'!$A752,Data_Assessment[[INDEX]:[INDEX]],0),MATCH('Rekomendasi HAV'!B$1,Data_Assessment[#Headers],0))</f>
        <v>Rita Haryati, Ir.</v>
      </c>
      <c r="C752" s="68" t="str">
        <f>INDEX(Data_Assessment[],MATCH('Rekomendasi HAV'!$A752,Data_Assessment[[INDEX]:[INDEX]],0),MATCH('Rekomendasi HAV'!C$1,Data_Assessment[#Headers],0))</f>
        <v>Sumatera Selatan</v>
      </c>
      <c r="D752" s="68" t="str">
        <f>INDEX(Data_Assessment[],MATCH('Rekomendasi HAV'!$A752,Data_Assessment[[INDEX]:[INDEX]],0),MATCH('Rekomendasi HAV'!D$1,Data_Assessment[#Headers],0))</f>
        <v>LSIP - Arta Kencana Region</v>
      </c>
      <c r="E752" s="68">
        <f>INDEX(Data_Assessment[],MATCH('Rekomendasi HAV'!$B752,Data_Assessment[[NAME]:[NAME]],0),MATCH('Rekomendasi HAV'!E$1,Data_Assessment[#Headers],0))</f>
        <v>0</v>
      </c>
      <c r="F752" s="68"/>
      <c r="G752" s="68">
        <f>IF(ISNUMBER(SEARCH("DEV",Assessment[[#This Row],[JOB TARGET]])),SUBSTITUTE(Assessment[[#This Row],[JOB TARGET]],"DEV","EST"),Assessment[[#This Row],[JOB TARGET]])</f>
        <v>0</v>
      </c>
      <c r="H752" s="146" t="str" cm="1">
        <f t="array" aca="1" ref="H752" ca="1">IF(Assessment[[#This Row],[JOB TARGET]]="","Job Target Kosong",IF(COUNT(IF('Data Assessment'!$N752:$Z752-OFFSET(Standar!$B$2,MATCH(Assessment[[#This Row],[JOB TARGET
(EST)]],Standar[NAMA JABATAN],0)-1,1,1,13)&lt;0,1,""))&lt;=3,'9 Grid'!$B$4,IF(COUNT(IF('Data Assessment'!$N752:$Z752-OFFSET(Standar!$B$2,MATCH(Assessment[[#This Row],[JOB TARGET]],Standar[NAMA JABATAN],0)-1,1,1,13)&lt;0,1,""))&gt;=7,'9 Grid'!$B$6,'9 Grid'!$B$5)))</f>
        <v>Job Target Kosong</v>
      </c>
      <c r="I752" s="146" t="str">
        <f>IFERROR(IF(Data_Assessment[[#This Row],[IPP (3 YEARS AVERAGE)]]="","(IPP Belum Ada)",IF(Data_Assessment[[#This Row],[IPP (3 YEARS AVERAGE)]]&lt;2,'9 Grid'!$F$2,IF(Data_Assessment[[#This Row],[IPP (3 YEARS AVERAGE)]]&gt;=4,'9 Grid'!$D$2,'9 Grid'!$E$2))),"")</f>
        <v>Fully Competence Performance</v>
      </c>
      <c r="J752" s="146" t="str">
        <f ca="1">IFERROR(INDEX('9 Grid'!$D$4:$F$6,MATCH('Rekomendasi HAV'!H752,'9 Grid'!$B$4:$B$6,0),MATCH('Rekomendasi HAV'!I752,'9 Grid'!$D$2:$F$2,0)),"")</f>
        <v/>
      </c>
      <c r="K752" s="146" t="str">
        <f>IFERROR(INDEX('9 Grid'!$D$8:$F$8,1,MATCH('Rekomendasi HAV'!I752,'9 Grid'!$D$2:$F$2,0)),"")</f>
        <v>(ST) Within 12 - 18 month</v>
      </c>
      <c r="L752" s="146">
        <f>IF(ISNUMBER(SEARCH("EST",Assessment[[#This Row],[JOB TARGET]])),SUBSTITUTE(Assessment[[#This Row],[JOB TARGET]],"EST","DEV"),Assessment[[#This Row],[JOB TARGET]])</f>
        <v>0</v>
      </c>
      <c r="M752" s="146" t="str" cm="1">
        <f t="array" aca="1" ref="M752" ca="1">IF(Assessment[[#This Row],[JOB TARGET]]="","Job Target Kosong",IF(COUNT(IF('Data Assessment'!$N752:$Z752-OFFSET(Standar!$B$2,MATCH(Assessment[[#This Row],[JOB TARGET
(DEV)]],Standar[NAMA JABATAN],0)-1,1,1,13)&lt;0,1,""))&lt;=3,'9 Grid'!$B$4,IF(COUNT(IF('Data Assessment'!$N752:$Z752-OFFSET(Standar!$B$2,MATCH(Assessment[[#This Row],[JOB TARGET
(DEV)]],Standar[NAMA JABATAN],0)-1,1,1,13)&lt;0,1,""))&gt;=7,'9 Grid'!$B$6,'9 Grid'!$B$5)))</f>
        <v>Job Target Kosong</v>
      </c>
      <c r="N752" s="146" t="str">
        <f>IFERROR(IF(Data_Assessment[[#This Row],[IPP (3 YEARS AVERAGE)]]="","(IPP Belum Ada)",IF(Data_Assessment[[#This Row],[IPP (3 YEARS AVERAGE)]]&lt;2,'9 Grid'!$F$2,IF(Data_Assessment[[#This Row],[IPP (3 YEARS AVERAGE)]]&gt;=4,'9 Grid'!$D$2,'9 Grid'!$E$2))),"")</f>
        <v>Fully Competence Performance</v>
      </c>
      <c r="O752" s="146" t="str">
        <f ca="1">IFERROR(INDEX('9 Grid'!$D$4:$F$6,MATCH('Rekomendasi HAV'!M752,'9 Grid'!$B$4:$B$6,0),MATCH('Rekomendasi HAV'!N752,'9 Grid'!$D$2:$F$2,0)),"")</f>
        <v/>
      </c>
      <c r="P752" s="147" t="str">
        <f>IFERROR(INDEX('9 Grid'!$D$8:$F$8,1,MATCH('Rekomendasi HAV'!N752,'9 Grid'!$D$2:$F$2,0)),"")</f>
        <v>(ST) Within 12 - 18 month</v>
      </c>
    </row>
    <row r="753" spans="1:16" ht="28.5">
      <c r="A753" s="67">
        <v>752</v>
      </c>
      <c r="B753" s="68" t="str">
        <f>INDEX(Data_Assessment[],MATCH('Rekomendasi HAV'!$A753,Data_Assessment[[INDEX]:[INDEX]],0),MATCH('Rekomendasi HAV'!B$1,Data_Assessment[#Headers],0))</f>
        <v>M. Yevri</v>
      </c>
      <c r="C753" s="68" t="str">
        <f>INDEX(Data_Assessment[],MATCH('Rekomendasi HAV'!$A753,Data_Assessment[[INDEX]:[INDEX]],0),MATCH('Rekomendasi HAV'!C$1,Data_Assessment[#Headers],0))</f>
        <v>Sumatera Selatan</v>
      </c>
      <c r="D753" s="68" t="str">
        <f>INDEX(Data_Assessment[],MATCH('Rekomendasi HAV'!$A753,Data_Assessment[[INDEX]:[INDEX]],0),MATCH('Rekomendasi HAV'!D$1,Data_Assessment[#Headers],0))</f>
        <v>LSIP - Arta Kencana Region</v>
      </c>
      <c r="E753" s="68">
        <f>INDEX(Data_Assessment[],MATCH('Rekomendasi HAV'!$B753,Data_Assessment[[NAME]:[NAME]],0),MATCH('Rekomendasi HAV'!E$1,Data_Assessment[#Headers],0))</f>
        <v>0</v>
      </c>
      <c r="F753" s="68"/>
      <c r="G753" s="68">
        <f>IF(ISNUMBER(SEARCH("DEV",Assessment[[#This Row],[JOB TARGET]])),SUBSTITUTE(Assessment[[#This Row],[JOB TARGET]],"DEV","EST"),Assessment[[#This Row],[JOB TARGET]])</f>
        <v>0</v>
      </c>
      <c r="H753" s="146" t="str" cm="1">
        <f t="array" aca="1" ref="H753" ca="1">IF(Assessment[[#This Row],[JOB TARGET]]="","Job Target Kosong",IF(COUNT(IF('Data Assessment'!$N753:$Z753-OFFSET(Standar!$B$2,MATCH(Assessment[[#This Row],[JOB TARGET
(EST)]],Standar[NAMA JABATAN],0)-1,1,1,13)&lt;0,1,""))&lt;=3,'9 Grid'!$B$4,IF(COUNT(IF('Data Assessment'!$N753:$Z753-OFFSET(Standar!$B$2,MATCH(Assessment[[#This Row],[JOB TARGET]],Standar[NAMA JABATAN],0)-1,1,1,13)&lt;0,1,""))&gt;=7,'9 Grid'!$B$6,'9 Grid'!$B$5)))</f>
        <v>Job Target Kosong</v>
      </c>
      <c r="I753" s="146" t="str">
        <f>IFERROR(IF(Data_Assessment[[#This Row],[IPP (3 YEARS AVERAGE)]]="","(IPP Belum Ada)",IF(Data_Assessment[[#This Row],[IPP (3 YEARS AVERAGE)]]&lt;2,'9 Grid'!$F$2,IF(Data_Assessment[[#This Row],[IPP (3 YEARS AVERAGE)]]&gt;=4,'9 Grid'!$D$2,'9 Grid'!$E$2))),"")</f>
        <v>Fully Competence Performance</v>
      </c>
      <c r="J753" s="146" t="str">
        <f ca="1">IFERROR(INDEX('9 Grid'!$D$4:$F$6,MATCH('Rekomendasi HAV'!H753,'9 Grid'!$B$4:$B$6,0),MATCH('Rekomendasi HAV'!I753,'9 Grid'!$D$2:$F$2,0)),"")</f>
        <v/>
      </c>
      <c r="K753" s="146" t="str">
        <f>IFERROR(INDEX('9 Grid'!$D$8:$F$8,1,MATCH('Rekomendasi HAV'!I753,'9 Grid'!$D$2:$F$2,0)),"")</f>
        <v>(ST) Within 12 - 18 month</v>
      </c>
      <c r="L753" s="146">
        <f>IF(ISNUMBER(SEARCH("EST",Assessment[[#This Row],[JOB TARGET]])),SUBSTITUTE(Assessment[[#This Row],[JOB TARGET]],"EST","DEV"),Assessment[[#This Row],[JOB TARGET]])</f>
        <v>0</v>
      </c>
      <c r="M753" s="146" t="str" cm="1">
        <f t="array" aca="1" ref="M753" ca="1">IF(Assessment[[#This Row],[JOB TARGET]]="","Job Target Kosong",IF(COUNT(IF('Data Assessment'!$N753:$Z753-OFFSET(Standar!$B$2,MATCH(Assessment[[#This Row],[JOB TARGET
(DEV)]],Standar[NAMA JABATAN],0)-1,1,1,13)&lt;0,1,""))&lt;=3,'9 Grid'!$B$4,IF(COUNT(IF('Data Assessment'!$N753:$Z753-OFFSET(Standar!$B$2,MATCH(Assessment[[#This Row],[JOB TARGET
(DEV)]],Standar[NAMA JABATAN],0)-1,1,1,13)&lt;0,1,""))&gt;=7,'9 Grid'!$B$6,'9 Grid'!$B$5)))</f>
        <v>Job Target Kosong</v>
      </c>
      <c r="N753" s="146" t="str">
        <f>IFERROR(IF(Data_Assessment[[#This Row],[IPP (3 YEARS AVERAGE)]]="","(IPP Belum Ada)",IF(Data_Assessment[[#This Row],[IPP (3 YEARS AVERAGE)]]&lt;2,'9 Grid'!$F$2,IF(Data_Assessment[[#This Row],[IPP (3 YEARS AVERAGE)]]&gt;=4,'9 Grid'!$D$2,'9 Grid'!$E$2))),"")</f>
        <v>Fully Competence Performance</v>
      </c>
      <c r="O753" s="146" t="str">
        <f ca="1">IFERROR(INDEX('9 Grid'!$D$4:$F$6,MATCH('Rekomendasi HAV'!M753,'9 Grid'!$B$4:$B$6,0),MATCH('Rekomendasi HAV'!N753,'9 Grid'!$D$2:$F$2,0)),"")</f>
        <v/>
      </c>
      <c r="P753" s="147" t="str">
        <f>IFERROR(INDEX('9 Grid'!$D$8:$F$8,1,MATCH('Rekomendasi HAV'!N753,'9 Grid'!$D$2:$F$2,0)),"")</f>
        <v>(ST) Within 12 - 18 month</v>
      </c>
    </row>
    <row r="754" spans="1:16" ht="28.5">
      <c r="A754" s="67">
        <v>753</v>
      </c>
      <c r="B754" s="68" t="str">
        <f>INDEX(Data_Assessment[],MATCH('Rekomendasi HAV'!$A754,Data_Assessment[[INDEX]:[INDEX]],0),MATCH('Rekomendasi HAV'!B$1,Data_Assessment[#Headers],0))</f>
        <v>Henry Menahen Sinaga, Ir.</v>
      </c>
      <c r="C754" s="68" t="str">
        <f>INDEX(Data_Assessment[],MATCH('Rekomendasi HAV'!$A754,Data_Assessment[[INDEX]:[INDEX]],0),MATCH('Rekomendasi HAV'!C$1,Data_Assessment[#Headers],0))</f>
        <v>Sumatera Selatan</v>
      </c>
      <c r="D754" s="68" t="str">
        <f>INDEX(Data_Assessment[],MATCH('Rekomendasi HAV'!$A754,Data_Assessment[[INDEX]:[INDEX]],0),MATCH('Rekomendasi HAV'!D$1,Data_Assessment[#Headers],0))</f>
        <v>LSIP - Arta Kencana Region</v>
      </c>
      <c r="E754" s="68">
        <f>INDEX(Data_Assessment[],MATCH('Rekomendasi HAV'!$B754,Data_Assessment[[NAME]:[NAME]],0),MATCH('Rekomendasi HAV'!E$1,Data_Assessment[#Headers],0))</f>
        <v>0</v>
      </c>
      <c r="F754" s="68"/>
      <c r="G754" s="68">
        <f>IF(ISNUMBER(SEARCH("DEV",Assessment[[#This Row],[JOB TARGET]])),SUBSTITUTE(Assessment[[#This Row],[JOB TARGET]],"DEV","EST"),Assessment[[#This Row],[JOB TARGET]])</f>
        <v>0</v>
      </c>
      <c r="H754" s="146" t="str" cm="1">
        <f t="array" aca="1" ref="H754" ca="1">IF(Assessment[[#This Row],[JOB TARGET]]="","Job Target Kosong",IF(COUNT(IF('Data Assessment'!$N754:$Z754-OFFSET(Standar!$B$2,MATCH(Assessment[[#This Row],[JOB TARGET
(EST)]],Standar[NAMA JABATAN],0)-1,1,1,13)&lt;0,1,""))&lt;=3,'9 Grid'!$B$4,IF(COUNT(IF('Data Assessment'!$N754:$Z754-OFFSET(Standar!$B$2,MATCH(Assessment[[#This Row],[JOB TARGET]],Standar[NAMA JABATAN],0)-1,1,1,13)&lt;0,1,""))&gt;=7,'9 Grid'!$B$6,'9 Grid'!$B$5)))</f>
        <v>Job Target Kosong</v>
      </c>
      <c r="I754" s="146" t="str">
        <f>IFERROR(IF(Data_Assessment[[#This Row],[IPP (3 YEARS AVERAGE)]]="","(IPP Belum Ada)",IF(Data_Assessment[[#This Row],[IPP (3 YEARS AVERAGE)]]&lt;2,'9 Grid'!$F$2,IF(Data_Assessment[[#This Row],[IPP (3 YEARS AVERAGE)]]&gt;=4,'9 Grid'!$D$2,'9 Grid'!$E$2))),"")</f>
        <v>Fully Competence Performance</v>
      </c>
      <c r="J754" s="146" t="str">
        <f ca="1">IFERROR(INDEX('9 Grid'!$D$4:$F$6,MATCH('Rekomendasi HAV'!H754,'9 Grid'!$B$4:$B$6,0),MATCH('Rekomendasi HAV'!I754,'9 Grid'!$D$2:$F$2,0)),"")</f>
        <v/>
      </c>
      <c r="K754" s="146" t="str">
        <f>IFERROR(INDEX('9 Grid'!$D$8:$F$8,1,MATCH('Rekomendasi HAV'!I754,'9 Grid'!$D$2:$F$2,0)),"")</f>
        <v>(ST) Within 12 - 18 month</v>
      </c>
      <c r="L754" s="146">
        <f>IF(ISNUMBER(SEARCH("EST",Assessment[[#This Row],[JOB TARGET]])),SUBSTITUTE(Assessment[[#This Row],[JOB TARGET]],"EST","DEV"),Assessment[[#This Row],[JOB TARGET]])</f>
        <v>0</v>
      </c>
      <c r="M754" s="146" t="str" cm="1">
        <f t="array" aca="1" ref="M754" ca="1">IF(Assessment[[#This Row],[JOB TARGET]]="","Job Target Kosong",IF(COUNT(IF('Data Assessment'!$N754:$Z754-OFFSET(Standar!$B$2,MATCH(Assessment[[#This Row],[JOB TARGET
(DEV)]],Standar[NAMA JABATAN],0)-1,1,1,13)&lt;0,1,""))&lt;=3,'9 Grid'!$B$4,IF(COUNT(IF('Data Assessment'!$N754:$Z754-OFFSET(Standar!$B$2,MATCH(Assessment[[#This Row],[JOB TARGET
(DEV)]],Standar[NAMA JABATAN],0)-1,1,1,13)&lt;0,1,""))&gt;=7,'9 Grid'!$B$6,'9 Grid'!$B$5)))</f>
        <v>Job Target Kosong</v>
      </c>
      <c r="N754" s="146" t="str">
        <f>IFERROR(IF(Data_Assessment[[#This Row],[IPP (3 YEARS AVERAGE)]]="","(IPP Belum Ada)",IF(Data_Assessment[[#This Row],[IPP (3 YEARS AVERAGE)]]&lt;2,'9 Grid'!$F$2,IF(Data_Assessment[[#This Row],[IPP (3 YEARS AVERAGE)]]&gt;=4,'9 Grid'!$D$2,'9 Grid'!$E$2))),"")</f>
        <v>Fully Competence Performance</v>
      </c>
      <c r="O754" s="146" t="str">
        <f ca="1">IFERROR(INDEX('9 Grid'!$D$4:$F$6,MATCH('Rekomendasi HAV'!M754,'9 Grid'!$B$4:$B$6,0),MATCH('Rekomendasi HAV'!N754,'9 Grid'!$D$2:$F$2,0)),"")</f>
        <v/>
      </c>
      <c r="P754" s="147" t="str">
        <f>IFERROR(INDEX('9 Grid'!$D$8:$F$8,1,MATCH('Rekomendasi HAV'!N754,'9 Grid'!$D$2:$F$2,0)),"")</f>
        <v>(ST) Within 12 - 18 month</v>
      </c>
    </row>
    <row r="755" spans="1:16" ht="28.5">
      <c r="A755" s="67">
        <v>754</v>
      </c>
      <c r="B755" s="68" t="str">
        <f>INDEX(Data_Assessment[],MATCH('Rekomendasi HAV'!$A755,Data_Assessment[[INDEX]:[INDEX]],0),MATCH('Rekomendasi HAV'!B$1,Data_Assessment[#Headers],0))</f>
        <v>Azwandi, Ir.</v>
      </c>
      <c r="C755" s="68" t="str">
        <f>INDEX(Data_Assessment[],MATCH('Rekomendasi HAV'!$A755,Data_Assessment[[INDEX]:[INDEX]],0),MATCH('Rekomendasi HAV'!C$1,Data_Assessment[#Headers],0))</f>
        <v>Sumatera Selatan</v>
      </c>
      <c r="D755" s="68" t="str">
        <f>INDEX(Data_Assessment[],MATCH('Rekomendasi HAV'!$A755,Data_Assessment[[INDEX]:[INDEX]],0),MATCH('Rekomendasi HAV'!D$1,Data_Assessment[#Headers],0))</f>
        <v>LSIP - Arta Kencana Region</v>
      </c>
      <c r="E755" s="68">
        <f>INDEX(Data_Assessment[],MATCH('Rekomendasi HAV'!$B755,Data_Assessment[[NAME]:[NAME]],0),MATCH('Rekomendasi HAV'!E$1,Data_Assessment[#Headers],0))</f>
        <v>0</v>
      </c>
      <c r="F755" s="68"/>
      <c r="G755" s="68">
        <f>IF(ISNUMBER(SEARCH("DEV",Assessment[[#This Row],[JOB TARGET]])),SUBSTITUTE(Assessment[[#This Row],[JOB TARGET]],"DEV","EST"),Assessment[[#This Row],[JOB TARGET]])</f>
        <v>0</v>
      </c>
      <c r="H755" s="146" t="str" cm="1">
        <f t="array" aca="1" ref="H755" ca="1">IF(Assessment[[#This Row],[JOB TARGET]]="","Job Target Kosong",IF(COUNT(IF('Data Assessment'!$N755:$Z755-OFFSET(Standar!$B$2,MATCH(Assessment[[#This Row],[JOB TARGET
(EST)]],Standar[NAMA JABATAN],0)-1,1,1,13)&lt;0,1,""))&lt;=3,'9 Grid'!$B$4,IF(COUNT(IF('Data Assessment'!$N755:$Z755-OFFSET(Standar!$B$2,MATCH(Assessment[[#This Row],[JOB TARGET]],Standar[NAMA JABATAN],0)-1,1,1,13)&lt;0,1,""))&gt;=7,'9 Grid'!$B$6,'9 Grid'!$B$5)))</f>
        <v>Job Target Kosong</v>
      </c>
      <c r="I755" s="146" t="str">
        <f>IFERROR(IF(Data_Assessment[[#This Row],[IPP (3 YEARS AVERAGE)]]="","(IPP Belum Ada)",IF(Data_Assessment[[#This Row],[IPP (3 YEARS AVERAGE)]]&lt;2,'9 Grid'!$F$2,IF(Data_Assessment[[#This Row],[IPP (3 YEARS AVERAGE)]]&gt;=4,'9 Grid'!$D$2,'9 Grid'!$E$2))),"")</f>
        <v>Fully Competence Performance</v>
      </c>
      <c r="J755" s="146" t="str">
        <f ca="1">IFERROR(INDEX('9 Grid'!$D$4:$F$6,MATCH('Rekomendasi HAV'!H755,'9 Grid'!$B$4:$B$6,0),MATCH('Rekomendasi HAV'!I755,'9 Grid'!$D$2:$F$2,0)),"")</f>
        <v/>
      </c>
      <c r="K755" s="146" t="str">
        <f>IFERROR(INDEX('9 Grid'!$D$8:$F$8,1,MATCH('Rekomendasi HAV'!I755,'9 Grid'!$D$2:$F$2,0)),"")</f>
        <v>(ST) Within 12 - 18 month</v>
      </c>
      <c r="L755" s="146">
        <f>IF(ISNUMBER(SEARCH("EST",Assessment[[#This Row],[JOB TARGET]])),SUBSTITUTE(Assessment[[#This Row],[JOB TARGET]],"EST","DEV"),Assessment[[#This Row],[JOB TARGET]])</f>
        <v>0</v>
      </c>
      <c r="M755" s="146" t="str" cm="1">
        <f t="array" aca="1" ref="M755" ca="1">IF(Assessment[[#This Row],[JOB TARGET]]="","Job Target Kosong",IF(COUNT(IF('Data Assessment'!$N755:$Z755-OFFSET(Standar!$B$2,MATCH(Assessment[[#This Row],[JOB TARGET
(DEV)]],Standar[NAMA JABATAN],0)-1,1,1,13)&lt;0,1,""))&lt;=3,'9 Grid'!$B$4,IF(COUNT(IF('Data Assessment'!$N755:$Z755-OFFSET(Standar!$B$2,MATCH(Assessment[[#This Row],[JOB TARGET
(DEV)]],Standar[NAMA JABATAN],0)-1,1,1,13)&lt;0,1,""))&gt;=7,'9 Grid'!$B$6,'9 Grid'!$B$5)))</f>
        <v>Job Target Kosong</v>
      </c>
      <c r="N755" s="146" t="str">
        <f>IFERROR(IF(Data_Assessment[[#This Row],[IPP (3 YEARS AVERAGE)]]="","(IPP Belum Ada)",IF(Data_Assessment[[#This Row],[IPP (3 YEARS AVERAGE)]]&lt;2,'9 Grid'!$F$2,IF(Data_Assessment[[#This Row],[IPP (3 YEARS AVERAGE)]]&gt;=4,'9 Grid'!$D$2,'9 Grid'!$E$2))),"")</f>
        <v>Fully Competence Performance</v>
      </c>
      <c r="O755" s="146" t="str">
        <f ca="1">IFERROR(INDEX('9 Grid'!$D$4:$F$6,MATCH('Rekomendasi HAV'!M755,'9 Grid'!$B$4:$B$6,0),MATCH('Rekomendasi HAV'!N755,'9 Grid'!$D$2:$F$2,0)),"")</f>
        <v/>
      </c>
      <c r="P755" s="147" t="str">
        <f>IFERROR(INDEX('9 Grid'!$D$8:$F$8,1,MATCH('Rekomendasi HAV'!N755,'9 Grid'!$D$2:$F$2,0)),"")</f>
        <v>(ST) Within 12 - 18 month</v>
      </c>
    </row>
    <row r="756" spans="1:16" ht="28.5">
      <c r="A756" s="67">
        <v>755</v>
      </c>
      <c r="B756" s="68" t="str">
        <f>INDEX(Data_Assessment[],MATCH('Rekomendasi HAV'!$A756,Data_Assessment[[INDEX]:[INDEX]],0),MATCH('Rekomendasi HAV'!B$1,Data_Assessment[#Headers],0))</f>
        <v>Rita Itriani Kaban</v>
      </c>
      <c r="C756" s="68" t="str">
        <f>INDEX(Data_Assessment[],MATCH('Rekomendasi HAV'!$A756,Data_Assessment[[INDEX]:[INDEX]],0),MATCH('Rekomendasi HAV'!C$1,Data_Assessment[#Headers],0))</f>
        <v>Sumatera Utara</v>
      </c>
      <c r="D756" s="68" t="str">
        <f>INDEX(Data_Assessment[],MATCH('Rekomendasi HAV'!$A756,Data_Assessment[[INDEX]:[INDEX]],0),MATCH('Rekomendasi HAV'!D$1,Data_Assessment[#Headers],0))</f>
        <v>LSIP - Begerpang Palm Oil Mill</v>
      </c>
      <c r="E756" s="68">
        <f>INDEX(Data_Assessment[],MATCH('Rekomendasi HAV'!$B756,Data_Assessment[[NAME]:[NAME]],0),MATCH('Rekomendasi HAV'!E$1,Data_Assessment[#Headers],0))</f>
        <v>0</v>
      </c>
      <c r="F756" s="68"/>
      <c r="G756" s="68">
        <f>IF(ISNUMBER(SEARCH("DEV",Assessment[[#This Row],[JOB TARGET]])),SUBSTITUTE(Assessment[[#This Row],[JOB TARGET]],"DEV","EST"),Assessment[[#This Row],[JOB TARGET]])</f>
        <v>0</v>
      </c>
      <c r="H756" s="146" t="str" cm="1">
        <f t="array" aca="1" ref="H756" ca="1">IF(Assessment[[#This Row],[JOB TARGET]]="","Job Target Kosong",IF(COUNT(IF('Data Assessment'!$N756:$Z756-OFFSET(Standar!$B$2,MATCH(Assessment[[#This Row],[JOB TARGET
(EST)]],Standar[NAMA JABATAN],0)-1,1,1,13)&lt;0,1,""))&lt;=3,'9 Grid'!$B$4,IF(COUNT(IF('Data Assessment'!$N756:$Z756-OFFSET(Standar!$B$2,MATCH(Assessment[[#This Row],[JOB TARGET]],Standar[NAMA JABATAN],0)-1,1,1,13)&lt;0,1,""))&gt;=7,'9 Grid'!$B$6,'9 Grid'!$B$5)))</f>
        <v>Job Target Kosong</v>
      </c>
      <c r="I756" s="146" t="str">
        <f>IFERROR(IF(Data_Assessment[[#This Row],[IPP (3 YEARS AVERAGE)]]="","(IPP Belum Ada)",IF(Data_Assessment[[#This Row],[IPP (3 YEARS AVERAGE)]]&lt;2,'9 Grid'!$F$2,IF(Data_Assessment[[#This Row],[IPP (3 YEARS AVERAGE)]]&gt;=4,'9 Grid'!$D$2,'9 Grid'!$E$2))),"")</f>
        <v>Fully Competence Performance</v>
      </c>
      <c r="J756" s="146" t="str">
        <f ca="1">IFERROR(INDEX('9 Grid'!$D$4:$F$6,MATCH('Rekomendasi HAV'!H756,'9 Grid'!$B$4:$B$6,0),MATCH('Rekomendasi HAV'!I756,'9 Grid'!$D$2:$F$2,0)),"")</f>
        <v/>
      </c>
      <c r="K756" s="146" t="str">
        <f>IFERROR(INDEX('9 Grid'!$D$8:$F$8,1,MATCH('Rekomendasi HAV'!I756,'9 Grid'!$D$2:$F$2,0)),"")</f>
        <v>(ST) Within 12 - 18 month</v>
      </c>
      <c r="L756" s="146">
        <f>IF(ISNUMBER(SEARCH("EST",Assessment[[#This Row],[JOB TARGET]])),SUBSTITUTE(Assessment[[#This Row],[JOB TARGET]],"EST","DEV"),Assessment[[#This Row],[JOB TARGET]])</f>
        <v>0</v>
      </c>
      <c r="M756" s="146" t="str" cm="1">
        <f t="array" aca="1" ref="M756" ca="1">IF(Assessment[[#This Row],[JOB TARGET]]="","Job Target Kosong",IF(COUNT(IF('Data Assessment'!$N756:$Z756-OFFSET(Standar!$B$2,MATCH(Assessment[[#This Row],[JOB TARGET
(DEV)]],Standar[NAMA JABATAN],0)-1,1,1,13)&lt;0,1,""))&lt;=3,'9 Grid'!$B$4,IF(COUNT(IF('Data Assessment'!$N756:$Z756-OFFSET(Standar!$B$2,MATCH(Assessment[[#This Row],[JOB TARGET
(DEV)]],Standar[NAMA JABATAN],0)-1,1,1,13)&lt;0,1,""))&gt;=7,'9 Grid'!$B$6,'9 Grid'!$B$5)))</f>
        <v>Job Target Kosong</v>
      </c>
      <c r="N756" s="146" t="str">
        <f>IFERROR(IF(Data_Assessment[[#This Row],[IPP (3 YEARS AVERAGE)]]="","(IPP Belum Ada)",IF(Data_Assessment[[#This Row],[IPP (3 YEARS AVERAGE)]]&lt;2,'9 Grid'!$F$2,IF(Data_Assessment[[#This Row],[IPP (3 YEARS AVERAGE)]]&gt;=4,'9 Grid'!$D$2,'9 Grid'!$E$2))),"")</f>
        <v>Fully Competence Performance</v>
      </c>
      <c r="O756" s="146" t="str">
        <f ca="1">IFERROR(INDEX('9 Grid'!$D$4:$F$6,MATCH('Rekomendasi HAV'!M756,'9 Grid'!$B$4:$B$6,0),MATCH('Rekomendasi HAV'!N756,'9 Grid'!$D$2:$F$2,0)),"")</f>
        <v/>
      </c>
      <c r="P756" s="147" t="str">
        <f>IFERROR(INDEX('9 Grid'!$D$8:$F$8,1,MATCH('Rekomendasi HAV'!N756,'9 Grid'!$D$2:$F$2,0)),"")</f>
        <v>(ST) Within 12 - 18 month</v>
      </c>
    </row>
    <row r="757" spans="1:16" ht="28.5">
      <c r="A757" s="67">
        <v>756</v>
      </c>
      <c r="B757" s="68" t="str">
        <f>INDEX(Data_Assessment[],MATCH('Rekomendasi HAV'!$A757,Data_Assessment[[INDEX]:[INDEX]],0),MATCH('Rekomendasi HAV'!B$1,Data_Assessment[#Headers],0))</f>
        <v>Mhd. Hyekal Sirait</v>
      </c>
      <c r="C757" s="68" t="str">
        <f>INDEX(Data_Assessment[],MATCH('Rekomendasi HAV'!$A757,Data_Assessment[[INDEX]:[INDEX]],0),MATCH('Rekomendasi HAV'!C$1,Data_Assessment[#Headers],0))</f>
        <v>Sumatera Utara</v>
      </c>
      <c r="D757" s="68" t="str">
        <f>INDEX(Data_Assessment[],MATCH('Rekomendasi HAV'!$A757,Data_Assessment[[INDEX]:[INDEX]],0),MATCH('Rekomendasi HAV'!D$1,Data_Assessment[#Headers],0))</f>
        <v>LSIP - Begerpang Palm Oil Mill</v>
      </c>
      <c r="E757" s="68">
        <f>INDEX(Data_Assessment[],MATCH('Rekomendasi HAV'!$B757,Data_Assessment[[NAME]:[NAME]],0),MATCH('Rekomendasi HAV'!E$1,Data_Assessment[#Headers],0))</f>
        <v>0</v>
      </c>
      <c r="F757" s="68"/>
      <c r="G757" s="68">
        <f>IF(ISNUMBER(SEARCH("DEV",Assessment[[#This Row],[JOB TARGET]])),SUBSTITUTE(Assessment[[#This Row],[JOB TARGET]],"DEV","EST"),Assessment[[#This Row],[JOB TARGET]])</f>
        <v>0</v>
      </c>
      <c r="H757" s="146" t="str" cm="1">
        <f t="array" aca="1" ref="H757" ca="1">IF(Assessment[[#This Row],[JOB TARGET]]="","Job Target Kosong",IF(COUNT(IF('Data Assessment'!$N757:$Z757-OFFSET(Standar!$B$2,MATCH(Assessment[[#This Row],[JOB TARGET
(EST)]],Standar[NAMA JABATAN],0)-1,1,1,13)&lt;0,1,""))&lt;=3,'9 Grid'!$B$4,IF(COUNT(IF('Data Assessment'!$N757:$Z757-OFFSET(Standar!$B$2,MATCH(Assessment[[#This Row],[JOB TARGET]],Standar[NAMA JABATAN],0)-1,1,1,13)&lt;0,1,""))&gt;=7,'9 Grid'!$B$6,'9 Grid'!$B$5)))</f>
        <v>Job Target Kosong</v>
      </c>
      <c r="I757" s="146" t="str">
        <f>IFERROR(IF(Data_Assessment[[#This Row],[IPP (3 YEARS AVERAGE)]]="","(IPP Belum Ada)",IF(Data_Assessment[[#This Row],[IPP (3 YEARS AVERAGE)]]&lt;2,'9 Grid'!$F$2,IF(Data_Assessment[[#This Row],[IPP (3 YEARS AVERAGE)]]&gt;=4,'9 Grid'!$D$2,'9 Grid'!$E$2))),"")</f>
        <v>Fully Competence Performance</v>
      </c>
      <c r="J757" s="146" t="str">
        <f ca="1">IFERROR(INDEX('9 Grid'!$D$4:$F$6,MATCH('Rekomendasi HAV'!H757,'9 Grid'!$B$4:$B$6,0),MATCH('Rekomendasi HAV'!I757,'9 Grid'!$D$2:$F$2,0)),"")</f>
        <v/>
      </c>
      <c r="K757" s="146" t="str">
        <f>IFERROR(INDEX('9 Grid'!$D$8:$F$8,1,MATCH('Rekomendasi HAV'!I757,'9 Grid'!$D$2:$F$2,0)),"")</f>
        <v>(ST) Within 12 - 18 month</v>
      </c>
      <c r="L757" s="146">
        <f>IF(ISNUMBER(SEARCH("EST",Assessment[[#This Row],[JOB TARGET]])),SUBSTITUTE(Assessment[[#This Row],[JOB TARGET]],"EST","DEV"),Assessment[[#This Row],[JOB TARGET]])</f>
        <v>0</v>
      </c>
      <c r="M757" s="146" t="str" cm="1">
        <f t="array" aca="1" ref="M757" ca="1">IF(Assessment[[#This Row],[JOB TARGET]]="","Job Target Kosong",IF(COUNT(IF('Data Assessment'!$N757:$Z757-OFFSET(Standar!$B$2,MATCH(Assessment[[#This Row],[JOB TARGET
(DEV)]],Standar[NAMA JABATAN],0)-1,1,1,13)&lt;0,1,""))&lt;=3,'9 Grid'!$B$4,IF(COUNT(IF('Data Assessment'!$N757:$Z757-OFFSET(Standar!$B$2,MATCH(Assessment[[#This Row],[JOB TARGET
(DEV)]],Standar[NAMA JABATAN],0)-1,1,1,13)&lt;0,1,""))&gt;=7,'9 Grid'!$B$6,'9 Grid'!$B$5)))</f>
        <v>Job Target Kosong</v>
      </c>
      <c r="N757" s="146" t="str">
        <f>IFERROR(IF(Data_Assessment[[#This Row],[IPP (3 YEARS AVERAGE)]]="","(IPP Belum Ada)",IF(Data_Assessment[[#This Row],[IPP (3 YEARS AVERAGE)]]&lt;2,'9 Grid'!$F$2,IF(Data_Assessment[[#This Row],[IPP (3 YEARS AVERAGE)]]&gt;=4,'9 Grid'!$D$2,'9 Grid'!$E$2))),"")</f>
        <v>Fully Competence Performance</v>
      </c>
      <c r="O757" s="146" t="str">
        <f ca="1">IFERROR(INDEX('9 Grid'!$D$4:$F$6,MATCH('Rekomendasi HAV'!M757,'9 Grid'!$B$4:$B$6,0),MATCH('Rekomendasi HAV'!N757,'9 Grid'!$D$2:$F$2,0)),"")</f>
        <v/>
      </c>
      <c r="P757" s="147" t="str">
        <f>IFERROR(INDEX('9 Grid'!$D$8:$F$8,1,MATCH('Rekomendasi HAV'!N757,'9 Grid'!$D$2:$F$2,0)),"")</f>
        <v>(ST) Within 12 - 18 month</v>
      </c>
    </row>
    <row r="758" spans="1:16" ht="28.5">
      <c r="A758" s="67">
        <v>757</v>
      </c>
      <c r="B758" s="68" t="str">
        <f>INDEX(Data_Assessment[],MATCH('Rekomendasi HAV'!$A758,Data_Assessment[[INDEX]:[INDEX]],0),MATCH('Rekomendasi HAV'!B$1,Data_Assessment[#Headers],0))</f>
        <v>Farida Hanum Lubis</v>
      </c>
      <c r="C758" s="68" t="str">
        <f>INDEX(Data_Assessment[],MATCH('Rekomendasi HAV'!$A758,Data_Assessment[[INDEX]:[INDEX]],0),MATCH('Rekomendasi HAV'!C$1,Data_Assessment[#Headers],0))</f>
        <v>Sumatera Utara</v>
      </c>
      <c r="D758" s="68" t="str">
        <f>INDEX(Data_Assessment[],MATCH('Rekomendasi HAV'!$A758,Data_Assessment[[INDEX]:[INDEX]],0),MATCH('Rekomendasi HAV'!D$1,Data_Assessment[#Headers],0))</f>
        <v>LSIP - Turangie Palm Oil Mill</v>
      </c>
      <c r="E758" s="68">
        <f>INDEX(Data_Assessment[],MATCH('Rekomendasi HAV'!$B758,Data_Assessment[[NAME]:[NAME]],0),MATCH('Rekomendasi HAV'!E$1,Data_Assessment[#Headers],0))</f>
        <v>0</v>
      </c>
      <c r="F758" s="68"/>
      <c r="G758" s="68">
        <f>IF(ISNUMBER(SEARCH("DEV",Assessment[[#This Row],[JOB TARGET]])),SUBSTITUTE(Assessment[[#This Row],[JOB TARGET]],"DEV","EST"),Assessment[[#This Row],[JOB TARGET]])</f>
        <v>0</v>
      </c>
      <c r="H758" s="146" t="str" cm="1">
        <f t="array" aca="1" ref="H758" ca="1">IF(Assessment[[#This Row],[JOB TARGET]]="","Job Target Kosong",IF(COUNT(IF('Data Assessment'!$N758:$Z758-OFFSET(Standar!$B$2,MATCH(Assessment[[#This Row],[JOB TARGET
(EST)]],Standar[NAMA JABATAN],0)-1,1,1,13)&lt;0,1,""))&lt;=3,'9 Grid'!$B$4,IF(COUNT(IF('Data Assessment'!$N758:$Z758-OFFSET(Standar!$B$2,MATCH(Assessment[[#This Row],[JOB TARGET]],Standar[NAMA JABATAN],0)-1,1,1,13)&lt;0,1,""))&gt;=7,'9 Grid'!$B$6,'9 Grid'!$B$5)))</f>
        <v>Job Target Kosong</v>
      </c>
      <c r="I758" s="146" t="str">
        <f>IFERROR(IF(Data_Assessment[[#This Row],[IPP (3 YEARS AVERAGE)]]="","(IPP Belum Ada)",IF(Data_Assessment[[#This Row],[IPP (3 YEARS AVERAGE)]]&lt;2,'9 Grid'!$F$2,IF(Data_Assessment[[#This Row],[IPP (3 YEARS AVERAGE)]]&gt;=4,'9 Grid'!$D$2,'9 Grid'!$E$2))),"")</f>
        <v>Fully Competence Performance</v>
      </c>
      <c r="J758" s="146" t="str">
        <f ca="1">IFERROR(INDEX('9 Grid'!$D$4:$F$6,MATCH('Rekomendasi HAV'!H758,'9 Grid'!$B$4:$B$6,0),MATCH('Rekomendasi HAV'!I758,'9 Grid'!$D$2:$F$2,0)),"")</f>
        <v/>
      </c>
      <c r="K758" s="146" t="str">
        <f>IFERROR(INDEX('9 Grid'!$D$8:$F$8,1,MATCH('Rekomendasi HAV'!I758,'9 Grid'!$D$2:$F$2,0)),"")</f>
        <v>(ST) Within 12 - 18 month</v>
      </c>
      <c r="L758" s="146">
        <f>IF(ISNUMBER(SEARCH("EST",Assessment[[#This Row],[JOB TARGET]])),SUBSTITUTE(Assessment[[#This Row],[JOB TARGET]],"EST","DEV"),Assessment[[#This Row],[JOB TARGET]])</f>
        <v>0</v>
      </c>
      <c r="M758" s="146" t="str" cm="1">
        <f t="array" aca="1" ref="M758" ca="1">IF(Assessment[[#This Row],[JOB TARGET]]="","Job Target Kosong",IF(COUNT(IF('Data Assessment'!$N758:$Z758-OFFSET(Standar!$B$2,MATCH(Assessment[[#This Row],[JOB TARGET
(DEV)]],Standar[NAMA JABATAN],0)-1,1,1,13)&lt;0,1,""))&lt;=3,'9 Grid'!$B$4,IF(COUNT(IF('Data Assessment'!$N758:$Z758-OFFSET(Standar!$B$2,MATCH(Assessment[[#This Row],[JOB TARGET
(DEV)]],Standar[NAMA JABATAN],0)-1,1,1,13)&lt;0,1,""))&gt;=7,'9 Grid'!$B$6,'9 Grid'!$B$5)))</f>
        <v>Job Target Kosong</v>
      </c>
      <c r="N758" s="146" t="str">
        <f>IFERROR(IF(Data_Assessment[[#This Row],[IPP (3 YEARS AVERAGE)]]="","(IPP Belum Ada)",IF(Data_Assessment[[#This Row],[IPP (3 YEARS AVERAGE)]]&lt;2,'9 Grid'!$F$2,IF(Data_Assessment[[#This Row],[IPP (3 YEARS AVERAGE)]]&gt;=4,'9 Grid'!$D$2,'9 Grid'!$E$2))),"")</f>
        <v>Fully Competence Performance</v>
      </c>
      <c r="O758" s="146" t="str">
        <f ca="1">IFERROR(INDEX('9 Grid'!$D$4:$F$6,MATCH('Rekomendasi HAV'!M758,'9 Grid'!$B$4:$B$6,0),MATCH('Rekomendasi HAV'!N758,'9 Grid'!$D$2:$F$2,0)),"")</f>
        <v/>
      </c>
      <c r="P758" s="147" t="str">
        <f>IFERROR(INDEX('9 Grid'!$D$8:$F$8,1,MATCH('Rekomendasi HAV'!N758,'9 Grid'!$D$2:$F$2,0)),"")</f>
        <v>(ST) Within 12 - 18 month</v>
      </c>
    </row>
    <row r="759" spans="1:16" ht="28.5">
      <c r="A759" s="67">
        <v>758</v>
      </c>
      <c r="B759" s="68" t="str">
        <f>INDEX(Data_Assessment[],MATCH('Rekomendasi HAV'!$A759,Data_Assessment[[INDEX]:[INDEX]],0),MATCH('Rekomendasi HAV'!B$1,Data_Assessment[#Headers],0))</f>
        <v>Canggih Sastrawan</v>
      </c>
      <c r="C759" s="68" t="str">
        <f>INDEX(Data_Assessment[],MATCH('Rekomendasi HAV'!$A759,Data_Assessment[[INDEX]:[INDEX]],0),MATCH('Rekomendasi HAV'!C$1,Data_Assessment[#Headers],0))</f>
        <v>Sumatera Selatan</v>
      </c>
      <c r="D759" s="68" t="str">
        <f>INDEX(Data_Assessment[],MATCH('Rekomendasi HAV'!$A759,Data_Assessment[[INDEX]:[INDEX]],0),MATCH('Rekomendasi HAV'!D$1,Data_Assessment[#Headers],0))</f>
        <v>LSIP - BLRS - SS</v>
      </c>
      <c r="E759" s="68">
        <f>INDEX(Data_Assessment[],MATCH('Rekomendasi HAV'!$B759,Data_Assessment[[NAME]:[NAME]],0),MATCH('Rekomendasi HAV'!E$1,Data_Assessment[#Headers],0))</f>
        <v>0</v>
      </c>
      <c r="F759" s="68"/>
      <c r="G759" s="68">
        <f>IF(ISNUMBER(SEARCH("DEV",Assessment[[#This Row],[JOB TARGET]])),SUBSTITUTE(Assessment[[#This Row],[JOB TARGET]],"DEV","EST"),Assessment[[#This Row],[JOB TARGET]])</f>
        <v>0</v>
      </c>
      <c r="H759" s="146" t="str" cm="1">
        <f t="array" aca="1" ref="H759" ca="1">IF(Assessment[[#This Row],[JOB TARGET]]="","Job Target Kosong",IF(COUNT(IF('Data Assessment'!$N759:$Z759-OFFSET(Standar!$B$2,MATCH(Assessment[[#This Row],[JOB TARGET
(EST)]],Standar[NAMA JABATAN],0)-1,1,1,13)&lt;0,1,""))&lt;=3,'9 Grid'!$B$4,IF(COUNT(IF('Data Assessment'!$N759:$Z759-OFFSET(Standar!$B$2,MATCH(Assessment[[#This Row],[JOB TARGET]],Standar[NAMA JABATAN],0)-1,1,1,13)&lt;0,1,""))&gt;=7,'9 Grid'!$B$6,'9 Grid'!$B$5)))</f>
        <v>Job Target Kosong</v>
      </c>
      <c r="I759" s="146" t="str">
        <f>IFERROR(IF(Data_Assessment[[#This Row],[IPP (3 YEARS AVERAGE)]]="","(IPP Belum Ada)",IF(Data_Assessment[[#This Row],[IPP (3 YEARS AVERAGE)]]&lt;2,'9 Grid'!$F$2,IF(Data_Assessment[[#This Row],[IPP (3 YEARS AVERAGE)]]&gt;=4,'9 Grid'!$D$2,'9 Grid'!$E$2))),"")</f>
        <v>Fully Competence Performance</v>
      </c>
      <c r="J759" s="146" t="str">
        <f ca="1">IFERROR(INDEX('9 Grid'!$D$4:$F$6,MATCH('Rekomendasi HAV'!H759,'9 Grid'!$B$4:$B$6,0),MATCH('Rekomendasi HAV'!I759,'9 Grid'!$D$2:$F$2,0)),"")</f>
        <v/>
      </c>
      <c r="K759" s="146" t="str">
        <f>IFERROR(INDEX('9 Grid'!$D$8:$F$8,1,MATCH('Rekomendasi HAV'!I759,'9 Grid'!$D$2:$F$2,0)),"")</f>
        <v>(ST) Within 12 - 18 month</v>
      </c>
      <c r="L759" s="146">
        <f>IF(ISNUMBER(SEARCH("EST",Assessment[[#This Row],[JOB TARGET]])),SUBSTITUTE(Assessment[[#This Row],[JOB TARGET]],"EST","DEV"),Assessment[[#This Row],[JOB TARGET]])</f>
        <v>0</v>
      </c>
      <c r="M759" s="146" t="str" cm="1">
        <f t="array" aca="1" ref="M759" ca="1">IF(Assessment[[#This Row],[JOB TARGET]]="","Job Target Kosong",IF(COUNT(IF('Data Assessment'!$N759:$Z759-OFFSET(Standar!$B$2,MATCH(Assessment[[#This Row],[JOB TARGET
(DEV)]],Standar[NAMA JABATAN],0)-1,1,1,13)&lt;0,1,""))&lt;=3,'9 Grid'!$B$4,IF(COUNT(IF('Data Assessment'!$N759:$Z759-OFFSET(Standar!$B$2,MATCH(Assessment[[#This Row],[JOB TARGET
(DEV)]],Standar[NAMA JABATAN],0)-1,1,1,13)&lt;0,1,""))&gt;=7,'9 Grid'!$B$6,'9 Grid'!$B$5)))</f>
        <v>Job Target Kosong</v>
      </c>
      <c r="N759" s="146" t="str">
        <f>IFERROR(IF(Data_Assessment[[#This Row],[IPP (3 YEARS AVERAGE)]]="","(IPP Belum Ada)",IF(Data_Assessment[[#This Row],[IPP (3 YEARS AVERAGE)]]&lt;2,'9 Grid'!$F$2,IF(Data_Assessment[[#This Row],[IPP (3 YEARS AVERAGE)]]&gt;=4,'9 Grid'!$D$2,'9 Grid'!$E$2))),"")</f>
        <v>Fully Competence Performance</v>
      </c>
      <c r="O759" s="146" t="str">
        <f ca="1">IFERROR(INDEX('9 Grid'!$D$4:$F$6,MATCH('Rekomendasi HAV'!M759,'9 Grid'!$B$4:$B$6,0),MATCH('Rekomendasi HAV'!N759,'9 Grid'!$D$2:$F$2,0)),"")</f>
        <v/>
      </c>
      <c r="P759" s="147" t="str">
        <f>IFERROR(INDEX('9 Grid'!$D$8:$F$8,1,MATCH('Rekomendasi HAV'!N759,'9 Grid'!$D$2:$F$2,0)),"")</f>
        <v>(ST) Within 12 - 18 month</v>
      </c>
    </row>
    <row r="760" spans="1:16" ht="28.5">
      <c r="A760" s="67">
        <v>759</v>
      </c>
      <c r="B760" s="68" t="str">
        <f>INDEX(Data_Assessment[],MATCH('Rekomendasi HAV'!$A760,Data_Assessment[[INDEX]:[INDEX]],0),MATCH('Rekomendasi HAV'!B$1,Data_Assessment[#Headers],0))</f>
        <v>Rudi Komi Simbolon</v>
      </c>
      <c r="C760" s="68" t="str">
        <f>INDEX(Data_Assessment[],MATCH('Rekomendasi HAV'!$A760,Data_Assessment[[INDEX]:[INDEX]],0),MATCH('Rekomendasi HAV'!C$1,Data_Assessment[#Headers],0))</f>
        <v>Sumatera Utara</v>
      </c>
      <c r="D760" s="68" t="str">
        <f>INDEX(Data_Assessment[],MATCH('Rekomendasi HAV'!$A760,Data_Assessment[[INDEX]:[INDEX]],0),MATCH('Rekomendasi HAV'!D$1,Data_Assessment[#Headers],0))</f>
        <v>LSIP - Turangie Palm Oil Mill</v>
      </c>
      <c r="E760" s="68">
        <f>INDEX(Data_Assessment[],MATCH('Rekomendasi HAV'!$B760,Data_Assessment[[NAME]:[NAME]],0),MATCH('Rekomendasi HAV'!E$1,Data_Assessment[#Headers],0))</f>
        <v>0</v>
      </c>
      <c r="F760" s="68"/>
      <c r="G760" s="68">
        <f>IF(ISNUMBER(SEARCH("DEV",Assessment[[#This Row],[JOB TARGET]])),SUBSTITUTE(Assessment[[#This Row],[JOB TARGET]],"DEV","EST"),Assessment[[#This Row],[JOB TARGET]])</f>
        <v>0</v>
      </c>
      <c r="H760" s="146" t="str" cm="1">
        <f t="array" aca="1" ref="H760" ca="1">IF(Assessment[[#This Row],[JOB TARGET]]="","Job Target Kosong",IF(COUNT(IF('Data Assessment'!$N760:$Z760-OFFSET(Standar!$B$2,MATCH(Assessment[[#This Row],[JOB TARGET
(EST)]],Standar[NAMA JABATAN],0)-1,1,1,13)&lt;0,1,""))&lt;=3,'9 Grid'!$B$4,IF(COUNT(IF('Data Assessment'!$N760:$Z760-OFFSET(Standar!$B$2,MATCH(Assessment[[#This Row],[JOB TARGET]],Standar[NAMA JABATAN],0)-1,1,1,13)&lt;0,1,""))&gt;=7,'9 Grid'!$B$6,'9 Grid'!$B$5)))</f>
        <v>Job Target Kosong</v>
      </c>
      <c r="I760" s="146" t="str">
        <f>IFERROR(IF(Data_Assessment[[#This Row],[IPP (3 YEARS AVERAGE)]]="","(IPP Belum Ada)",IF(Data_Assessment[[#This Row],[IPP (3 YEARS AVERAGE)]]&lt;2,'9 Grid'!$F$2,IF(Data_Assessment[[#This Row],[IPP (3 YEARS AVERAGE)]]&gt;=4,'9 Grid'!$D$2,'9 Grid'!$E$2))),"")</f>
        <v>Fully Competence Performance</v>
      </c>
      <c r="J760" s="146" t="str">
        <f ca="1">IFERROR(INDEX('9 Grid'!$D$4:$F$6,MATCH('Rekomendasi HAV'!H760,'9 Grid'!$B$4:$B$6,0),MATCH('Rekomendasi HAV'!I760,'9 Grid'!$D$2:$F$2,0)),"")</f>
        <v/>
      </c>
      <c r="K760" s="146" t="str">
        <f>IFERROR(INDEX('9 Grid'!$D$8:$F$8,1,MATCH('Rekomendasi HAV'!I760,'9 Grid'!$D$2:$F$2,0)),"")</f>
        <v>(ST) Within 12 - 18 month</v>
      </c>
      <c r="L760" s="146">
        <f>IF(ISNUMBER(SEARCH("EST",Assessment[[#This Row],[JOB TARGET]])),SUBSTITUTE(Assessment[[#This Row],[JOB TARGET]],"EST","DEV"),Assessment[[#This Row],[JOB TARGET]])</f>
        <v>0</v>
      </c>
      <c r="M760" s="146" t="str" cm="1">
        <f t="array" aca="1" ref="M760" ca="1">IF(Assessment[[#This Row],[JOB TARGET]]="","Job Target Kosong",IF(COUNT(IF('Data Assessment'!$N760:$Z760-OFFSET(Standar!$B$2,MATCH(Assessment[[#This Row],[JOB TARGET
(DEV)]],Standar[NAMA JABATAN],0)-1,1,1,13)&lt;0,1,""))&lt;=3,'9 Grid'!$B$4,IF(COUNT(IF('Data Assessment'!$N760:$Z760-OFFSET(Standar!$B$2,MATCH(Assessment[[#This Row],[JOB TARGET
(DEV)]],Standar[NAMA JABATAN],0)-1,1,1,13)&lt;0,1,""))&gt;=7,'9 Grid'!$B$6,'9 Grid'!$B$5)))</f>
        <v>Job Target Kosong</v>
      </c>
      <c r="N760" s="146" t="str">
        <f>IFERROR(IF(Data_Assessment[[#This Row],[IPP (3 YEARS AVERAGE)]]="","(IPP Belum Ada)",IF(Data_Assessment[[#This Row],[IPP (3 YEARS AVERAGE)]]&lt;2,'9 Grid'!$F$2,IF(Data_Assessment[[#This Row],[IPP (3 YEARS AVERAGE)]]&gt;=4,'9 Grid'!$D$2,'9 Grid'!$E$2))),"")</f>
        <v>Fully Competence Performance</v>
      </c>
      <c r="O760" s="146" t="str">
        <f ca="1">IFERROR(INDEX('9 Grid'!$D$4:$F$6,MATCH('Rekomendasi HAV'!M760,'9 Grid'!$B$4:$B$6,0),MATCH('Rekomendasi HAV'!N760,'9 Grid'!$D$2:$F$2,0)),"")</f>
        <v/>
      </c>
      <c r="P760" s="147" t="str">
        <f>IFERROR(INDEX('9 Grid'!$D$8:$F$8,1,MATCH('Rekomendasi HAV'!N760,'9 Grid'!$D$2:$F$2,0)),"")</f>
        <v>(ST) Within 12 - 18 month</v>
      </c>
    </row>
    <row r="761" spans="1:16" ht="28.5">
      <c r="A761" s="67">
        <v>760</v>
      </c>
      <c r="B761" s="68" t="str">
        <f>INDEX(Data_Assessment[],MATCH('Rekomendasi HAV'!$A761,Data_Assessment[[INDEX]:[INDEX]],0),MATCH('Rekomendasi HAV'!B$1,Data_Assessment[#Headers],0))</f>
        <v>Muhamamd Ikhsan Nasution</v>
      </c>
      <c r="C761" s="68" t="str">
        <f>INDEX(Data_Assessment[],MATCH('Rekomendasi HAV'!$A761,Data_Assessment[[INDEX]:[INDEX]],0),MATCH('Rekomendasi HAV'!C$1,Data_Assessment[#Headers],0))</f>
        <v>Sumatera Utara</v>
      </c>
      <c r="D761" s="68" t="str">
        <f>INDEX(Data_Assessment[],MATCH('Rekomendasi HAV'!$A761,Data_Assessment[[INDEX]:[INDEX]],0),MATCH('Rekomendasi HAV'!D$1,Data_Assessment[#Headers],0))</f>
        <v>LSIP - Gunung Malayu Palm Oil Mill</v>
      </c>
      <c r="E761" s="68">
        <f>INDEX(Data_Assessment[],MATCH('Rekomendasi HAV'!$B761,Data_Assessment[[NAME]:[NAME]],0),MATCH('Rekomendasi HAV'!E$1,Data_Assessment[#Headers],0))</f>
        <v>0</v>
      </c>
      <c r="F761" s="68"/>
      <c r="G761" s="68">
        <f>IF(ISNUMBER(SEARCH("DEV",Assessment[[#This Row],[JOB TARGET]])),SUBSTITUTE(Assessment[[#This Row],[JOB TARGET]],"DEV","EST"),Assessment[[#This Row],[JOB TARGET]])</f>
        <v>0</v>
      </c>
      <c r="H761" s="146" t="str" cm="1">
        <f t="array" aca="1" ref="H761" ca="1">IF(Assessment[[#This Row],[JOB TARGET]]="","Job Target Kosong",IF(COUNT(IF('Data Assessment'!$N761:$Z761-OFFSET(Standar!$B$2,MATCH(Assessment[[#This Row],[JOB TARGET
(EST)]],Standar[NAMA JABATAN],0)-1,1,1,13)&lt;0,1,""))&lt;=3,'9 Grid'!$B$4,IF(COUNT(IF('Data Assessment'!$N761:$Z761-OFFSET(Standar!$B$2,MATCH(Assessment[[#This Row],[JOB TARGET]],Standar[NAMA JABATAN],0)-1,1,1,13)&lt;0,1,""))&gt;=7,'9 Grid'!$B$6,'9 Grid'!$B$5)))</f>
        <v>Job Target Kosong</v>
      </c>
      <c r="I761" s="146" t="str">
        <f>IFERROR(IF(Data_Assessment[[#This Row],[IPP (3 YEARS AVERAGE)]]="","(IPP Belum Ada)",IF(Data_Assessment[[#This Row],[IPP (3 YEARS AVERAGE)]]&lt;2,'9 Grid'!$F$2,IF(Data_Assessment[[#This Row],[IPP (3 YEARS AVERAGE)]]&gt;=4,'9 Grid'!$D$2,'9 Grid'!$E$2))),"")</f>
        <v>Fully Competence Performance</v>
      </c>
      <c r="J761" s="146" t="str">
        <f ca="1">IFERROR(INDEX('9 Grid'!$D$4:$F$6,MATCH('Rekomendasi HAV'!H761,'9 Grid'!$B$4:$B$6,0),MATCH('Rekomendasi HAV'!I761,'9 Grid'!$D$2:$F$2,0)),"")</f>
        <v/>
      </c>
      <c r="K761" s="146" t="str">
        <f>IFERROR(INDEX('9 Grid'!$D$8:$F$8,1,MATCH('Rekomendasi HAV'!I761,'9 Grid'!$D$2:$F$2,0)),"")</f>
        <v>(ST) Within 12 - 18 month</v>
      </c>
      <c r="L761" s="146">
        <f>IF(ISNUMBER(SEARCH("EST",Assessment[[#This Row],[JOB TARGET]])),SUBSTITUTE(Assessment[[#This Row],[JOB TARGET]],"EST","DEV"),Assessment[[#This Row],[JOB TARGET]])</f>
        <v>0</v>
      </c>
      <c r="M761" s="146" t="str" cm="1">
        <f t="array" aca="1" ref="M761" ca="1">IF(Assessment[[#This Row],[JOB TARGET]]="","Job Target Kosong",IF(COUNT(IF('Data Assessment'!$N761:$Z761-OFFSET(Standar!$B$2,MATCH(Assessment[[#This Row],[JOB TARGET
(DEV)]],Standar[NAMA JABATAN],0)-1,1,1,13)&lt;0,1,""))&lt;=3,'9 Grid'!$B$4,IF(COUNT(IF('Data Assessment'!$N761:$Z761-OFFSET(Standar!$B$2,MATCH(Assessment[[#This Row],[JOB TARGET
(DEV)]],Standar[NAMA JABATAN],0)-1,1,1,13)&lt;0,1,""))&gt;=7,'9 Grid'!$B$6,'9 Grid'!$B$5)))</f>
        <v>Job Target Kosong</v>
      </c>
      <c r="N761" s="146" t="str">
        <f>IFERROR(IF(Data_Assessment[[#This Row],[IPP (3 YEARS AVERAGE)]]="","(IPP Belum Ada)",IF(Data_Assessment[[#This Row],[IPP (3 YEARS AVERAGE)]]&lt;2,'9 Grid'!$F$2,IF(Data_Assessment[[#This Row],[IPP (3 YEARS AVERAGE)]]&gt;=4,'9 Grid'!$D$2,'9 Grid'!$E$2))),"")</f>
        <v>Fully Competence Performance</v>
      </c>
      <c r="O761" s="146" t="str">
        <f ca="1">IFERROR(INDEX('9 Grid'!$D$4:$F$6,MATCH('Rekomendasi HAV'!M761,'9 Grid'!$B$4:$B$6,0),MATCH('Rekomendasi HAV'!N761,'9 Grid'!$D$2:$F$2,0)),"")</f>
        <v/>
      </c>
      <c r="P761" s="147" t="str">
        <f>IFERROR(INDEX('9 Grid'!$D$8:$F$8,1,MATCH('Rekomendasi HAV'!N761,'9 Grid'!$D$2:$F$2,0)),"")</f>
        <v>(ST) Within 12 - 18 month</v>
      </c>
    </row>
    <row r="762" spans="1:16" ht="28.5">
      <c r="A762" s="67">
        <v>761</v>
      </c>
      <c r="B762" s="68" t="str">
        <f>INDEX(Data_Assessment[],MATCH('Rekomendasi HAV'!$A762,Data_Assessment[[INDEX]:[INDEX]],0),MATCH('Rekomendasi HAV'!B$1,Data_Assessment[#Headers],0))</f>
        <v>Elvian Adi Wandra Nasution</v>
      </c>
      <c r="C762" s="68" t="str">
        <f>INDEX(Data_Assessment[],MATCH('Rekomendasi HAV'!$A762,Data_Assessment[[INDEX]:[INDEX]],0),MATCH('Rekomendasi HAV'!C$1,Data_Assessment[#Headers],0))</f>
        <v>Sumatera Selatan</v>
      </c>
      <c r="D762" s="68" t="str">
        <f>INDEX(Data_Assessment[],MATCH('Rekomendasi HAV'!$A762,Data_Assessment[[INDEX]:[INDEX]],0),MATCH('Rekomendasi HAV'!D$1,Data_Assessment[#Headers],0))</f>
        <v>LSIP - Sei Lakitan Palm Oil Mill</v>
      </c>
      <c r="E762" s="68">
        <f>INDEX(Data_Assessment[],MATCH('Rekomendasi HAV'!$B762,Data_Assessment[[NAME]:[NAME]],0),MATCH('Rekomendasi HAV'!E$1,Data_Assessment[#Headers],0))</f>
        <v>0</v>
      </c>
      <c r="F762" s="68"/>
      <c r="G762" s="68">
        <f>IF(ISNUMBER(SEARCH("DEV",Assessment[[#This Row],[JOB TARGET]])),SUBSTITUTE(Assessment[[#This Row],[JOB TARGET]],"DEV","EST"),Assessment[[#This Row],[JOB TARGET]])</f>
        <v>0</v>
      </c>
      <c r="H762" s="146" t="str" cm="1">
        <f t="array" aca="1" ref="H762" ca="1">IF(Assessment[[#This Row],[JOB TARGET]]="","Job Target Kosong",IF(COUNT(IF('Data Assessment'!$N762:$Z762-OFFSET(Standar!$B$2,MATCH(Assessment[[#This Row],[JOB TARGET
(EST)]],Standar[NAMA JABATAN],0)-1,1,1,13)&lt;0,1,""))&lt;=3,'9 Grid'!$B$4,IF(COUNT(IF('Data Assessment'!$N762:$Z762-OFFSET(Standar!$B$2,MATCH(Assessment[[#This Row],[JOB TARGET]],Standar[NAMA JABATAN],0)-1,1,1,13)&lt;0,1,""))&gt;=7,'9 Grid'!$B$6,'9 Grid'!$B$5)))</f>
        <v>Job Target Kosong</v>
      </c>
      <c r="I762" s="146" t="str">
        <f>IFERROR(IF(Data_Assessment[[#This Row],[IPP (3 YEARS AVERAGE)]]="","(IPP Belum Ada)",IF(Data_Assessment[[#This Row],[IPP (3 YEARS AVERAGE)]]&lt;2,'9 Grid'!$F$2,IF(Data_Assessment[[#This Row],[IPP (3 YEARS AVERAGE)]]&gt;=4,'9 Grid'!$D$2,'9 Grid'!$E$2))),"")</f>
        <v>Fully Competence Performance</v>
      </c>
      <c r="J762" s="146" t="str">
        <f ca="1">IFERROR(INDEX('9 Grid'!$D$4:$F$6,MATCH('Rekomendasi HAV'!H762,'9 Grid'!$B$4:$B$6,0),MATCH('Rekomendasi HAV'!I762,'9 Grid'!$D$2:$F$2,0)),"")</f>
        <v/>
      </c>
      <c r="K762" s="146" t="str">
        <f>IFERROR(INDEX('9 Grid'!$D$8:$F$8,1,MATCH('Rekomendasi HAV'!I762,'9 Grid'!$D$2:$F$2,0)),"")</f>
        <v>(ST) Within 12 - 18 month</v>
      </c>
      <c r="L762" s="146">
        <f>IF(ISNUMBER(SEARCH("EST",Assessment[[#This Row],[JOB TARGET]])),SUBSTITUTE(Assessment[[#This Row],[JOB TARGET]],"EST","DEV"),Assessment[[#This Row],[JOB TARGET]])</f>
        <v>0</v>
      </c>
      <c r="M762" s="146" t="str" cm="1">
        <f t="array" aca="1" ref="M762" ca="1">IF(Assessment[[#This Row],[JOB TARGET]]="","Job Target Kosong",IF(COUNT(IF('Data Assessment'!$N762:$Z762-OFFSET(Standar!$B$2,MATCH(Assessment[[#This Row],[JOB TARGET
(DEV)]],Standar[NAMA JABATAN],0)-1,1,1,13)&lt;0,1,""))&lt;=3,'9 Grid'!$B$4,IF(COUNT(IF('Data Assessment'!$N762:$Z762-OFFSET(Standar!$B$2,MATCH(Assessment[[#This Row],[JOB TARGET
(DEV)]],Standar[NAMA JABATAN],0)-1,1,1,13)&lt;0,1,""))&gt;=7,'9 Grid'!$B$6,'9 Grid'!$B$5)))</f>
        <v>Job Target Kosong</v>
      </c>
      <c r="N762" s="146" t="str">
        <f>IFERROR(IF(Data_Assessment[[#This Row],[IPP (3 YEARS AVERAGE)]]="","(IPP Belum Ada)",IF(Data_Assessment[[#This Row],[IPP (3 YEARS AVERAGE)]]&lt;2,'9 Grid'!$F$2,IF(Data_Assessment[[#This Row],[IPP (3 YEARS AVERAGE)]]&gt;=4,'9 Grid'!$D$2,'9 Grid'!$E$2))),"")</f>
        <v>Fully Competence Performance</v>
      </c>
      <c r="O762" s="146" t="str">
        <f ca="1">IFERROR(INDEX('9 Grid'!$D$4:$F$6,MATCH('Rekomendasi HAV'!M762,'9 Grid'!$B$4:$B$6,0),MATCH('Rekomendasi HAV'!N762,'9 Grid'!$D$2:$F$2,0)),"")</f>
        <v/>
      </c>
      <c r="P762" s="147" t="str">
        <f>IFERROR(INDEX('9 Grid'!$D$8:$F$8,1,MATCH('Rekomendasi HAV'!N762,'9 Grid'!$D$2:$F$2,0)),"")</f>
        <v>(ST) Within 12 - 18 month</v>
      </c>
    </row>
    <row r="763" spans="1:16" ht="28.5">
      <c r="A763" s="67">
        <v>762</v>
      </c>
      <c r="B763" s="68" t="str">
        <f>INDEX(Data_Assessment[],MATCH('Rekomendasi HAV'!$A763,Data_Assessment[[INDEX]:[INDEX]],0),MATCH('Rekomendasi HAV'!B$1,Data_Assessment[#Headers],0))</f>
        <v>Obinton Mikhael Butar Butar</v>
      </c>
      <c r="C763" s="68" t="str">
        <f>INDEX(Data_Assessment[],MATCH('Rekomendasi HAV'!$A763,Data_Assessment[[INDEX]:[INDEX]],0),MATCH('Rekomendasi HAV'!C$1,Data_Assessment[#Headers],0))</f>
        <v>Sumatera Selatan</v>
      </c>
      <c r="D763" s="68" t="str">
        <f>INDEX(Data_Assessment[],MATCH('Rekomendasi HAV'!$A763,Data_Assessment[[INDEX]:[INDEX]],0),MATCH('Rekomendasi HAV'!D$1,Data_Assessment[#Headers],0))</f>
        <v>LSIP - Sei Lakitan Palm Oil Mill</v>
      </c>
      <c r="E763" s="68">
        <f>INDEX(Data_Assessment[],MATCH('Rekomendasi HAV'!$B763,Data_Assessment[[NAME]:[NAME]],0),MATCH('Rekomendasi HAV'!E$1,Data_Assessment[#Headers],0))</f>
        <v>0</v>
      </c>
      <c r="F763" s="68"/>
      <c r="G763" s="68">
        <f>IF(ISNUMBER(SEARCH("DEV",Assessment[[#This Row],[JOB TARGET]])),SUBSTITUTE(Assessment[[#This Row],[JOB TARGET]],"DEV","EST"),Assessment[[#This Row],[JOB TARGET]])</f>
        <v>0</v>
      </c>
      <c r="H763" s="146" t="str" cm="1">
        <f t="array" aca="1" ref="H763" ca="1">IF(Assessment[[#This Row],[JOB TARGET]]="","Job Target Kosong",IF(COUNT(IF('Data Assessment'!$N763:$Z763-OFFSET(Standar!$B$2,MATCH(Assessment[[#This Row],[JOB TARGET
(EST)]],Standar[NAMA JABATAN],0)-1,1,1,13)&lt;0,1,""))&lt;=3,'9 Grid'!$B$4,IF(COUNT(IF('Data Assessment'!$N763:$Z763-OFFSET(Standar!$B$2,MATCH(Assessment[[#This Row],[JOB TARGET]],Standar[NAMA JABATAN],0)-1,1,1,13)&lt;0,1,""))&gt;=7,'9 Grid'!$B$6,'9 Grid'!$B$5)))</f>
        <v>Job Target Kosong</v>
      </c>
      <c r="I763" s="146" t="str">
        <f>IFERROR(IF(Data_Assessment[[#This Row],[IPP (3 YEARS AVERAGE)]]="","(IPP Belum Ada)",IF(Data_Assessment[[#This Row],[IPP (3 YEARS AVERAGE)]]&lt;2,'9 Grid'!$F$2,IF(Data_Assessment[[#This Row],[IPP (3 YEARS AVERAGE)]]&gt;=4,'9 Grid'!$D$2,'9 Grid'!$E$2))),"")</f>
        <v>Fully Competence Performance</v>
      </c>
      <c r="J763" s="146" t="str">
        <f ca="1">IFERROR(INDEX('9 Grid'!$D$4:$F$6,MATCH('Rekomendasi HAV'!H763,'9 Grid'!$B$4:$B$6,0),MATCH('Rekomendasi HAV'!I763,'9 Grid'!$D$2:$F$2,0)),"")</f>
        <v/>
      </c>
      <c r="K763" s="146" t="str">
        <f>IFERROR(INDEX('9 Grid'!$D$8:$F$8,1,MATCH('Rekomendasi HAV'!I763,'9 Grid'!$D$2:$F$2,0)),"")</f>
        <v>(ST) Within 12 - 18 month</v>
      </c>
      <c r="L763" s="146">
        <f>IF(ISNUMBER(SEARCH("EST",Assessment[[#This Row],[JOB TARGET]])),SUBSTITUTE(Assessment[[#This Row],[JOB TARGET]],"EST","DEV"),Assessment[[#This Row],[JOB TARGET]])</f>
        <v>0</v>
      </c>
      <c r="M763" s="146" t="str" cm="1">
        <f t="array" aca="1" ref="M763" ca="1">IF(Assessment[[#This Row],[JOB TARGET]]="","Job Target Kosong",IF(COUNT(IF('Data Assessment'!$N763:$Z763-OFFSET(Standar!$B$2,MATCH(Assessment[[#This Row],[JOB TARGET
(DEV)]],Standar[NAMA JABATAN],0)-1,1,1,13)&lt;0,1,""))&lt;=3,'9 Grid'!$B$4,IF(COUNT(IF('Data Assessment'!$N763:$Z763-OFFSET(Standar!$B$2,MATCH(Assessment[[#This Row],[JOB TARGET
(DEV)]],Standar[NAMA JABATAN],0)-1,1,1,13)&lt;0,1,""))&gt;=7,'9 Grid'!$B$6,'9 Grid'!$B$5)))</f>
        <v>Job Target Kosong</v>
      </c>
      <c r="N763" s="146" t="str">
        <f>IFERROR(IF(Data_Assessment[[#This Row],[IPP (3 YEARS AVERAGE)]]="","(IPP Belum Ada)",IF(Data_Assessment[[#This Row],[IPP (3 YEARS AVERAGE)]]&lt;2,'9 Grid'!$F$2,IF(Data_Assessment[[#This Row],[IPP (3 YEARS AVERAGE)]]&gt;=4,'9 Grid'!$D$2,'9 Grid'!$E$2))),"")</f>
        <v>Fully Competence Performance</v>
      </c>
      <c r="O763" s="146" t="str">
        <f ca="1">IFERROR(INDEX('9 Grid'!$D$4:$F$6,MATCH('Rekomendasi HAV'!M763,'9 Grid'!$B$4:$B$6,0),MATCH('Rekomendasi HAV'!N763,'9 Grid'!$D$2:$F$2,0)),"")</f>
        <v/>
      </c>
      <c r="P763" s="147" t="str">
        <f>IFERROR(INDEX('9 Grid'!$D$8:$F$8,1,MATCH('Rekomendasi HAV'!N763,'9 Grid'!$D$2:$F$2,0)),"")</f>
        <v>(ST) Within 12 - 18 month</v>
      </c>
    </row>
    <row r="764" spans="1:16" ht="28.5">
      <c r="A764" s="67">
        <v>763</v>
      </c>
      <c r="B764" s="68" t="str">
        <f>INDEX(Data_Assessment[],MATCH('Rekomendasi HAV'!$A764,Data_Assessment[[INDEX]:[INDEX]],0),MATCH('Rekomendasi HAV'!B$1,Data_Assessment[#Headers],0))</f>
        <v>Joko Purnomo</v>
      </c>
      <c r="C764" s="68" t="str">
        <f>INDEX(Data_Assessment[],MATCH('Rekomendasi HAV'!$A764,Data_Assessment[[INDEX]:[INDEX]],0),MATCH('Rekomendasi HAV'!C$1,Data_Assessment[#Headers],0))</f>
        <v>Sumatera Selatan</v>
      </c>
      <c r="D764" s="68" t="str">
        <f>INDEX(Data_Assessment[],MATCH('Rekomendasi HAV'!$A764,Data_Assessment[[INDEX]:[INDEX]],0),MATCH('Rekomendasi HAV'!D$1,Data_Assessment[#Headers],0))</f>
        <v>LSIP - Belani Elok Palm Oil Mill</v>
      </c>
      <c r="E764" s="68">
        <f>INDEX(Data_Assessment[],MATCH('Rekomendasi HAV'!$B764,Data_Assessment[[NAME]:[NAME]],0),MATCH('Rekomendasi HAV'!E$1,Data_Assessment[#Headers],0))</f>
        <v>0</v>
      </c>
      <c r="F764" s="68"/>
      <c r="G764" s="68">
        <f>IF(ISNUMBER(SEARCH("DEV",Assessment[[#This Row],[JOB TARGET]])),SUBSTITUTE(Assessment[[#This Row],[JOB TARGET]],"DEV","EST"),Assessment[[#This Row],[JOB TARGET]])</f>
        <v>0</v>
      </c>
      <c r="H764" s="146" t="str" cm="1">
        <f t="array" aca="1" ref="H764" ca="1">IF(Assessment[[#This Row],[JOB TARGET]]="","Job Target Kosong",IF(COUNT(IF('Data Assessment'!$N764:$Z764-OFFSET(Standar!$B$2,MATCH(Assessment[[#This Row],[JOB TARGET
(EST)]],Standar[NAMA JABATAN],0)-1,1,1,13)&lt;0,1,""))&lt;=3,'9 Grid'!$B$4,IF(COUNT(IF('Data Assessment'!$N764:$Z764-OFFSET(Standar!$B$2,MATCH(Assessment[[#This Row],[JOB TARGET]],Standar[NAMA JABATAN],0)-1,1,1,13)&lt;0,1,""))&gt;=7,'9 Grid'!$B$6,'9 Grid'!$B$5)))</f>
        <v>Job Target Kosong</v>
      </c>
      <c r="I764" s="146" t="str">
        <f>IFERROR(IF(Data_Assessment[[#This Row],[IPP (3 YEARS AVERAGE)]]="","(IPP Belum Ada)",IF(Data_Assessment[[#This Row],[IPP (3 YEARS AVERAGE)]]&lt;2,'9 Grid'!$F$2,IF(Data_Assessment[[#This Row],[IPP (3 YEARS AVERAGE)]]&gt;=4,'9 Grid'!$D$2,'9 Grid'!$E$2))),"")</f>
        <v>Fully Competence Performance</v>
      </c>
      <c r="J764" s="146" t="str">
        <f ca="1">IFERROR(INDEX('9 Grid'!$D$4:$F$6,MATCH('Rekomendasi HAV'!H764,'9 Grid'!$B$4:$B$6,0),MATCH('Rekomendasi HAV'!I764,'9 Grid'!$D$2:$F$2,0)),"")</f>
        <v/>
      </c>
      <c r="K764" s="146" t="str">
        <f>IFERROR(INDEX('9 Grid'!$D$8:$F$8,1,MATCH('Rekomendasi HAV'!I764,'9 Grid'!$D$2:$F$2,0)),"")</f>
        <v>(ST) Within 12 - 18 month</v>
      </c>
      <c r="L764" s="146">
        <f>IF(ISNUMBER(SEARCH("EST",Assessment[[#This Row],[JOB TARGET]])),SUBSTITUTE(Assessment[[#This Row],[JOB TARGET]],"EST","DEV"),Assessment[[#This Row],[JOB TARGET]])</f>
        <v>0</v>
      </c>
      <c r="M764" s="146" t="str" cm="1">
        <f t="array" aca="1" ref="M764" ca="1">IF(Assessment[[#This Row],[JOB TARGET]]="","Job Target Kosong",IF(COUNT(IF('Data Assessment'!$N764:$Z764-OFFSET(Standar!$B$2,MATCH(Assessment[[#This Row],[JOB TARGET
(DEV)]],Standar[NAMA JABATAN],0)-1,1,1,13)&lt;0,1,""))&lt;=3,'9 Grid'!$B$4,IF(COUNT(IF('Data Assessment'!$N764:$Z764-OFFSET(Standar!$B$2,MATCH(Assessment[[#This Row],[JOB TARGET
(DEV)]],Standar[NAMA JABATAN],0)-1,1,1,13)&lt;0,1,""))&gt;=7,'9 Grid'!$B$6,'9 Grid'!$B$5)))</f>
        <v>Job Target Kosong</v>
      </c>
      <c r="N764" s="146" t="str">
        <f>IFERROR(IF(Data_Assessment[[#This Row],[IPP (3 YEARS AVERAGE)]]="","(IPP Belum Ada)",IF(Data_Assessment[[#This Row],[IPP (3 YEARS AVERAGE)]]&lt;2,'9 Grid'!$F$2,IF(Data_Assessment[[#This Row],[IPP (3 YEARS AVERAGE)]]&gt;=4,'9 Grid'!$D$2,'9 Grid'!$E$2))),"")</f>
        <v>Fully Competence Performance</v>
      </c>
      <c r="O764" s="146" t="str">
        <f ca="1">IFERROR(INDEX('9 Grid'!$D$4:$F$6,MATCH('Rekomendasi HAV'!M764,'9 Grid'!$B$4:$B$6,0),MATCH('Rekomendasi HAV'!N764,'9 Grid'!$D$2:$F$2,0)),"")</f>
        <v/>
      </c>
      <c r="P764" s="147" t="str">
        <f>IFERROR(INDEX('9 Grid'!$D$8:$F$8,1,MATCH('Rekomendasi HAV'!N764,'9 Grid'!$D$2:$F$2,0)),"")</f>
        <v>(ST) Within 12 - 18 month</v>
      </c>
    </row>
    <row r="765" spans="1:16" ht="28.5">
      <c r="A765" s="67">
        <v>764</v>
      </c>
      <c r="B765" s="68" t="str">
        <f>INDEX(Data_Assessment[],MATCH('Rekomendasi HAV'!$A765,Data_Assessment[[INDEX]:[INDEX]],0),MATCH('Rekomendasi HAV'!B$1,Data_Assessment[#Headers],0))</f>
        <v>Nofriferdiansyah Soriton</v>
      </c>
      <c r="C765" s="68" t="str">
        <f>INDEX(Data_Assessment[],MATCH('Rekomendasi HAV'!$A765,Data_Assessment[[INDEX]:[INDEX]],0),MATCH('Rekomendasi HAV'!C$1,Data_Assessment[#Headers],0))</f>
        <v>Sumatera Selatan</v>
      </c>
      <c r="D765" s="68" t="str">
        <f>INDEX(Data_Assessment[],MATCH('Rekomendasi HAV'!$A765,Data_Assessment[[INDEX]:[INDEX]],0),MATCH('Rekomendasi HAV'!D$1,Data_Assessment[#Headers],0))</f>
        <v>LSIP - Belani Elok Palm Oil Mill</v>
      </c>
      <c r="E765" s="68">
        <f>INDEX(Data_Assessment[],MATCH('Rekomendasi HAV'!$B765,Data_Assessment[[NAME]:[NAME]],0),MATCH('Rekomendasi HAV'!E$1,Data_Assessment[#Headers],0))</f>
        <v>0</v>
      </c>
      <c r="F765" s="68"/>
      <c r="G765" s="68">
        <f>IF(ISNUMBER(SEARCH("DEV",Assessment[[#This Row],[JOB TARGET]])),SUBSTITUTE(Assessment[[#This Row],[JOB TARGET]],"DEV","EST"),Assessment[[#This Row],[JOB TARGET]])</f>
        <v>0</v>
      </c>
      <c r="H765" s="146" t="str" cm="1">
        <f t="array" aca="1" ref="H765" ca="1">IF(Assessment[[#This Row],[JOB TARGET]]="","Job Target Kosong",IF(COUNT(IF('Data Assessment'!$N765:$Z765-OFFSET(Standar!$B$2,MATCH(Assessment[[#This Row],[JOB TARGET
(EST)]],Standar[NAMA JABATAN],0)-1,1,1,13)&lt;0,1,""))&lt;=3,'9 Grid'!$B$4,IF(COUNT(IF('Data Assessment'!$N765:$Z765-OFFSET(Standar!$B$2,MATCH(Assessment[[#This Row],[JOB TARGET]],Standar[NAMA JABATAN],0)-1,1,1,13)&lt;0,1,""))&gt;=7,'9 Grid'!$B$6,'9 Grid'!$B$5)))</f>
        <v>Job Target Kosong</v>
      </c>
      <c r="I765" s="146" t="str">
        <f>IFERROR(IF(Data_Assessment[[#This Row],[IPP (3 YEARS AVERAGE)]]="","(IPP Belum Ada)",IF(Data_Assessment[[#This Row],[IPP (3 YEARS AVERAGE)]]&lt;2,'9 Grid'!$F$2,IF(Data_Assessment[[#This Row],[IPP (3 YEARS AVERAGE)]]&gt;=4,'9 Grid'!$D$2,'9 Grid'!$E$2))),"")</f>
        <v>Fully Competence Performance</v>
      </c>
      <c r="J765" s="146" t="str">
        <f ca="1">IFERROR(INDEX('9 Grid'!$D$4:$F$6,MATCH('Rekomendasi HAV'!H765,'9 Grid'!$B$4:$B$6,0),MATCH('Rekomendasi HAV'!I765,'9 Grid'!$D$2:$F$2,0)),"")</f>
        <v/>
      </c>
      <c r="K765" s="146" t="str">
        <f>IFERROR(INDEX('9 Grid'!$D$8:$F$8,1,MATCH('Rekomendasi HAV'!I765,'9 Grid'!$D$2:$F$2,0)),"")</f>
        <v>(ST) Within 12 - 18 month</v>
      </c>
      <c r="L765" s="146">
        <f>IF(ISNUMBER(SEARCH("EST",Assessment[[#This Row],[JOB TARGET]])),SUBSTITUTE(Assessment[[#This Row],[JOB TARGET]],"EST","DEV"),Assessment[[#This Row],[JOB TARGET]])</f>
        <v>0</v>
      </c>
      <c r="M765" s="146" t="str" cm="1">
        <f t="array" aca="1" ref="M765" ca="1">IF(Assessment[[#This Row],[JOB TARGET]]="","Job Target Kosong",IF(COUNT(IF('Data Assessment'!$N765:$Z765-OFFSET(Standar!$B$2,MATCH(Assessment[[#This Row],[JOB TARGET
(DEV)]],Standar[NAMA JABATAN],0)-1,1,1,13)&lt;0,1,""))&lt;=3,'9 Grid'!$B$4,IF(COUNT(IF('Data Assessment'!$N765:$Z765-OFFSET(Standar!$B$2,MATCH(Assessment[[#This Row],[JOB TARGET
(DEV)]],Standar[NAMA JABATAN],0)-1,1,1,13)&lt;0,1,""))&gt;=7,'9 Grid'!$B$6,'9 Grid'!$B$5)))</f>
        <v>Job Target Kosong</v>
      </c>
      <c r="N765" s="146" t="str">
        <f>IFERROR(IF(Data_Assessment[[#This Row],[IPP (3 YEARS AVERAGE)]]="","(IPP Belum Ada)",IF(Data_Assessment[[#This Row],[IPP (3 YEARS AVERAGE)]]&lt;2,'9 Grid'!$F$2,IF(Data_Assessment[[#This Row],[IPP (3 YEARS AVERAGE)]]&gt;=4,'9 Grid'!$D$2,'9 Grid'!$E$2))),"")</f>
        <v>Fully Competence Performance</v>
      </c>
      <c r="O765" s="146" t="str">
        <f ca="1">IFERROR(INDEX('9 Grid'!$D$4:$F$6,MATCH('Rekomendasi HAV'!M765,'9 Grid'!$B$4:$B$6,0),MATCH('Rekomendasi HAV'!N765,'9 Grid'!$D$2:$F$2,0)),"")</f>
        <v/>
      </c>
      <c r="P765" s="147" t="str">
        <f>IFERROR(INDEX('9 Grid'!$D$8:$F$8,1,MATCH('Rekomendasi HAV'!N765,'9 Grid'!$D$2:$F$2,0)),"")</f>
        <v>(ST) Within 12 - 18 month</v>
      </c>
    </row>
    <row r="766" spans="1:16" ht="28.5">
      <c r="A766" s="67">
        <v>765</v>
      </c>
      <c r="B766" s="68" t="str">
        <f>INDEX(Data_Assessment[],MATCH('Rekomendasi HAV'!$A766,Data_Assessment[[INDEX]:[INDEX]],0),MATCH('Rekomendasi HAV'!B$1,Data_Assessment[#Headers],0))</f>
        <v>Syahrial</v>
      </c>
      <c r="C766" s="68" t="str">
        <f>INDEX(Data_Assessment[],MATCH('Rekomendasi HAV'!$A766,Data_Assessment[[INDEX]:[INDEX]],0),MATCH('Rekomendasi HAV'!C$1,Data_Assessment[#Headers],0))</f>
        <v>Sumatera Selatan</v>
      </c>
      <c r="D766" s="68" t="str">
        <f>INDEX(Data_Assessment[],MATCH('Rekomendasi HAV'!$A766,Data_Assessment[[INDEX]:[INDEX]],0),MATCH('Rekomendasi HAV'!D$1,Data_Assessment[#Headers],0))</f>
        <v>LSIP - Terawas Indah Palm Oil Mill</v>
      </c>
      <c r="E766" s="68">
        <f>INDEX(Data_Assessment[],MATCH('Rekomendasi HAV'!$B766,Data_Assessment[[NAME]:[NAME]],0),MATCH('Rekomendasi HAV'!E$1,Data_Assessment[#Headers],0))</f>
        <v>0</v>
      </c>
      <c r="F766" s="68"/>
      <c r="G766" s="68">
        <f>IF(ISNUMBER(SEARCH("DEV",Assessment[[#This Row],[JOB TARGET]])),SUBSTITUTE(Assessment[[#This Row],[JOB TARGET]],"DEV","EST"),Assessment[[#This Row],[JOB TARGET]])</f>
        <v>0</v>
      </c>
      <c r="H766" s="146" t="str" cm="1">
        <f t="array" aca="1" ref="H766" ca="1">IF(Assessment[[#This Row],[JOB TARGET]]="","Job Target Kosong",IF(COUNT(IF('Data Assessment'!$N766:$Z766-OFFSET(Standar!$B$2,MATCH(Assessment[[#This Row],[JOB TARGET
(EST)]],Standar[NAMA JABATAN],0)-1,1,1,13)&lt;0,1,""))&lt;=3,'9 Grid'!$B$4,IF(COUNT(IF('Data Assessment'!$N766:$Z766-OFFSET(Standar!$B$2,MATCH(Assessment[[#This Row],[JOB TARGET]],Standar[NAMA JABATAN],0)-1,1,1,13)&lt;0,1,""))&gt;=7,'9 Grid'!$B$6,'9 Grid'!$B$5)))</f>
        <v>Job Target Kosong</v>
      </c>
      <c r="I766" s="146" t="str">
        <f>IFERROR(IF(Data_Assessment[[#This Row],[IPP (3 YEARS AVERAGE)]]="","(IPP Belum Ada)",IF(Data_Assessment[[#This Row],[IPP (3 YEARS AVERAGE)]]&lt;2,'9 Grid'!$F$2,IF(Data_Assessment[[#This Row],[IPP (3 YEARS AVERAGE)]]&gt;=4,'9 Grid'!$D$2,'9 Grid'!$E$2))),"")</f>
        <v>Fully Competence Performance</v>
      </c>
      <c r="J766" s="146" t="str">
        <f ca="1">IFERROR(INDEX('9 Grid'!$D$4:$F$6,MATCH('Rekomendasi HAV'!H766,'9 Grid'!$B$4:$B$6,0),MATCH('Rekomendasi HAV'!I766,'9 Grid'!$D$2:$F$2,0)),"")</f>
        <v/>
      </c>
      <c r="K766" s="146" t="str">
        <f>IFERROR(INDEX('9 Grid'!$D$8:$F$8,1,MATCH('Rekomendasi HAV'!I766,'9 Grid'!$D$2:$F$2,0)),"")</f>
        <v>(ST) Within 12 - 18 month</v>
      </c>
      <c r="L766" s="146">
        <f>IF(ISNUMBER(SEARCH("EST",Assessment[[#This Row],[JOB TARGET]])),SUBSTITUTE(Assessment[[#This Row],[JOB TARGET]],"EST","DEV"),Assessment[[#This Row],[JOB TARGET]])</f>
        <v>0</v>
      </c>
      <c r="M766" s="146" t="str" cm="1">
        <f t="array" aca="1" ref="M766" ca="1">IF(Assessment[[#This Row],[JOB TARGET]]="","Job Target Kosong",IF(COUNT(IF('Data Assessment'!$N766:$Z766-OFFSET(Standar!$B$2,MATCH(Assessment[[#This Row],[JOB TARGET
(DEV)]],Standar[NAMA JABATAN],0)-1,1,1,13)&lt;0,1,""))&lt;=3,'9 Grid'!$B$4,IF(COUNT(IF('Data Assessment'!$N766:$Z766-OFFSET(Standar!$B$2,MATCH(Assessment[[#This Row],[JOB TARGET
(DEV)]],Standar[NAMA JABATAN],0)-1,1,1,13)&lt;0,1,""))&gt;=7,'9 Grid'!$B$6,'9 Grid'!$B$5)))</f>
        <v>Job Target Kosong</v>
      </c>
      <c r="N766" s="146" t="str">
        <f>IFERROR(IF(Data_Assessment[[#This Row],[IPP (3 YEARS AVERAGE)]]="","(IPP Belum Ada)",IF(Data_Assessment[[#This Row],[IPP (3 YEARS AVERAGE)]]&lt;2,'9 Grid'!$F$2,IF(Data_Assessment[[#This Row],[IPP (3 YEARS AVERAGE)]]&gt;=4,'9 Grid'!$D$2,'9 Grid'!$E$2))),"")</f>
        <v>Fully Competence Performance</v>
      </c>
      <c r="O766" s="146" t="str">
        <f ca="1">IFERROR(INDEX('9 Grid'!$D$4:$F$6,MATCH('Rekomendasi HAV'!M766,'9 Grid'!$B$4:$B$6,0),MATCH('Rekomendasi HAV'!N766,'9 Grid'!$D$2:$F$2,0)),"")</f>
        <v/>
      </c>
      <c r="P766" s="147" t="str">
        <f>IFERROR(INDEX('9 Grid'!$D$8:$F$8,1,MATCH('Rekomendasi HAV'!N766,'9 Grid'!$D$2:$F$2,0)),"")</f>
        <v>(ST) Within 12 - 18 month</v>
      </c>
    </row>
    <row r="767" spans="1:16" ht="28.5">
      <c r="A767" s="67">
        <v>766</v>
      </c>
      <c r="B767" s="68" t="str">
        <f>INDEX(Data_Assessment[],MATCH('Rekomendasi HAV'!$A767,Data_Assessment[[INDEX]:[INDEX]],0),MATCH('Rekomendasi HAV'!B$1,Data_Assessment[#Headers],0))</f>
        <v>Syahbirin Koto, Ir.</v>
      </c>
      <c r="C767" s="68" t="str">
        <f>INDEX(Data_Assessment[],MATCH('Rekomendasi HAV'!$A767,Data_Assessment[[INDEX]:[INDEX]],0),MATCH('Rekomendasi HAV'!C$1,Data_Assessment[#Headers],0))</f>
        <v>Sumatera Selatan</v>
      </c>
      <c r="D767" s="68" t="str">
        <f>INDEX(Data_Assessment[],MATCH('Rekomendasi HAV'!$A767,Data_Assessment[[INDEX]:[INDEX]],0),MATCH('Rekomendasi HAV'!D$1,Data_Assessment[#Headers],0))</f>
        <v>LSIP - Terawas Indah Palm Oil Mill</v>
      </c>
      <c r="E767" s="68">
        <f>INDEX(Data_Assessment[],MATCH('Rekomendasi HAV'!$B767,Data_Assessment[[NAME]:[NAME]],0),MATCH('Rekomendasi HAV'!E$1,Data_Assessment[#Headers],0))</f>
        <v>0</v>
      </c>
      <c r="F767" s="68"/>
      <c r="G767" s="68">
        <f>IF(ISNUMBER(SEARCH("DEV",Assessment[[#This Row],[JOB TARGET]])),SUBSTITUTE(Assessment[[#This Row],[JOB TARGET]],"DEV","EST"),Assessment[[#This Row],[JOB TARGET]])</f>
        <v>0</v>
      </c>
      <c r="H767" s="146" t="str" cm="1">
        <f t="array" aca="1" ref="H767" ca="1">IF(Assessment[[#This Row],[JOB TARGET]]="","Job Target Kosong",IF(COUNT(IF('Data Assessment'!$N767:$Z767-OFFSET(Standar!$B$2,MATCH(Assessment[[#This Row],[JOB TARGET
(EST)]],Standar[NAMA JABATAN],0)-1,1,1,13)&lt;0,1,""))&lt;=3,'9 Grid'!$B$4,IF(COUNT(IF('Data Assessment'!$N767:$Z767-OFFSET(Standar!$B$2,MATCH(Assessment[[#This Row],[JOB TARGET]],Standar[NAMA JABATAN],0)-1,1,1,13)&lt;0,1,""))&gt;=7,'9 Grid'!$B$6,'9 Grid'!$B$5)))</f>
        <v>Job Target Kosong</v>
      </c>
      <c r="I767" s="146" t="str">
        <f>IFERROR(IF(Data_Assessment[[#This Row],[IPP (3 YEARS AVERAGE)]]="","(IPP Belum Ada)",IF(Data_Assessment[[#This Row],[IPP (3 YEARS AVERAGE)]]&lt;2,'9 Grid'!$F$2,IF(Data_Assessment[[#This Row],[IPP (3 YEARS AVERAGE)]]&gt;=4,'9 Grid'!$D$2,'9 Grid'!$E$2))),"")</f>
        <v>Fully Competence Performance</v>
      </c>
      <c r="J767" s="146" t="str">
        <f ca="1">IFERROR(INDEX('9 Grid'!$D$4:$F$6,MATCH('Rekomendasi HAV'!H767,'9 Grid'!$B$4:$B$6,0),MATCH('Rekomendasi HAV'!I767,'9 Grid'!$D$2:$F$2,0)),"")</f>
        <v/>
      </c>
      <c r="K767" s="146" t="str">
        <f>IFERROR(INDEX('9 Grid'!$D$8:$F$8,1,MATCH('Rekomendasi HAV'!I767,'9 Grid'!$D$2:$F$2,0)),"")</f>
        <v>(ST) Within 12 - 18 month</v>
      </c>
      <c r="L767" s="146">
        <f>IF(ISNUMBER(SEARCH("EST",Assessment[[#This Row],[JOB TARGET]])),SUBSTITUTE(Assessment[[#This Row],[JOB TARGET]],"EST","DEV"),Assessment[[#This Row],[JOB TARGET]])</f>
        <v>0</v>
      </c>
      <c r="M767" s="146" t="str" cm="1">
        <f t="array" aca="1" ref="M767" ca="1">IF(Assessment[[#This Row],[JOB TARGET]]="","Job Target Kosong",IF(COUNT(IF('Data Assessment'!$N767:$Z767-OFFSET(Standar!$B$2,MATCH(Assessment[[#This Row],[JOB TARGET
(DEV)]],Standar[NAMA JABATAN],0)-1,1,1,13)&lt;0,1,""))&lt;=3,'9 Grid'!$B$4,IF(COUNT(IF('Data Assessment'!$N767:$Z767-OFFSET(Standar!$B$2,MATCH(Assessment[[#This Row],[JOB TARGET
(DEV)]],Standar[NAMA JABATAN],0)-1,1,1,13)&lt;0,1,""))&gt;=7,'9 Grid'!$B$6,'9 Grid'!$B$5)))</f>
        <v>Job Target Kosong</v>
      </c>
      <c r="N767" s="146" t="str">
        <f>IFERROR(IF(Data_Assessment[[#This Row],[IPP (3 YEARS AVERAGE)]]="","(IPP Belum Ada)",IF(Data_Assessment[[#This Row],[IPP (3 YEARS AVERAGE)]]&lt;2,'9 Grid'!$F$2,IF(Data_Assessment[[#This Row],[IPP (3 YEARS AVERAGE)]]&gt;=4,'9 Grid'!$D$2,'9 Grid'!$E$2))),"")</f>
        <v>Fully Competence Performance</v>
      </c>
      <c r="O767" s="146" t="str">
        <f ca="1">IFERROR(INDEX('9 Grid'!$D$4:$F$6,MATCH('Rekomendasi HAV'!M767,'9 Grid'!$B$4:$B$6,0),MATCH('Rekomendasi HAV'!N767,'9 Grid'!$D$2:$F$2,0)),"")</f>
        <v/>
      </c>
      <c r="P767" s="147" t="str">
        <f>IFERROR(INDEX('9 Grid'!$D$8:$F$8,1,MATCH('Rekomendasi HAV'!N767,'9 Grid'!$D$2:$F$2,0)),"")</f>
        <v>(ST) Within 12 - 18 month</v>
      </c>
    </row>
    <row r="768" spans="1:16" ht="28.5">
      <c r="A768" s="67">
        <v>767</v>
      </c>
      <c r="B768" s="68" t="str">
        <f>INDEX(Data_Assessment[],MATCH('Rekomendasi HAV'!$A768,Data_Assessment[[INDEX]:[INDEX]],0),MATCH('Rekomendasi HAV'!B$1,Data_Assessment[#Headers],0))</f>
        <v>Erwin R.W. Hasibuan</v>
      </c>
      <c r="C768" s="68" t="str">
        <f>INDEX(Data_Assessment[],MATCH('Rekomendasi HAV'!$A768,Data_Assessment[[INDEX]:[INDEX]],0),MATCH('Rekomendasi HAV'!C$1,Data_Assessment[#Headers],0))</f>
        <v>Sumatera Selatan</v>
      </c>
      <c r="D768" s="68" t="str">
        <f>INDEX(Data_Assessment[],MATCH('Rekomendasi HAV'!$A768,Data_Assessment[[INDEX]:[INDEX]],0),MATCH('Rekomendasi HAV'!D$1,Data_Assessment[#Headers],0))</f>
        <v>LSIP - Terawas Indah Palm Oil Mill</v>
      </c>
      <c r="E768" s="68">
        <f>INDEX(Data_Assessment[],MATCH('Rekomendasi HAV'!$B768,Data_Assessment[[NAME]:[NAME]],0),MATCH('Rekomendasi HAV'!E$1,Data_Assessment[#Headers],0))</f>
        <v>0</v>
      </c>
      <c r="F768" s="68"/>
      <c r="G768" s="68">
        <f>IF(ISNUMBER(SEARCH("DEV",Assessment[[#This Row],[JOB TARGET]])),SUBSTITUTE(Assessment[[#This Row],[JOB TARGET]],"DEV","EST"),Assessment[[#This Row],[JOB TARGET]])</f>
        <v>0</v>
      </c>
      <c r="H768" s="146" t="str" cm="1">
        <f t="array" aca="1" ref="H768" ca="1">IF(Assessment[[#This Row],[JOB TARGET]]="","Job Target Kosong",IF(COUNT(IF('Data Assessment'!$N768:$Z768-OFFSET(Standar!$B$2,MATCH(Assessment[[#This Row],[JOB TARGET
(EST)]],Standar[NAMA JABATAN],0)-1,1,1,13)&lt;0,1,""))&lt;=3,'9 Grid'!$B$4,IF(COUNT(IF('Data Assessment'!$N768:$Z768-OFFSET(Standar!$B$2,MATCH(Assessment[[#This Row],[JOB TARGET]],Standar[NAMA JABATAN],0)-1,1,1,13)&lt;0,1,""))&gt;=7,'9 Grid'!$B$6,'9 Grid'!$B$5)))</f>
        <v>Job Target Kosong</v>
      </c>
      <c r="I768" s="146" t="str">
        <f>IFERROR(IF(Data_Assessment[[#This Row],[IPP (3 YEARS AVERAGE)]]="","(IPP Belum Ada)",IF(Data_Assessment[[#This Row],[IPP (3 YEARS AVERAGE)]]&lt;2,'9 Grid'!$F$2,IF(Data_Assessment[[#This Row],[IPP (3 YEARS AVERAGE)]]&gt;=4,'9 Grid'!$D$2,'9 Grid'!$E$2))),"")</f>
        <v>Fully Competence Performance</v>
      </c>
      <c r="J768" s="146" t="str">
        <f ca="1">IFERROR(INDEX('9 Grid'!$D$4:$F$6,MATCH('Rekomendasi HAV'!H768,'9 Grid'!$B$4:$B$6,0),MATCH('Rekomendasi HAV'!I768,'9 Grid'!$D$2:$F$2,0)),"")</f>
        <v/>
      </c>
      <c r="K768" s="146" t="str">
        <f>IFERROR(INDEX('9 Grid'!$D$8:$F$8,1,MATCH('Rekomendasi HAV'!I768,'9 Grid'!$D$2:$F$2,0)),"")</f>
        <v>(ST) Within 12 - 18 month</v>
      </c>
      <c r="L768" s="146">
        <f>IF(ISNUMBER(SEARCH("EST",Assessment[[#This Row],[JOB TARGET]])),SUBSTITUTE(Assessment[[#This Row],[JOB TARGET]],"EST","DEV"),Assessment[[#This Row],[JOB TARGET]])</f>
        <v>0</v>
      </c>
      <c r="M768" s="146" t="str" cm="1">
        <f t="array" aca="1" ref="M768" ca="1">IF(Assessment[[#This Row],[JOB TARGET]]="","Job Target Kosong",IF(COUNT(IF('Data Assessment'!$N768:$Z768-OFFSET(Standar!$B$2,MATCH(Assessment[[#This Row],[JOB TARGET
(DEV)]],Standar[NAMA JABATAN],0)-1,1,1,13)&lt;0,1,""))&lt;=3,'9 Grid'!$B$4,IF(COUNT(IF('Data Assessment'!$N768:$Z768-OFFSET(Standar!$B$2,MATCH(Assessment[[#This Row],[JOB TARGET
(DEV)]],Standar[NAMA JABATAN],0)-1,1,1,13)&lt;0,1,""))&gt;=7,'9 Grid'!$B$6,'9 Grid'!$B$5)))</f>
        <v>Job Target Kosong</v>
      </c>
      <c r="N768" s="146" t="str">
        <f>IFERROR(IF(Data_Assessment[[#This Row],[IPP (3 YEARS AVERAGE)]]="","(IPP Belum Ada)",IF(Data_Assessment[[#This Row],[IPP (3 YEARS AVERAGE)]]&lt;2,'9 Grid'!$F$2,IF(Data_Assessment[[#This Row],[IPP (3 YEARS AVERAGE)]]&gt;=4,'9 Grid'!$D$2,'9 Grid'!$E$2))),"")</f>
        <v>Fully Competence Performance</v>
      </c>
      <c r="O768" s="146" t="str">
        <f ca="1">IFERROR(INDEX('9 Grid'!$D$4:$F$6,MATCH('Rekomendasi HAV'!M768,'9 Grid'!$B$4:$B$6,0),MATCH('Rekomendasi HAV'!N768,'9 Grid'!$D$2:$F$2,0)),"")</f>
        <v/>
      </c>
      <c r="P768" s="147" t="str">
        <f>IFERROR(INDEX('9 Grid'!$D$8:$F$8,1,MATCH('Rekomendasi HAV'!N768,'9 Grid'!$D$2:$F$2,0)),"")</f>
        <v>(ST) Within 12 - 18 month</v>
      </c>
    </row>
    <row r="769" spans="1:16" ht="28.5">
      <c r="A769" s="67">
        <v>768</v>
      </c>
      <c r="B769" s="68" t="str">
        <f>INDEX(Data_Assessment[],MATCH('Rekomendasi HAV'!$A769,Data_Assessment[[INDEX]:[INDEX]],0),MATCH('Rekomendasi HAV'!B$1,Data_Assessment[#Headers],0))</f>
        <v>Diana Ovianti</v>
      </c>
      <c r="C769" s="68" t="str">
        <f>INDEX(Data_Assessment[],MATCH('Rekomendasi HAV'!$A769,Data_Assessment[[INDEX]:[INDEX]],0),MATCH('Rekomendasi HAV'!C$1,Data_Assessment[#Headers],0))</f>
        <v>Sumatera Selatan</v>
      </c>
      <c r="D769" s="68" t="str">
        <f>INDEX(Data_Assessment[],MATCH('Rekomendasi HAV'!$A769,Data_Assessment[[INDEX]:[INDEX]],0),MATCH('Rekomendasi HAV'!D$1,Data_Assessment[#Headers],0))</f>
        <v>LSIP - Terawas Indah Palm Oil Mill</v>
      </c>
      <c r="E769" s="68">
        <f>INDEX(Data_Assessment[],MATCH('Rekomendasi HAV'!$B769,Data_Assessment[[NAME]:[NAME]],0),MATCH('Rekomendasi HAV'!E$1,Data_Assessment[#Headers],0))</f>
        <v>0</v>
      </c>
      <c r="F769" s="68"/>
      <c r="G769" s="68">
        <f>IF(ISNUMBER(SEARCH("DEV",Assessment[[#This Row],[JOB TARGET]])),SUBSTITUTE(Assessment[[#This Row],[JOB TARGET]],"DEV","EST"),Assessment[[#This Row],[JOB TARGET]])</f>
        <v>0</v>
      </c>
      <c r="H769" s="146" t="str" cm="1">
        <f t="array" aca="1" ref="H769" ca="1">IF(Assessment[[#This Row],[JOB TARGET]]="","Job Target Kosong",IF(COUNT(IF('Data Assessment'!$N769:$Z769-OFFSET(Standar!$B$2,MATCH(Assessment[[#This Row],[JOB TARGET
(EST)]],Standar[NAMA JABATAN],0)-1,1,1,13)&lt;0,1,""))&lt;=3,'9 Grid'!$B$4,IF(COUNT(IF('Data Assessment'!$N769:$Z769-OFFSET(Standar!$B$2,MATCH(Assessment[[#This Row],[JOB TARGET]],Standar[NAMA JABATAN],0)-1,1,1,13)&lt;0,1,""))&gt;=7,'9 Grid'!$B$6,'9 Grid'!$B$5)))</f>
        <v>Job Target Kosong</v>
      </c>
      <c r="I769" s="146" t="str">
        <f>IFERROR(IF(Data_Assessment[[#This Row],[IPP (3 YEARS AVERAGE)]]="","(IPP Belum Ada)",IF(Data_Assessment[[#This Row],[IPP (3 YEARS AVERAGE)]]&lt;2,'9 Grid'!$F$2,IF(Data_Assessment[[#This Row],[IPP (3 YEARS AVERAGE)]]&gt;=4,'9 Grid'!$D$2,'9 Grid'!$E$2))),"")</f>
        <v>Fully Competence Performance</v>
      </c>
      <c r="J769" s="146" t="str">
        <f ca="1">IFERROR(INDEX('9 Grid'!$D$4:$F$6,MATCH('Rekomendasi HAV'!H769,'9 Grid'!$B$4:$B$6,0),MATCH('Rekomendasi HAV'!I769,'9 Grid'!$D$2:$F$2,0)),"")</f>
        <v/>
      </c>
      <c r="K769" s="146" t="str">
        <f>IFERROR(INDEX('9 Grid'!$D$8:$F$8,1,MATCH('Rekomendasi HAV'!I769,'9 Grid'!$D$2:$F$2,0)),"")</f>
        <v>(ST) Within 12 - 18 month</v>
      </c>
      <c r="L769" s="146">
        <f>IF(ISNUMBER(SEARCH("EST",Assessment[[#This Row],[JOB TARGET]])),SUBSTITUTE(Assessment[[#This Row],[JOB TARGET]],"EST","DEV"),Assessment[[#This Row],[JOB TARGET]])</f>
        <v>0</v>
      </c>
      <c r="M769" s="146" t="str" cm="1">
        <f t="array" aca="1" ref="M769" ca="1">IF(Assessment[[#This Row],[JOB TARGET]]="","Job Target Kosong",IF(COUNT(IF('Data Assessment'!$N769:$Z769-OFFSET(Standar!$B$2,MATCH(Assessment[[#This Row],[JOB TARGET
(DEV)]],Standar[NAMA JABATAN],0)-1,1,1,13)&lt;0,1,""))&lt;=3,'9 Grid'!$B$4,IF(COUNT(IF('Data Assessment'!$N769:$Z769-OFFSET(Standar!$B$2,MATCH(Assessment[[#This Row],[JOB TARGET
(DEV)]],Standar[NAMA JABATAN],0)-1,1,1,13)&lt;0,1,""))&gt;=7,'9 Grid'!$B$6,'9 Grid'!$B$5)))</f>
        <v>Job Target Kosong</v>
      </c>
      <c r="N769" s="146" t="str">
        <f>IFERROR(IF(Data_Assessment[[#This Row],[IPP (3 YEARS AVERAGE)]]="","(IPP Belum Ada)",IF(Data_Assessment[[#This Row],[IPP (3 YEARS AVERAGE)]]&lt;2,'9 Grid'!$F$2,IF(Data_Assessment[[#This Row],[IPP (3 YEARS AVERAGE)]]&gt;=4,'9 Grid'!$D$2,'9 Grid'!$E$2))),"")</f>
        <v>Fully Competence Performance</v>
      </c>
      <c r="O769" s="146" t="str">
        <f ca="1">IFERROR(INDEX('9 Grid'!$D$4:$F$6,MATCH('Rekomendasi HAV'!M769,'9 Grid'!$B$4:$B$6,0),MATCH('Rekomendasi HAV'!N769,'9 Grid'!$D$2:$F$2,0)),"")</f>
        <v/>
      </c>
      <c r="P769" s="147" t="str">
        <f>IFERROR(INDEX('9 Grid'!$D$8:$F$8,1,MATCH('Rekomendasi HAV'!N769,'9 Grid'!$D$2:$F$2,0)),"")</f>
        <v>(ST) Within 12 - 18 month</v>
      </c>
    </row>
    <row r="770" spans="1:16" ht="28.5">
      <c r="A770" s="67">
        <v>769</v>
      </c>
      <c r="B770" s="68" t="str">
        <f>INDEX(Data_Assessment[],MATCH('Rekomendasi HAV'!$A770,Data_Assessment[[INDEX]:[INDEX]],0),MATCH('Rekomendasi HAV'!B$1,Data_Assessment[#Headers],0))</f>
        <v>Edi Alamsyah</v>
      </c>
      <c r="C770" s="68" t="str">
        <f>INDEX(Data_Assessment[],MATCH('Rekomendasi HAV'!$A770,Data_Assessment[[INDEX]:[INDEX]],0),MATCH('Rekomendasi HAV'!C$1,Data_Assessment[#Headers],0))</f>
        <v>Sumatera Selatan</v>
      </c>
      <c r="D770" s="68" t="str">
        <f>INDEX(Data_Assessment[],MATCH('Rekomendasi HAV'!$A770,Data_Assessment[[INDEX]:[INDEX]],0),MATCH('Rekomendasi HAV'!D$1,Data_Assessment[#Headers],0))</f>
        <v>LSIP - RO Palembang</v>
      </c>
      <c r="E770" s="68">
        <f>INDEX(Data_Assessment[],MATCH('Rekomendasi HAV'!$B770,Data_Assessment[[NAME]:[NAME]],0),MATCH('Rekomendasi HAV'!E$1,Data_Assessment[#Headers],0))</f>
        <v>0</v>
      </c>
      <c r="F770" s="68"/>
      <c r="G770" s="68">
        <f>IF(ISNUMBER(SEARCH("DEV",Assessment[[#This Row],[JOB TARGET]])),SUBSTITUTE(Assessment[[#This Row],[JOB TARGET]],"DEV","EST"),Assessment[[#This Row],[JOB TARGET]])</f>
        <v>0</v>
      </c>
      <c r="H770" s="146" t="str" cm="1">
        <f t="array" aca="1" ref="H770" ca="1">IF(Assessment[[#This Row],[JOB TARGET]]="","Job Target Kosong",IF(COUNT(IF('Data Assessment'!$N770:$Z770-OFFSET(Standar!$B$2,MATCH(Assessment[[#This Row],[JOB TARGET
(EST)]],Standar[NAMA JABATAN],0)-1,1,1,13)&lt;0,1,""))&lt;=3,'9 Grid'!$B$4,IF(COUNT(IF('Data Assessment'!$N770:$Z770-OFFSET(Standar!$B$2,MATCH(Assessment[[#This Row],[JOB TARGET]],Standar[NAMA JABATAN],0)-1,1,1,13)&lt;0,1,""))&gt;=7,'9 Grid'!$B$6,'9 Grid'!$B$5)))</f>
        <v>Job Target Kosong</v>
      </c>
      <c r="I770" s="146" t="str">
        <f>IFERROR(IF(Data_Assessment[[#This Row],[IPP (3 YEARS AVERAGE)]]="","(IPP Belum Ada)",IF(Data_Assessment[[#This Row],[IPP (3 YEARS AVERAGE)]]&lt;2,'9 Grid'!$F$2,IF(Data_Assessment[[#This Row],[IPP (3 YEARS AVERAGE)]]&gt;=4,'9 Grid'!$D$2,'9 Grid'!$E$2))),"")</f>
        <v>Fully Competence Performance</v>
      </c>
      <c r="J770" s="146" t="str">
        <f ca="1">IFERROR(INDEX('9 Grid'!$D$4:$F$6,MATCH('Rekomendasi HAV'!H770,'9 Grid'!$B$4:$B$6,0),MATCH('Rekomendasi HAV'!I770,'9 Grid'!$D$2:$F$2,0)),"")</f>
        <v/>
      </c>
      <c r="K770" s="146" t="str">
        <f>IFERROR(INDEX('9 Grid'!$D$8:$F$8,1,MATCH('Rekomendasi HAV'!I770,'9 Grid'!$D$2:$F$2,0)),"")</f>
        <v>(ST) Within 12 - 18 month</v>
      </c>
      <c r="L770" s="146">
        <f>IF(ISNUMBER(SEARCH("EST",Assessment[[#This Row],[JOB TARGET]])),SUBSTITUTE(Assessment[[#This Row],[JOB TARGET]],"EST","DEV"),Assessment[[#This Row],[JOB TARGET]])</f>
        <v>0</v>
      </c>
      <c r="M770" s="146" t="str" cm="1">
        <f t="array" aca="1" ref="M770" ca="1">IF(Assessment[[#This Row],[JOB TARGET]]="","Job Target Kosong",IF(COUNT(IF('Data Assessment'!$N770:$Z770-OFFSET(Standar!$B$2,MATCH(Assessment[[#This Row],[JOB TARGET
(DEV)]],Standar[NAMA JABATAN],0)-1,1,1,13)&lt;0,1,""))&lt;=3,'9 Grid'!$B$4,IF(COUNT(IF('Data Assessment'!$N770:$Z770-OFFSET(Standar!$B$2,MATCH(Assessment[[#This Row],[JOB TARGET
(DEV)]],Standar[NAMA JABATAN],0)-1,1,1,13)&lt;0,1,""))&gt;=7,'9 Grid'!$B$6,'9 Grid'!$B$5)))</f>
        <v>Job Target Kosong</v>
      </c>
      <c r="N770" s="146" t="str">
        <f>IFERROR(IF(Data_Assessment[[#This Row],[IPP (3 YEARS AVERAGE)]]="","(IPP Belum Ada)",IF(Data_Assessment[[#This Row],[IPP (3 YEARS AVERAGE)]]&lt;2,'9 Grid'!$F$2,IF(Data_Assessment[[#This Row],[IPP (3 YEARS AVERAGE)]]&gt;=4,'9 Grid'!$D$2,'9 Grid'!$E$2))),"")</f>
        <v>Fully Competence Performance</v>
      </c>
      <c r="O770" s="146" t="str">
        <f ca="1">IFERROR(INDEX('9 Grid'!$D$4:$F$6,MATCH('Rekomendasi HAV'!M770,'9 Grid'!$B$4:$B$6,0),MATCH('Rekomendasi HAV'!N770,'9 Grid'!$D$2:$F$2,0)),"")</f>
        <v/>
      </c>
      <c r="P770" s="147" t="str">
        <f>IFERROR(INDEX('9 Grid'!$D$8:$F$8,1,MATCH('Rekomendasi HAV'!N770,'9 Grid'!$D$2:$F$2,0)),"")</f>
        <v>(ST) Within 12 - 18 month</v>
      </c>
    </row>
    <row r="771" spans="1:16" ht="28.5">
      <c r="A771" s="67">
        <v>770</v>
      </c>
      <c r="B771" s="68" t="str">
        <f>INDEX(Data_Assessment[],MATCH('Rekomendasi HAV'!$A771,Data_Assessment[[INDEX]:[INDEX]],0),MATCH('Rekomendasi HAV'!B$1,Data_Assessment[#Headers],0))</f>
        <v>Sahat Tunggul Sihotang</v>
      </c>
      <c r="C771" s="68" t="str">
        <f>INDEX(Data_Assessment[],MATCH('Rekomendasi HAV'!$A771,Data_Assessment[[INDEX]:[INDEX]],0),MATCH('Rekomendasi HAV'!C$1,Data_Assessment[#Headers],0))</f>
        <v>Sumatera Selatan</v>
      </c>
      <c r="D771" s="68" t="str">
        <f>INDEX(Data_Assessment[],MATCH('Rekomendasi HAV'!$A771,Data_Assessment[[INDEX]:[INDEX]],0),MATCH('Rekomendasi HAV'!D$1,Data_Assessment[#Headers],0))</f>
        <v>LSIP - Gunung Bais Palm Oil Mill</v>
      </c>
      <c r="E771" s="68">
        <f>INDEX(Data_Assessment[],MATCH('Rekomendasi HAV'!$B771,Data_Assessment[[NAME]:[NAME]],0),MATCH('Rekomendasi HAV'!E$1,Data_Assessment[#Headers],0))</f>
        <v>0</v>
      </c>
      <c r="F771" s="68"/>
      <c r="G771" s="68">
        <f>IF(ISNUMBER(SEARCH("DEV",Assessment[[#This Row],[JOB TARGET]])),SUBSTITUTE(Assessment[[#This Row],[JOB TARGET]],"DEV","EST"),Assessment[[#This Row],[JOB TARGET]])</f>
        <v>0</v>
      </c>
      <c r="H771" s="146" t="str" cm="1">
        <f t="array" aca="1" ref="H771" ca="1">IF(Assessment[[#This Row],[JOB TARGET]]="","Job Target Kosong",IF(COUNT(IF('Data Assessment'!$N771:$Z771-OFFSET(Standar!$B$2,MATCH(Assessment[[#This Row],[JOB TARGET
(EST)]],Standar[NAMA JABATAN],0)-1,1,1,13)&lt;0,1,""))&lt;=3,'9 Grid'!$B$4,IF(COUNT(IF('Data Assessment'!$N771:$Z771-OFFSET(Standar!$B$2,MATCH(Assessment[[#This Row],[JOB TARGET]],Standar[NAMA JABATAN],0)-1,1,1,13)&lt;0,1,""))&gt;=7,'9 Grid'!$B$6,'9 Grid'!$B$5)))</f>
        <v>Job Target Kosong</v>
      </c>
      <c r="I771" s="146" t="str">
        <f>IFERROR(IF(Data_Assessment[[#This Row],[IPP (3 YEARS AVERAGE)]]="","(IPP Belum Ada)",IF(Data_Assessment[[#This Row],[IPP (3 YEARS AVERAGE)]]&lt;2,'9 Grid'!$F$2,IF(Data_Assessment[[#This Row],[IPP (3 YEARS AVERAGE)]]&gt;=4,'9 Grid'!$D$2,'9 Grid'!$E$2))),"")</f>
        <v>Fully Competence Performance</v>
      </c>
      <c r="J771" s="146" t="str">
        <f ca="1">IFERROR(INDEX('9 Grid'!$D$4:$F$6,MATCH('Rekomendasi HAV'!H771,'9 Grid'!$B$4:$B$6,0),MATCH('Rekomendasi HAV'!I771,'9 Grid'!$D$2:$F$2,0)),"")</f>
        <v/>
      </c>
      <c r="K771" s="146" t="str">
        <f>IFERROR(INDEX('9 Grid'!$D$8:$F$8,1,MATCH('Rekomendasi HAV'!I771,'9 Grid'!$D$2:$F$2,0)),"")</f>
        <v>(ST) Within 12 - 18 month</v>
      </c>
      <c r="L771" s="146">
        <f>IF(ISNUMBER(SEARCH("EST",Assessment[[#This Row],[JOB TARGET]])),SUBSTITUTE(Assessment[[#This Row],[JOB TARGET]],"EST","DEV"),Assessment[[#This Row],[JOB TARGET]])</f>
        <v>0</v>
      </c>
      <c r="M771" s="146" t="str" cm="1">
        <f t="array" aca="1" ref="M771" ca="1">IF(Assessment[[#This Row],[JOB TARGET]]="","Job Target Kosong",IF(COUNT(IF('Data Assessment'!$N771:$Z771-OFFSET(Standar!$B$2,MATCH(Assessment[[#This Row],[JOB TARGET
(DEV)]],Standar[NAMA JABATAN],0)-1,1,1,13)&lt;0,1,""))&lt;=3,'9 Grid'!$B$4,IF(COUNT(IF('Data Assessment'!$N771:$Z771-OFFSET(Standar!$B$2,MATCH(Assessment[[#This Row],[JOB TARGET
(DEV)]],Standar[NAMA JABATAN],0)-1,1,1,13)&lt;0,1,""))&gt;=7,'9 Grid'!$B$6,'9 Grid'!$B$5)))</f>
        <v>Job Target Kosong</v>
      </c>
      <c r="N771" s="146" t="str">
        <f>IFERROR(IF(Data_Assessment[[#This Row],[IPP (3 YEARS AVERAGE)]]="","(IPP Belum Ada)",IF(Data_Assessment[[#This Row],[IPP (3 YEARS AVERAGE)]]&lt;2,'9 Grid'!$F$2,IF(Data_Assessment[[#This Row],[IPP (3 YEARS AVERAGE)]]&gt;=4,'9 Grid'!$D$2,'9 Grid'!$E$2))),"")</f>
        <v>Fully Competence Performance</v>
      </c>
      <c r="O771" s="146" t="str">
        <f ca="1">IFERROR(INDEX('9 Grid'!$D$4:$F$6,MATCH('Rekomendasi HAV'!M771,'9 Grid'!$B$4:$B$6,0),MATCH('Rekomendasi HAV'!N771,'9 Grid'!$D$2:$F$2,0)),"")</f>
        <v/>
      </c>
      <c r="P771" s="147" t="str">
        <f>IFERROR(INDEX('9 Grid'!$D$8:$F$8,1,MATCH('Rekomendasi HAV'!N771,'9 Grid'!$D$2:$F$2,0)),"")</f>
        <v>(ST) Within 12 - 18 month</v>
      </c>
    </row>
    <row r="772" spans="1:16" ht="28.5">
      <c r="A772" s="67">
        <v>771</v>
      </c>
      <c r="B772" s="68" t="str">
        <f>INDEX(Data_Assessment[],MATCH('Rekomendasi HAV'!$A772,Data_Assessment[[INDEX]:[INDEX]],0),MATCH('Rekomendasi HAV'!B$1,Data_Assessment[#Headers],0))</f>
        <v>Misdianto</v>
      </c>
      <c r="C772" s="68" t="str">
        <f>INDEX(Data_Assessment[],MATCH('Rekomendasi HAV'!$A772,Data_Assessment[[INDEX]:[INDEX]],0),MATCH('Rekomendasi HAV'!C$1,Data_Assessment[#Headers],0))</f>
        <v>Sumatera Selatan</v>
      </c>
      <c r="D772" s="68" t="str">
        <f>INDEX(Data_Assessment[],MATCH('Rekomendasi HAV'!$A772,Data_Assessment[[INDEX]:[INDEX]],0),MATCH('Rekomendasi HAV'!D$1,Data_Assessment[#Headers],0))</f>
        <v>LSIP - Gunung Bais Palm Oil Mill</v>
      </c>
      <c r="E772" s="68">
        <f>INDEX(Data_Assessment[],MATCH('Rekomendasi HAV'!$B772,Data_Assessment[[NAME]:[NAME]],0),MATCH('Rekomendasi HAV'!E$1,Data_Assessment[#Headers],0))</f>
        <v>0</v>
      </c>
      <c r="F772" s="68"/>
      <c r="G772" s="68">
        <f>IF(ISNUMBER(SEARCH("DEV",Assessment[[#This Row],[JOB TARGET]])),SUBSTITUTE(Assessment[[#This Row],[JOB TARGET]],"DEV","EST"),Assessment[[#This Row],[JOB TARGET]])</f>
        <v>0</v>
      </c>
      <c r="H772" s="146" t="str" cm="1">
        <f t="array" aca="1" ref="H772" ca="1">IF(Assessment[[#This Row],[JOB TARGET]]="","Job Target Kosong",IF(COUNT(IF('Data Assessment'!$N772:$Z772-OFFSET(Standar!$B$2,MATCH(Assessment[[#This Row],[JOB TARGET
(EST)]],Standar[NAMA JABATAN],0)-1,1,1,13)&lt;0,1,""))&lt;=3,'9 Grid'!$B$4,IF(COUNT(IF('Data Assessment'!$N772:$Z772-OFFSET(Standar!$B$2,MATCH(Assessment[[#This Row],[JOB TARGET]],Standar[NAMA JABATAN],0)-1,1,1,13)&lt;0,1,""))&gt;=7,'9 Grid'!$B$6,'9 Grid'!$B$5)))</f>
        <v>Job Target Kosong</v>
      </c>
      <c r="I772" s="146" t="str">
        <f>IFERROR(IF(Data_Assessment[[#This Row],[IPP (3 YEARS AVERAGE)]]="","(IPP Belum Ada)",IF(Data_Assessment[[#This Row],[IPP (3 YEARS AVERAGE)]]&lt;2,'9 Grid'!$F$2,IF(Data_Assessment[[#This Row],[IPP (3 YEARS AVERAGE)]]&gt;=4,'9 Grid'!$D$2,'9 Grid'!$E$2))),"")</f>
        <v>Fully Competence Performance</v>
      </c>
      <c r="J772" s="146" t="str">
        <f ca="1">IFERROR(INDEX('9 Grid'!$D$4:$F$6,MATCH('Rekomendasi HAV'!H772,'9 Grid'!$B$4:$B$6,0),MATCH('Rekomendasi HAV'!I772,'9 Grid'!$D$2:$F$2,0)),"")</f>
        <v/>
      </c>
      <c r="K772" s="146" t="str">
        <f>IFERROR(INDEX('9 Grid'!$D$8:$F$8,1,MATCH('Rekomendasi HAV'!I772,'9 Grid'!$D$2:$F$2,0)),"")</f>
        <v>(ST) Within 12 - 18 month</v>
      </c>
      <c r="L772" s="146">
        <f>IF(ISNUMBER(SEARCH("EST",Assessment[[#This Row],[JOB TARGET]])),SUBSTITUTE(Assessment[[#This Row],[JOB TARGET]],"EST","DEV"),Assessment[[#This Row],[JOB TARGET]])</f>
        <v>0</v>
      </c>
      <c r="M772" s="146" t="str" cm="1">
        <f t="array" aca="1" ref="M772" ca="1">IF(Assessment[[#This Row],[JOB TARGET]]="","Job Target Kosong",IF(COUNT(IF('Data Assessment'!$N772:$Z772-OFFSET(Standar!$B$2,MATCH(Assessment[[#This Row],[JOB TARGET
(DEV)]],Standar[NAMA JABATAN],0)-1,1,1,13)&lt;0,1,""))&lt;=3,'9 Grid'!$B$4,IF(COUNT(IF('Data Assessment'!$N772:$Z772-OFFSET(Standar!$B$2,MATCH(Assessment[[#This Row],[JOB TARGET
(DEV)]],Standar[NAMA JABATAN],0)-1,1,1,13)&lt;0,1,""))&gt;=7,'9 Grid'!$B$6,'9 Grid'!$B$5)))</f>
        <v>Job Target Kosong</v>
      </c>
      <c r="N772" s="146" t="str">
        <f>IFERROR(IF(Data_Assessment[[#This Row],[IPP (3 YEARS AVERAGE)]]="","(IPP Belum Ada)",IF(Data_Assessment[[#This Row],[IPP (3 YEARS AVERAGE)]]&lt;2,'9 Grid'!$F$2,IF(Data_Assessment[[#This Row],[IPP (3 YEARS AVERAGE)]]&gt;=4,'9 Grid'!$D$2,'9 Grid'!$E$2))),"")</f>
        <v>Fully Competence Performance</v>
      </c>
      <c r="O772" s="146" t="str">
        <f ca="1">IFERROR(INDEX('9 Grid'!$D$4:$F$6,MATCH('Rekomendasi HAV'!M772,'9 Grid'!$B$4:$B$6,0),MATCH('Rekomendasi HAV'!N772,'9 Grid'!$D$2:$F$2,0)),"")</f>
        <v/>
      </c>
      <c r="P772" s="147" t="str">
        <f>IFERROR(INDEX('9 Grid'!$D$8:$F$8,1,MATCH('Rekomendasi HAV'!N772,'9 Grid'!$D$2:$F$2,0)),"")</f>
        <v>(ST) Within 12 - 18 month</v>
      </c>
    </row>
    <row r="773" spans="1:16" ht="28.5">
      <c r="A773" s="67">
        <v>772</v>
      </c>
      <c r="B773" s="68" t="str">
        <f>INDEX(Data_Assessment[],MATCH('Rekomendasi HAV'!$A773,Data_Assessment[[INDEX]:[INDEX]],0),MATCH('Rekomendasi HAV'!B$1,Data_Assessment[#Headers],0))</f>
        <v>Khoirumansyah</v>
      </c>
      <c r="C773" s="68" t="str">
        <f>INDEX(Data_Assessment[],MATCH('Rekomendasi HAV'!$A773,Data_Assessment[[INDEX]:[INDEX]],0),MATCH('Rekomendasi HAV'!C$1,Data_Assessment[#Headers],0))</f>
        <v>Sumatera Selatan</v>
      </c>
      <c r="D773" s="68" t="str">
        <f>INDEX(Data_Assessment[],MATCH('Rekomendasi HAV'!$A773,Data_Assessment[[INDEX]:[INDEX]],0),MATCH('Rekomendasi HAV'!D$1,Data_Assessment[#Headers],0))</f>
        <v>LSIP - Tirta Agung Palm Oil Mill</v>
      </c>
      <c r="E773" s="68">
        <f>INDEX(Data_Assessment[],MATCH('Rekomendasi HAV'!$B773,Data_Assessment[[NAME]:[NAME]],0),MATCH('Rekomendasi HAV'!E$1,Data_Assessment[#Headers],0))</f>
        <v>0</v>
      </c>
      <c r="F773" s="68"/>
      <c r="G773" s="68">
        <f>IF(ISNUMBER(SEARCH("DEV",Assessment[[#This Row],[JOB TARGET]])),SUBSTITUTE(Assessment[[#This Row],[JOB TARGET]],"DEV","EST"),Assessment[[#This Row],[JOB TARGET]])</f>
        <v>0</v>
      </c>
      <c r="H773" s="146" t="str" cm="1">
        <f t="array" aca="1" ref="H773" ca="1">IF(Assessment[[#This Row],[JOB TARGET]]="","Job Target Kosong",IF(COUNT(IF('Data Assessment'!$N773:$Z773-OFFSET(Standar!$B$2,MATCH(Assessment[[#This Row],[JOB TARGET
(EST)]],Standar[NAMA JABATAN],0)-1,1,1,13)&lt;0,1,""))&lt;=3,'9 Grid'!$B$4,IF(COUNT(IF('Data Assessment'!$N773:$Z773-OFFSET(Standar!$B$2,MATCH(Assessment[[#This Row],[JOB TARGET]],Standar[NAMA JABATAN],0)-1,1,1,13)&lt;0,1,""))&gt;=7,'9 Grid'!$B$6,'9 Grid'!$B$5)))</f>
        <v>Job Target Kosong</v>
      </c>
      <c r="I773" s="146" t="str">
        <f>IFERROR(IF(Data_Assessment[[#This Row],[IPP (3 YEARS AVERAGE)]]="","(IPP Belum Ada)",IF(Data_Assessment[[#This Row],[IPP (3 YEARS AVERAGE)]]&lt;2,'9 Grid'!$F$2,IF(Data_Assessment[[#This Row],[IPP (3 YEARS AVERAGE)]]&gt;=4,'9 Grid'!$D$2,'9 Grid'!$E$2))),"")</f>
        <v>Fully Competence Performance</v>
      </c>
      <c r="J773" s="146" t="str">
        <f ca="1">IFERROR(INDEX('9 Grid'!$D$4:$F$6,MATCH('Rekomendasi HAV'!H773,'9 Grid'!$B$4:$B$6,0),MATCH('Rekomendasi HAV'!I773,'9 Grid'!$D$2:$F$2,0)),"")</f>
        <v/>
      </c>
      <c r="K773" s="146" t="str">
        <f>IFERROR(INDEX('9 Grid'!$D$8:$F$8,1,MATCH('Rekomendasi HAV'!I773,'9 Grid'!$D$2:$F$2,0)),"")</f>
        <v>(ST) Within 12 - 18 month</v>
      </c>
      <c r="L773" s="146">
        <f>IF(ISNUMBER(SEARCH("EST",Assessment[[#This Row],[JOB TARGET]])),SUBSTITUTE(Assessment[[#This Row],[JOB TARGET]],"EST","DEV"),Assessment[[#This Row],[JOB TARGET]])</f>
        <v>0</v>
      </c>
      <c r="M773" s="146" t="str" cm="1">
        <f t="array" aca="1" ref="M773" ca="1">IF(Assessment[[#This Row],[JOB TARGET]]="","Job Target Kosong",IF(COUNT(IF('Data Assessment'!$N773:$Z773-OFFSET(Standar!$B$2,MATCH(Assessment[[#This Row],[JOB TARGET
(DEV)]],Standar[NAMA JABATAN],0)-1,1,1,13)&lt;0,1,""))&lt;=3,'9 Grid'!$B$4,IF(COUNT(IF('Data Assessment'!$N773:$Z773-OFFSET(Standar!$B$2,MATCH(Assessment[[#This Row],[JOB TARGET
(DEV)]],Standar[NAMA JABATAN],0)-1,1,1,13)&lt;0,1,""))&gt;=7,'9 Grid'!$B$6,'9 Grid'!$B$5)))</f>
        <v>Job Target Kosong</v>
      </c>
      <c r="N773" s="146" t="str">
        <f>IFERROR(IF(Data_Assessment[[#This Row],[IPP (3 YEARS AVERAGE)]]="","(IPP Belum Ada)",IF(Data_Assessment[[#This Row],[IPP (3 YEARS AVERAGE)]]&lt;2,'9 Grid'!$F$2,IF(Data_Assessment[[#This Row],[IPP (3 YEARS AVERAGE)]]&gt;=4,'9 Grid'!$D$2,'9 Grid'!$E$2))),"")</f>
        <v>Fully Competence Performance</v>
      </c>
      <c r="O773" s="146" t="str">
        <f ca="1">IFERROR(INDEX('9 Grid'!$D$4:$F$6,MATCH('Rekomendasi HAV'!M773,'9 Grid'!$B$4:$B$6,0),MATCH('Rekomendasi HAV'!N773,'9 Grid'!$D$2:$F$2,0)),"")</f>
        <v/>
      </c>
      <c r="P773" s="147" t="str">
        <f>IFERROR(INDEX('9 Grid'!$D$8:$F$8,1,MATCH('Rekomendasi HAV'!N773,'9 Grid'!$D$2:$F$2,0)),"")</f>
        <v>(ST) Within 12 - 18 month</v>
      </c>
    </row>
    <row r="774" spans="1:16" ht="28.5">
      <c r="A774" s="67">
        <v>773</v>
      </c>
      <c r="B774" s="68" t="str">
        <f>INDEX(Data_Assessment[],MATCH('Rekomendasi HAV'!$A774,Data_Assessment[[INDEX]:[INDEX]],0),MATCH('Rekomendasi HAV'!B$1,Data_Assessment[#Headers],0))</f>
        <v>Daud Harrys Pardamean Sirait</v>
      </c>
      <c r="C774" s="68" t="str">
        <f>INDEX(Data_Assessment[],MATCH('Rekomendasi HAV'!$A774,Data_Assessment[[INDEX]:[INDEX]],0),MATCH('Rekomendasi HAV'!C$1,Data_Assessment[#Headers],0))</f>
        <v>Sumatera Selatan</v>
      </c>
      <c r="D774" s="68" t="str">
        <f>INDEX(Data_Assessment[],MATCH('Rekomendasi HAV'!$A774,Data_Assessment[[INDEX]:[INDEX]],0),MATCH('Rekomendasi HAV'!D$1,Data_Assessment[#Headers],0))</f>
        <v>LSIP - Tirta Agung Palm Oil Mill</v>
      </c>
      <c r="E774" s="68">
        <f>INDEX(Data_Assessment[],MATCH('Rekomendasi HAV'!$B774,Data_Assessment[[NAME]:[NAME]],0),MATCH('Rekomendasi HAV'!E$1,Data_Assessment[#Headers],0))</f>
        <v>0</v>
      </c>
      <c r="F774" s="68"/>
      <c r="G774" s="68">
        <f>IF(ISNUMBER(SEARCH("DEV",Assessment[[#This Row],[JOB TARGET]])),SUBSTITUTE(Assessment[[#This Row],[JOB TARGET]],"DEV","EST"),Assessment[[#This Row],[JOB TARGET]])</f>
        <v>0</v>
      </c>
      <c r="H774" s="146" t="str" cm="1">
        <f t="array" aca="1" ref="H774" ca="1">IF(Assessment[[#This Row],[JOB TARGET]]="","Job Target Kosong",IF(COUNT(IF('Data Assessment'!$N774:$Z774-OFFSET(Standar!$B$2,MATCH(Assessment[[#This Row],[JOB TARGET
(EST)]],Standar[NAMA JABATAN],0)-1,1,1,13)&lt;0,1,""))&lt;=3,'9 Grid'!$B$4,IF(COUNT(IF('Data Assessment'!$N774:$Z774-OFFSET(Standar!$B$2,MATCH(Assessment[[#This Row],[JOB TARGET]],Standar[NAMA JABATAN],0)-1,1,1,13)&lt;0,1,""))&gt;=7,'9 Grid'!$B$6,'9 Grid'!$B$5)))</f>
        <v>Job Target Kosong</v>
      </c>
      <c r="I774" s="146" t="str">
        <f>IFERROR(IF(Data_Assessment[[#This Row],[IPP (3 YEARS AVERAGE)]]="","(IPP Belum Ada)",IF(Data_Assessment[[#This Row],[IPP (3 YEARS AVERAGE)]]&lt;2,'9 Grid'!$F$2,IF(Data_Assessment[[#This Row],[IPP (3 YEARS AVERAGE)]]&gt;=4,'9 Grid'!$D$2,'9 Grid'!$E$2))),"")</f>
        <v>Fully Competence Performance</v>
      </c>
      <c r="J774" s="146" t="str">
        <f ca="1">IFERROR(INDEX('9 Grid'!$D$4:$F$6,MATCH('Rekomendasi HAV'!H774,'9 Grid'!$B$4:$B$6,0),MATCH('Rekomendasi HAV'!I774,'9 Grid'!$D$2:$F$2,0)),"")</f>
        <v/>
      </c>
      <c r="K774" s="146" t="str">
        <f>IFERROR(INDEX('9 Grid'!$D$8:$F$8,1,MATCH('Rekomendasi HAV'!I774,'9 Grid'!$D$2:$F$2,0)),"")</f>
        <v>(ST) Within 12 - 18 month</v>
      </c>
      <c r="L774" s="146">
        <f>IF(ISNUMBER(SEARCH("EST",Assessment[[#This Row],[JOB TARGET]])),SUBSTITUTE(Assessment[[#This Row],[JOB TARGET]],"EST","DEV"),Assessment[[#This Row],[JOB TARGET]])</f>
        <v>0</v>
      </c>
      <c r="M774" s="146" t="str" cm="1">
        <f t="array" aca="1" ref="M774" ca="1">IF(Assessment[[#This Row],[JOB TARGET]]="","Job Target Kosong",IF(COUNT(IF('Data Assessment'!$N774:$Z774-OFFSET(Standar!$B$2,MATCH(Assessment[[#This Row],[JOB TARGET
(DEV)]],Standar[NAMA JABATAN],0)-1,1,1,13)&lt;0,1,""))&lt;=3,'9 Grid'!$B$4,IF(COUNT(IF('Data Assessment'!$N774:$Z774-OFFSET(Standar!$B$2,MATCH(Assessment[[#This Row],[JOB TARGET
(DEV)]],Standar[NAMA JABATAN],0)-1,1,1,13)&lt;0,1,""))&gt;=7,'9 Grid'!$B$6,'9 Grid'!$B$5)))</f>
        <v>Job Target Kosong</v>
      </c>
      <c r="N774" s="146" t="str">
        <f>IFERROR(IF(Data_Assessment[[#This Row],[IPP (3 YEARS AVERAGE)]]="","(IPP Belum Ada)",IF(Data_Assessment[[#This Row],[IPP (3 YEARS AVERAGE)]]&lt;2,'9 Grid'!$F$2,IF(Data_Assessment[[#This Row],[IPP (3 YEARS AVERAGE)]]&gt;=4,'9 Grid'!$D$2,'9 Grid'!$E$2))),"")</f>
        <v>Fully Competence Performance</v>
      </c>
      <c r="O774" s="146" t="str">
        <f ca="1">IFERROR(INDEX('9 Grid'!$D$4:$F$6,MATCH('Rekomendasi HAV'!M774,'9 Grid'!$B$4:$B$6,0),MATCH('Rekomendasi HAV'!N774,'9 Grid'!$D$2:$F$2,0)),"")</f>
        <v/>
      </c>
      <c r="P774" s="147" t="str">
        <f>IFERROR(INDEX('9 Grid'!$D$8:$F$8,1,MATCH('Rekomendasi HAV'!N774,'9 Grid'!$D$2:$F$2,0)),"")</f>
        <v>(ST) Within 12 - 18 month</v>
      </c>
    </row>
    <row r="775" spans="1:16" ht="28.5">
      <c r="A775" s="67">
        <v>774</v>
      </c>
      <c r="B775" s="68" t="str">
        <f>INDEX(Data_Assessment[],MATCH('Rekomendasi HAV'!$A775,Data_Assessment[[INDEX]:[INDEX]],0),MATCH('Rekomendasi HAV'!B$1,Data_Assessment[#Headers],0))</f>
        <v>Junedo Gandani Dongoran</v>
      </c>
      <c r="C775" s="68" t="str">
        <f>INDEX(Data_Assessment[],MATCH('Rekomendasi HAV'!$A775,Data_Assessment[[INDEX]:[INDEX]],0),MATCH('Rekomendasi HAV'!C$1,Data_Assessment[#Headers],0))</f>
        <v>Sumatera Selatan</v>
      </c>
      <c r="D775" s="68" t="str">
        <f>INDEX(Data_Assessment[],MATCH('Rekomendasi HAV'!$A775,Data_Assessment[[INDEX]:[INDEX]],0),MATCH('Rekomendasi HAV'!D$1,Data_Assessment[#Headers],0))</f>
        <v>LSIP - Tirta Agung Palm Oil Mill</v>
      </c>
      <c r="E775" s="68">
        <f>INDEX(Data_Assessment[],MATCH('Rekomendasi HAV'!$B775,Data_Assessment[[NAME]:[NAME]],0),MATCH('Rekomendasi HAV'!E$1,Data_Assessment[#Headers],0))</f>
        <v>0</v>
      </c>
      <c r="F775" s="68"/>
      <c r="G775" s="68">
        <f>IF(ISNUMBER(SEARCH("DEV",Assessment[[#This Row],[JOB TARGET]])),SUBSTITUTE(Assessment[[#This Row],[JOB TARGET]],"DEV","EST"),Assessment[[#This Row],[JOB TARGET]])</f>
        <v>0</v>
      </c>
      <c r="H775" s="146" t="str" cm="1">
        <f t="array" aca="1" ref="H775" ca="1">IF(Assessment[[#This Row],[JOB TARGET]]="","Job Target Kosong",IF(COUNT(IF('Data Assessment'!$N775:$Z775-OFFSET(Standar!$B$2,MATCH(Assessment[[#This Row],[JOB TARGET
(EST)]],Standar[NAMA JABATAN],0)-1,1,1,13)&lt;0,1,""))&lt;=3,'9 Grid'!$B$4,IF(COUNT(IF('Data Assessment'!$N775:$Z775-OFFSET(Standar!$B$2,MATCH(Assessment[[#This Row],[JOB TARGET]],Standar[NAMA JABATAN],0)-1,1,1,13)&lt;0,1,""))&gt;=7,'9 Grid'!$B$6,'9 Grid'!$B$5)))</f>
        <v>Job Target Kosong</v>
      </c>
      <c r="I775" s="146" t="str">
        <f>IFERROR(IF(Data_Assessment[[#This Row],[IPP (3 YEARS AVERAGE)]]="","(IPP Belum Ada)",IF(Data_Assessment[[#This Row],[IPP (3 YEARS AVERAGE)]]&lt;2,'9 Grid'!$F$2,IF(Data_Assessment[[#This Row],[IPP (3 YEARS AVERAGE)]]&gt;=4,'9 Grid'!$D$2,'9 Grid'!$E$2))),"")</f>
        <v>Fully Competence Performance</v>
      </c>
      <c r="J775" s="146" t="str">
        <f ca="1">IFERROR(INDEX('9 Grid'!$D$4:$F$6,MATCH('Rekomendasi HAV'!H775,'9 Grid'!$B$4:$B$6,0),MATCH('Rekomendasi HAV'!I775,'9 Grid'!$D$2:$F$2,0)),"")</f>
        <v/>
      </c>
      <c r="K775" s="146" t="str">
        <f>IFERROR(INDEX('9 Grid'!$D$8:$F$8,1,MATCH('Rekomendasi HAV'!I775,'9 Grid'!$D$2:$F$2,0)),"")</f>
        <v>(ST) Within 12 - 18 month</v>
      </c>
      <c r="L775" s="146">
        <f>IF(ISNUMBER(SEARCH("EST",Assessment[[#This Row],[JOB TARGET]])),SUBSTITUTE(Assessment[[#This Row],[JOB TARGET]],"EST","DEV"),Assessment[[#This Row],[JOB TARGET]])</f>
        <v>0</v>
      </c>
      <c r="M775" s="146" t="str" cm="1">
        <f t="array" aca="1" ref="M775" ca="1">IF(Assessment[[#This Row],[JOB TARGET]]="","Job Target Kosong",IF(COUNT(IF('Data Assessment'!$N775:$Z775-OFFSET(Standar!$B$2,MATCH(Assessment[[#This Row],[JOB TARGET
(DEV)]],Standar[NAMA JABATAN],0)-1,1,1,13)&lt;0,1,""))&lt;=3,'9 Grid'!$B$4,IF(COUNT(IF('Data Assessment'!$N775:$Z775-OFFSET(Standar!$B$2,MATCH(Assessment[[#This Row],[JOB TARGET
(DEV)]],Standar[NAMA JABATAN],0)-1,1,1,13)&lt;0,1,""))&gt;=7,'9 Grid'!$B$6,'9 Grid'!$B$5)))</f>
        <v>Job Target Kosong</v>
      </c>
      <c r="N775" s="146" t="str">
        <f>IFERROR(IF(Data_Assessment[[#This Row],[IPP (3 YEARS AVERAGE)]]="","(IPP Belum Ada)",IF(Data_Assessment[[#This Row],[IPP (3 YEARS AVERAGE)]]&lt;2,'9 Grid'!$F$2,IF(Data_Assessment[[#This Row],[IPP (3 YEARS AVERAGE)]]&gt;=4,'9 Grid'!$D$2,'9 Grid'!$E$2))),"")</f>
        <v>Fully Competence Performance</v>
      </c>
      <c r="O775" s="146" t="str">
        <f ca="1">IFERROR(INDEX('9 Grid'!$D$4:$F$6,MATCH('Rekomendasi HAV'!M775,'9 Grid'!$B$4:$B$6,0),MATCH('Rekomendasi HAV'!N775,'9 Grid'!$D$2:$F$2,0)),"")</f>
        <v/>
      </c>
      <c r="P775" s="147" t="str">
        <f>IFERROR(INDEX('9 Grid'!$D$8:$F$8,1,MATCH('Rekomendasi HAV'!N775,'9 Grid'!$D$2:$F$2,0)),"")</f>
        <v>(ST) Within 12 - 18 month</v>
      </c>
    </row>
    <row r="776" spans="1:16" ht="28.5">
      <c r="A776" s="67">
        <v>775</v>
      </c>
      <c r="B776" s="68" t="str">
        <f>INDEX(Data_Assessment[],MATCH('Rekomendasi HAV'!$A776,Data_Assessment[[INDEX]:[INDEX]],0),MATCH('Rekomendasi HAV'!B$1,Data_Assessment[#Headers],0))</f>
        <v>Firman Sitompul</v>
      </c>
      <c r="C776" s="68" t="str">
        <f>INDEX(Data_Assessment[],MATCH('Rekomendasi HAV'!$A776,Data_Assessment[[INDEX]:[INDEX]],0),MATCH('Rekomendasi HAV'!C$1,Data_Assessment[#Headers],0))</f>
        <v>Sumatera Selatan</v>
      </c>
      <c r="D776" s="68" t="str">
        <f>INDEX(Data_Assessment[],MATCH('Rekomendasi HAV'!$A776,Data_Assessment[[INDEX]:[INDEX]],0),MATCH('Rekomendasi HAV'!D$1,Data_Assessment[#Headers],0))</f>
        <v>LSIP - Tirta Agung Palm Oil Mill</v>
      </c>
      <c r="E776" s="68">
        <f>INDEX(Data_Assessment[],MATCH('Rekomendasi HAV'!$B776,Data_Assessment[[NAME]:[NAME]],0),MATCH('Rekomendasi HAV'!E$1,Data_Assessment[#Headers],0))</f>
        <v>0</v>
      </c>
      <c r="F776" s="68"/>
      <c r="G776" s="68">
        <f>IF(ISNUMBER(SEARCH("DEV",Assessment[[#This Row],[JOB TARGET]])),SUBSTITUTE(Assessment[[#This Row],[JOB TARGET]],"DEV","EST"),Assessment[[#This Row],[JOB TARGET]])</f>
        <v>0</v>
      </c>
      <c r="H776" s="146" t="str" cm="1">
        <f t="array" aca="1" ref="H776" ca="1">IF(Assessment[[#This Row],[JOB TARGET]]="","Job Target Kosong",IF(COUNT(IF('Data Assessment'!$N776:$Z776-OFFSET(Standar!$B$2,MATCH(Assessment[[#This Row],[JOB TARGET
(EST)]],Standar[NAMA JABATAN],0)-1,1,1,13)&lt;0,1,""))&lt;=3,'9 Grid'!$B$4,IF(COUNT(IF('Data Assessment'!$N776:$Z776-OFFSET(Standar!$B$2,MATCH(Assessment[[#This Row],[JOB TARGET]],Standar[NAMA JABATAN],0)-1,1,1,13)&lt;0,1,""))&gt;=7,'9 Grid'!$B$6,'9 Grid'!$B$5)))</f>
        <v>Job Target Kosong</v>
      </c>
      <c r="I776" s="146" t="str">
        <f>IFERROR(IF(Data_Assessment[[#This Row],[IPP (3 YEARS AVERAGE)]]="","(IPP Belum Ada)",IF(Data_Assessment[[#This Row],[IPP (3 YEARS AVERAGE)]]&lt;2,'9 Grid'!$F$2,IF(Data_Assessment[[#This Row],[IPP (3 YEARS AVERAGE)]]&gt;=4,'9 Grid'!$D$2,'9 Grid'!$E$2))),"")</f>
        <v>Fully Competence Performance</v>
      </c>
      <c r="J776" s="146" t="str">
        <f ca="1">IFERROR(INDEX('9 Grid'!$D$4:$F$6,MATCH('Rekomendasi HAV'!H776,'9 Grid'!$B$4:$B$6,0),MATCH('Rekomendasi HAV'!I776,'9 Grid'!$D$2:$F$2,0)),"")</f>
        <v/>
      </c>
      <c r="K776" s="146" t="str">
        <f>IFERROR(INDEX('9 Grid'!$D$8:$F$8,1,MATCH('Rekomendasi HAV'!I776,'9 Grid'!$D$2:$F$2,0)),"")</f>
        <v>(ST) Within 12 - 18 month</v>
      </c>
      <c r="L776" s="146">
        <f>IF(ISNUMBER(SEARCH("EST",Assessment[[#This Row],[JOB TARGET]])),SUBSTITUTE(Assessment[[#This Row],[JOB TARGET]],"EST","DEV"),Assessment[[#This Row],[JOB TARGET]])</f>
        <v>0</v>
      </c>
      <c r="M776" s="146" t="str" cm="1">
        <f t="array" aca="1" ref="M776" ca="1">IF(Assessment[[#This Row],[JOB TARGET]]="","Job Target Kosong",IF(COUNT(IF('Data Assessment'!$N776:$Z776-OFFSET(Standar!$B$2,MATCH(Assessment[[#This Row],[JOB TARGET
(DEV)]],Standar[NAMA JABATAN],0)-1,1,1,13)&lt;0,1,""))&lt;=3,'9 Grid'!$B$4,IF(COUNT(IF('Data Assessment'!$N776:$Z776-OFFSET(Standar!$B$2,MATCH(Assessment[[#This Row],[JOB TARGET
(DEV)]],Standar[NAMA JABATAN],0)-1,1,1,13)&lt;0,1,""))&gt;=7,'9 Grid'!$B$6,'9 Grid'!$B$5)))</f>
        <v>Job Target Kosong</v>
      </c>
      <c r="N776" s="146" t="str">
        <f>IFERROR(IF(Data_Assessment[[#This Row],[IPP (3 YEARS AVERAGE)]]="","(IPP Belum Ada)",IF(Data_Assessment[[#This Row],[IPP (3 YEARS AVERAGE)]]&lt;2,'9 Grid'!$F$2,IF(Data_Assessment[[#This Row],[IPP (3 YEARS AVERAGE)]]&gt;=4,'9 Grid'!$D$2,'9 Grid'!$E$2))),"")</f>
        <v>Fully Competence Performance</v>
      </c>
      <c r="O776" s="146" t="str">
        <f ca="1">IFERROR(INDEX('9 Grid'!$D$4:$F$6,MATCH('Rekomendasi HAV'!M776,'9 Grid'!$B$4:$B$6,0),MATCH('Rekomendasi HAV'!N776,'9 Grid'!$D$2:$F$2,0)),"")</f>
        <v/>
      </c>
      <c r="P776" s="147" t="str">
        <f>IFERROR(INDEX('9 Grid'!$D$8:$F$8,1,MATCH('Rekomendasi HAV'!N776,'9 Grid'!$D$2:$F$2,0)),"")</f>
        <v>(ST) Within 12 - 18 month</v>
      </c>
    </row>
    <row r="777" spans="1:16" ht="28.5">
      <c r="A777" s="67">
        <v>776</v>
      </c>
      <c r="B777" s="68" t="str">
        <f>INDEX(Data_Assessment[],MATCH('Rekomendasi HAV'!$A777,Data_Assessment[[INDEX]:[INDEX]],0),MATCH('Rekomendasi HAV'!B$1,Data_Assessment[#Headers],0))</f>
        <v>Ahmad Riyadi</v>
      </c>
      <c r="C777" s="68" t="str">
        <f>INDEX(Data_Assessment[],MATCH('Rekomendasi HAV'!$A777,Data_Assessment[[INDEX]:[INDEX]],0),MATCH('Rekomendasi HAV'!C$1,Data_Assessment[#Headers],0))</f>
        <v>Sumatera Selatan</v>
      </c>
      <c r="D777" s="68" t="str">
        <f>INDEX(Data_Assessment[],MATCH('Rekomendasi HAV'!$A777,Data_Assessment[[INDEX]:[INDEX]],0),MATCH('Rekomendasi HAV'!D$1,Data_Assessment[#Headers],0))</f>
        <v>LSIP - Cengal Rubber Factory</v>
      </c>
      <c r="E777" s="68">
        <f>INDEX(Data_Assessment[],MATCH('Rekomendasi HAV'!$B777,Data_Assessment[[NAME]:[NAME]],0),MATCH('Rekomendasi HAV'!E$1,Data_Assessment[#Headers],0))</f>
        <v>0</v>
      </c>
      <c r="F777" s="68"/>
      <c r="G777" s="68">
        <f>IF(ISNUMBER(SEARCH("DEV",Assessment[[#This Row],[JOB TARGET]])),SUBSTITUTE(Assessment[[#This Row],[JOB TARGET]],"DEV","EST"),Assessment[[#This Row],[JOB TARGET]])</f>
        <v>0</v>
      </c>
      <c r="H777" s="146" t="str" cm="1">
        <f t="array" aca="1" ref="H777" ca="1">IF(Assessment[[#This Row],[JOB TARGET]]="","Job Target Kosong",IF(COUNT(IF('Data Assessment'!$N777:$Z777-OFFSET(Standar!$B$2,MATCH(Assessment[[#This Row],[JOB TARGET
(EST)]],Standar[NAMA JABATAN],0)-1,1,1,13)&lt;0,1,""))&lt;=3,'9 Grid'!$B$4,IF(COUNT(IF('Data Assessment'!$N777:$Z777-OFFSET(Standar!$B$2,MATCH(Assessment[[#This Row],[JOB TARGET]],Standar[NAMA JABATAN],0)-1,1,1,13)&lt;0,1,""))&gt;=7,'9 Grid'!$B$6,'9 Grid'!$B$5)))</f>
        <v>Job Target Kosong</v>
      </c>
      <c r="I777" s="146" t="str">
        <f>IFERROR(IF(Data_Assessment[[#This Row],[IPP (3 YEARS AVERAGE)]]="","(IPP Belum Ada)",IF(Data_Assessment[[#This Row],[IPP (3 YEARS AVERAGE)]]&lt;2,'9 Grid'!$F$2,IF(Data_Assessment[[#This Row],[IPP (3 YEARS AVERAGE)]]&gt;=4,'9 Grid'!$D$2,'9 Grid'!$E$2))),"")</f>
        <v>Fully Competence Performance</v>
      </c>
      <c r="J777" s="146" t="str">
        <f ca="1">IFERROR(INDEX('9 Grid'!$D$4:$F$6,MATCH('Rekomendasi HAV'!H777,'9 Grid'!$B$4:$B$6,0),MATCH('Rekomendasi HAV'!I777,'9 Grid'!$D$2:$F$2,0)),"")</f>
        <v/>
      </c>
      <c r="K777" s="146" t="str">
        <f>IFERROR(INDEX('9 Grid'!$D$8:$F$8,1,MATCH('Rekomendasi HAV'!I777,'9 Grid'!$D$2:$F$2,0)),"")</f>
        <v>(ST) Within 12 - 18 month</v>
      </c>
      <c r="L777" s="146">
        <f>IF(ISNUMBER(SEARCH("EST",Assessment[[#This Row],[JOB TARGET]])),SUBSTITUTE(Assessment[[#This Row],[JOB TARGET]],"EST","DEV"),Assessment[[#This Row],[JOB TARGET]])</f>
        <v>0</v>
      </c>
      <c r="M777" s="146" t="str" cm="1">
        <f t="array" aca="1" ref="M777" ca="1">IF(Assessment[[#This Row],[JOB TARGET]]="","Job Target Kosong",IF(COUNT(IF('Data Assessment'!$N777:$Z777-OFFSET(Standar!$B$2,MATCH(Assessment[[#This Row],[JOB TARGET
(DEV)]],Standar[NAMA JABATAN],0)-1,1,1,13)&lt;0,1,""))&lt;=3,'9 Grid'!$B$4,IF(COUNT(IF('Data Assessment'!$N777:$Z777-OFFSET(Standar!$B$2,MATCH(Assessment[[#This Row],[JOB TARGET
(DEV)]],Standar[NAMA JABATAN],0)-1,1,1,13)&lt;0,1,""))&gt;=7,'9 Grid'!$B$6,'9 Grid'!$B$5)))</f>
        <v>Job Target Kosong</v>
      </c>
      <c r="N777" s="146" t="str">
        <f>IFERROR(IF(Data_Assessment[[#This Row],[IPP (3 YEARS AVERAGE)]]="","(IPP Belum Ada)",IF(Data_Assessment[[#This Row],[IPP (3 YEARS AVERAGE)]]&lt;2,'9 Grid'!$F$2,IF(Data_Assessment[[#This Row],[IPP (3 YEARS AVERAGE)]]&gt;=4,'9 Grid'!$D$2,'9 Grid'!$E$2))),"")</f>
        <v>Fully Competence Performance</v>
      </c>
      <c r="O777" s="146" t="str">
        <f ca="1">IFERROR(INDEX('9 Grid'!$D$4:$F$6,MATCH('Rekomendasi HAV'!M777,'9 Grid'!$B$4:$B$6,0),MATCH('Rekomendasi HAV'!N777,'9 Grid'!$D$2:$F$2,0)),"")</f>
        <v/>
      </c>
      <c r="P777" s="147" t="str">
        <f>IFERROR(INDEX('9 Grid'!$D$8:$F$8,1,MATCH('Rekomendasi HAV'!N777,'9 Grid'!$D$2:$F$2,0)),"")</f>
        <v>(ST) Within 12 - 18 month</v>
      </c>
    </row>
    <row r="778" spans="1:16" ht="28.5">
      <c r="A778" s="67">
        <v>777</v>
      </c>
      <c r="B778" s="68" t="str">
        <f>INDEX(Data_Assessment[],MATCH('Rekomendasi HAV'!$A778,Data_Assessment[[INDEX]:[INDEX]],0),MATCH('Rekomendasi HAV'!B$1,Data_Assessment[#Headers],0))</f>
        <v>Rahmat Hidayat</v>
      </c>
      <c r="C778" s="68" t="str">
        <f>INDEX(Data_Assessment[],MATCH('Rekomendasi HAV'!$A778,Data_Assessment[[INDEX]:[INDEX]],0),MATCH('Rekomendasi HAV'!C$1,Data_Assessment[#Headers],0))</f>
        <v>Kalimantan Timur</v>
      </c>
      <c r="D778" s="68" t="str">
        <f>INDEX(Data_Assessment[],MATCH('Rekomendasi HAV'!$A778,Data_Assessment[[INDEX]:[INDEX]],0),MATCH('Rekomendasi HAV'!D$1,Data_Assessment[#Headers],0))</f>
        <v>LSIP - RO Samarinda</v>
      </c>
      <c r="E778" s="68">
        <f>INDEX(Data_Assessment[],MATCH('Rekomendasi HAV'!$B778,Data_Assessment[[NAME]:[NAME]],0),MATCH('Rekomendasi HAV'!E$1,Data_Assessment[#Headers],0))</f>
        <v>0</v>
      </c>
      <c r="F778" s="68"/>
      <c r="G778" s="68">
        <f>IF(ISNUMBER(SEARCH("DEV",Assessment[[#This Row],[JOB TARGET]])),SUBSTITUTE(Assessment[[#This Row],[JOB TARGET]],"DEV","EST"),Assessment[[#This Row],[JOB TARGET]])</f>
        <v>0</v>
      </c>
      <c r="H778" s="146" t="str" cm="1">
        <f t="array" aca="1" ref="H778" ca="1">IF(Assessment[[#This Row],[JOB TARGET]]="","Job Target Kosong",IF(COUNT(IF('Data Assessment'!$N778:$Z778-OFFSET(Standar!$B$2,MATCH(Assessment[[#This Row],[JOB TARGET
(EST)]],Standar[NAMA JABATAN],0)-1,1,1,13)&lt;0,1,""))&lt;=3,'9 Grid'!$B$4,IF(COUNT(IF('Data Assessment'!$N778:$Z778-OFFSET(Standar!$B$2,MATCH(Assessment[[#This Row],[JOB TARGET]],Standar[NAMA JABATAN],0)-1,1,1,13)&lt;0,1,""))&gt;=7,'9 Grid'!$B$6,'9 Grid'!$B$5)))</f>
        <v>Job Target Kosong</v>
      </c>
      <c r="I778" s="146" t="str">
        <f>IFERROR(IF(Data_Assessment[[#This Row],[IPP (3 YEARS AVERAGE)]]="","(IPP Belum Ada)",IF(Data_Assessment[[#This Row],[IPP (3 YEARS AVERAGE)]]&lt;2,'9 Grid'!$F$2,IF(Data_Assessment[[#This Row],[IPP (3 YEARS AVERAGE)]]&gt;=4,'9 Grid'!$D$2,'9 Grid'!$E$2))),"")</f>
        <v>Fully Competence Performance</v>
      </c>
      <c r="J778" s="146" t="str">
        <f ca="1">IFERROR(INDEX('9 Grid'!$D$4:$F$6,MATCH('Rekomendasi HAV'!H778,'9 Grid'!$B$4:$B$6,0),MATCH('Rekomendasi HAV'!I778,'9 Grid'!$D$2:$F$2,0)),"")</f>
        <v/>
      </c>
      <c r="K778" s="146" t="str">
        <f>IFERROR(INDEX('9 Grid'!$D$8:$F$8,1,MATCH('Rekomendasi HAV'!I778,'9 Grid'!$D$2:$F$2,0)),"")</f>
        <v>(ST) Within 12 - 18 month</v>
      </c>
      <c r="L778" s="146">
        <f>IF(ISNUMBER(SEARCH("EST",Assessment[[#This Row],[JOB TARGET]])),SUBSTITUTE(Assessment[[#This Row],[JOB TARGET]],"EST","DEV"),Assessment[[#This Row],[JOB TARGET]])</f>
        <v>0</v>
      </c>
      <c r="M778" s="146" t="str" cm="1">
        <f t="array" aca="1" ref="M778" ca="1">IF(Assessment[[#This Row],[JOB TARGET]]="","Job Target Kosong",IF(COUNT(IF('Data Assessment'!$N778:$Z778-OFFSET(Standar!$B$2,MATCH(Assessment[[#This Row],[JOB TARGET
(DEV)]],Standar[NAMA JABATAN],0)-1,1,1,13)&lt;0,1,""))&lt;=3,'9 Grid'!$B$4,IF(COUNT(IF('Data Assessment'!$N778:$Z778-OFFSET(Standar!$B$2,MATCH(Assessment[[#This Row],[JOB TARGET
(DEV)]],Standar[NAMA JABATAN],0)-1,1,1,13)&lt;0,1,""))&gt;=7,'9 Grid'!$B$6,'9 Grid'!$B$5)))</f>
        <v>Job Target Kosong</v>
      </c>
      <c r="N778" s="146" t="str">
        <f>IFERROR(IF(Data_Assessment[[#This Row],[IPP (3 YEARS AVERAGE)]]="","(IPP Belum Ada)",IF(Data_Assessment[[#This Row],[IPP (3 YEARS AVERAGE)]]&lt;2,'9 Grid'!$F$2,IF(Data_Assessment[[#This Row],[IPP (3 YEARS AVERAGE)]]&gt;=4,'9 Grid'!$D$2,'9 Grid'!$E$2))),"")</f>
        <v>Fully Competence Performance</v>
      </c>
      <c r="O778" s="146" t="str">
        <f ca="1">IFERROR(INDEX('9 Grid'!$D$4:$F$6,MATCH('Rekomendasi HAV'!M778,'9 Grid'!$B$4:$B$6,0),MATCH('Rekomendasi HAV'!N778,'9 Grid'!$D$2:$F$2,0)),"")</f>
        <v/>
      </c>
      <c r="P778" s="147" t="str">
        <f>IFERROR(INDEX('9 Grid'!$D$8:$F$8,1,MATCH('Rekomendasi HAV'!N778,'9 Grid'!$D$2:$F$2,0)),"")</f>
        <v>(ST) Within 12 - 18 month</v>
      </c>
    </row>
    <row r="779" spans="1:16" ht="14.25">
      <c r="A779" s="67">
        <v>778</v>
      </c>
      <c r="B779" s="68" t="str">
        <f>INDEX(Data_Assessment[],MATCH('Rekomendasi HAV'!$A779,Data_Assessment[[INDEX]:[INDEX]],0),MATCH('Rekomendasi HAV'!B$1,Data_Assessment[#Headers],0))</f>
        <v>Yanti Kusmiati</v>
      </c>
      <c r="C779" s="68" t="str">
        <f>INDEX(Data_Assessment[],MATCH('Rekomendasi HAV'!$A779,Data_Assessment[[INDEX]:[INDEX]],0),MATCH('Rekomendasi HAV'!C$1,Data_Assessment[#Headers],0))</f>
        <v>Kalimantan Timur</v>
      </c>
      <c r="D779" s="68" t="str">
        <f>INDEX(Data_Assessment[],MATCH('Rekomendasi HAV'!$A779,Data_Assessment[[INDEX]:[INDEX]],0),MATCH('Rekomendasi HAV'!D$1,Data_Assessment[#Headers],0))</f>
        <v>LSIP - Issuy Makmur Palm Oil Mill</v>
      </c>
      <c r="E779" s="68">
        <f>INDEX(Data_Assessment[],MATCH('Rekomendasi HAV'!$B779,Data_Assessment[[NAME]:[NAME]],0),MATCH('Rekomendasi HAV'!E$1,Data_Assessment[#Headers],0))</f>
        <v>0</v>
      </c>
      <c r="F779" s="68"/>
      <c r="G779" s="68">
        <f>IF(ISNUMBER(SEARCH("DEV",Assessment[[#This Row],[JOB TARGET]])),SUBSTITUTE(Assessment[[#This Row],[JOB TARGET]],"DEV","EST"),Assessment[[#This Row],[JOB TARGET]])</f>
        <v>0</v>
      </c>
      <c r="H779" s="146" t="str" cm="1">
        <f t="array" aca="1" ref="H779" ca="1">IF(Assessment[[#This Row],[JOB TARGET]]="","Job Target Kosong",IF(COUNT(IF('Data Assessment'!$N779:$Z779-OFFSET(Standar!$B$2,MATCH(Assessment[[#This Row],[JOB TARGET
(EST)]],Standar[NAMA JABATAN],0)-1,1,1,13)&lt;0,1,""))&lt;=3,'9 Grid'!$B$4,IF(COUNT(IF('Data Assessment'!$N779:$Z779-OFFSET(Standar!$B$2,MATCH(Assessment[[#This Row],[JOB TARGET]],Standar[NAMA JABATAN],0)-1,1,1,13)&lt;0,1,""))&gt;=7,'9 Grid'!$B$6,'9 Grid'!$B$5)))</f>
        <v>Job Target Kosong</v>
      </c>
      <c r="I779" s="146" t="str">
        <f>IFERROR(IF(Data_Assessment[[#This Row],[IPP (3 YEARS AVERAGE)]]="","(IPP Belum Ada)",IF(Data_Assessment[[#This Row],[IPP (3 YEARS AVERAGE)]]&lt;2,'9 Grid'!$F$2,IF(Data_Assessment[[#This Row],[IPP (3 YEARS AVERAGE)]]&gt;=4,'9 Grid'!$D$2,'9 Grid'!$E$2))),"")</f>
        <v>Exceptional Performance</v>
      </c>
      <c r="J779" s="146" t="str">
        <f ca="1">IFERROR(INDEX('9 Grid'!$D$4:$F$6,MATCH('Rekomendasi HAV'!H779,'9 Grid'!$B$4:$B$6,0),MATCH('Rekomendasi HAV'!I779,'9 Grid'!$D$2:$F$2,0)),"")</f>
        <v/>
      </c>
      <c r="K779" s="146" t="str">
        <f>IFERROR(INDEX('9 Grid'!$D$8:$F$8,1,MATCH('Rekomendasi HAV'!I779,'9 Grid'!$D$2:$F$2,0)),"")</f>
        <v>(I) Immediately</v>
      </c>
      <c r="L779" s="146">
        <f>IF(ISNUMBER(SEARCH("EST",Assessment[[#This Row],[JOB TARGET]])),SUBSTITUTE(Assessment[[#This Row],[JOB TARGET]],"EST","DEV"),Assessment[[#This Row],[JOB TARGET]])</f>
        <v>0</v>
      </c>
      <c r="M779" s="146" t="str" cm="1">
        <f t="array" aca="1" ref="M779" ca="1">IF(Assessment[[#This Row],[JOB TARGET]]="","Job Target Kosong",IF(COUNT(IF('Data Assessment'!$N779:$Z779-OFFSET(Standar!$B$2,MATCH(Assessment[[#This Row],[JOB TARGET
(DEV)]],Standar[NAMA JABATAN],0)-1,1,1,13)&lt;0,1,""))&lt;=3,'9 Grid'!$B$4,IF(COUNT(IF('Data Assessment'!$N779:$Z779-OFFSET(Standar!$B$2,MATCH(Assessment[[#This Row],[JOB TARGET
(DEV)]],Standar[NAMA JABATAN],0)-1,1,1,13)&lt;0,1,""))&gt;=7,'9 Grid'!$B$6,'9 Grid'!$B$5)))</f>
        <v>Job Target Kosong</v>
      </c>
      <c r="N779" s="146" t="str">
        <f>IFERROR(IF(Data_Assessment[[#This Row],[IPP (3 YEARS AVERAGE)]]="","(IPP Belum Ada)",IF(Data_Assessment[[#This Row],[IPP (3 YEARS AVERAGE)]]&lt;2,'9 Grid'!$F$2,IF(Data_Assessment[[#This Row],[IPP (3 YEARS AVERAGE)]]&gt;=4,'9 Grid'!$D$2,'9 Grid'!$E$2))),"")</f>
        <v>Exceptional Performance</v>
      </c>
      <c r="O779" s="146" t="str">
        <f ca="1">IFERROR(INDEX('9 Grid'!$D$4:$F$6,MATCH('Rekomendasi HAV'!M779,'9 Grid'!$B$4:$B$6,0),MATCH('Rekomendasi HAV'!N779,'9 Grid'!$D$2:$F$2,0)),"")</f>
        <v/>
      </c>
      <c r="P779" s="147" t="str">
        <f>IFERROR(INDEX('9 Grid'!$D$8:$F$8,1,MATCH('Rekomendasi HAV'!N779,'9 Grid'!$D$2:$F$2,0)),"")</f>
        <v>(I) Immediately</v>
      </c>
    </row>
    <row r="780" spans="1:16" ht="28.5">
      <c r="A780" s="67">
        <v>779</v>
      </c>
      <c r="B780" s="68" t="str">
        <f>INDEX(Data_Assessment[],MATCH('Rekomendasi HAV'!$A780,Data_Assessment[[INDEX]:[INDEX]],0),MATCH('Rekomendasi HAV'!B$1,Data_Assessment[#Headers],0))</f>
        <v>Muhammad Ihsyan Manulang</v>
      </c>
      <c r="C780" s="68" t="str">
        <f>INDEX(Data_Assessment[],MATCH('Rekomendasi HAV'!$A780,Data_Assessment[[INDEX]:[INDEX]],0),MATCH('Rekomendasi HAV'!C$1,Data_Assessment[#Headers],0))</f>
        <v>Kalimantan Timur</v>
      </c>
      <c r="D780" s="68" t="str">
        <f>INDEX(Data_Assessment[],MATCH('Rekomendasi HAV'!$A780,Data_Assessment[[INDEX]:[INDEX]],0),MATCH('Rekomendasi HAV'!D$1,Data_Assessment[#Headers],0))</f>
        <v>LSIP - Issuy Makmur Palm Oil Mill</v>
      </c>
      <c r="E780" s="68">
        <f>INDEX(Data_Assessment[],MATCH('Rekomendasi HAV'!$B780,Data_Assessment[[NAME]:[NAME]],0),MATCH('Rekomendasi HAV'!E$1,Data_Assessment[#Headers],0))</f>
        <v>0</v>
      </c>
      <c r="F780" s="68"/>
      <c r="G780" s="68">
        <f>IF(ISNUMBER(SEARCH("DEV",Assessment[[#This Row],[JOB TARGET]])),SUBSTITUTE(Assessment[[#This Row],[JOB TARGET]],"DEV","EST"),Assessment[[#This Row],[JOB TARGET]])</f>
        <v>0</v>
      </c>
      <c r="H780" s="146" t="str" cm="1">
        <f t="array" aca="1" ref="H780" ca="1">IF(Assessment[[#This Row],[JOB TARGET]]="","Job Target Kosong",IF(COUNT(IF('Data Assessment'!$N780:$Z780-OFFSET(Standar!$B$2,MATCH(Assessment[[#This Row],[JOB TARGET
(EST)]],Standar[NAMA JABATAN],0)-1,1,1,13)&lt;0,1,""))&lt;=3,'9 Grid'!$B$4,IF(COUNT(IF('Data Assessment'!$N780:$Z780-OFFSET(Standar!$B$2,MATCH(Assessment[[#This Row],[JOB TARGET]],Standar[NAMA JABATAN],0)-1,1,1,13)&lt;0,1,""))&gt;=7,'9 Grid'!$B$6,'9 Grid'!$B$5)))</f>
        <v>Job Target Kosong</v>
      </c>
      <c r="I780" s="146" t="str">
        <f>IFERROR(IF(Data_Assessment[[#This Row],[IPP (3 YEARS AVERAGE)]]="","(IPP Belum Ada)",IF(Data_Assessment[[#This Row],[IPP (3 YEARS AVERAGE)]]&lt;2,'9 Grid'!$F$2,IF(Data_Assessment[[#This Row],[IPP (3 YEARS AVERAGE)]]&gt;=4,'9 Grid'!$D$2,'9 Grid'!$E$2))),"")</f>
        <v>Fully Competence Performance</v>
      </c>
      <c r="J780" s="146" t="str">
        <f ca="1">IFERROR(INDEX('9 Grid'!$D$4:$F$6,MATCH('Rekomendasi HAV'!H780,'9 Grid'!$B$4:$B$6,0),MATCH('Rekomendasi HAV'!I780,'9 Grid'!$D$2:$F$2,0)),"")</f>
        <v/>
      </c>
      <c r="K780" s="146" t="str">
        <f>IFERROR(INDEX('9 Grid'!$D$8:$F$8,1,MATCH('Rekomendasi HAV'!I780,'9 Grid'!$D$2:$F$2,0)),"")</f>
        <v>(ST) Within 12 - 18 month</v>
      </c>
      <c r="L780" s="146">
        <f>IF(ISNUMBER(SEARCH("EST",Assessment[[#This Row],[JOB TARGET]])),SUBSTITUTE(Assessment[[#This Row],[JOB TARGET]],"EST","DEV"),Assessment[[#This Row],[JOB TARGET]])</f>
        <v>0</v>
      </c>
      <c r="M780" s="146" t="str" cm="1">
        <f t="array" aca="1" ref="M780" ca="1">IF(Assessment[[#This Row],[JOB TARGET]]="","Job Target Kosong",IF(COUNT(IF('Data Assessment'!$N780:$Z780-OFFSET(Standar!$B$2,MATCH(Assessment[[#This Row],[JOB TARGET
(DEV)]],Standar[NAMA JABATAN],0)-1,1,1,13)&lt;0,1,""))&lt;=3,'9 Grid'!$B$4,IF(COUNT(IF('Data Assessment'!$N780:$Z780-OFFSET(Standar!$B$2,MATCH(Assessment[[#This Row],[JOB TARGET
(DEV)]],Standar[NAMA JABATAN],0)-1,1,1,13)&lt;0,1,""))&gt;=7,'9 Grid'!$B$6,'9 Grid'!$B$5)))</f>
        <v>Job Target Kosong</v>
      </c>
      <c r="N780" s="146" t="str">
        <f>IFERROR(IF(Data_Assessment[[#This Row],[IPP (3 YEARS AVERAGE)]]="","(IPP Belum Ada)",IF(Data_Assessment[[#This Row],[IPP (3 YEARS AVERAGE)]]&lt;2,'9 Grid'!$F$2,IF(Data_Assessment[[#This Row],[IPP (3 YEARS AVERAGE)]]&gt;=4,'9 Grid'!$D$2,'9 Grid'!$E$2))),"")</f>
        <v>Fully Competence Performance</v>
      </c>
      <c r="O780" s="146" t="str">
        <f ca="1">IFERROR(INDEX('9 Grid'!$D$4:$F$6,MATCH('Rekomendasi HAV'!M780,'9 Grid'!$B$4:$B$6,0),MATCH('Rekomendasi HAV'!N780,'9 Grid'!$D$2:$F$2,0)),"")</f>
        <v/>
      </c>
      <c r="P780" s="147" t="str">
        <f>IFERROR(INDEX('9 Grid'!$D$8:$F$8,1,MATCH('Rekomendasi HAV'!N780,'9 Grid'!$D$2:$F$2,0)),"")</f>
        <v>(ST) Within 12 - 18 month</v>
      </c>
    </row>
    <row r="781" spans="1:16" ht="28.5">
      <c r="A781" s="67">
        <v>780</v>
      </c>
      <c r="B781" s="68" t="str">
        <f>INDEX(Data_Assessment[],MATCH('Rekomendasi HAV'!$A781,Data_Assessment[[INDEX]:[INDEX]],0),MATCH('Rekomendasi HAV'!B$1,Data_Assessment[#Headers],0))</f>
        <v>Abrar Nur Syahputra</v>
      </c>
      <c r="C781" s="68" t="str">
        <f>INDEX(Data_Assessment[],MATCH('Rekomendasi HAV'!$A781,Data_Assessment[[INDEX]:[INDEX]],0),MATCH('Rekomendasi HAV'!C$1,Data_Assessment[#Headers],0))</f>
        <v>Sulawesi Selatan</v>
      </c>
      <c r="D781" s="68" t="str">
        <f>INDEX(Data_Assessment[],MATCH('Rekomendasi HAV'!$A781,Data_Assessment[[INDEX]:[INDEX]],0),MATCH('Rekomendasi HAV'!D$1,Data_Assessment[#Headers],0))</f>
        <v>LSIP - Palangisang Rubber Factory</v>
      </c>
      <c r="E781" s="68">
        <f>INDEX(Data_Assessment[],MATCH('Rekomendasi HAV'!$B781,Data_Assessment[[NAME]:[NAME]],0),MATCH('Rekomendasi HAV'!E$1,Data_Assessment[#Headers],0))</f>
        <v>0</v>
      </c>
      <c r="F781" s="68"/>
      <c r="G781" s="68">
        <f>IF(ISNUMBER(SEARCH("DEV",Assessment[[#This Row],[JOB TARGET]])),SUBSTITUTE(Assessment[[#This Row],[JOB TARGET]],"DEV","EST"),Assessment[[#This Row],[JOB TARGET]])</f>
        <v>0</v>
      </c>
      <c r="H781" s="146" t="str" cm="1">
        <f t="array" aca="1" ref="H781" ca="1">IF(Assessment[[#This Row],[JOB TARGET]]="","Job Target Kosong",IF(COUNT(IF('Data Assessment'!$N781:$Z781-OFFSET(Standar!$B$2,MATCH(Assessment[[#This Row],[JOB TARGET
(EST)]],Standar[NAMA JABATAN],0)-1,1,1,13)&lt;0,1,""))&lt;=3,'9 Grid'!$B$4,IF(COUNT(IF('Data Assessment'!$N781:$Z781-OFFSET(Standar!$B$2,MATCH(Assessment[[#This Row],[JOB TARGET]],Standar[NAMA JABATAN],0)-1,1,1,13)&lt;0,1,""))&gt;=7,'9 Grid'!$B$6,'9 Grid'!$B$5)))</f>
        <v>Job Target Kosong</v>
      </c>
      <c r="I781" s="146" t="str">
        <f>IFERROR(IF(Data_Assessment[[#This Row],[IPP (3 YEARS AVERAGE)]]="","(IPP Belum Ada)",IF(Data_Assessment[[#This Row],[IPP (3 YEARS AVERAGE)]]&lt;2,'9 Grid'!$F$2,IF(Data_Assessment[[#This Row],[IPP (3 YEARS AVERAGE)]]&gt;=4,'9 Grid'!$D$2,'9 Grid'!$E$2))),"")</f>
        <v>Fully Competence Performance</v>
      </c>
      <c r="J781" s="146" t="str">
        <f ca="1">IFERROR(INDEX('9 Grid'!$D$4:$F$6,MATCH('Rekomendasi HAV'!H781,'9 Grid'!$B$4:$B$6,0),MATCH('Rekomendasi HAV'!I781,'9 Grid'!$D$2:$F$2,0)),"")</f>
        <v/>
      </c>
      <c r="K781" s="146" t="str">
        <f>IFERROR(INDEX('9 Grid'!$D$8:$F$8,1,MATCH('Rekomendasi HAV'!I781,'9 Grid'!$D$2:$F$2,0)),"")</f>
        <v>(ST) Within 12 - 18 month</v>
      </c>
      <c r="L781" s="146">
        <f>IF(ISNUMBER(SEARCH("EST",Assessment[[#This Row],[JOB TARGET]])),SUBSTITUTE(Assessment[[#This Row],[JOB TARGET]],"EST","DEV"),Assessment[[#This Row],[JOB TARGET]])</f>
        <v>0</v>
      </c>
      <c r="M781" s="146" t="str" cm="1">
        <f t="array" aca="1" ref="M781" ca="1">IF(Assessment[[#This Row],[JOB TARGET]]="","Job Target Kosong",IF(COUNT(IF('Data Assessment'!$N781:$Z781-OFFSET(Standar!$B$2,MATCH(Assessment[[#This Row],[JOB TARGET
(DEV)]],Standar[NAMA JABATAN],0)-1,1,1,13)&lt;0,1,""))&lt;=3,'9 Grid'!$B$4,IF(COUNT(IF('Data Assessment'!$N781:$Z781-OFFSET(Standar!$B$2,MATCH(Assessment[[#This Row],[JOB TARGET
(DEV)]],Standar[NAMA JABATAN],0)-1,1,1,13)&lt;0,1,""))&gt;=7,'9 Grid'!$B$6,'9 Grid'!$B$5)))</f>
        <v>Job Target Kosong</v>
      </c>
      <c r="N781" s="146" t="str">
        <f>IFERROR(IF(Data_Assessment[[#This Row],[IPP (3 YEARS AVERAGE)]]="","(IPP Belum Ada)",IF(Data_Assessment[[#This Row],[IPP (3 YEARS AVERAGE)]]&lt;2,'9 Grid'!$F$2,IF(Data_Assessment[[#This Row],[IPP (3 YEARS AVERAGE)]]&gt;=4,'9 Grid'!$D$2,'9 Grid'!$E$2))),"")</f>
        <v>Fully Competence Performance</v>
      </c>
      <c r="O781" s="146" t="str">
        <f ca="1">IFERROR(INDEX('9 Grid'!$D$4:$F$6,MATCH('Rekomendasi HAV'!M781,'9 Grid'!$B$4:$B$6,0),MATCH('Rekomendasi HAV'!N781,'9 Grid'!$D$2:$F$2,0)),"")</f>
        <v/>
      </c>
      <c r="P781" s="147" t="str">
        <f>IFERROR(INDEX('9 Grid'!$D$8:$F$8,1,MATCH('Rekomendasi HAV'!N781,'9 Grid'!$D$2:$F$2,0)),"")</f>
        <v>(ST) Within 12 - 18 month</v>
      </c>
    </row>
    <row r="782" spans="1:16" ht="28.5">
      <c r="A782" s="67">
        <v>781</v>
      </c>
      <c r="B782" s="68" t="str">
        <f>INDEX(Data_Assessment[],MATCH('Rekomendasi HAV'!$A782,Data_Assessment[[INDEX]:[INDEX]],0),MATCH('Rekomendasi HAV'!B$1,Data_Assessment[#Headers],0))</f>
        <v>Roy Franc James Simanjuntak</v>
      </c>
      <c r="C782" s="68" t="str">
        <f>INDEX(Data_Assessment[],MATCH('Rekomendasi HAV'!$A782,Data_Assessment[[INDEX]:[INDEX]],0),MATCH('Rekomendasi HAV'!C$1,Data_Assessment[#Headers],0))</f>
        <v>Sulawesi Selatan</v>
      </c>
      <c r="D782" s="68" t="str">
        <f>INDEX(Data_Assessment[],MATCH('Rekomendasi HAV'!$A782,Data_Assessment[[INDEX]:[INDEX]],0),MATCH('Rekomendasi HAV'!D$1,Data_Assessment[#Headers],0))</f>
        <v>LSIP - Palangisang Rubber Factory</v>
      </c>
      <c r="E782" s="68">
        <f>INDEX(Data_Assessment[],MATCH('Rekomendasi HAV'!$B782,Data_Assessment[[NAME]:[NAME]],0),MATCH('Rekomendasi HAV'!E$1,Data_Assessment[#Headers],0))</f>
        <v>0</v>
      </c>
      <c r="F782" s="68"/>
      <c r="G782" s="68">
        <f>IF(ISNUMBER(SEARCH("DEV",Assessment[[#This Row],[JOB TARGET]])),SUBSTITUTE(Assessment[[#This Row],[JOB TARGET]],"DEV","EST"),Assessment[[#This Row],[JOB TARGET]])</f>
        <v>0</v>
      </c>
      <c r="H782" s="146" t="str" cm="1">
        <f t="array" aca="1" ref="H782" ca="1">IF(Assessment[[#This Row],[JOB TARGET]]="","Job Target Kosong",IF(COUNT(IF('Data Assessment'!$N782:$Z782-OFFSET(Standar!$B$2,MATCH(Assessment[[#This Row],[JOB TARGET
(EST)]],Standar[NAMA JABATAN],0)-1,1,1,13)&lt;0,1,""))&lt;=3,'9 Grid'!$B$4,IF(COUNT(IF('Data Assessment'!$N782:$Z782-OFFSET(Standar!$B$2,MATCH(Assessment[[#This Row],[JOB TARGET]],Standar[NAMA JABATAN],0)-1,1,1,13)&lt;0,1,""))&gt;=7,'9 Grid'!$B$6,'9 Grid'!$B$5)))</f>
        <v>Job Target Kosong</v>
      </c>
      <c r="I782" s="146" t="str">
        <f>IFERROR(IF(Data_Assessment[[#This Row],[IPP (3 YEARS AVERAGE)]]="","(IPP Belum Ada)",IF(Data_Assessment[[#This Row],[IPP (3 YEARS AVERAGE)]]&lt;2,'9 Grid'!$F$2,IF(Data_Assessment[[#This Row],[IPP (3 YEARS AVERAGE)]]&gt;=4,'9 Grid'!$D$2,'9 Grid'!$E$2))),"")</f>
        <v>Fully Competence Performance</v>
      </c>
      <c r="J782" s="146" t="str">
        <f ca="1">IFERROR(INDEX('9 Grid'!$D$4:$F$6,MATCH('Rekomendasi HAV'!H782,'9 Grid'!$B$4:$B$6,0),MATCH('Rekomendasi HAV'!I782,'9 Grid'!$D$2:$F$2,0)),"")</f>
        <v/>
      </c>
      <c r="K782" s="146" t="str">
        <f>IFERROR(INDEX('9 Grid'!$D$8:$F$8,1,MATCH('Rekomendasi HAV'!I782,'9 Grid'!$D$2:$F$2,0)),"")</f>
        <v>(ST) Within 12 - 18 month</v>
      </c>
      <c r="L782" s="146">
        <f>IF(ISNUMBER(SEARCH("EST",Assessment[[#This Row],[JOB TARGET]])),SUBSTITUTE(Assessment[[#This Row],[JOB TARGET]],"EST","DEV"),Assessment[[#This Row],[JOB TARGET]])</f>
        <v>0</v>
      </c>
      <c r="M782" s="146" t="str" cm="1">
        <f t="array" aca="1" ref="M782" ca="1">IF(Assessment[[#This Row],[JOB TARGET]]="","Job Target Kosong",IF(COUNT(IF('Data Assessment'!$N782:$Z782-OFFSET(Standar!$B$2,MATCH(Assessment[[#This Row],[JOB TARGET
(DEV)]],Standar[NAMA JABATAN],0)-1,1,1,13)&lt;0,1,""))&lt;=3,'9 Grid'!$B$4,IF(COUNT(IF('Data Assessment'!$N782:$Z782-OFFSET(Standar!$B$2,MATCH(Assessment[[#This Row],[JOB TARGET
(DEV)]],Standar[NAMA JABATAN],0)-1,1,1,13)&lt;0,1,""))&gt;=7,'9 Grid'!$B$6,'9 Grid'!$B$5)))</f>
        <v>Job Target Kosong</v>
      </c>
      <c r="N782" s="146" t="str">
        <f>IFERROR(IF(Data_Assessment[[#This Row],[IPP (3 YEARS AVERAGE)]]="","(IPP Belum Ada)",IF(Data_Assessment[[#This Row],[IPP (3 YEARS AVERAGE)]]&lt;2,'9 Grid'!$F$2,IF(Data_Assessment[[#This Row],[IPP (3 YEARS AVERAGE)]]&gt;=4,'9 Grid'!$D$2,'9 Grid'!$E$2))),"")</f>
        <v>Fully Competence Performance</v>
      </c>
      <c r="O782" s="146" t="str">
        <f ca="1">IFERROR(INDEX('9 Grid'!$D$4:$F$6,MATCH('Rekomendasi HAV'!M782,'9 Grid'!$B$4:$B$6,0),MATCH('Rekomendasi HAV'!N782,'9 Grid'!$D$2:$F$2,0)),"")</f>
        <v/>
      </c>
      <c r="P782" s="147" t="str">
        <f>IFERROR(INDEX('9 Grid'!$D$8:$F$8,1,MATCH('Rekomendasi HAV'!N782,'9 Grid'!$D$2:$F$2,0)),"")</f>
        <v>(ST) Within 12 - 18 month</v>
      </c>
    </row>
    <row r="783" spans="1:16" ht="28.5">
      <c r="A783" s="67">
        <v>782</v>
      </c>
      <c r="B783" s="68" t="str">
        <f>INDEX(Data_Assessment[],MATCH('Rekomendasi HAV'!$A783,Data_Assessment[[INDEX]:[INDEX]],0),MATCH('Rekomendasi HAV'!B$1,Data_Assessment[#Headers],0))</f>
        <v>Suprapto</v>
      </c>
      <c r="C783" s="68" t="str">
        <f>INDEX(Data_Assessment[],MATCH('Rekomendasi HAV'!$A783,Data_Assessment[[INDEX]:[INDEX]],0),MATCH('Rekomendasi HAV'!C$1,Data_Assessment[#Headers],0))</f>
        <v>Jawa Barat</v>
      </c>
      <c r="D783" s="68" t="str">
        <f>INDEX(Data_Assessment[],MATCH('Rekomendasi HAV'!$A783,Data_Assessment[[INDEX]:[INDEX]],0),MATCH('Rekomendasi HAV'!D$1,Data_Assessment[#Headers],0))</f>
        <v>LSIP - Kertasarie Factory</v>
      </c>
      <c r="E783" s="68">
        <f>INDEX(Data_Assessment[],MATCH('Rekomendasi HAV'!$B783,Data_Assessment[[NAME]:[NAME]],0),MATCH('Rekomendasi HAV'!E$1,Data_Assessment[#Headers],0))</f>
        <v>0</v>
      </c>
      <c r="F783" s="68"/>
      <c r="G783" s="68">
        <f>IF(ISNUMBER(SEARCH("DEV",Assessment[[#This Row],[JOB TARGET]])),SUBSTITUTE(Assessment[[#This Row],[JOB TARGET]],"DEV","EST"),Assessment[[#This Row],[JOB TARGET]])</f>
        <v>0</v>
      </c>
      <c r="H783" s="146" t="str" cm="1">
        <f t="array" aca="1" ref="H783" ca="1">IF(Assessment[[#This Row],[JOB TARGET]]="","Job Target Kosong",IF(COUNT(IF('Data Assessment'!$N783:$Z783-OFFSET(Standar!$B$2,MATCH(Assessment[[#This Row],[JOB TARGET
(EST)]],Standar[NAMA JABATAN],0)-1,1,1,13)&lt;0,1,""))&lt;=3,'9 Grid'!$B$4,IF(COUNT(IF('Data Assessment'!$N783:$Z783-OFFSET(Standar!$B$2,MATCH(Assessment[[#This Row],[JOB TARGET]],Standar[NAMA JABATAN],0)-1,1,1,13)&lt;0,1,""))&gt;=7,'9 Grid'!$B$6,'9 Grid'!$B$5)))</f>
        <v>Job Target Kosong</v>
      </c>
      <c r="I783" s="146" t="str">
        <f>IFERROR(IF(Data_Assessment[[#This Row],[IPP (3 YEARS AVERAGE)]]="","(IPP Belum Ada)",IF(Data_Assessment[[#This Row],[IPP (3 YEARS AVERAGE)]]&lt;2,'9 Grid'!$F$2,IF(Data_Assessment[[#This Row],[IPP (3 YEARS AVERAGE)]]&gt;=4,'9 Grid'!$D$2,'9 Grid'!$E$2))),"")</f>
        <v>Fully Competence Performance</v>
      </c>
      <c r="J783" s="146" t="str">
        <f ca="1">IFERROR(INDEX('9 Grid'!$D$4:$F$6,MATCH('Rekomendasi HAV'!H783,'9 Grid'!$B$4:$B$6,0),MATCH('Rekomendasi HAV'!I783,'9 Grid'!$D$2:$F$2,0)),"")</f>
        <v/>
      </c>
      <c r="K783" s="146" t="str">
        <f>IFERROR(INDEX('9 Grid'!$D$8:$F$8,1,MATCH('Rekomendasi HAV'!I783,'9 Grid'!$D$2:$F$2,0)),"")</f>
        <v>(ST) Within 12 - 18 month</v>
      </c>
      <c r="L783" s="146">
        <f>IF(ISNUMBER(SEARCH("EST",Assessment[[#This Row],[JOB TARGET]])),SUBSTITUTE(Assessment[[#This Row],[JOB TARGET]],"EST","DEV"),Assessment[[#This Row],[JOB TARGET]])</f>
        <v>0</v>
      </c>
      <c r="M783" s="146" t="str" cm="1">
        <f t="array" aca="1" ref="M783" ca="1">IF(Assessment[[#This Row],[JOB TARGET]]="","Job Target Kosong",IF(COUNT(IF('Data Assessment'!$N783:$Z783-OFFSET(Standar!$B$2,MATCH(Assessment[[#This Row],[JOB TARGET
(DEV)]],Standar[NAMA JABATAN],0)-1,1,1,13)&lt;0,1,""))&lt;=3,'9 Grid'!$B$4,IF(COUNT(IF('Data Assessment'!$N783:$Z783-OFFSET(Standar!$B$2,MATCH(Assessment[[#This Row],[JOB TARGET
(DEV)]],Standar[NAMA JABATAN],0)-1,1,1,13)&lt;0,1,""))&gt;=7,'9 Grid'!$B$6,'9 Grid'!$B$5)))</f>
        <v>Job Target Kosong</v>
      </c>
      <c r="N783" s="146" t="str">
        <f>IFERROR(IF(Data_Assessment[[#This Row],[IPP (3 YEARS AVERAGE)]]="","(IPP Belum Ada)",IF(Data_Assessment[[#This Row],[IPP (3 YEARS AVERAGE)]]&lt;2,'9 Grid'!$F$2,IF(Data_Assessment[[#This Row],[IPP (3 YEARS AVERAGE)]]&gt;=4,'9 Grid'!$D$2,'9 Grid'!$E$2))),"")</f>
        <v>Fully Competence Performance</v>
      </c>
      <c r="O783" s="146" t="str">
        <f ca="1">IFERROR(INDEX('9 Grid'!$D$4:$F$6,MATCH('Rekomendasi HAV'!M783,'9 Grid'!$B$4:$B$6,0),MATCH('Rekomendasi HAV'!N783,'9 Grid'!$D$2:$F$2,0)),"")</f>
        <v/>
      </c>
      <c r="P783" s="147" t="str">
        <f>IFERROR(INDEX('9 Grid'!$D$8:$F$8,1,MATCH('Rekomendasi HAV'!N783,'9 Grid'!$D$2:$F$2,0)),"")</f>
        <v>(ST) Within 12 - 18 month</v>
      </c>
    </row>
    <row r="784" spans="1:16" ht="28.5">
      <c r="A784" s="67">
        <v>783</v>
      </c>
      <c r="B784" s="68" t="str">
        <f>INDEX(Data_Assessment[],MATCH('Rekomendasi HAV'!$A784,Data_Assessment[[INDEX]:[INDEX]],0),MATCH('Rekomendasi HAV'!B$1,Data_Assessment[#Headers],0))</f>
        <v>Abdul Wahid</v>
      </c>
      <c r="C784" s="68" t="str">
        <f>INDEX(Data_Assessment[],MATCH('Rekomendasi HAV'!$A784,Data_Assessment[[INDEX]:[INDEX]],0),MATCH('Rekomendasi HAV'!C$1,Data_Assessment[#Headers],0))</f>
        <v>Jawa Barat</v>
      </c>
      <c r="D784" s="68" t="str">
        <f>INDEX(Data_Assessment[],MATCH('Rekomendasi HAV'!$A784,Data_Assessment[[INDEX]:[INDEX]],0),MATCH('Rekomendasi HAV'!D$1,Data_Assessment[#Headers],0))</f>
        <v>LSIP - Kertasarie Factory</v>
      </c>
      <c r="E784" s="68">
        <f>INDEX(Data_Assessment[],MATCH('Rekomendasi HAV'!$B784,Data_Assessment[[NAME]:[NAME]],0),MATCH('Rekomendasi HAV'!E$1,Data_Assessment[#Headers],0))</f>
        <v>0</v>
      </c>
      <c r="F784" s="68"/>
      <c r="G784" s="68">
        <f>IF(ISNUMBER(SEARCH("DEV",Assessment[[#This Row],[JOB TARGET]])),SUBSTITUTE(Assessment[[#This Row],[JOB TARGET]],"DEV","EST"),Assessment[[#This Row],[JOB TARGET]])</f>
        <v>0</v>
      </c>
      <c r="H784" s="146" t="str" cm="1">
        <f t="array" aca="1" ref="H784" ca="1">IF(Assessment[[#This Row],[JOB TARGET]]="","Job Target Kosong",IF(COUNT(IF('Data Assessment'!$N784:$Z784-OFFSET(Standar!$B$2,MATCH(Assessment[[#This Row],[JOB TARGET
(EST)]],Standar[NAMA JABATAN],0)-1,1,1,13)&lt;0,1,""))&lt;=3,'9 Grid'!$B$4,IF(COUNT(IF('Data Assessment'!$N784:$Z784-OFFSET(Standar!$B$2,MATCH(Assessment[[#This Row],[JOB TARGET]],Standar[NAMA JABATAN],0)-1,1,1,13)&lt;0,1,""))&gt;=7,'9 Grid'!$B$6,'9 Grid'!$B$5)))</f>
        <v>Job Target Kosong</v>
      </c>
      <c r="I784" s="146" t="str">
        <f>IFERROR(IF(Data_Assessment[[#This Row],[IPP (3 YEARS AVERAGE)]]="","(IPP Belum Ada)",IF(Data_Assessment[[#This Row],[IPP (3 YEARS AVERAGE)]]&lt;2,'9 Grid'!$F$2,IF(Data_Assessment[[#This Row],[IPP (3 YEARS AVERAGE)]]&gt;=4,'9 Grid'!$D$2,'9 Grid'!$E$2))),"")</f>
        <v>Fully Competence Performance</v>
      </c>
      <c r="J784" s="146" t="str">
        <f ca="1">IFERROR(INDEX('9 Grid'!$D$4:$F$6,MATCH('Rekomendasi HAV'!H784,'9 Grid'!$B$4:$B$6,0),MATCH('Rekomendasi HAV'!I784,'9 Grid'!$D$2:$F$2,0)),"")</f>
        <v/>
      </c>
      <c r="K784" s="146" t="str">
        <f>IFERROR(INDEX('9 Grid'!$D$8:$F$8,1,MATCH('Rekomendasi HAV'!I784,'9 Grid'!$D$2:$F$2,0)),"")</f>
        <v>(ST) Within 12 - 18 month</v>
      </c>
      <c r="L784" s="146">
        <f>IF(ISNUMBER(SEARCH("EST",Assessment[[#This Row],[JOB TARGET]])),SUBSTITUTE(Assessment[[#This Row],[JOB TARGET]],"EST","DEV"),Assessment[[#This Row],[JOB TARGET]])</f>
        <v>0</v>
      </c>
      <c r="M784" s="146" t="str" cm="1">
        <f t="array" aca="1" ref="M784" ca="1">IF(Assessment[[#This Row],[JOB TARGET]]="","Job Target Kosong",IF(COUNT(IF('Data Assessment'!$N784:$Z784-OFFSET(Standar!$B$2,MATCH(Assessment[[#This Row],[JOB TARGET
(DEV)]],Standar[NAMA JABATAN],0)-1,1,1,13)&lt;0,1,""))&lt;=3,'9 Grid'!$B$4,IF(COUNT(IF('Data Assessment'!$N784:$Z784-OFFSET(Standar!$B$2,MATCH(Assessment[[#This Row],[JOB TARGET
(DEV)]],Standar[NAMA JABATAN],0)-1,1,1,13)&lt;0,1,""))&gt;=7,'9 Grid'!$B$6,'9 Grid'!$B$5)))</f>
        <v>Job Target Kosong</v>
      </c>
      <c r="N784" s="146" t="str">
        <f>IFERROR(IF(Data_Assessment[[#This Row],[IPP (3 YEARS AVERAGE)]]="","(IPP Belum Ada)",IF(Data_Assessment[[#This Row],[IPP (3 YEARS AVERAGE)]]&lt;2,'9 Grid'!$F$2,IF(Data_Assessment[[#This Row],[IPP (3 YEARS AVERAGE)]]&gt;=4,'9 Grid'!$D$2,'9 Grid'!$E$2))),"")</f>
        <v>Fully Competence Performance</v>
      </c>
      <c r="O784" s="146" t="str">
        <f ca="1">IFERROR(INDEX('9 Grid'!$D$4:$F$6,MATCH('Rekomendasi HAV'!M784,'9 Grid'!$B$4:$B$6,0),MATCH('Rekomendasi HAV'!N784,'9 Grid'!$D$2:$F$2,0)),"")</f>
        <v/>
      </c>
      <c r="P784" s="147" t="str">
        <f>IFERROR(INDEX('9 Grid'!$D$8:$F$8,1,MATCH('Rekomendasi HAV'!N784,'9 Grid'!$D$2:$F$2,0)),"")</f>
        <v>(ST) Within 12 - 18 month</v>
      </c>
    </row>
    <row r="785" spans="1:16" ht="28.5">
      <c r="A785" s="67">
        <v>784</v>
      </c>
      <c r="B785" s="68" t="str">
        <f>INDEX(Data_Assessment[],MATCH('Rekomendasi HAV'!$A785,Data_Assessment[[INDEX]:[INDEX]],0),MATCH('Rekomendasi HAV'!B$1,Data_Assessment[#Headers],0))</f>
        <v>Kurnia Aprialdy Milala</v>
      </c>
      <c r="C785" s="68" t="str">
        <f>INDEX(Data_Assessment[],MATCH('Rekomendasi HAV'!$A785,Data_Assessment[[INDEX]:[INDEX]],0),MATCH('Rekomendasi HAV'!C$1,Data_Assessment[#Headers],0))</f>
        <v>Jawa Timur</v>
      </c>
      <c r="D785" s="68" t="str">
        <f>INDEX(Data_Assessment[],MATCH('Rekomendasi HAV'!$A785,Data_Assessment[[INDEX]:[INDEX]],0),MATCH('Rekomendasi HAV'!D$1,Data_Assessment[#Headers],0))</f>
        <v>LSIP - Treblasala Factory</v>
      </c>
      <c r="E785" s="68">
        <f>INDEX(Data_Assessment[],MATCH('Rekomendasi HAV'!$B785,Data_Assessment[[NAME]:[NAME]],0),MATCH('Rekomendasi HAV'!E$1,Data_Assessment[#Headers],0))</f>
        <v>0</v>
      </c>
      <c r="F785" s="68"/>
      <c r="G785" s="68">
        <f>IF(ISNUMBER(SEARCH("DEV",Assessment[[#This Row],[JOB TARGET]])),SUBSTITUTE(Assessment[[#This Row],[JOB TARGET]],"DEV","EST"),Assessment[[#This Row],[JOB TARGET]])</f>
        <v>0</v>
      </c>
      <c r="H785" s="146" t="str" cm="1">
        <f t="array" aca="1" ref="H785" ca="1">IF(Assessment[[#This Row],[JOB TARGET]]="","Job Target Kosong",IF(COUNT(IF('Data Assessment'!$N785:$Z785-OFFSET(Standar!$B$2,MATCH(Assessment[[#This Row],[JOB TARGET
(EST)]],Standar[NAMA JABATAN],0)-1,1,1,13)&lt;0,1,""))&lt;=3,'9 Grid'!$B$4,IF(COUNT(IF('Data Assessment'!$N785:$Z785-OFFSET(Standar!$B$2,MATCH(Assessment[[#This Row],[JOB TARGET]],Standar[NAMA JABATAN],0)-1,1,1,13)&lt;0,1,""))&gt;=7,'9 Grid'!$B$6,'9 Grid'!$B$5)))</f>
        <v>Job Target Kosong</v>
      </c>
      <c r="I785" s="146" t="str">
        <f>IFERROR(IF(Data_Assessment[[#This Row],[IPP (3 YEARS AVERAGE)]]="","(IPP Belum Ada)",IF(Data_Assessment[[#This Row],[IPP (3 YEARS AVERAGE)]]&lt;2,'9 Grid'!$F$2,IF(Data_Assessment[[#This Row],[IPP (3 YEARS AVERAGE)]]&gt;=4,'9 Grid'!$D$2,'9 Grid'!$E$2))),"")</f>
        <v>Contributor</v>
      </c>
      <c r="J785" s="146" t="str">
        <f ca="1">IFERROR(INDEX('9 Grid'!$D$4:$F$6,MATCH('Rekomendasi HAV'!H785,'9 Grid'!$B$4:$B$6,0),MATCH('Rekomendasi HAV'!I785,'9 Grid'!$D$2:$F$2,0)),"")</f>
        <v/>
      </c>
      <c r="K785" s="146" t="str">
        <f>IFERROR(INDEX('9 Grid'!$D$8:$F$8,1,MATCH('Rekomendasi HAV'!I785,'9 Grid'!$D$2:$F$2,0)),"")</f>
        <v>(LT) More 2 - 3 year</v>
      </c>
      <c r="L785" s="146">
        <f>IF(ISNUMBER(SEARCH("EST",Assessment[[#This Row],[JOB TARGET]])),SUBSTITUTE(Assessment[[#This Row],[JOB TARGET]],"EST","DEV"),Assessment[[#This Row],[JOB TARGET]])</f>
        <v>0</v>
      </c>
      <c r="M785" s="146" t="str" cm="1">
        <f t="array" aca="1" ref="M785" ca="1">IF(Assessment[[#This Row],[JOB TARGET]]="","Job Target Kosong",IF(COUNT(IF('Data Assessment'!$N785:$Z785-OFFSET(Standar!$B$2,MATCH(Assessment[[#This Row],[JOB TARGET
(DEV)]],Standar[NAMA JABATAN],0)-1,1,1,13)&lt;0,1,""))&lt;=3,'9 Grid'!$B$4,IF(COUNT(IF('Data Assessment'!$N785:$Z785-OFFSET(Standar!$B$2,MATCH(Assessment[[#This Row],[JOB TARGET
(DEV)]],Standar[NAMA JABATAN],0)-1,1,1,13)&lt;0,1,""))&gt;=7,'9 Grid'!$B$6,'9 Grid'!$B$5)))</f>
        <v>Job Target Kosong</v>
      </c>
      <c r="N785" s="146" t="str">
        <f>IFERROR(IF(Data_Assessment[[#This Row],[IPP (3 YEARS AVERAGE)]]="","(IPP Belum Ada)",IF(Data_Assessment[[#This Row],[IPP (3 YEARS AVERAGE)]]&lt;2,'9 Grid'!$F$2,IF(Data_Assessment[[#This Row],[IPP (3 YEARS AVERAGE)]]&gt;=4,'9 Grid'!$D$2,'9 Grid'!$E$2))),"")</f>
        <v>Contributor</v>
      </c>
      <c r="O785" s="146" t="str">
        <f ca="1">IFERROR(INDEX('9 Grid'!$D$4:$F$6,MATCH('Rekomendasi HAV'!M785,'9 Grid'!$B$4:$B$6,0),MATCH('Rekomendasi HAV'!N785,'9 Grid'!$D$2:$F$2,0)),"")</f>
        <v/>
      </c>
      <c r="P785" s="147" t="str">
        <f>IFERROR(INDEX('9 Grid'!$D$8:$F$8,1,MATCH('Rekomendasi HAV'!N785,'9 Grid'!$D$2:$F$2,0)),"")</f>
        <v>(LT) More 2 - 3 year</v>
      </c>
    </row>
    <row r="786" spans="1:16" ht="14.25">
      <c r="A786" s="67">
        <v>785</v>
      </c>
      <c r="B786" s="68" t="str">
        <f>INDEX(Data_Assessment[],MATCH('Rekomendasi HAV'!$A786,Data_Assessment[[INDEX]:[INDEX]],0),MATCH('Rekomendasi HAV'!B$1,Data_Assessment[#Headers],0))</f>
        <v>Nursianto</v>
      </c>
      <c r="C786" s="68" t="str">
        <f>INDEX(Data_Assessment[],MATCH('Rekomendasi HAV'!$A786,Data_Assessment[[INDEX]:[INDEX]],0),MATCH('Rekomendasi HAV'!C$1,Data_Assessment[#Headers],0))</f>
        <v>Jawa Barat</v>
      </c>
      <c r="D786" s="68" t="str">
        <f>INDEX(Data_Assessment[],MATCH('Rekomendasi HAV'!$A786,Data_Assessment[[INDEX]:[INDEX]],0),MATCH('Rekomendasi HAV'!D$1,Data_Assessment[#Headers],0))</f>
        <v>PL - Pasir Luhur Estate</v>
      </c>
      <c r="E786" s="68">
        <f>INDEX(Data_Assessment[],MATCH('Rekomendasi HAV'!$B786,Data_Assessment[[NAME]:[NAME]],0),MATCH('Rekomendasi HAV'!E$1,Data_Assessment[#Headers],0))</f>
        <v>0</v>
      </c>
      <c r="F786" s="68"/>
      <c r="G786" s="68">
        <f>IF(ISNUMBER(SEARCH("DEV",Assessment[[#This Row],[JOB TARGET]])),SUBSTITUTE(Assessment[[#This Row],[JOB TARGET]],"DEV","EST"),Assessment[[#This Row],[JOB TARGET]])</f>
        <v>0</v>
      </c>
      <c r="H786" s="146" t="str" cm="1">
        <f t="array" aca="1" ref="H786" ca="1">IF(Assessment[[#This Row],[JOB TARGET]]="","Job Target Kosong",IF(COUNT(IF('Data Assessment'!$N786:$Z786-OFFSET(Standar!$B$2,MATCH(Assessment[[#This Row],[JOB TARGET
(EST)]],Standar[NAMA JABATAN],0)-1,1,1,13)&lt;0,1,""))&lt;=3,'9 Grid'!$B$4,IF(COUNT(IF('Data Assessment'!$N786:$Z786-OFFSET(Standar!$B$2,MATCH(Assessment[[#This Row],[JOB TARGET]],Standar[NAMA JABATAN],0)-1,1,1,13)&lt;0,1,""))&gt;=7,'9 Grid'!$B$6,'9 Grid'!$B$5)))</f>
        <v>Job Target Kosong</v>
      </c>
      <c r="I786" s="146" t="str">
        <f>IFERROR(IF(Data_Assessment[[#This Row],[IPP (3 YEARS AVERAGE)]]="","(IPP Belum Ada)",IF(Data_Assessment[[#This Row],[IPP (3 YEARS AVERAGE)]]&lt;2,'9 Grid'!$F$2,IF(Data_Assessment[[#This Row],[IPP (3 YEARS AVERAGE)]]&gt;=4,'9 Grid'!$D$2,'9 Grid'!$E$2))),"")</f>
        <v>Exceptional Performance</v>
      </c>
      <c r="J786" s="146" t="str">
        <f ca="1">IFERROR(INDEX('9 Grid'!$D$4:$F$6,MATCH('Rekomendasi HAV'!H786,'9 Grid'!$B$4:$B$6,0),MATCH('Rekomendasi HAV'!I786,'9 Grid'!$D$2:$F$2,0)),"")</f>
        <v/>
      </c>
      <c r="K786" s="146" t="str">
        <f>IFERROR(INDEX('9 Grid'!$D$8:$F$8,1,MATCH('Rekomendasi HAV'!I786,'9 Grid'!$D$2:$F$2,0)),"")</f>
        <v>(I) Immediately</v>
      </c>
      <c r="L786" s="146">
        <f>IF(ISNUMBER(SEARCH("EST",Assessment[[#This Row],[JOB TARGET]])),SUBSTITUTE(Assessment[[#This Row],[JOB TARGET]],"EST","DEV"),Assessment[[#This Row],[JOB TARGET]])</f>
        <v>0</v>
      </c>
      <c r="M786" s="146" t="str" cm="1">
        <f t="array" aca="1" ref="M786" ca="1">IF(Assessment[[#This Row],[JOB TARGET]]="","Job Target Kosong",IF(COUNT(IF('Data Assessment'!$N786:$Z786-OFFSET(Standar!$B$2,MATCH(Assessment[[#This Row],[JOB TARGET
(DEV)]],Standar[NAMA JABATAN],0)-1,1,1,13)&lt;0,1,""))&lt;=3,'9 Grid'!$B$4,IF(COUNT(IF('Data Assessment'!$N786:$Z786-OFFSET(Standar!$B$2,MATCH(Assessment[[#This Row],[JOB TARGET
(DEV)]],Standar[NAMA JABATAN],0)-1,1,1,13)&lt;0,1,""))&gt;=7,'9 Grid'!$B$6,'9 Grid'!$B$5)))</f>
        <v>Job Target Kosong</v>
      </c>
      <c r="N786" s="146" t="str">
        <f>IFERROR(IF(Data_Assessment[[#This Row],[IPP (3 YEARS AVERAGE)]]="","(IPP Belum Ada)",IF(Data_Assessment[[#This Row],[IPP (3 YEARS AVERAGE)]]&lt;2,'9 Grid'!$F$2,IF(Data_Assessment[[#This Row],[IPP (3 YEARS AVERAGE)]]&gt;=4,'9 Grid'!$D$2,'9 Grid'!$E$2))),"")</f>
        <v>Exceptional Performance</v>
      </c>
      <c r="O786" s="146" t="str">
        <f ca="1">IFERROR(INDEX('9 Grid'!$D$4:$F$6,MATCH('Rekomendasi HAV'!M786,'9 Grid'!$B$4:$B$6,0),MATCH('Rekomendasi HAV'!N786,'9 Grid'!$D$2:$F$2,0)),"")</f>
        <v/>
      </c>
      <c r="P786" s="147" t="str">
        <f>IFERROR(INDEX('9 Grid'!$D$8:$F$8,1,MATCH('Rekomendasi HAV'!N786,'9 Grid'!$D$2:$F$2,0)),"")</f>
        <v>(I) Immediately</v>
      </c>
    </row>
    <row r="787" spans="1:16" ht="28.5">
      <c r="A787" s="67">
        <v>786</v>
      </c>
      <c r="B787" s="68" t="str">
        <f>INDEX(Data_Assessment[],MATCH('Rekomendasi HAV'!$A787,Data_Assessment[[INDEX]:[INDEX]],0),MATCH('Rekomendasi HAV'!B$1,Data_Assessment[#Headers],0))</f>
        <v>Mahyudin</v>
      </c>
      <c r="C787" s="68" t="str">
        <f>INDEX(Data_Assessment[],MATCH('Rekomendasi HAV'!$A787,Data_Assessment[[INDEX]:[INDEX]],0),MATCH('Rekomendasi HAV'!C$1,Data_Assessment[#Headers],0))</f>
        <v>Jawa Barat</v>
      </c>
      <c r="D787" s="68" t="str">
        <f>INDEX(Data_Assessment[],MATCH('Rekomendasi HAV'!$A787,Data_Assessment[[INDEX]:[INDEX]],0),MATCH('Rekomendasi HAV'!D$1,Data_Assessment[#Headers],0))</f>
        <v>PL - Pasir Luhur Estate</v>
      </c>
      <c r="E787" s="68">
        <f>INDEX(Data_Assessment[],MATCH('Rekomendasi HAV'!$B787,Data_Assessment[[NAME]:[NAME]],0),MATCH('Rekomendasi HAV'!E$1,Data_Assessment[#Headers],0))</f>
        <v>0</v>
      </c>
      <c r="F787" s="68"/>
      <c r="G787" s="68">
        <f>IF(ISNUMBER(SEARCH("DEV",Assessment[[#This Row],[JOB TARGET]])),SUBSTITUTE(Assessment[[#This Row],[JOB TARGET]],"DEV","EST"),Assessment[[#This Row],[JOB TARGET]])</f>
        <v>0</v>
      </c>
      <c r="H787" s="146" t="str" cm="1">
        <f t="array" aca="1" ref="H787" ca="1">IF(Assessment[[#This Row],[JOB TARGET]]="","Job Target Kosong",IF(COUNT(IF('Data Assessment'!$N787:$Z787-OFFSET(Standar!$B$2,MATCH(Assessment[[#This Row],[JOB TARGET
(EST)]],Standar[NAMA JABATAN],0)-1,1,1,13)&lt;0,1,""))&lt;=3,'9 Grid'!$B$4,IF(COUNT(IF('Data Assessment'!$N787:$Z787-OFFSET(Standar!$B$2,MATCH(Assessment[[#This Row],[JOB TARGET]],Standar[NAMA JABATAN],0)-1,1,1,13)&lt;0,1,""))&gt;=7,'9 Grid'!$B$6,'9 Grid'!$B$5)))</f>
        <v>Job Target Kosong</v>
      </c>
      <c r="I787" s="146" t="str">
        <f>IFERROR(IF(Data_Assessment[[#This Row],[IPP (3 YEARS AVERAGE)]]="","(IPP Belum Ada)",IF(Data_Assessment[[#This Row],[IPP (3 YEARS AVERAGE)]]&lt;2,'9 Grid'!$F$2,IF(Data_Assessment[[#This Row],[IPP (3 YEARS AVERAGE)]]&gt;=4,'9 Grid'!$D$2,'9 Grid'!$E$2))),"")</f>
        <v>Fully Competence Performance</v>
      </c>
      <c r="J787" s="146" t="str">
        <f ca="1">IFERROR(INDEX('9 Grid'!$D$4:$F$6,MATCH('Rekomendasi HAV'!H787,'9 Grid'!$B$4:$B$6,0),MATCH('Rekomendasi HAV'!I787,'9 Grid'!$D$2:$F$2,0)),"")</f>
        <v/>
      </c>
      <c r="K787" s="146" t="str">
        <f>IFERROR(INDEX('9 Grid'!$D$8:$F$8,1,MATCH('Rekomendasi HAV'!I787,'9 Grid'!$D$2:$F$2,0)),"")</f>
        <v>(ST) Within 12 - 18 month</v>
      </c>
      <c r="L787" s="146">
        <f>IF(ISNUMBER(SEARCH("EST",Assessment[[#This Row],[JOB TARGET]])),SUBSTITUTE(Assessment[[#This Row],[JOB TARGET]],"EST","DEV"),Assessment[[#This Row],[JOB TARGET]])</f>
        <v>0</v>
      </c>
      <c r="M787" s="146" t="str" cm="1">
        <f t="array" aca="1" ref="M787" ca="1">IF(Assessment[[#This Row],[JOB TARGET]]="","Job Target Kosong",IF(COUNT(IF('Data Assessment'!$N787:$Z787-OFFSET(Standar!$B$2,MATCH(Assessment[[#This Row],[JOB TARGET
(DEV)]],Standar[NAMA JABATAN],0)-1,1,1,13)&lt;0,1,""))&lt;=3,'9 Grid'!$B$4,IF(COUNT(IF('Data Assessment'!$N787:$Z787-OFFSET(Standar!$B$2,MATCH(Assessment[[#This Row],[JOB TARGET
(DEV)]],Standar[NAMA JABATAN],0)-1,1,1,13)&lt;0,1,""))&gt;=7,'9 Grid'!$B$6,'9 Grid'!$B$5)))</f>
        <v>Job Target Kosong</v>
      </c>
      <c r="N787" s="146" t="str">
        <f>IFERROR(IF(Data_Assessment[[#This Row],[IPP (3 YEARS AVERAGE)]]="","(IPP Belum Ada)",IF(Data_Assessment[[#This Row],[IPP (3 YEARS AVERAGE)]]&lt;2,'9 Grid'!$F$2,IF(Data_Assessment[[#This Row],[IPP (3 YEARS AVERAGE)]]&gt;=4,'9 Grid'!$D$2,'9 Grid'!$E$2))),"")</f>
        <v>Fully Competence Performance</v>
      </c>
      <c r="O787" s="146" t="str">
        <f ca="1">IFERROR(INDEX('9 Grid'!$D$4:$F$6,MATCH('Rekomendasi HAV'!M787,'9 Grid'!$B$4:$B$6,0),MATCH('Rekomendasi HAV'!N787,'9 Grid'!$D$2:$F$2,0)),"")</f>
        <v/>
      </c>
      <c r="P787" s="147" t="str">
        <f>IFERROR(INDEX('9 Grid'!$D$8:$F$8,1,MATCH('Rekomendasi HAV'!N787,'9 Grid'!$D$2:$F$2,0)),"")</f>
        <v>(ST) Within 12 - 18 month</v>
      </c>
    </row>
    <row r="788" spans="1:16" ht="28.5">
      <c r="A788" s="67">
        <v>787</v>
      </c>
      <c r="B788" s="68" t="str">
        <f>INDEX(Data_Assessment[],MATCH('Rekomendasi HAV'!$A788,Data_Assessment[[INDEX]:[INDEX]],0),MATCH('Rekomendasi HAV'!B$1,Data_Assessment[#Headers],0))</f>
        <v>Muhammad Fauzan Amiruddin</v>
      </c>
      <c r="C788" s="68" t="str">
        <f>INDEX(Data_Assessment[],MATCH('Rekomendasi HAV'!$A788,Data_Assessment[[INDEX]:[INDEX]],0),MATCH('Rekomendasi HAV'!C$1,Data_Assessment[#Headers],0))</f>
        <v>Jawa Barat</v>
      </c>
      <c r="D788" s="68" t="str">
        <f>INDEX(Data_Assessment[],MATCH('Rekomendasi HAV'!$A788,Data_Assessment[[INDEX]:[INDEX]],0),MATCH('Rekomendasi HAV'!D$1,Data_Assessment[#Headers],0))</f>
        <v>PL - Pasir Luhur Estate</v>
      </c>
      <c r="E788" s="68">
        <f>INDEX(Data_Assessment[],MATCH('Rekomendasi HAV'!$B788,Data_Assessment[[NAME]:[NAME]],0),MATCH('Rekomendasi HAV'!E$1,Data_Assessment[#Headers],0))</f>
        <v>0</v>
      </c>
      <c r="F788" s="68"/>
      <c r="G788" s="68">
        <f>IF(ISNUMBER(SEARCH("DEV",Assessment[[#This Row],[JOB TARGET]])),SUBSTITUTE(Assessment[[#This Row],[JOB TARGET]],"DEV","EST"),Assessment[[#This Row],[JOB TARGET]])</f>
        <v>0</v>
      </c>
      <c r="H788" s="146" t="str" cm="1">
        <f t="array" aca="1" ref="H788" ca="1">IF(Assessment[[#This Row],[JOB TARGET]]="","Job Target Kosong",IF(COUNT(IF('Data Assessment'!$N788:$Z788-OFFSET(Standar!$B$2,MATCH(Assessment[[#This Row],[JOB TARGET
(EST)]],Standar[NAMA JABATAN],0)-1,1,1,13)&lt;0,1,""))&lt;=3,'9 Grid'!$B$4,IF(COUNT(IF('Data Assessment'!$N788:$Z788-OFFSET(Standar!$B$2,MATCH(Assessment[[#This Row],[JOB TARGET]],Standar[NAMA JABATAN],0)-1,1,1,13)&lt;0,1,""))&gt;=7,'9 Grid'!$B$6,'9 Grid'!$B$5)))</f>
        <v>Job Target Kosong</v>
      </c>
      <c r="I788" s="146" t="str">
        <f>IFERROR(IF(Data_Assessment[[#This Row],[IPP (3 YEARS AVERAGE)]]="","(IPP Belum Ada)",IF(Data_Assessment[[#This Row],[IPP (3 YEARS AVERAGE)]]&lt;2,'9 Grid'!$F$2,IF(Data_Assessment[[#This Row],[IPP (3 YEARS AVERAGE)]]&gt;=4,'9 Grid'!$D$2,'9 Grid'!$E$2))),"")</f>
        <v>Fully Competence Performance</v>
      </c>
      <c r="J788" s="146" t="str">
        <f ca="1">IFERROR(INDEX('9 Grid'!$D$4:$F$6,MATCH('Rekomendasi HAV'!H788,'9 Grid'!$B$4:$B$6,0),MATCH('Rekomendasi HAV'!I788,'9 Grid'!$D$2:$F$2,0)),"")</f>
        <v/>
      </c>
      <c r="K788" s="146" t="str">
        <f>IFERROR(INDEX('9 Grid'!$D$8:$F$8,1,MATCH('Rekomendasi HAV'!I788,'9 Grid'!$D$2:$F$2,0)),"")</f>
        <v>(ST) Within 12 - 18 month</v>
      </c>
      <c r="L788" s="146">
        <f>IF(ISNUMBER(SEARCH("EST",Assessment[[#This Row],[JOB TARGET]])),SUBSTITUTE(Assessment[[#This Row],[JOB TARGET]],"EST","DEV"),Assessment[[#This Row],[JOB TARGET]])</f>
        <v>0</v>
      </c>
      <c r="M788" s="146" t="str" cm="1">
        <f t="array" aca="1" ref="M788" ca="1">IF(Assessment[[#This Row],[JOB TARGET]]="","Job Target Kosong",IF(COUNT(IF('Data Assessment'!$N788:$Z788-OFFSET(Standar!$B$2,MATCH(Assessment[[#This Row],[JOB TARGET
(DEV)]],Standar[NAMA JABATAN],0)-1,1,1,13)&lt;0,1,""))&lt;=3,'9 Grid'!$B$4,IF(COUNT(IF('Data Assessment'!$N788:$Z788-OFFSET(Standar!$B$2,MATCH(Assessment[[#This Row],[JOB TARGET
(DEV)]],Standar[NAMA JABATAN],0)-1,1,1,13)&lt;0,1,""))&gt;=7,'9 Grid'!$B$6,'9 Grid'!$B$5)))</f>
        <v>Job Target Kosong</v>
      </c>
      <c r="N788" s="146" t="str">
        <f>IFERROR(IF(Data_Assessment[[#This Row],[IPP (3 YEARS AVERAGE)]]="","(IPP Belum Ada)",IF(Data_Assessment[[#This Row],[IPP (3 YEARS AVERAGE)]]&lt;2,'9 Grid'!$F$2,IF(Data_Assessment[[#This Row],[IPP (3 YEARS AVERAGE)]]&gt;=4,'9 Grid'!$D$2,'9 Grid'!$E$2))),"")</f>
        <v>Fully Competence Performance</v>
      </c>
      <c r="O788" s="146" t="str">
        <f ca="1">IFERROR(INDEX('9 Grid'!$D$4:$F$6,MATCH('Rekomendasi HAV'!M788,'9 Grid'!$B$4:$B$6,0),MATCH('Rekomendasi HAV'!N788,'9 Grid'!$D$2:$F$2,0)),"")</f>
        <v/>
      </c>
      <c r="P788" s="147" t="str">
        <f>IFERROR(INDEX('9 Grid'!$D$8:$F$8,1,MATCH('Rekomendasi HAV'!N788,'9 Grid'!$D$2:$F$2,0)),"")</f>
        <v>(ST) Within 12 - 18 month</v>
      </c>
    </row>
    <row r="789" spans="1:16" ht="28.5">
      <c r="A789" s="67">
        <v>788</v>
      </c>
      <c r="B789" s="68" t="str">
        <f>INDEX(Data_Assessment[],MATCH('Rekomendasi HAV'!$A789,Data_Assessment[[INDEX]:[INDEX]],0),MATCH('Rekomendasi HAV'!B$1,Data_Assessment[#Headers],0))</f>
        <v>Oktaviyanus, ST</v>
      </c>
      <c r="C789" s="68" t="str">
        <f>INDEX(Data_Assessment[],MATCH('Rekomendasi HAV'!$A789,Data_Assessment[[INDEX]:[INDEX]],0),MATCH('Rekomendasi HAV'!C$1,Data_Assessment[#Headers],0))</f>
        <v>Sumatera Selatan</v>
      </c>
      <c r="D789" s="68" t="str">
        <f>INDEX(Data_Assessment[],MATCH('Rekomendasi HAV'!$A789,Data_Assessment[[INDEX]:[INDEX]],0),MATCH('Rekomendasi HAV'!D$1,Data_Assessment[#Headers],0))</f>
        <v>LSIP - RO Palembang</v>
      </c>
      <c r="E789" s="68">
        <f>INDEX(Data_Assessment[],MATCH('Rekomendasi HAV'!$B789,Data_Assessment[[NAME]:[NAME]],0),MATCH('Rekomendasi HAV'!E$1,Data_Assessment[#Headers],0))</f>
        <v>0</v>
      </c>
      <c r="F789" s="68"/>
      <c r="G789" s="68">
        <f>IF(ISNUMBER(SEARCH("DEV",Assessment[[#This Row],[JOB TARGET]])),SUBSTITUTE(Assessment[[#This Row],[JOB TARGET]],"DEV","EST"),Assessment[[#This Row],[JOB TARGET]])</f>
        <v>0</v>
      </c>
      <c r="H789" s="146" t="str" cm="1">
        <f t="array" aca="1" ref="H789" ca="1">IF(Assessment[[#This Row],[JOB TARGET]]="","Job Target Kosong",IF(COUNT(IF('Data Assessment'!$N789:$Z789-OFFSET(Standar!$B$2,MATCH(Assessment[[#This Row],[JOB TARGET
(EST)]],Standar[NAMA JABATAN],0)-1,1,1,13)&lt;0,1,""))&lt;=3,'9 Grid'!$B$4,IF(COUNT(IF('Data Assessment'!$N789:$Z789-OFFSET(Standar!$B$2,MATCH(Assessment[[#This Row],[JOB TARGET]],Standar[NAMA JABATAN],0)-1,1,1,13)&lt;0,1,""))&gt;=7,'9 Grid'!$B$6,'9 Grid'!$B$5)))</f>
        <v>Job Target Kosong</v>
      </c>
      <c r="I789" s="146" t="str">
        <f>IFERROR(IF(Data_Assessment[[#This Row],[IPP (3 YEARS AVERAGE)]]="","(IPP Belum Ada)",IF(Data_Assessment[[#This Row],[IPP (3 YEARS AVERAGE)]]&lt;2,'9 Grid'!$F$2,IF(Data_Assessment[[#This Row],[IPP (3 YEARS AVERAGE)]]&gt;=4,'9 Grid'!$D$2,'9 Grid'!$E$2))),"")</f>
        <v>Fully Competence Performance</v>
      </c>
      <c r="J789" s="146" t="str">
        <f ca="1">IFERROR(INDEX('9 Grid'!$D$4:$F$6,MATCH('Rekomendasi HAV'!H789,'9 Grid'!$B$4:$B$6,0),MATCH('Rekomendasi HAV'!I789,'9 Grid'!$D$2:$F$2,0)),"")</f>
        <v/>
      </c>
      <c r="K789" s="146" t="str">
        <f>IFERROR(INDEX('9 Grid'!$D$8:$F$8,1,MATCH('Rekomendasi HAV'!I789,'9 Grid'!$D$2:$F$2,0)),"")</f>
        <v>(ST) Within 12 - 18 month</v>
      </c>
      <c r="L789" s="146">
        <f>IF(ISNUMBER(SEARCH("EST",Assessment[[#This Row],[JOB TARGET]])),SUBSTITUTE(Assessment[[#This Row],[JOB TARGET]],"EST","DEV"),Assessment[[#This Row],[JOB TARGET]])</f>
        <v>0</v>
      </c>
      <c r="M789" s="146" t="str" cm="1">
        <f t="array" aca="1" ref="M789" ca="1">IF(Assessment[[#This Row],[JOB TARGET]]="","Job Target Kosong",IF(COUNT(IF('Data Assessment'!$N789:$Z789-OFFSET(Standar!$B$2,MATCH(Assessment[[#This Row],[JOB TARGET
(DEV)]],Standar[NAMA JABATAN],0)-1,1,1,13)&lt;0,1,""))&lt;=3,'9 Grid'!$B$4,IF(COUNT(IF('Data Assessment'!$N789:$Z789-OFFSET(Standar!$B$2,MATCH(Assessment[[#This Row],[JOB TARGET
(DEV)]],Standar[NAMA JABATAN],0)-1,1,1,13)&lt;0,1,""))&gt;=7,'9 Grid'!$B$6,'9 Grid'!$B$5)))</f>
        <v>Job Target Kosong</v>
      </c>
      <c r="N789" s="146" t="str">
        <f>IFERROR(IF(Data_Assessment[[#This Row],[IPP (3 YEARS AVERAGE)]]="","(IPP Belum Ada)",IF(Data_Assessment[[#This Row],[IPP (3 YEARS AVERAGE)]]&lt;2,'9 Grid'!$F$2,IF(Data_Assessment[[#This Row],[IPP (3 YEARS AVERAGE)]]&gt;=4,'9 Grid'!$D$2,'9 Grid'!$E$2))),"")</f>
        <v>Fully Competence Performance</v>
      </c>
      <c r="O789" s="146" t="str">
        <f ca="1">IFERROR(INDEX('9 Grid'!$D$4:$F$6,MATCH('Rekomendasi HAV'!M789,'9 Grid'!$B$4:$B$6,0),MATCH('Rekomendasi HAV'!N789,'9 Grid'!$D$2:$F$2,0)),"")</f>
        <v/>
      </c>
      <c r="P789" s="147" t="str">
        <f>IFERROR(INDEX('9 Grid'!$D$8:$F$8,1,MATCH('Rekomendasi HAV'!N789,'9 Grid'!$D$2:$F$2,0)),"")</f>
        <v>(ST) Within 12 - 18 month</v>
      </c>
    </row>
    <row r="790" spans="1:16" ht="28.5">
      <c r="A790" s="67">
        <v>789</v>
      </c>
      <c r="B790" s="68" t="str">
        <f>INDEX(Data_Assessment[],MATCH('Rekomendasi HAV'!$A790,Data_Assessment[[INDEX]:[INDEX]],0),MATCH('Rekomendasi HAV'!B$1,Data_Assessment[#Headers],0))</f>
        <v>Hendrik Sahrul Saputra</v>
      </c>
      <c r="C790" s="68" t="str">
        <f>INDEX(Data_Assessment[],MATCH('Rekomendasi HAV'!$A790,Data_Assessment[[INDEX]:[INDEX]],0),MATCH('Rekomendasi HAV'!C$1,Data_Assessment[#Headers],0))</f>
        <v>Sumatera Selatan</v>
      </c>
      <c r="D790" s="68" t="str">
        <f>INDEX(Data_Assessment[],MATCH('Rekomendasi HAV'!$A790,Data_Assessment[[INDEX]:[INDEX]],0),MATCH('Rekomendasi HAV'!D$1,Data_Assessment[#Headers],0))</f>
        <v>LSIP - Suka Damai Estate</v>
      </c>
      <c r="E790" s="68">
        <f>INDEX(Data_Assessment[],MATCH('Rekomendasi HAV'!$B790,Data_Assessment[[NAME]:[NAME]],0),MATCH('Rekomendasi HAV'!E$1,Data_Assessment[#Headers],0))</f>
        <v>0</v>
      </c>
      <c r="F790" s="68"/>
      <c r="G790" s="68">
        <f>IF(ISNUMBER(SEARCH("DEV",Assessment[[#This Row],[JOB TARGET]])),SUBSTITUTE(Assessment[[#This Row],[JOB TARGET]],"DEV","EST"),Assessment[[#This Row],[JOB TARGET]])</f>
        <v>0</v>
      </c>
      <c r="H790" s="146" t="str" cm="1">
        <f t="array" aca="1" ref="H790" ca="1">IF(Assessment[[#This Row],[JOB TARGET]]="","Job Target Kosong",IF(COUNT(IF('Data Assessment'!$N790:$Z790-OFFSET(Standar!$B$2,MATCH(Assessment[[#This Row],[JOB TARGET
(EST)]],Standar[NAMA JABATAN],0)-1,1,1,13)&lt;0,1,""))&lt;=3,'9 Grid'!$B$4,IF(COUNT(IF('Data Assessment'!$N790:$Z790-OFFSET(Standar!$B$2,MATCH(Assessment[[#This Row],[JOB TARGET]],Standar[NAMA JABATAN],0)-1,1,1,13)&lt;0,1,""))&gt;=7,'9 Grid'!$B$6,'9 Grid'!$B$5)))</f>
        <v>Job Target Kosong</v>
      </c>
      <c r="I790" s="146" t="str">
        <f>IFERROR(IF(Data_Assessment[[#This Row],[IPP (3 YEARS AVERAGE)]]="","(IPP Belum Ada)",IF(Data_Assessment[[#This Row],[IPP (3 YEARS AVERAGE)]]&lt;2,'9 Grid'!$F$2,IF(Data_Assessment[[#This Row],[IPP (3 YEARS AVERAGE)]]&gt;=4,'9 Grid'!$D$2,'9 Grid'!$E$2))),"")</f>
        <v>Contributor</v>
      </c>
      <c r="J790" s="146" t="str">
        <f ca="1">IFERROR(INDEX('9 Grid'!$D$4:$F$6,MATCH('Rekomendasi HAV'!H790,'9 Grid'!$B$4:$B$6,0),MATCH('Rekomendasi HAV'!I790,'9 Grid'!$D$2:$F$2,0)),"")</f>
        <v/>
      </c>
      <c r="K790" s="146" t="str">
        <f>IFERROR(INDEX('9 Grid'!$D$8:$F$8,1,MATCH('Rekomendasi HAV'!I790,'9 Grid'!$D$2:$F$2,0)),"")</f>
        <v>(LT) More 2 - 3 year</v>
      </c>
      <c r="L790" s="146">
        <f>IF(ISNUMBER(SEARCH("EST",Assessment[[#This Row],[JOB TARGET]])),SUBSTITUTE(Assessment[[#This Row],[JOB TARGET]],"EST","DEV"),Assessment[[#This Row],[JOB TARGET]])</f>
        <v>0</v>
      </c>
      <c r="M790" s="146" t="str" cm="1">
        <f t="array" aca="1" ref="M790" ca="1">IF(Assessment[[#This Row],[JOB TARGET]]="","Job Target Kosong",IF(COUNT(IF('Data Assessment'!$N790:$Z790-OFFSET(Standar!$B$2,MATCH(Assessment[[#This Row],[JOB TARGET
(DEV)]],Standar[NAMA JABATAN],0)-1,1,1,13)&lt;0,1,""))&lt;=3,'9 Grid'!$B$4,IF(COUNT(IF('Data Assessment'!$N790:$Z790-OFFSET(Standar!$B$2,MATCH(Assessment[[#This Row],[JOB TARGET
(DEV)]],Standar[NAMA JABATAN],0)-1,1,1,13)&lt;0,1,""))&gt;=7,'9 Grid'!$B$6,'9 Grid'!$B$5)))</f>
        <v>Job Target Kosong</v>
      </c>
      <c r="N790" s="146" t="str">
        <f>IFERROR(IF(Data_Assessment[[#This Row],[IPP (3 YEARS AVERAGE)]]="","(IPP Belum Ada)",IF(Data_Assessment[[#This Row],[IPP (3 YEARS AVERAGE)]]&lt;2,'9 Grid'!$F$2,IF(Data_Assessment[[#This Row],[IPP (3 YEARS AVERAGE)]]&gt;=4,'9 Grid'!$D$2,'9 Grid'!$E$2))),"")</f>
        <v>Contributor</v>
      </c>
      <c r="O790" s="146" t="str">
        <f ca="1">IFERROR(INDEX('9 Grid'!$D$4:$F$6,MATCH('Rekomendasi HAV'!M790,'9 Grid'!$B$4:$B$6,0),MATCH('Rekomendasi HAV'!N790,'9 Grid'!$D$2:$F$2,0)),"")</f>
        <v/>
      </c>
      <c r="P790" s="147" t="str">
        <f>IFERROR(INDEX('9 Grid'!$D$8:$F$8,1,MATCH('Rekomendasi HAV'!N790,'9 Grid'!$D$2:$F$2,0)),"")</f>
        <v>(LT) More 2 - 3 year</v>
      </c>
    </row>
    <row r="791" spans="1:16" ht="28.5">
      <c r="A791" s="67">
        <v>790</v>
      </c>
      <c r="B791" s="68" t="str">
        <f>INDEX(Data_Assessment[],MATCH('Rekomendasi HAV'!$A791,Data_Assessment[[INDEX]:[INDEX]],0),MATCH('Rekomendasi HAV'!B$1,Data_Assessment[#Headers],0))</f>
        <v>Muhammad Yusuf Almy</v>
      </c>
      <c r="C791" s="68" t="str">
        <f>INDEX(Data_Assessment[],MATCH('Rekomendasi HAV'!$A791,Data_Assessment[[INDEX]:[INDEX]],0),MATCH('Rekomendasi HAV'!C$1,Data_Assessment[#Headers],0))</f>
        <v>Sumatera Utara</v>
      </c>
      <c r="D791" s="68" t="str">
        <f>INDEX(Data_Assessment[],MATCH('Rekomendasi HAV'!$A791,Data_Assessment[[INDEX]:[INDEX]],0),MATCH('Rekomendasi HAV'!D$1,Data_Assessment[#Headers],0))</f>
        <v>LSIP - Dolok Palm Oil Mill</v>
      </c>
      <c r="E791" s="68">
        <f>INDEX(Data_Assessment[],MATCH('Rekomendasi HAV'!$B791,Data_Assessment[[NAME]:[NAME]],0),MATCH('Rekomendasi HAV'!E$1,Data_Assessment[#Headers],0))</f>
        <v>0</v>
      </c>
      <c r="F791" s="68"/>
      <c r="G791" s="68">
        <f>IF(ISNUMBER(SEARCH("DEV",Assessment[[#This Row],[JOB TARGET]])),SUBSTITUTE(Assessment[[#This Row],[JOB TARGET]],"DEV","EST"),Assessment[[#This Row],[JOB TARGET]])</f>
        <v>0</v>
      </c>
      <c r="H791" s="146" t="str" cm="1">
        <f t="array" aca="1" ref="H791" ca="1">IF(Assessment[[#This Row],[JOB TARGET]]="","Job Target Kosong",IF(COUNT(IF('Data Assessment'!$N791:$Z791-OFFSET(Standar!$B$2,MATCH(Assessment[[#This Row],[JOB TARGET
(EST)]],Standar[NAMA JABATAN],0)-1,1,1,13)&lt;0,1,""))&lt;=3,'9 Grid'!$B$4,IF(COUNT(IF('Data Assessment'!$N791:$Z791-OFFSET(Standar!$B$2,MATCH(Assessment[[#This Row],[JOB TARGET]],Standar[NAMA JABATAN],0)-1,1,1,13)&lt;0,1,""))&gt;=7,'9 Grid'!$B$6,'9 Grid'!$B$5)))</f>
        <v>Job Target Kosong</v>
      </c>
      <c r="I791" s="146" t="str">
        <f>IFERROR(IF(Data_Assessment[[#This Row],[IPP (3 YEARS AVERAGE)]]="","(IPP Belum Ada)",IF(Data_Assessment[[#This Row],[IPP (3 YEARS AVERAGE)]]&lt;2,'9 Grid'!$F$2,IF(Data_Assessment[[#This Row],[IPP (3 YEARS AVERAGE)]]&gt;=4,'9 Grid'!$D$2,'9 Grid'!$E$2))),"")</f>
        <v>Contributor</v>
      </c>
      <c r="J791" s="146" t="str">
        <f ca="1">IFERROR(INDEX('9 Grid'!$D$4:$F$6,MATCH('Rekomendasi HAV'!H791,'9 Grid'!$B$4:$B$6,0),MATCH('Rekomendasi HAV'!I791,'9 Grid'!$D$2:$F$2,0)),"")</f>
        <v/>
      </c>
      <c r="K791" s="146" t="str">
        <f>IFERROR(INDEX('9 Grid'!$D$8:$F$8,1,MATCH('Rekomendasi HAV'!I791,'9 Grid'!$D$2:$F$2,0)),"")</f>
        <v>(LT) More 2 - 3 year</v>
      </c>
      <c r="L791" s="146">
        <f>IF(ISNUMBER(SEARCH("EST",Assessment[[#This Row],[JOB TARGET]])),SUBSTITUTE(Assessment[[#This Row],[JOB TARGET]],"EST","DEV"),Assessment[[#This Row],[JOB TARGET]])</f>
        <v>0</v>
      </c>
      <c r="M791" s="146" t="str" cm="1">
        <f t="array" aca="1" ref="M791" ca="1">IF(Assessment[[#This Row],[JOB TARGET]]="","Job Target Kosong",IF(COUNT(IF('Data Assessment'!$N791:$Z791-OFFSET(Standar!$B$2,MATCH(Assessment[[#This Row],[JOB TARGET
(DEV)]],Standar[NAMA JABATAN],0)-1,1,1,13)&lt;0,1,""))&lt;=3,'9 Grid'!$B$4,IF(COUNT(IF('Data Assessment'!$N791:$Z791-OFFSET(Standar!$B$2,MATCH(Assessment[[#This Row],[JOB TARGET
(DEV)]],Standar[NAMA JABATAN],0)-1,1,1,13)&lt;0,1,""))&gt;=7,'9 Grid'!$B$6,'9 Grid'!$B$5)))</f>
        <v>Job Target Kosong</v>
      </c>
      <c r="N791" s="146" t="str">
        <f>IFERROR(IF(Data_Assessment[[#This Row],[IPP (3 YEARS AVERAGE)]]="","(IPP Belum Ada)",IF(Data_Assessment[[#This Row],[IPP (3 YEARS AVERAGE)]]&lt;2,'9 Grid'!$F$2,IF(Data_Assessment[[#This Row],[IPP (3 YEARS AVERAGE)]]&gt;=4,'9 Grid'!$D$2,'9 Grid'!$E$2))),"")</f>
        <v>Contributor</v>
      </c>
      <c r="O791" s="146" t="str">
        <f ca="1">IFERROR(INDEX('9 Grid'!$D$4:$F$6,MATCH('Rekomendasi HAV'!M791,'9 Grid'!$B$4:$B$6,0),MATCH('Rekomendasi HAV'!N791,'9 Grid'!$D$2:$F$2,0)),"")</f>
        <v/>
      </c>
      <c r="P791" s="147" t="str">
        <f>IFERROR(INDEX('9 Grid'!$D$8:$F$8,1,MATCH('Rekomendasi HAV'!N791,'9 Grid'!$D$2:$F$2,0)),"")</f>
        <v>(LT) More 2 - 3 year</v>
      </c>
    </row>
    <row r="792" spans="1:16" ht="28.5">
      <c r="A792" s="67">
        <v>791</v>
      </c>
      <c r="B792" s="68" t="str">
        <f>INDEX(Data_Assessment[],MATCH('Rekomendasi HAV'!$A792,Data_Assessment[[INDEX]:[INDEX]],0),MATCH('Rekomendasi HAV'!B$1,Data_Assessment[#Headers],0))</f>
        <v>Zefania Mangiring Silaen</v>
      </c>
      <c r="C792" s="68" t="str">
        <f>INDEX(Data_Assessment[],MATCH('Rekomendasi HAV'!$A792,Data_Assessment[[INDEX]:[INDEX]],0),MATCH('Rekomendasi HAV'!C$1,Data_Assessment[#Headers],0))</f>
        <v>Sumatera Utara</v>
      </c>
      <c r="D792" s="68" t="str">
        <f>INDEX(Data_Assessment[],MATCH('Rekomendasi HAV'!$A792,Data_Assessment[[INDEX]:[INDEX]],0),MATCH('Rekomendasi HAV'!D$1,Data_Assessment[#Headers],0))</f>
        <v>LSIP - Dolok Palm Oil Mill</v>
      </c>
      <c r="E792" s="68">
        <f>INDEX(Data_Assessment[],MATCH('Rekomendasi HAV'!$B792,Data_Assessment[[NAME]:[NAME]],0),MATCH('Rekomendasi HAV'!E$1,Data_Assessment[#Headers],0))</f>
        <v>0</v>
      </c>
      <c r="F792" s="68"/>
      <c r="G792" s="68">
        <f>IF(ISNUMBER(SEARCH("DEV",Assessment[[#This Row],[JOB TARGET]])),SUBSTITUTE(Assessment[[#This Row],[JOB TARGET]],"DEV","EST"),Assessment[[#This Row],[JOB TARGET]])</f>
        <v>0</v>
      </c>
      <c r="H792" s="146" t="str" cm="1">
        <f t="array" aca="1" ref="H792" ca="1">IF(Assessment[[#This Row],[JOB TARGET]]="","Job Target Kosong",IF(COUNT(IF('Data Assessment'!$N792:$Z792-OFFSET(Standar!$B$2,MATCH(Assessment[[#This Row],[JOB TARGET
(EST)]],Standar[NAMA JABATAN],0)-1,1,1,13)&lt;0,1,""))&lt;=3,'9 Grid'!$B$4,IF(COUNT(IF('Data Assessment'!$N792:$Z792-OFFSET(Standar!$B$2,MATCH(Assessment[[#This Row],[JOB TARGET]],Standar[NAMA JABATAN],0)-1,1,1,13)&lt;0,1,""))&gt;=7,'9 Grid'!$B$6,'9 Grid'!$B$5)))</f>
        <v>Job Target Kosong</v>
      </c>
      <c r="I792" s="146" t="str">
        <f>IFERROR(IF(Data_Assessment[[#This Row],[IPP (3 YEARS AVERAGE)]]="","(IPP Belum Ada)",IF(Data_Assessment[[#This Row],[IPP (3 YEARS AVERAGE)]]&lt;2,'9 Grid'!$F$2,IF(Data_Assessment[[#This Row],[IPP (3 YEARS AVERAGE)]]&gt;=4,'9 Grid'!$D$2,'9 Grid'!$E$2))),"")</f>
        <v>Contributor</v>
      </c>
      <c r="J792" s="146" t="str">
        <f ca="1">IFERROR(INDEX('9 Grid'!$D$4:$F$6,MATCH('Rekomendasi HAV'!H792,'9 Grid'!$B$4:$B$6,0),MATCH('Rekomendasi HAV'!I792,'9 Grid'!$D$2:$F$2,0)),"")</f>
        <v/>
      </c>
      <c r="K792" s="146" t="str">
        <f>IFERROR(INDEX('9 Grid'!$D$8:$F$8,1,MATCH('Rekomendasi HAV'!I792,'9 Grid'!$D$2:$F$2,0)),"")</f>
        <v>(LT) More 2 - 3 year</v>
      </c>
      <c r="L792" s="146">
        <f>IF(ISNUMBER(SEARCH("EST",Assessment[[#This Row],[JOB TARGET]])),SUBSTITUTE(Assessment[[#This Row],[JOB TARGET]],"EST","DEV"),Assessment[[#This Row],[JOB TARGET]])</f>
        <v>0</v>
      </c>
      <c r="M792" s="146" t="str" cm="1">
        <f t="array" aca="1" ref="M792" ca="1">IF(Assessment[[#This Row],[JOB TARGET]]="","Job Target Kosong",IF(COUNT(IF('Data Assessment'!$N792:$Z792-OFFSET(Standar!$B$2,MATCH(Assessment[[#This Row],[JOB TARGET
(DEV)]],Standar[NAMA JABATAN],0)-1,1,1,13)&lt;0,1,""))&lt;=3,'9 Grid'!$B$4,IF(COUNT(IF('Data Assessment'!$N792:$Z792-OFFSET(Standar!$B$2,MATCH(Assessment[[#This Row],[JOB TARGET
(DEV)]],Standar[NAMA JABATAN],0)-1,1,1,13)&lt;0,1,""))&gt;=7,'9 Grid'!$B$6,'9 Grid'!$B$5)))</f>
        <v>Job Target Kosong</v>
      </c>
      <c r="N792" s="146" t="str">
        <f>IFERROR(IF(Data_Assessment[[#This Row],[IPP (3 YEARS AVERAGE)]]="","(IPP Belum Ada)",IF(Data_Assessment[[#This Row],[IPP (3 YEARS AVERAGE)]]&lt;2,'9 Grid'!$F$2,IF(Data_Assessment[[#This Row],[IPP (3 YEARS AVERAGE)]]&gt;=4,'9 Grid'!$D$2,'9 Grid'!$E$2))),"")</f>
        <v>Contributor</v>
      </c>
      <c r="O792" s="146" t="str">
        <f ca="1">IFERROR(INDEX('9 Grid'!$D$4:$F$6,MATCH('Rekomendasi HAV'!M792,'9 Grid'!$B$4:$B$6,0),MATCH('Rekomendasi HAV'!N792,'9 Grid'!$D$2:$F$2,0)),"")</f>
        <v/>
      </c>
      <c r="P792" s="147" t="str">
        <f>IFERROR(INDEX('9 Grid'!$D$8:$F$8,1,MATCH('Rekomendasi HAV'!N792,'9 Grid'!$D$2:$F$2,0)),"")</f>
        <v>(LT) More 2 - 3 year</v>
      </c>
    </row>
    <row r="793" spans="1:16" ht="28.5">
      <c r="A793" s="67">
        <v>792</v>
      </c>
      <c r="B793" s="68" t="str">
        <f>INDEX(Data_Assessment[],MATCH('Rekomendasi HAV'!$A793,Data_Assessment[[INDEX]:[INDEX]],0),MATCH('Rekomendasi HAV'!B$1,Data_Assessment[#Headers],0))</f>
        <v>Taufik Kurniawan</v>
      </c>
      <c r="C793" s="68" t="str">
        <f>INDEX(Data_Assessment[],MATCH('Rekomendasi HAV'!$A793,Data_Assessment[[INDEX]:[INDEX]],0),MATCH('Rekomendasi HAV'!C$1,Data_Assessment[#Headers],0))</f>
        <v>Kalimantan Timur</v>
      </c>
      <c r="D793" s="68" t="str">
        <f>INDEX(Data_Assessment[],MATCH('Rekomendasi HAV'!$A793,Data_Assessment[[INDEX]:[INDEX]],0),MATCH('Rekomendasi HAV'!D$1,Data_Assessment[#Headers],0))</f>
        <v>LSIP - Pahu Makmur Palm Oil Mill</v>
      </c>
      <c r="E793" s="68">
        <f>INDEX(Data_Assessment[],MATCH('Rekomendasi HAV'!$B793,Data_Assessment[[NAME]:[NAME]],0),MATCH('Rekomendasi HAV'!E$1,Data_Assessment[#Headers],0))</f>
        <v>0</v>
      </c>
      <c r="F793" s="68"/>
      <c r="G793" s="68">
        <f>IF(ISNUMBER(SEARCH("DEV",Assessment[[#This Row],[JOB TARGET]])),SUBSTITUTE(Assessment[[#This Row],[JOB TARGET]],"DEV","EST"),Assessment[[#This Row],[JOB TARGET]])</f>
        <v>0</v>
      </c>
      <c r="H793" s="146" t="str" cm="1">
        <f t="array" aca="1" ref="H793" ca="1">IF(Assessment[[#This Row],[JOB TARGET]]="","Job Target Kosong",IF(COUNT(IF('Data Assessment'!$N793:$Z793-OFFSET(Standar!$B$2,MATCH(Assessment[[#This Row],[JOB TARGET
(EST)]],Standar[NAMA JABATAN],0)-1,1,1,13)&lt;0,1,""))&lt;=3,'9 Grid'!$B$4,IF(COUNT(IF('Data Assessment'!$N793:$Z793-OFFSET(Standar!$B$2,MATCH(Assessment[[#This Row],[JOB TARGET]],Standar[NAMA JABATAN],0)-1,1,1,13)&lt;0,1,""))&gt;=7,'9 Grid'!$B$6,'9 Grid'!$B$5)))</f>
        <v>Job Target Kosong</v>
      </c>
      <c r="I793" s="146" t="str">
        <f>IFERROR(IF(Data_Assessment[[#This Row],[IPP (3 YEARS AVERAGE)]]="","(IPP Belum Ada)",IF(Data_Assessment[[#This Row],[IPP (3 YEARS AVERAGE)]]&lt;2,'9 Grid'!$F$2,IF(Data_Assessment[[#This Row],[IPP (3 YEARS AVERAGE)]]&gt;=4,'9 Grid'!$D$2,'9 Grid'!$E$2))),"")</f>
        <v>Contributor</v>
      </c>
      <c r="J793" s="146" t="str">
        <f ca="1">IFERROR(INDEX('9 Grid'!$D$4:$F$6,MATCH('Rekomendasi HAV'!H793,'9 Grid'!$B$4:$B$6,0),MATCH('Rekomendasi HAV'!I793,'9 Grid'!$D$2:$F$2,0)),"")</f>
        <v/>
      </c>
      <c r="K793" s="146" t="str">
        <f>IFERROR(INDEX('9 Grid'!$D$8:$F$8,1,MATCH('Rekomendasi HAV'!I793,'9 Grid'!$D$2:$F$2,0)),"")</f>
        <v>(LT) More 2 - 3 year</v>
      </c>
      <c r="L793" s="146">
        <f>IF(ISNUMBER(SEARCH("EST",Assessment[[#This Row],[JOB TARGET]])),SUBSTITUTE(Assessment[[#This Row],[JOB TARGET]],"EST","DEV"),Assessment[[#This Row],[JOB TARGET]])</f>
        <v>0</v>
      </c>
      <c r="M793" s="146" t="str" cm="1">
        <f t="array" aca="1" ref="M793" ca="1">IF(Assessment[[#This Row],[JOB TARGET]]="","Job Target Kosong",IF(COUNT(IF('Data Assessment'!$N793:$Z793-OFFSET(Standar!$B$2,MATCH(Assessment[[#This Row],[JOB TARGET
(DEV)]],Standar[NAMA JABATAN],0)-1,1,1,13)&lt;0,1,""))&lt;=3,'9 Grid'!$B$4,IF(COUNT(IF('Data Assessment'!$N793:$Z793-OFFSET(Standar!$B$2,MATCH(Assessment[[#This Row],[JOB TARGET
(DEV)]],Standar[NAMA JABATAN],0)-1,1,1,13)&lt;0,1,""))&gt;=7,'9 Grid'!$B$6,'9 Grid'!$B$5)))</f>
        <v>Job Target Kosong</v>
      </c>
      <c r="N793" s="146" t="str">
        <f>IFERROR(IF(Data_Assessment[[#This Row],[IPP (3 YEARS AVERAGE)]]="","(IPP Belum Ada)",IF(Data_Assessment[[#This Row],[IPP (3 YEARS AVERAGE)]]&lt;2,'9 Grid'!$F$2,IF(Data_Assessment[[#This Row],[IPP (3 YEARS AVERAGE)]]&gt;=4,'9 Grid'!$D$2,'9 Grid'!$E$2))),"")</f>
        <v>Contributor</v>
      </c>
      <c r="O793" s="146" t="str">
        <f ca="1">IFERROR(INDEX('9 Grid'!$D$4:$F$6,MATCH('Rekomendasi HAV'!M793,'9 Grid'!$B$4:$B$6,0),MATCH('Rekomendasi HAV'!N793,'9 Grid'!$D$2:$F$2,0)),"")</f>
        <v/>
      </c>
      <c r="P793" s="147" t="str">
        <f>IFERROR(INDEX('9 Grid'!$D$8:$F$8,1,MATCH('Rekomendasi HAV'!N793,'9 Grid'!$D$2:$F$2,0)),"")</f>
        <v>(LT) More 2 - 3 year</v>
      </c>
    </row>
    <row r="794" spans="1:16" ht="28.5">
      <c r="A794" s="67">
        <v>793</v>
      </c>
      <c r="B794" s="68" t="str">
        <f>INDEX(Data_Assessment[],MATCH('Rekomendasi HAV'!$A794,Data_Assessment[[INDEX]:[INDEX]],0),MATCH('Rekomendasi HAV'!B$1,Data_Assessment[#Headers],0))</f>
        <v>Rosalina Musna</v>
      </c>
      <c r="C794" s="68" t="str">
        <f>INDEX(Data_Assessment[],MATCH('Rekomendasi HAV'!$A794,Data_Assessment[[INDEX]:[INDEX]],0),MATCH('Rekomendasi HAV'!C$1,Data_Assessment[#Headers],0))</f>
        <v>Sumatera Selatan</v>
      </c>
      <c r="D794" s="68" t="str">
        <f>INDEX(Data_Assessment[],MATCH('Rekomendasi HAV'!$A794,Data_Assessment[[INDEX]:[INDEX]],0),MATCH('Rekomendasi HAV'!D$1,Data_Assessment[#Headers],0))</f>
        <v>LSIP - Pahu Makmur Palm Oil Mill</v>
      </c>
      <c r="E794" s="68">
        <f>INDEX(Data_Assessment[],MATCH('Rekomendasi HAV'!$B794,Data_Assessment[[NAME]:[NAME]],0),MATCH('Rekomendasi HAV'!E$1,Data_Assessment[#Headers],0))</f>
        <v>0</v>
      </c>
      <c r="F794" s="68"/>
      <c r="G794" s="68">
        <f>IF(ISNUMBER(SEARCH("DEV",Assessment[[#This Row],[JOB TARGET]])),SUBSTITUTE(Assessment[[#This Row],[JOB TARGET]],"DEV","EST"),Assessment[[#This Row],[JOB TARGET]])</f>
        <v>0</v>
      </c>
      <c r="H794" s="146" t="str" cm="1">
        <f t="array" aca="1" ref="H794" ca="1">IF(Assessment[[#This Row],[JOB TARGET]]="","Job Target Kosong",IF(COUNT(IF('Data Assessment'!$N794:$Z794-OFFSET(Standar!$B$2,MATCH(Assessment[[#This Row],[JOB TARGET
(EST)]],Standar[NAMA JABATAN],0)-1,1,1,13)&lt;0,1,""))&lt;=3,'9 Grid'!$B$4,IF(COUNT(IF('Data Assessment'!$N794:$Z794-OFFSET(Standar!$B$2,MATCH(Assessment[[#This Row],[JOB TARGET]],Standar[NAMA JABATAN],0)-1,1,1,13)&lt;0,1,""))&gt;=7,'9 Grid'!$B$6,'9 Grid'!$B$5)))</f>
        <v>Job Target Kosong</v>
      </c>
      <c r="I794" s="146" t="str">
        <f>IFERROR(IF(Data_Assessment[[#This Row],[IPP (3 YEARS AVERAGE)]]="","(IPP Belum Ada)",IF(Data_Assessment[[#This Row],[IPP (3 YEARS AVERAGE)]]&lt;2,'9 Grid'!$F$2,IF(Data_Assessment[[#This Row],[IPP (3 YEARS AVERAGE)]]&gt;=4,'9 Grid'!$D$2,'9 Grid'!$E$2))),"")</f>
        <v>Contributor</v>
      </c>
      <c r="J794" s="146" t="str">
        <f ca="1">IFERROR(INDEX('9 Grid'!$D$4:$F$6,MATCH('Rekomendasi HAV'!H794,'9 Grid'!$B$4:$B$6,0),MATCH('Rekomendasi HAV'!I794,'9 Grid'!$D$2:$F$2,0)),"")</f>
        <v/>
      </c>
      <c r="K794" s="146" t="str">
        <f>IFERROR(INDEX('9 Grid'!$D$8:$F$8,1,MATCH('Rekomendasi HAV'!I794,'9 Grid'!$D$2:$F$2,0)),"")</f>
        <v>(LT) More 2 - 3 year</v>
      </c>
      <c r="L794" s="146">
        <f>IF(ISNUMBER(SEARCH("EST",Assessment[[#This Row],[JOB TARGET]])),SUBSTITUTE(Assessment[[#This Row],[JOB TARGET]],"EST","DEV"),Assessment[[#This Row],[JOB TARGET]])</f>
        <v>0</v>
      </c>
      <c r="M794" s="146" t="str" cm="1">
        <f t="array" aca="1" ref="M794" ca="1">IF(Assessment[[#This Row],[JOB TARGET]]="","Job Target Kosong",IF(COUNT(IF('Data Assessment'!$N794:$Z794-OFFSET(Standar!$B$2,MATCH(Assessment[[#This Row],[JOB TARGET
(DEV)]],Standar[NAMA JABATAN],0)-1,1,1,13)&lt;0,1,""))&lt;=3,'9 Grid'!$B$4,IF(COUNT(IF('Data Assessment'!$N794:$Z794-OFFSET(Standar!$B$2,MATCH(Assessment[[#This Row],[JOB TARGET
(DEV)]],Standar[NAMA JABATAN],0)-1,1,1,13)&lt;0,1,""))&gt;=7,'9 Grid'!$B$6,'9 Grid'!$B$5)))</f>
        <v>Job Target Kosong</v>
      </c>
      <c r="N794" s="146" t="str">
        <f>IFERROR(IF(Data_Assessment[[#This Row],[IPP (3 YEARS AVERAGE)]]="","(IPP Belum Ada)",IF(Data_Assessment[[#This Row],[IPP (3 YEARS AVERAGE)]]&lt;2,'9 Grid'!$F$2,IF(Data_Assessment[[#This Row],[IPP (3 YEARS AVERAGE)]]&gt;=4,'9 Grid'!$D$2,'9 Grid'!$E$2))),"")</f>
        <v>Contributor</v>
      </c>
      <c r="O794" s="146" t="str">
        <f ca="1">IFERROR(INDEX('9 Grid'!$D$4:$F$6,MATCH('Rekomendasi HAV'!M794,'9 Grid'!$B$4:$B$6,0),MATCH('Rekomendasi HAV'!N794,'9 Grid'!$D$2:$F$2,0)),"")</f>
        <v/>
      </c>
      <c r="P794" s="147" t="str">
        <f>IFERROR(INDEX('9 Grid'!$D$8:$F$8,1,MATCH('Rekomendasi HAV'!N794,'9 Grid'!$D$2:$F$2,0)),"")</f>
        <v>(LT) More 2 - 3 year</v>
      </c>
    </row>
    <row r="795" spans="1:16" ht="28.5">
      <c r="A795" s="67">
        <v>794</v>
      </c>
      <c r="B795" s="68" t="str">
        <f>INDEX(Data_Assessment[],MATCH('Rekomendasi HAV'!$A795,Data_Assessment[[INDEX]:[INDEX]],0),MATCH('Rekomendasi HAV'!B$1,Data_Assessment[#Headers],0))</f>
        <v>Hary Naldo Harahap</v>
      </c>
      <c r="C795" s="68" t="str">
        <f>INDEX(Data_Assessment[],MATCH('Rekomendasi HAV'!$A795,Data_Assessment[[INDEX]:[INDEX]],0),MATCH('Rekomendasi HAV'!C$1,Data_Assessment[#Headers],0))</f>
        <v>Sulawesi Selatan</v>
      </c>
      <c r="D795" s="68" t="str">
        <f>INDEX(Data_Assessment[],MATCH('Rekomendasi HAV'!$A795,Data_Assessment[[INDEX]:[INDEX]],0),MATCH('Rekomendasi HAV'!D$1,Data_Assessment[#Headers],0))</f>
        <v>LSIP - Palangisang Rubber Factory</v>
      </c>
      <c r="E795" s="68">
        <f>INDEX(Data_Assessment[],MATCH('Rekomendasi HAV'!$B795,Data_Assessment[[NAME]:[NAME]],0),MATCH('Rekomendasi HAV'!E$1,Data_Assessment[#Headers],0))</f>
        <v>0</v>
      </c>
      <c r="F795" s="68"/>
      <c r="G795" s="68">
        <f>IF(ISNUMBER(SEARCH("DEV",Assessment[[#This Row],[JOB TARGET]])),SUBSTITUTE(Assessment[[#This Row],[JOB TARGET]],"DEV","EST"),Assessment[[#This Row],[JOB TARGET]])</f>
        <v>0</v>
      </c>
      <c r="H795" s="146" t="str" cm="1">
        <f t="array" aca="1" ref="H795" ca="1">IF(Assessment[[#This Row],[JOB TARGET]]="","Job Target Kosong",IF(COUNT(IF('Data Assessment'!$N795:$Z795-OFFSET(Standar!$B$2,MATCH(Assessment[[#This Row],[JOB TARGET
(EST)]],Standar[NAMA JABATAN],0)-1,1,1,13)&lt;0,1,""))&lt;=3,'9 Grid'!$B$4,IF(COUNT(IF('Data Assessment'!$N795:$Z795-OFFSET(Standar!$B$2,MATCH(Assessment[[#This Row],[JOB TARGET]],Standar[NAMA JABATAN],0)-1,1,1,13)&lt;0,1,""))&gt;=7,'9 Grid'!$B$6,'9 Grid'!$B$5)))</f>
        <v>Job Target Kosong</v>
      </c>
      <c r="I795" s="146" t="str">
        <f>IFERROR(IF(Data_Assessment[[#This Row],[IPP (3 YEARS AVERAGE)]]="","(IPP Belum Ada)",IF(Data_Assessment[[#This Row],[IPP (3 YEARS AVERAGE)]]&lt;2,'9 Grid'!$F$2,IF(Data_Assessment[[#This Row],[IPP (3 YEARS AVERAGE)]]&gt;=4,'9 Grid'!$D$2,'9 Grid'!$E$2))),"")</f>
        <v>Contributor</v>
      </c>
      <c r="J795" s="146" t="str">
        <f ca="1">IFERROR(INDEX('9 Grid'!$D$4:$F$6,MATCH('Rekomendasi HAV'!H795,'9 Grid'!$B$4:$B$6,0),MATCH('Rekomendasi HAV'!I795,'9 Grid'!$D$2:$F$2,0)),"")</f>
        <v/>
      </c>
      <c r="K795" s="146" t="str">
        <f>IFERROR(INDEX('9 Grid'!$D$8:$F$8,1,MATCH('Rekomendasi HAV'!I795,'9 Grid'!$D$2:$F$2,0)),"")</f>
        <v>(LT) More 2 - 3 year</v>
      </c>
      <c r="L795" s="146">
        <f>IF(ISNUMBER(SEARCH("EST",Assessment[[#This Row],[JOB TARGET]])),SUBSTITUTE(Assessment[[#This Row],[JOB TARGET]],"EST","DEV"),Assessment[[#This Row],[JOB TARGET]])</f>
        <v>0</v>
      </c>
      <c r="M795" s="146" t="str" cm="1">
        <f t="array" aca="1" ref="M795" ca="1">IF(Assessment[[#This Row],[JOB TARGET]]="","Job Target Kosong",IF(COUNT(IF('Data Assessment'!$N795:$Z795-OFFSET(Standar!$B$2,MATCH(Assessment[[#This Row],[JOB TARGET
(DEV)]],Standar[NAMA JABATAN],0)-1,1,1,13)&lt;0,1,""))&lt;=3,'9 Grid'!$B$4,IF(COUNT(IF('Data Assessment'!$N795:$Z795-OFFSET(Standar!$B$2,MATCH(Assessment[[#This Row],[JOB TARGET
(DEV)]],Standar[NAMA JABATAN],0)-1,1,1,13)&lt;0,1,""))&gt;=7,'9 Grid'!$B$6,'9 Grid'!$B$5)))</f>
        <v>Job Target Kosong</v>
      </c>
      <c r="N795" s="146" t="str">
        <f>IFERROR(IF(Data_Assessment[[#This Row],[IPP (3 YEARS AVERAGE)]]="","(IPP Belum Ada)",IF(Data_Assessment[[#This Row],[IPP (3 YEARS AVERAGE)]]&lt;2,'9 Grid'!$F$2,IF(Data_Assessment[[#This Row],[IPP (3 YEARS AVERAGE)]]&gt;=4,'9 Grid'!$D$2,'9 Grid'!$E$2))),"")</f>
        <v>Contributor</v>
      </c>
      <c r="O795" s="146" t="str">
        <f ca="1">IFERROR(INDEX('9 Grid'!$D$4:$F$6,MATCH('Rekomendasi HAV'!M795,'9 Grid'!$B$4:$B$6,0),MATCH('Rekomendasi HAV'!N795,'9 Grid'!$D$2:$F$2,0)),"")</f>
        <v/>
      </c>
      <c r="P795" s="147" t="str">
        <f>IFERROR(INDEX('9 Grid'!$D$8:$F$8,1,MATCH('Rekomendasi HAV'!N795,'9 Grid'!$D$2:$F$2,0)),"")</f>
        <v>(LT) More 2 - 3 year</v>
      </c>
    </row>
    <row r="796" spans="1:16" ht="28.5">
      <c r="A796" s="67">
        <v>795</v>
      </c>
      <c r="B796" s="68" t="str">
        <f>INDEX(Data_Assessment[],MATCH('Rekomendasi HAV'!$A796,Data_Assessment[[INDEX]:[INDEX]],0),MATCH('Rekomendasi HAV'!B$1,Data_Assessment[#Headers],0))</f>
        <v>Uus Pramana</v>
      </c>
      <c r="C796" s="68" t="str">
        <f>INDEX(Data_Assessment[],MATCH('Rekomendasi HAV'!$A796,Data_Assessment[[INDEX]:[INDEX]],0),MATCH('Rekomendasi HAV'!C$1,Data_Assessment[#Headers],0))</f>
        <v>Sumatera Selatan</v>
      </c>
      <c r="D796" s="68" t="str">
        <f>INDEX(Data_Assessment[],MATCH('Rekomendasi HAV'!$A796,Data_Assessment[[INDEX]:[INDEX]],0),MATCH('Rekomendasi HAV'!D$1,Data_Assessment[#Headers],0))</f>
        <v>LSIP - HO Jakarta</v>
      </c>
      <c r="E796" s="68">
        <f>INDEX(Data_Assessment[],MATCH('Rekomendasi HAV'!$B796,Data_Assessment[[NAME]:[NAME]],0),MATCH('Rekomendasi HAV'!E$1,Data_Assessment[#Headers],0))</f>
        <v>0</v>
      </c>
      <c r="F796" s="68"/>
      <c r="G796" s="68">
        <f>IF(ISNUMBER(SEARCH("DEV",Assessment[[#This Row],[JOB TARGET]])),SUBSTITUTE(Assessment[[#This Row],[JOB TARGET]],"DEV","EST"),Assessment[[#This Row],[JOB TARGET]])</f>
        <v>0</v>
      </c>
      <c r="H796" s="146" t="str" cm="1">
        <f t="array" aca="1" ref="H796" ca="1">IF(Assessment[[#This Row],[JOB TARGET]]="","Job Target Kosong",IF(COUNT(IF('Data Assessment'!$N796:$Z796-OFFSET(Standar!$B$2,MATCH(Assessment[[#This Row],[JOB TARGET
(EST)]],Standar[NAMA JABATAN],0)-1,1,1,13)&lt;0,1,""))&lt;=3,'9 Grid'!$B$4,IF(COUNT(IF('Data Assessment'!$N796:$Z796-OFFSET(Standar!$B$2,MATCH(Assessment[[#This Row],[JOB TARGET]],Standar[NAMA JABATAN],0)-1,1,1,13)&lt;0,1,""))&gt;=7,'9 Grid'!$B$6,'9 Grid'!$B$5)))</f>
        <v>Job Target Kosong</v>
      </c>
      <c r="I796" s="146" t="str">
        <f>IFERROR(IF(Data_Assessment[[#This Row],[IPP (3 YEARS AVERAGE)]]="","(IPP Belum Ada)",IF(Data_Assessment[[#This Row],[IPP (3 YEARS AVERAGE)]]&lt;2,'9 Grid'!$F$2,IF(Data_Assessment[[#This Row],[IPP (3 YEARS AVERAGE)]]&gt;=4,'9 Grid'!$D$2,'9 Grid'!$E$2))),"")</f>
        <v>Fully Competence Performance</v>
      </c>
      <c r="J796" s="146" t="str">
        <f ca="1">IFERROR(INDEX('9 Grid'!$D$4:$F$6,MATCH('Rekomendasi HAV'!H796,'9 Grid'!$B$4:$B$6,0),MATCH('Rekomendasi HAV'!I796,'9 Grid'!$D$2:$F$2,0)),"")</f>
        <v/>
      </c>
      <c r="K796" s="146" t="str">
        <f>IFERROR(INDEX('9 Grid'!$D$8:$F$8,1,MATCH('Rekomendasi HAV'!I796,'9 Grid'!$D$2:$F$2,0)),"")</f>
        <v>(ST) Within 12 - 18 month</v>
      </c>
      <c r="L796" s="146">
        <f>IF(ISNUMBER(SEARCH("EST",Assessment[[#This Row],[JOB TARGET]])),SUBSTITUTE(Assessment[[#This Row],[JOB TARGET]],"EST","DEV"),Assessment[[#This Row],[JOB TARGET]])</f>
        <v>0</v>
      </c>
      <c r="M796" s="146" t="str" cm="1">
        <f t="array" aca="1" ref="M796" ca="1">IF(Assessment[[#This Row],[JOB TARGET]]="","Job Target Kosong",IF(COUNT(IF('Data Assessment'!$N796:$Z796-OFFSET(Standar!$B$2,MATCH(Assessment[[#This Row],[JOB TARGET
(DEV)]],Standar[NAMA JABATAN],0)-1,1,1,13)&lt;0,1,""))&lt;=3,'9 Grid'!$B$4,IF(COUNT(IF('Data Assessment'!$N796:$Z796-OFFSET(Standar!$B$2,MATCH(Assessment[[#This Row],[JOB TARGET
(DEV)]],Standar[NAMA JABATAN],0)-1,1,1,13)&lt;0,1,""))&gt;=7,'9 Grid'!$B$6,'9 Grid'!$B$5)))</f>
        <v>Job Target Kosong</v>
      </c>
      <c r="N796" s="146" t="str">
        <f>IFERROR(IF(Data_Assessment[[#This Row],[IPP (3 YEARS AVERAGE)]]="","(IPP Belum Ada)",IF(Data_Assessment[[#This Row],[IPP (3 YEARS AVERAGE)]]&lt;2,'9 Grid'!$F$2,IF(Data_Assessment[[#This Row],[IPP (3 YEARS AVERAGE)]]&gt;=4,'9 Grid'!$D$2,'9 Grid'!$E$2))),"")</f>
        <v>Fully Competence Performance</v>
      </c>
      <c r="O796" s="146" t="str">
        <f ca="1">IFERROR(INDEX('9 Grid'!$D$4:$F$6,MATCH('Rekomendasi HAV'!M796,'9 Grid'!$B$4:$B$6,0),MATCH('Rekomendasi HAV'!N796,'9 Grid'!$D$2:$F$2,0)),"")</f>
        <v/>
      </c>
      <c r="P796" s="147" t="str">
        <f>IFERROR(INDEX('9 Grid'!$D$8:$F$8,1,MATCH('Rekomendasi HAV'!N796,'9 Grid'!$D$2:$F$2,0)),"")</f>
        <v>(ST) Within 12 - 18 month</v>
      </c>
    </row>
    <row r="797" spans="1:16" ht="14.25">
      <c r="A797" s="67">
        <v>796</v>
      </c>
      <c r="B797" s="68" t="str">
        <f>INDEX(Data_Assessment[],MATCH('Rekomendasi HAV'!$A797,Data_Assessment[[INDEX]:[INDEX]],0),MATCH('Rekomendasi HAV'!B$1,Data_Assessment[#Headers],0))</f>
        <v>Dharma Suciadi, Ir.</v>
      </c>
      <c r="C797" s="68" t="str">
        <f>INDEX(Data_Assessment[],MATCH('Rekomendasi HAV'!$A797,Data_Assessment[[INDEX]:[INDEX]],0),MATCH('Rekomendasi HAV'!C$1,Data_Assessment[#Headers],0))</f>
        <v>Sumatera Selatan</v>
      </c>
      <c r="D797" s="68" t="str">
        <f>INDEX(Data_Assessment[],MATCH('Rekomendasi HAV'!$A797,Data_Assessment[[INDEX]:[INDEX]],0),MATCH('Rekomendasi HAV'!D$1,Data_Assessment[#Headers],0))</f>
        <v>LSIP - Pelita Jaya Region</v>
      </c>
      <c r="E797" s="68">
        <f>INDEX(Data_Assessment[],MATCH('Rekomendasi HAV'!$B797,Data_Assessment[[NAME]:[NAME]],0),MATCH('Rekomendasi HAV'!E$1,Data_Assessment[#Headers],0))</f>
        <v>0</v>
      </c>
      <c r="F797" s="68"/>
      <c r="G797" s="68">
        <f>IF(ISNUMBER(SEARCH("DEV",Assessment[[#This Row],[JOB TARGET]])),SUBSTITUTE(Assessment[[#This Row],[JOB TARGET]],"DEV","EST"),Assessment[[#This Row],[JOB TARGET]])</f>
        <v>0</v>
      </c>
      <c r="H797" s="146" t="str" cm="1">
        <f t="array" aca="1" ref="H797" ca="1">IF(Assessment[[#This Row],[JOB TARGET]]="","Job Target Kosong",IF(COUNT(IF('Data Assessment'!$N797:$Z797-OFFSET(Standar!$B$2,MATCH(Assessment[[#This Row],[JOB TARGET
(EST)]],Standar[NAMA JABATAN],0)-1,1,1,13)&lt;0,1,""))&lt;=3,'9 Grid'!$B$4,IF(COUNT(IF('Data Assessment'!$N797:$Z797-OFFSET(Standar!$B$2,MATCH(Assessment[[#This Row],[JOB TARGET]],Standar[NAMA JABATAN],0)-1,1,1,13)&lt;0,1,""))&gt;=7,'9 Grid'!$B$6,'9 Grid'!$B$5)))</f>
        <v>Job Target Kosong</v>
      </c>
      <c r="I797" s="146" t="str">
        <f>IFERROR(IF(Data_Assessment[[#This Row],[IPP (3 YEARS AVERAGE)]]="","(IPP Belum Ada)",IF(Data_Assessment[[#This Row],[IPP (3 YEARS AVERAGE)]]&lt;2,'9 Grid'!$F$2,IF(Data_Assessment[[#This Row],[IPP (3 YEARS AVERAGE)]]&gt;=4,'9 Grid'!$D$2,'9 Grid'!$E$2))),"")</f>
        <v>Exceptional Performance</v>
      </c>
      <c r="J797" s="146" t="str">
        <f ca="1">IFERROR(INDEX('9 Grid'!$D$4:$F$6,MATCH('Rekomendasi HAV'!H797,'9 Grid'!$B$4:$B$6,0),MATCH('Rekomendasi HAV'!I797,'9 Grid'!$D$2:$F$2,0)),"")</f>
        <v/>
      </c>
      <c r="K797" s="146" t="str">
        <f>IFERROR(INDEX('9 Grid'!$D$8:$F$8,1,MATCH('Rekomendasi HAV'!I797,'9 Grid'!$D$2:$F$2,0)),"")</f>
        <v>(I) Immediately</v>
      </c>
      <c r="L797" s="146">
        <f>IF(ISNUMBER(SEARCH("EST",Assessment[[#This Row],[JOB TARGET]])),SUBSTITUTE(Assessment[[#This Row],[JOB TARGET]],"EST","DEV"),Assessment[[#This Row],[JOB TARGET]])</f>
        <v>0</v>
      </c>
      <c r="M797" s="146" t="str" cm="1">
        <f t="array" aca="1" ref="M797" ca="1">IF(Assessment[[#This Row],[JOB TARGET]]="","Job Target Kosong",IF(COUNT(IF('Data Assessment'!$N797:$Z797-OFFSET(Standar!$B$2,MATCH(Assessment[[#This Row],[JOB TARGET
(DEV)]],Standar[NAMA JABATAN],0)-1,1,1,13)&lt;0,1,""))&lt;=3,'9 Grid'!$B$4,IF(COUNT(IF('Data Assessment'!$N797:$Z797-OFFSET(Standar!$B$2,MATCH(Assessment[[#This Row],[JOB TARGET
(DEV)]],Standar[NAMA JABATAN],0)-1,1,1,13)&lt;0,1,""))&gt;=7,'9 Grid'!$B$6,'9 Grid'!$B$5)))</f>
        <v>Job Target Kosong</v>
      </c>
      <c r="N797" s="146" t="str">
        <f>IFERROR(IF(Data_Assessment[[#This Row],[IPP (3 YEARS AVERAGE)]]="","(IPP Belum Ada)",IF(Data_Assessment[[#This Row],[IPP (3 YEARS AVERAGE)]]&lt;2,'9 Grid'!$F$2,IF(Data_Assessment[[#This Row],[IPP (3 YEARS AVERAGE)]]&gt;=4,'9 Grid'!$D$2,'9 Grid'!$E$2))),"")</f>
        <v>Exceptional Performance</v>
      </c>
      <c r="O797" s="146" t="str">
        <f ca="1">IFERROR(INDEX('9 Grid'!$D$4:$F$6,MATCH('Rekomendasi HAV'!M797,'9 Grid'!$B$4:$B$6,0),MATCH('Rekomendasi HAV'!N797,'9 Grid'!$D$2:$F$2,0)),"")</f>
        <v/>
      </c>
      <c r="P797" s="147" t="str">
        <f>IFERROR(INDEX('9 Grid'!$D$8:$F$8,1,MATCH('Rekomendasi HAV'!N797,'9 Grid'!$D$2:$F$2,0)),"")</f>
        <v>(I) Immediately</v>
      </c>
    </row>
    <row r="798" spans="1:16" ht="28.5">
      <c r="A798" s="67">
        <v>797</v>
      </c>
      <c r="B798" s="68" t="str">
        <f>INDEX(Data_Assessment[],MATCH('Rekomendasi HAV'!$A798,Data_Assessment[[INDEX]:[INDEX]],0),MATCH('Rekomendasi HAV'!B$1,Data_Assessment[#Headers],0))</f>
        <v>Michael Alexander Perangin-angin</v>
      </c>
      <c r="C798" s="68" t="str">
        <f>INDEX(Data_Assessment[],MATCH('Rekomendasi HAV'!$A798,Data_Assessment[[INDEX]:[INDEX]],0),MATCH('Rekomendasi HAV'!C$1,Data_Assessment[#Headers],0))</f>
        <v>Sumatera Utara</v>
      </c>
      <c r="D798" s="68" t="str">
        <f>INDEX(Data_Assessment[],MATCH('Rekomendasi HAV'!$A798,Data_Assessment[[INDEX]:[INDEX]],0),MATCH('Rekomendasi HAV'!D$1,Data_Assessment[#Headers],0))</f>
        <v>LSIP - Turangie Palm Oil Mill</v>
      </c>
      <c r="E798" s="68">
        <f>INDEX(Data_Assessment[],MATCH('Rekomendasi HAV'!$B798,Data_Assessment[[NAME]:[NAME]],0),MATCH('Rekomendasi HAV'!E$1,Data_Assessment[#Headers],0))</f>
        <v>0</v>
      </c>
      <c r="F798" s="68"/>
      <c r="G798" s="68">
        <f>IF(ISNUMBER(SEARCH("DEV",Assessment[[#This Row],[JOB TARGET]])),SUBSTITUTE(Assessment[[#This Row],[JOB TARGET]],"DEV","EST"),Assessment[[#This Row],[JOB TARGET]])</f>
        <v>0</v>
      </c>
      <c r="H798" s="146" t="str" cm="1">
        <f t="array" aca="1" ref="H798" ca="1">IF(Assessment[[#This Row],[JOB TARGET]]="","Job Target Kosong",IF(COUNT(IF('Data Assessment'!$N798:$Z798-OFFSET(Standar!$B$2,MATCH(Assessment[[#This Row],[JOB TARGET
(EST)]],Standar[NAMA JABATAN],0)-1,1,1,13)&lt;0,1,""))&lt;=3,'9 Grid'!$B$4,IF(COUNT(IF('Data Assessment'!$N798:$Z798-OFFSET(Standar!$B$2,MATCH(Assessment[[#This Row],[JOB TARGET]],Standar[NAMA JABATAN],0)-1,1,1,13)&lt;0,1,""))&gt;=7,'9 Grid'!$B$6,'9 Grid'!$B$5)))</f>
        <v>Job Target Kosong</v>
      </c>
      <c r="I798" s="146" t="str">
        <f>IFERROR(IF(Data_Assessment[[#This Row],[IPP (3 YEARS AVERAGE)]]="","(IPP Belum Ada)",IF(Data_Assessment[[#This Row],[IPP (3 YEARS AVERAGE)]]&lt;2,'9 Grid'!$F$2,IF(Data_Assessment[[#This Row],[IPP (3 YEARS AVERAGE)]]&gt;=4,'9 Grid'!$D$2,'9 Grid'!$E$2))),"")</f>
        <v>Fully Competence Performance</v>
      </c>
      <c r="J798" s="146" t="str">
        <f ca="1">IFERROR(INDEX('9 Grid'!$D$4:$F$6,MATCH('Rekomendasi HAV'!H798,'9 Grid'!$B$4:$B$6,0),MATCH('Rekomendasi HAV'!I798,'9 Grid'!$D$2:$F$2,0)),"")</f>
        <v/>
      </c>
      <c r="K798" s="146" t="str">
        <f>IFERROR(INDEX('9 Grid'!$D$8:$F$8,1,MATCH('Rekomendasi HAV'!I798,'9 Grid'!$D$2:$F$2,0)),"")</f>
        <v>(ST) Within 12 - 18 month</v>
      </c>
      <c r="L798" s="146">
        <f>IF(ISNUMBER(SEARCH("EST",Assessment[[#This Row],[JOB TARGET]])),SUBSTITUTE(Assessment[[#This Row],[JOB TARGET]],"EST","DEV"),Assessment[[#This Row],[JOB TARGET]])</f>
        <v>0</v>
      </c>
      <c r="M798" s="146" t="str" cm="1">
        <f t="array" aca="1" ref="M798" ca="1">IF(Assessment[[#This Row],[JOB TARGET]]="","Job Target Kosong",IF(COUNT(IF('Data Assessment'!$N798:$Z798-OFFSET(Standar!$B$2,MATCH(Assessment[[#This Row],[JOB TARGET
(DEV)]],Standar[NAMA JABATAN],0)-1,1,1,13)&lt;0,1,""))&lt;=3,'9 Grid'!$B$4,IF(COUNT(IF('Data Assessment'!$N798:$Z798-OFFSET(Standar!$B$2,MATCH(Assessment[[#This Row],[JOB TARGET
(DEV)]],Standar[NAMA JABATAN],0)-1,1,1,13)&lt;0,1,""))&gt;=7,'9 Grid'!$B$6,'9 Grid'!$B$5)))</f>
        <v>Job Target Kosong</v>
      </c>
      <c r="N798" s="146" t="str">
        <f>IFERROR(IF(Data_Assessment[[#This Row],[IPP (3 YEARS AVERAGE)]]="","(IPP Belum Ada)",IF(Data_Assessment[[#This Row],[IPP (3 YEARS AVERAGE)]]&lt;2,'9 Grid'!$F$2,IF(Data_Assessment[[#This Row],[IPP (3 YEARS AVERAGE)]]&gt;=4,'9 Grid'!$D$2,'9 Grid'!$E$2))),"")</f>
        <v>Fully Competence Performance</v>
      </c>
      <c r="O798" s="146" t="str">
        <f ca="1">IFERROR(INDEX('9 Grid'!$D$4:$F$6,MATCH('Rekomendasi HAV'!M798,'9 Grid'!$B$4:$B$6,0),MATCH('Rekomendasi HAV'!N798,'9 Grid'!$D$2:$F$2,0)),"")</f>
        <v/>
      </c>
      <c r="P798" s="147" t="str">
        <f>IFERROR(INDEX('9 Grid'!$D$8:$F$8,1,MATCH('Rekomendasi HAV'!N798,'9 Grid'!$D$2:$F$2,0)),"")</f>
        <v>(ST) Within 12 - 18 month</v>
      </c>
    </row>
    <row r="799" spans="1:16" ht="28.5">
      <c r="A799" s="67">
        <v>798</v>
      </c>
      <c r="B799" s="68" t="str">
        <f>INDEX(Data_Assessment[],MATCH('Rekomendasi HAV'!$A799,Data_Assessment[[INDEX]:[INDEX]],0),MATCH('Rekomendasi HAV'!B$1,Data_Assessment[#Headers],0))</f>
        <v>Hendra Arjuna</v>
      </c>
      <c r="C799" s="68" t="str">
        <f>INDEX(Data_Assessment[],MATCH('Rekomendasi HAV'!$A799,Data_Assessment[[INDEX]:[INDEX]],0),MATCH('Rekomendasi HAV'!C$1,Data_Assessment[#Headers],0))</f>
        <v>Sumatera Utara</v>
      </c>
      <c r="D799" s="68" t="str">
        <f>INDEX(Data_Assessment[],MATCH('Rekomendasi HAV'!$A799,Data_Assessment[[INDEX]:[INDEX]],0),MATCH('Rekomendasi HAV'!D$1,Data_Assessment[#Headers],0))</f>
        <v>LSIP - Gunung Malayu Palm Oil Mill</v>
      </c>
      <c r="E799" s="68">
        <f>INDEX(Data_Assessment[],MATCH('Rekomendasi HAV'!$B799,Data_Assessment[[NAME]:[NAME]],0),MATCH('Rekomendasi HAV'!E$1,Data_Assessment[#Headers],0))</f>
        <v>0</v>
      </c>
      <c r="F799" s="68"/>
      <c r="G799" s="68">
        <f>IF(ISNUMBER(SEARCH("DEV",Assessment[[#This Row],[JOB TARGET]])),SUBSTITUTE(Assessment[[#This Row],[JOB TARGET]],"DEV","EST"),Assessment[[#This Row],[JOB TARGET]])</f>
        <v>0</v>
      </c>
      <c r="H799" s="146" t="str" cm="1">
        <f t="array" aca="1" ref="H799" ca="1">IF(Assessment[[#This Row],[JOB TARGET]]="","Job Target Kosong",IF(COUNT(IF('Data Assessment'!$N799:$Z799-OFFSET(Standar!$B$2,MATCH(Assessment[[#This Row],[JOB TARGET
(EST)]],Standar[NAMA JABATAN],0)-1,1,1,13)&lt;0,1,""))&lt;=3,'9 Grid'!$B$4,IF(COUNT(IF('Data Assessment'!$N799:$Z799-OFFSET(Standar!$B$2,MATCH(Assessment[[#This Row],[JOB TARGET]],Standar[NAMA JABATAN],0)-1,1,1,13)&lt;0,1,""))&gt;=7,'9 Grid'!$B$6,'9 Grid'!$B$5)))</f>
        <v>Job Target Kosong</v>
      </c>
      <c r="I799" s="146" t="str">
        <f>IFERROR(IF(Data_Assessment[[#This Row],[IPP (3 YEARS AVERAGE)]]="","(IPP Belum Ada)",IF(Data_Assessment[[#This Row],[IPP (3 YEARS AVERAGE)]]&lt;2,'9 Grid'!$F$2,IF(Data_Assessment[[#This Row],[IPP (3 YEARS AVERAGE)]]&gt;=4,'9 Grid'!$D$2,'9 Grid'!$E$2))),"")</f>
        <v>Fully Competence Performance</v>
      </c>
      <c r="J799" s="146" t="str">
        <f ca="1">IFERROR(INDEX('9 Grid'!$D$4:$F$6,MATCH('Rekomendasi HAV'!H799,'9 Grid'!$B$4:$B$6,0),MATCH('Rekomendasi HAV'!I799,'9 Grid'!$D$2:$F$2,0)),"")</f>
        <v/>
      </c>
      <c r="K799" s="146" t="str">
        <f>IFERROR(INDEX('9 Grid'!$D$8:$F$8,1,MATCH('Rekomendasi HAV'!I799,'9 Grid'!$D$2:$F$2,0)),"")</f>
        <v>(ST) Within 12 - 18 month</v>
      </c>
      <c r="L799" s="146">
        <f>IF(ISNUMBER(SEARCH("EST",Assessment[[#This Row],[JOB TARGET]])),SUBSTITUTE(Assessment[[#This Row],[JOB TARGET]],"EST","DEV"),Assessment[[#This Row],[JOB TARGET]])</f>
        <v>0</v>
      </c>
      <c r="M799" s="146" t="str" cm="1">
        <f t="array" aca="1" ref="M799" ca="1">IF(Assessment[[#This Row],[JOB TARGET]]="","Job Target Kosong",IF(COUNT(IF('Data Assessment'!$N799:$Z799-OFFSET(Standar!$B$2,MATCH(Assessment[[#This Row],[JOB TARGET
(DEV)]],Standar[NAMA JABATAN],0)-1,1,1,13)&lt;0,1,""))&lt;=3,'9 Grid'!$B$4,IF(COUNT(IF('Data Assessment'!$N799:$Z799-OFFSET(Standar!$B$2,MATCH(Assessment[[#This Row],[JOB TARGET
(DEV)]],Standar[NAMA JABATAN],0)-1,1,1,13)&lt;0,1,""))&gt;=7,'9 Grid'!$B$6,'9 Grid'!$B$5)))</f>
        <v>Job Target Kosong</v>
      </c>
      <c r="N799" s="146" t="str">
        <f>IFERROR(IF(Data_Assessment[[#This Row],[IPP (3 YEARS AVERAGE)]]="","(IPP Belum Ada)",IF(Data_Assessment[[#This Row],[IPP (3 YEARS AVERAGE)]]&lt;2,'9 Grid'!$F$2,IF(Data_Assessment[[#This Row],[IPP (3 YEARS AVERAGE)]]&gt;=4,'9 Grid'!$D$2,'9 Grid'!$E$2))),"")</f>
        <v>Fully Competence Performance</v>
      </c>
      <c r="O799" s="146" t="str">
        <f ca="1">IFERROR(INDEX('9 Grid'!$D$4:$F$6,MATCH('Rekomendasi HAV'!M799,'9 Grid'!$B$4:$B$6,0),MATCH('Rekomendasi HAV'!N799,'9 Grid'!$D$2:$F$2,0)),"")</f>
        <v/>
      </c>
      <c r="P799" s="147" t="str">
        <f>IFERROR(INDEX('9 Grid'!$D$8:$F$8,1,MATCH('Rekomendasi HAV'!N799,'9 Grid'!$D$2:$F$2,0)),"")</f>
        <v>(ST) Within 12 - 18 month</v>
      </c>
    </row>
    <row r="800" spans="1:16" ht="28.5">
      <c r="A800" s="67">
        <v>799</v>
      </c>
      <c r="B800" s="68" t="str">
        <f>INDEX(Data_Assessment[],MATCH('Rekomendasi HAV'!$A800,Data_Assessment[[INDEX]:[INDEX]],0),MATCH('Rekomendasi HAV'!B$1,Data_Assessment[#Headers],0))</f>
        <v>Abdul Azis, Ir.</v>
      </c>
      <c r="C800" s="68" t="str">
        <f>INDEX(Data_Assessment[],MATCH('Rekomendasi HAV'!$A800,Data_Assessment[[INDEX]:[INDEX]],0),MATCH('Rekomendasi HAV'!C$1,Data_Assessment[#Headers],0))</f>
        <v>Sumatera Selatan</v>
      </c>
      <c r="D800" s="68" t="str">
        <f>INDEX(Data_Assessment[],MATCH('Rekomendasi HAV'!$A800,Data_Assessment[[INDEX]:[INDEX]],0),MATCH('Rekomendasi HAV'!D$1,Data_Assessment[#Headers],0))</f>
        <v>LSIP - Tirta Agung Palm Oil Mill</v>
      </c>
      <c r="E800" s="68">
        <f>INDEX(Data_Assessment[],MATCH('Rekomendasi HAV'!$B800,Data_Assessment[[NAME]:[NAME]],0),MATCH('Rekomendasi HAV'!E$1,Data_Assessment[#Headers],0))</f>
        <v>0</v>
      </c>
      <c r="F800" s="68"/>
      <c r="G800" s="68">
        <f>IF(ISNUMBER(SEARCH("DEV",Assessment[[#This Row],[JOB TARGET]])),SUBSTITUTE(Assessment[[#This Row],[JOB TARGET]],"DEV","EST"),Assessment[[#This Row],[JOB TARGET]])</f>
        <v>0</v>
      </c>
      <c r="H800" s="146" t="str" cm="1">
        <f t="array" aca="1" ref="H800" ca="1">IF(Assessment[[#This Row],[JOB TARGET]]="","Job Target Kosong",IF(COUNT(IF('Data Assessment'!$N800:$Z800-OFFSET(Standar!$B$2,MATCH(Assessment[[#This Row],[JOB TARGET
(EST)]],Standar[NAMA JABATAN],0)-1,1,1,13)&lt;0,1,""))&lt;=3,'9 Grid'!$B$4,IF(COUNT(IF('Data Assessment'!$N800:$Z800-OFFSET(Standar!$B$2,MATCH(Assessment[[#This Row],[JOB TARGET]],Standar[NAMA JABATAN],0)-1,1,1,13)&lt;0,1,""))&gt;=7,'9 Grid'!$B$6,'9 Grid'!$B$5)))</f>
        <v>Job Target Kosong</v>
      </c>
      <c r="I800" s="146" t="str">
        <f>IFERROR(IF(Data_Assessment[[#This Row],[IPP (3 YEARS AVERAGE)]]="","(IPP Belum Ada)",IF(Data_Assessment[[#This Row],[IPP (3 YEARS AVERAGE)]]&lt;2,'9 Grid'!$F$2,IF(Data_Assessment[[#This Row],[IPP (3 YEARS AVERAGE)]]&gt;=4,'9 Grid'!$D$2,'9 Grid'!$E$2))),"")</f>
        <v>Fully Competence Performance</v>
      </c>
      <c r="J800" s="146" t="str">
        <f ca="1">IFERROR(INDEX('9 Grid'!$D$4:$F$6,MATCH('Rekomendasi HAV'!H800,'9 Grid'!$B$4:$B$6,0),MATCH('Rekomendasi HAV'!I800,'9 Grid'!$D$2:$F$2,0)),"")</f>
        <v/>
      </c>
      <c r="K800" s="146" t="str">
        <f>IFERROR(INDEX('9 Grid'!$D$8:$F$8,1,MATCH('Rekomendasi HAV'!I800,'9 Grid'!$D$2:$F$2,0)),"")</f>
        <v>(ST) Within 12 - 18 month</v>
      </c>
      <c r="L800" s="146">
        <f>IF(ISNUMBER(SEARCH("EST",Assessment[[#This Row],[JOB TARGET]])),SUBSTITUTE(Assessment[[#This Row],[JOB TARGET]],"EST","DEV"),Assessment[[#This Row],[JOB TARGET]])</f>
        <v>0</v>
      </c>
      <c r="M800" s="146" t="str" cm="1">
        <f t="array" aca="1" ref="M800" ca="1">IF(Assessment[[#This Row],[JOB TARGET]]="","Job Target Kosong",IF(COUNT(IF('Data Assessment'!$N800:$Z800-OFFSET(Standar!$B$2,MATCH(Assessment[[#This Row],[JOB TARGET
(DEV)]],Standar[NAMA JABATAN],0)-1,1,1,13)&lt;0,1,""))&lt;=3,'9 Grid'!$B$4,IF(COUNT(IF('Data Assessment'!$N800:$Z800-OFFSET(Standar!$B$2,MATCH(Assessment[[#This Row],[JOB TARGET
(DEV)]],Standar[NAMA JABATAN],0)-1,1,1,13)&lt;0,1,""))&gt;=7,'9 Grid'!$B$6,'9 Grid'!$B$5)))</f>
        <v>Job Target Kosong</v>
      </c>
      <c r="N800" s="146" t="str">
        <f>IFERROR(IF(Data_Assessment[[#This Row],[IPP (3 YEARS AVERAGE)]]="","(IPP Belum Ada)",IF(Data_Assessment[[#This Row],[IPP (3 YEARS AVERAGE)]]&lt;2,'9 Grid'!$F$2,IF(Data_Assessment[[#This Row],[IPP (3 YEARS AVERAGE)]]&gt;=4,'9 Grid'!$D$2,'9 Grid'!$E$2))),"")</f>
        <v>Fully Competence Performance</v>
      </c>
      <c r="O800" s="146" t="str">
        <f ca="1">IFERROR(INDEX('9 Grid'!$D$4:$F$6,MATCH('Rekomendasi HAV'!M800,'9 Grid'!$B$4:$B$6,0),MATCH('Rekomendasi HAV'!N800,'9 Grid'!$D$2:$F$2,0)),"")</f>
        <v/>
      </c>
      <c r="P800" s="147" t="str">
        <f>IFERROR(INDEX('9 Grid'!$D$8:$F$8,1,MATCH('Rekomendasi HAV'!N800,'9 Grid'!$D$2:$F$2,0)),"")</f>
        <v>(ST) Within 12 - 18 month</v>
      </c>
    </row>
    <row r="801" spans="1:16" ht="28.5">
      <c r="A801" s="67">
        <v>800</v>
      </c>
      <c r="B801" s="68" t="str">
        <f>INDEX(Data_Assessment[],MATCH('Rekomendasi HAV'!$A801,Data_Assessment[[INDEX]:[INDEX]],0),MATCH('Rekomendasi HAV'!B$1,Data_Assessment[#Headers],0))</f>
        <v>Arnol Jefri Panjaitan</v>
      </c>
      <c r="C801" s="68" t="str">
        <f>INDEX(Data_Assessment[],MATCH('Rekomendasi HAV'!$A801,Data_Assessment[[INDEX]:[INDEX]],0),MATCH('Rekomendasi HAV'!C$1,Data_Assessment[#Headers],0))</f>
        <v>Sumatera Selatan</v>
      </c>
      <c r="D801" s="68" t="str">
        <f>INDEX(Data_Assessment[],MATCH('Rekomendasi HAV'!$A801,Data_Assessment[[INDEX]:[INDEX]],0),MATCH('Rekomendasi HAV'!D$1,Data_Assessment[#Headers],0))</f>
        <v>LSIP - Kencana Sari Palm Oil Mill</v>
      </c>
      <c r="E801" s="68">
        <f>INDEX(Data_Assessment[],MATCH('Rekomendasi HAV'!$B801,Data_Assessment[[NAME]:[NAME]],0),MATCH('Rekomendasi HAV'!E$1,Data_Assessment[#Headers],0))</f>
        <v>0</v>
      </c>
      <c r="F801" s="68"/>
      <c r="G801" s="68">
        <f>IF(ISNUMBER(SEARCH("DEV",Assessment[[#This Row],[JOB TARGET]])),SUBSTITUTE(Assessment[[#This Row],[JOB TARGET]],"DEV","EST"),Assessment[[#This Row],[JOB TARGET]])</f>
        <v>0</v>
      </c>
      <c r="H801" s="146" t="str" cm="1">
        <f t="array" aca="1" ref="H801" ca="1">IF(Assessment[[#This Row],[JOB TARGET]]="","Job Target Kosong",IF(COUNT(IF('Data Assessment'!$N801:$Z801-OFFSET(Standar!$B$2,MATCH(Assessment[[#This Row],[JOB TARGET
(EST)]],Standar[NAMA JABATAN],0)-1,1,1,13)&lt;0,1,""))&lt;=3,'9 Grid'!$B$4,IF(COUNT(IF('Data Assessment'!$N801:$Z801-OFFSET(Standar!$B$2,MATCH(Assessment[[#This Row],[JOB TARGET]],Standar[NAMA JABATAN],0)-1,1,1,13)&lt;0,1,""))&gt;=7,'9 Grid'!$B$6,'9 Grid'!$B$5)))</f>
        <v>Job Target Kosong</v>
      </c>
      <c r="I801" s="146" t="str">
        <f>IFERROR(IF(Data_Assessment[[#This Row],[IPP (3 YEARS AVERAGE)]]="","(IPP Belum Ada)",IF(Data_Assessment[[#This Row],[IPP (3 YEARS AVERAGE)]]&lt;2,'9 Grid'!$F$2,IF(Data_Assessment[[#This Row],[IPP (3 YEARS AVERAGE)]]&gt;=4,'9 Grid'!$D$2,'9 Grid'!$E$2))),"")</f>
        <v>Fully Competence Performance</v>
      </c>
      <c r="J801" s="146" t="str">
        <f ca="1">IFERROR(INDEX('9 Grid'!$D$4:$F$6,MATCH('Rekomendasi HAV'!H801,'9 Grid'!$B$4:$B$6,0),MATCH('Rekomendasi HAV'!I801,'9 Grid'!$D$2:$F$2,0)),"")</f>
        <v/>
      </c>
      <c r="K801" s="146" t="str">
        <f>IFERROR(INDEX('9 Grid'!$D$8:$F$8,1,MATCH('Rekomendasi HAV'!I801,'9 Grid'!$D$2:$F$2,0)),"")</f>
        <v>(ST) Within 12 - 18 month</v>
      </c>
      <c r="L801" s="146">
        <f>IF(ISNUMBER(SEARCH("EST",Assessment[[#This Row],[JOB TARGET]])),SUBSTITUTE(Assessment[[#This Row],[JOB TARGET]],"EST","DEV"),Assessment[[#This Row],[JOB TARGET]])</f>
        <v>0</v>
      </c>
      <c r="M801" s="146" t="str" cm="1">
        <f t="array" aca="1" ref="M801" ca="1">IF(Assessment[[#This Row],[JOB TARGET]]="","Job Target Kosong",IF(COUNT(IF('Data Assessment'!$N801:$Z801-OFFSET(Standar!$B$2,MATCH(Assessment[[#This Row],[JOB TARGET
(DEV)]],Standar[NAMA JABATAN],0)-1,1,1,13)&lt;0,1,""))&lt;=3,'9 Grid'!$B$4,IF(COUNT(IF('Data Assessment'!$N801:$Z801-OFFSET(Standar!$B$2,MATCH(Assessment[[#This Row],[JOB TARGET
(DEV)]],Standar[NAMA JABATAN],0)-1,1,1,13)&lt;0,1,""))&gt;=7,'9 Grid'!$B$6,'9 Grid'!$B$5)))</f>
        <v>Job Target Kosong</v>
      </c>
      <c r="N801" s="146" t="str">
        <f>IFERROR(IF(Data_Assessment[[#This Row],[IPP (3 YEARS AVERAGE)]]="","(IPP Belum Ada)",IF(Data_Assessment[[#This Row],[IPP (3 YEARS AVERAGE)]]&lt;2,'9 Grid'!$F$2,IF(Data_Assessment[[#This Row],[IPP (3 YEARS AVERAGE)]]&gt;=4,'9 Grid'!$D$2,'9 Grid'!$E$2))),"")</f>
        <v>Fully Competence Performance</v>
      </c>
      <c r="O801" s="146" t="str">
        <f ca="1">IFERROR(INDEX('9 Grid'!$D$4:$F$6,MATCH('Rekomendasi HAV'!M801,'9 Grid'!$B$4:$B$6,0),MATCH('Rekomendasi HAV'!N801,'9 Grid'!$D$2:$F$2,0)),"")</f>
        <v/>
      </c>
      <c r="P801" s="147" t="str">
        <f>IFERROR(INDEX('9 Grid'!$D$8:$F$8,1,MATCH('Rekomendasi HAV'!N801,'9 Grid'!$D$2:$F$2,0)),"")</f>
        <v>(ST) Within 12 - 18 month</v>
      </c>
    </row>
    <row r="802" spans="1:16" ht="28.5">
      <c r="A802" s="67">
        <v>801</v>
      </c>
      <c r="B802" s="68" t="str">
        <f>INDEX(Data_Assessment[],MATCH('Rekomendasi HAV'!$A802,Data_Assessment[[INDEX]:[INDEX]],0),MATCH('Rekomendasi HAV'!B$1,Data_Assessment[#Headers],0))</f>
        <v>Jajan Djuhjana, Ir.</v>
      </c>
      <c r="C802" s="68" t="str">
        <f>INDEX(Data_Assessment[],MATCH('Rekomendasi HAV'!$A802,Data_Assessment[[INDEX]:[INDEX]],0),MATCH('Rekomendasi HAV'!C$1,Data_Assessment[#Headers],0))</f>
        <v>Sumatera Utara</v>
      </c>
      <c r="D802" s="68" t="str">
        <f>INDEX(Data_Assessment[],MATCH('Rekomendasi HAV'!$A802,Data_Assessment[[INDEX]:[INDEX]],0),MATCH('Rekomendasi HAV'!D$1,Data_Assessment[#Headers],0))</f>
        <v>LSIP - BLRS - NS</v>
      </c>
      <c r="E802" s="68">
        <f>INDEX(Data_Assessment[],MATCH('Rekomendasi HAV'!$B802,Data_Assessment[[NAME]:[NAME]],0),MATCH('Rekomendasi HAV'!E$1,Data_Assessment[#Headers],0))</f>
        <v>0</v>
      </c>
      <c r="F802" s="68"/>
      <c r="G802" s="68">
        <f>IF(ISNUMBER(SEARCH("DEV",Assessment[[#This Row],[JOB TARGET]])),SUBSTITUTE(Assessment[[#This Row],[JOB TARGET]],"DEV","EST"),Assessment[[#This Row],[JOB TARGET]])</f>
        <v>0</v>
      </c>
      <c r="H802" s="146" t="str" cm="1">
        <f t="array" aca="1" ref="H802" ca="1">IF(Assessment[[#This Row],[JOB TARGET]]="","Job Target Kosong",IF(COUNT(IF('Data Assessment'!$N802:$Z802-OFFSET(Standar!$B$2,MATCH(Assessment[[#This Row],[JOB TARGET
(EST)]],Standar[NAMA JABATAN],0)-1,1,1,13)&lt;0,1,""))&lt;=3,'9 Grid'!$B$4,IF(COUNT(IF('Data Assessment'!$N802:$Z802-OFFSET(Standar!$B$2,MATCH(Assessment[[#This Row],[JOB TARGET]],Standar[NAMA JABATAN],0)-1,1,1,13)&lt;0,1,""))&gt;=7,'9 Grid'!$B$6,'9 Grid'!$B$5)))</f>
        <v>Job Target Kosong</v>
      </c>
      <c r="I802" s="146" t="str">
        <f>IFERROR(IF(Data_Assessment[[#This Row],[IPP (3 YEARS AVERAGE)]]="","(IPP Belum Ada)",IF(Data_Assessment[[#This Row],[IPP (3 YEARS AVERAGE)]]&lt;2,'9 Grid'!$F$2,IF(Data_Assessment[[#This Row],[IPP (3 YEARS AVERAGE)]]&gt;=4,'9 Grid'!$D$2,'9 Grid'!$E$2))),"")</f>
        <v>Fully Competence Performance</v>
      </c>
      <c r="J802" s="146" t="str">
        <f ca="1">IFERROR(INDEX('9 Grid'!$D$4:$F$6,MATCH('Rekomendasi HAV'!H802,'9 Grid'!$B$4:$B$6,0),MATCH('Rekomendasi HAV'!I802,'9 Grid'!$D$2:$F$2,0)),"")</f>
        <v/>
      </c>
      <c r="K802" s="146" t="str">
        <f>IFERROR(INDEX('9 Grid'!$D$8:$F$8,1,MATCH('Rekomendasi HAV'!I802,'9 Grid'!$D$2:$F$2,0)),"")</f>
        <v>(ST) Within 12 - 18 month</v>
      </c>
      <c r="L802" s="146">
        <f>IF(ISNUMBER(SEARCH("EST",Assessment[[#This Row],[JOB TARGET]])),SUBSTITUTE(Assessment[[#This Row],[JOB TARGET]],"EST","DEV"),Assessment[[#This Row],[JOB TARGET]])</f>
        <v>0</v>
      </c>
      <c r="M802" s="146" t="str" cm="1">
        <f t="array" aca="1" ref="M802" ca="1">IF(Assessment[[#This Row],[JOB TARGET]]="","Job Target Kosong",IF(COUNT(IF('Data Assessment'!$N802:$Z802-OFFSET(Standar!$B$2,MATCH(Assessment[[#This Row],[JOB TARGET
(DEV)]],Standar[NAMA JABATAN],0)-1,1,1,13)&lt;0,1,""))&lt;=3,'9 Grid'!$B$4,IF(COUNT(IF('Data Assessment'!$N802:$Z802-OFFSET(Standar!$B$2,MATCH(Assessment[[#This Row],[JOB TARGET
(DEV)]],Standar[NAMA JABATAN],0)-1,1,1,13)&lt;0,1,""))&gt;=7,'9 Grid'!$B$6,'9 Grid'!$B$5)))</f>
        <v>Job Target Kosong</v>
      </c>
      <c r="N802" s="146" t="str">
        <f>IFERROR(IF(Data_Assessment[[#This Row],[IPP (3 YEARS AVERAGE)]]="","(IPP Belum Ada)",IF(Data_Assessment[[#This Row],[IPP (3 YEARS AVERAGE)]]&lt;2,'9 Grid'!$F$2,IF(Data_Assessment[[#This Row],[IPP (3 YEARS AVERAGE)]]&gt;=4,'9 Grid'!$D$2,'9 Grid'!$E$2))),"")</f>
        <v>Fully Competence Performance</v>
      </c>
      <c r="O802" s="146" t="str">
        <f ca="1">IFERROR(INDEX('9 Grid'!$D$4:$F$6,MATCH('Rekomendasi HAV'!M802,'9 Grid'!$B$4:$B$6,0),MATCH('Rekomendasi HAV'!N802,'9 Grid'!$D$2:$F$2,0)),"")</f>
        <v/>
      </c>
      <c r="P802" s="147" t="str">
        <f>IFERROR(INDEX('9 Grid'!$D$8:$F$8,1,MATCH('Rekomendasi HAV'!N802,'9 Grid'!$D$2:$F$2,0)),"")</f>
        <v>(ST) Within 12 - 18 month</v>
      </c>
    </row>
    <row r="803" spans="1:16" ht="28.5">
      <c r="A803" s="67">
        <v>802</v>
      </c>
      <c r="B803" s="68" t="str">
        <f>INDEX(Data_Assessment[],MATCH('Rekomendasi HAV'!$A803,Data_Assessment[[INDEX]:[INDEX]],0),MATCH('Rekomendasi HAV'!B$1,Data_Assessment[#Headers],0))</f>
        <v>Probo Rahardianto S.ST</v>
      </c>
      <c r="C803" s="68" t="str">
        <f>INDEX(Data_Assessment[],MATCH('Rekomendasi HAV'!$A803,Data_Assessment[[INDEX]:[INDEX]],0),MATCH('Rekomendasi HAV'!C$1,Data_Assessment[#Headers],0))</f>
        <v>Palembang</v>
      </c>
      <c r="D803" s="68" t="str">
        <f>INDEX(Data_Assessment[],MATCH('Rekomendasi HAV'!$A803,Data_Assessment[[INDEX]:[INDEX]],0),MATCH('Rekomendasi HAV'!D$1,Data_Assessment[#Headers],0))</f>
        <v>LSIP - BLRS - SS</v>
      </c>
      <c r="E803" s="68">
        <f>INDEX(Data_Assessment[],MATCH('Rekomendasi HAV'!$B803,Data_Assessment[[NAME]:[NAME]],0),MATCH('Rekomendasi HAV'!E$1,Data_Assessment[#Headers],0))</f>
        <v>0</v>
      </c>
      <c r="F803" s="68"/>
      <c r="G803" s="68">
        <f>IF(ISNUMBER(SEARCH("DEV",Assessment[[#This Row],[JOB TARGET]])),SUBSTITUTE(Assessment[[#This Row],[JOB TARGET]],"DEV","EST"),Assessment[[#This Row],[JOB TARGET]])</f>
        <v>0</v>
      </c>
      <c r="H803" s="146" t="str" cm="1">
        <f t="array" aca="1" ref="H803" ca="1">IF(Assessment[[#This Row],[JOB TARGET]]="","Job Target Kosong",IF(COUNT(IF('Data Assessment'!$N803:$Z803-OFFSET(Standar!$B$2,MATCH(Assessment[[#This Row],[JOB TARGET
(EST)]],Standar[NAMA JABATAN],0)-1,1,1,13)&lt;0,1,""))&lt;=3,'9 Grid'!$B$4,IF(COUNT(IF('Data Assessment'!$N803:$Z803-OFFSET(Standar!$B$2,MATCH(Assessment[[#This Row],[JOB TARGET]],Standar[NAMA JABATAN],0)-1,1,1,13)&lt;0,1,""))&gt;=7,'9 Grid'!$B$6,'9 Grid'!$B$5)))</f>
        <v>Job Target Kosong</v>
      </c>
      <c r="I803" s="146" t="str">
        <f>IFERROR(IF(Data_Assessment[[#This Row],[IPP (3 YEARS AVERAGE)]]="","(IPP Belum Ada)",IF(Data_Assessment[[#This Row],[IPP (3 YEARS AVERAGE)]]&lt;2,'9 Grid'!$F$2,IF(Data_Assessment[[#This Row],[IPP (3 YEARS AVERAGE)]]&gt;=4,'9 Grid'!$D$2,'9 Grid'!$E$2))),"")</f>
        <v>Fully Competence Performance</v>
      </c>
      <c r="J803" s="146" t="str">
        <f ca="1">IFERROR(INDEX('9 Grid'!$D$4:$F$6,MATCH('Rekomendasi HAV'!H803,'9 Grid'!$B$4:$B$6,0),MATCH('Rekomendasi HAV'!I803,'9 Grid'!$D$2:$F$2,0)),"")</f>
        <v/>
      </c>
      <c r="K803" s="146" t="str">
        <f>IFERROR(INDEX('9 Grid'!$D$8:$F$8,1,MATCH('Rekomendasi HAV'!I803,'9 Grid'!$D$2:$F$2,0)),"")</f>
        <v>(ST) Within 12 - 18 month</v>
      </c>
      <c r="L803" s="146">
        <f>IF(ISNUMBER(SEARCH("EST",Assessment[[#This Row],[JOB TARGET]])),SUBSTITUTE(Assessment[[#This Row],[JOB TARGET]],"EST","DEV"),Assessment[[#This Row],[JOB TARGET]])</f>
        <v>0</v>
      </c>
      <c r="M803" s="146" t="str" cm="1">
        <f t="array" aca="1" ref="M803" ca="1">IF(Assessment[[#This Row],[JOB TARGET]]="","Job Target Kosong",IF(COUNT(IF('Data Assessment'!$N803:$Z803-OFFSET(Standar!$B$2,MATCH(Assessment[[#This Row],[JOB TARGET
(DEV)]],Standar[NAMA JABATAN],0)-1,1,1,13)&lt;0,1,""))&lt;=3,'9 Grid'!$B$4,IF(COUNT(IF('Data Assessment'!$N803:$Z803-OFFSET(Standar!$B$2,MATCH(Assessment[[#This Row],[JOB TARGET
(DEV)]],Standar[NAMA JABATAN],0)-1,1,1,13)&lt;0,1,""))&gt;=7,'9 Grid'!$B$6,'9 Grid'!$B$5)))</f>
        <v>Job Target Kosong</v>
      </c>
      <c r="N803" s="146" t="str">
        <f>IFERROR(IF(Data_Assessment[[#This Row],[IPP (3 YEARS AVERAGE)]]="","(IPP Belum Ada)",IF(Data_Assessment[[#This Row],[IPP (3 YEARS AVERAGE)]]&lt;2,'9 Grid'!$F$2,IF(Data_Assessment[[#This Row],[IPP (3 YEARS AVERAGE)]]&gt;=4,'9 Grid'!$D$2,'9 Grid'!$E$2))),"")</f>
        <v>Fully Competence Performance</v>
      </c>
      <c r="O803" s="146" t="str">
        <f ca="1">IFERROR(INDEX('9 Grid'!$D$4:$F$6,MATCH('Rekomendasi HAV'!M803,'9 Grid'!$B$4:$B$6,0),MATCH('Rekomendasi HAV'!N803,'9 Grid'!$D$2:$F$2,0)),"")</f>
        <v/>
      </c>
      <c r="P803" s="147" t="str">
        <f>IFERROR(INDEX('9 Grid'!$D$8:$F$8,1,MATCH('Rekomendasi HAV'!N803,'9 Grid'!$D$2:$F$2,0)),"")</f>
        <v>(ST) Within 12 - 18 month</v>
      </c>
    </row>
    <row r="804" spans="1:16" ht="14.25">
      <c r="A804" s="67">
        <v>803</v>
      </c>
      <c r="B804" s="68" t="str">
        <f>INDEX(Data_Assessment[],MATCH('Rekomendasi HAV'!$A804,Data_Assessment[[INDEX]:[INDEX]],0),MATCH('Rekomendasi HAV'!B$1,Data_Assessment[#Headers],0))</f>
        <v>Hadian</v>
      </c>
      <c r="C804" s="68" t="str">
        <f>INDEX(Data_Assessment[],MATCH('Rekomendasi HAV'!$A804,Data_Assessment[[INDEX]:[INDEX]],0),MATCH('Rekomendasi HAV'!C$1,Data_Assessment[#Headers],0))</f>
        <v>Sumatera Selatan</v>
      </c>
      <c r="D804" s="68" t="str">
        <f>INDEX(Data_Assessment[],MATCH('Rekomendasi HAV'!$A804,Data_Assessment[[INDEX]:[INDEX]],0),MATCH('Rekomendasi HAV'!D$1,Data_Assessment[#Headers],0))</f>
        <v>LSIP - BLRS - SS</v>
      </c>
      <c r="E804" s="68">
        <f>INDEX(Data_Assessment[],MATCH('Rekomendasi HAV'!$B804,Data_Assessment[[NAME]:[NAME]],0),MATCH('Rekomendasi HAV'!E$1,Data_Assessment[#Headers],0))</f>
        <v>0</v>
      </c>
      <c r="F804" s="68"/>
      <c r="G804" s="68">
        <f>IF(ISNUMBER(SEARCH("DEV",Assessment[[#This Row],[JOB TARGET]])),SUBSTITUTE(Assessment[[#This Row],[JOB TARGET]],"DEV","EST"),Assessment[[#This Row],[JOB TARGET]])</f>
        <v>0</v>
      </c>
      <c r="H804" s="146" t="str" cm="1">
        <f t="array" aca="1" ref="H804" ca="1">IF(Assessment[[#This Row],[JOB TARGET]]="","Job Target Kosong",IF(COUNT(IF('Data Assessment'!$N804:$Z804-OFFSET(Standar!$B$2,MATCH(Assessment[[#This Row],[JOB TARGET
(EST)]],Standar[NAMA JABATAN],0)-1,1,1,13)&lt;0,1,""))&lt;=3,'9 Grid'!$B$4,IF(COUNT(IF('Data Assessment'!$N804:$Z804-OFFSET(Standar!$B$2,MATCH(Assessment[[#This Row],[JOB TARGET]],Standar[NAMA JABATAN],0)-1,1,1,13)&lt;0,1,""))&gt;=7,'9 Grid'!$B$6,'9 Grid'!$B$5)))</f>
        <v>Job Target Kosong</v>
      </c>
      <c r="I804" s="146" t="str">
        <f>IFERROR(IF(Data_Assessment[[#This Row],[IPP (3 YEARS AVERAGE)]]="","(IPP Belum Ada)",IF(Data_Assessment[[#This Row],[IPP (3 YEARS AVERAGE)]]&lt;2,'9 Grid'!$F$2,IF(Data_Assessment[[#This Row],[IPP (3 YEARS AVERAGE)]]&gt;=4,'9 Grid'!$D$2,'9 Grid'!$E$2))),"")</f>
        <v>Exceptional Performance</v>
      </c>
      <c r="J804" s="146" t="str">
        <f ca="1">IFERROR(INDEX('9 Grid'!$D$4:$F$6,MATCH('Rekomendasi HAV'!H804,'9 Grid'!$B$4:$B$6,0),MATCH('Rekomendasi HAV'!I804,'9 Grid'!$D$2:$F$2,0)),"")</f>
        <v/>
      </c>
      <c r="K804" s="146" t="str">
        <f>IFERROR(INDEX('9 Grid'!$D$8:$F$8,1,MATCH('Rekomendasi HAV'!I804,'9 Grid'!$D$2:$F$2,0)),"")</f>
        <v>(I) Immediately</v>
      </c>
      <c r="L804" s="146">
        <f>IF(ISNUMBER(SEARCH("EST",Assessment[[#This Row],[JOB TARGET]])),SUBSTITUTE(Assessment[[#This Row],[JOB TARGET]],"EST","DEV"),Assessment[[#This Row],[JOB TARGET]])</f>
        <v>0</v>
      </c>
      <c r="M804" s="146" t="str" cm="1">
        <f t="array" aca="1" ref="M804" ca="1">IF(Assessment[[#This Row],[JOB TARGET]]="","Job Target Kosong",IF(COUNT(IF('Data Assessment'!$N804:$Z804-OFFSET(Standar!$B$2,MATCH(Assessment[[#This Row],[JOB TARGET
(DEV)]],Standar[NAMA JABATAN],0)-1,1,1,13)&lt;0,1,""))&lt;=3,'9 Grid'!$B$4,IF(COUNT(IF('Data Assessment'!$N804:$Z804-OFFSET(Standar!$B$2,MATCH(Assessment[[#This Row],[JOB TARGET
(DEV)]],Standar[NAMA JABATAN],0)-1,1,1,13)&lt;0,1,""))&gt;=7,'9 Grid'!$B$6,'9 Grid'!$B$5)))</f>
        <v>Job Target Kosong</v>
      </c>
      <c r="N804" s="146" t="str">
        <f>IFERROR(IF(Data_Assessment[[#This Row],[IPP (3 YEARS AVERAGE)]]="","(IPP Belum Ada)",IF(Data_Assessment[[#This Row],[IPP (3 YEARS AVERAGE)]]&lt;2,'9 Grid'!$F$2,IF(Data_Assessment[[#This Row],[IPP (3 YEARS AVERAGE)]]&gt;=4,'9 Grid'!$D$2,'9 Grid'!$E$2))),"")</f>
        <v>Exceptional Performance</v>
      </c>
      <c r="O804" s="146" t="str">
        <f ca="1">IFERROR(INDEX('9 Grid'!$D$4:$F$6,MATCH('Rekomendasi HAV'!M804,'9 Grid'!$B$4:$B$6,0),MATCH('Rekomendasi HAV'!N804,'9 Grid'!$D$2:$F$2,0)),"")</f>
        <v/>
      </c>
      <c r="P804" s="147" t="str">
        <f>IFERROR(INDEX('9 Grid'!$D$8:$F$8,1,MATCH('Rekomendasi HAV'!N804,'9 Grid'!$D$2:$F$2,0)),"")</f>
        <v>(I) Immediately</v>
      </c>
    </row>
    <row r="805" spans="1:16" ht="28.5">
      <c r="A805" s="67">
        <v>804</v>
      </c>
      <c r="B805" s="68" t="str">
        <f>INDEX(Data_Assessment[],MATCH('Rekomendasi HAV'!$A805,Data_Assessment[[INDEX]:[INDEX]],0),MATCH('Rekomendasi HAV'!B$1,Data_Assessment[#Headers],0))</f>
        <v>Wahyu Aulia Savendra</v>
      </c>
      <c r="C805" s="68" t="str">
        <f>INDEX(Data_Assessment[],MATCH('Rekomendasi HAV'!$A805,Data_Assessment[[INDEX]:[INDEX]],0),MATCH('Rekomendasi HAV'!C$1,Data_Assessment[#Headers],0))</f>
        <v>Sumatera Utara</v>
      </c>
      <c r="D805" s="68" t="str">
        <f>INDEX(Data_Assessment[],MATCH('Rekomendasi HAV'!$A805,Data_Assessment[[INDEX]:[INDEX]],0),MATCH('Rekomendasi HAV'!D$1,Data_Assessment[#Headers],0))</f>
        <v>LSIP - BLRS - NS</v>
      </c>
      <c r="E805" s="68">
        <f>INDEX(Data_Assessment[],MATCH('Rekomendasi HAV'!$B805,Data_Assessment[[NAME]:[NAME]],0),MATCH('Rekomendasi HAV'!E$1,Data_Assessment[#Headers],0))</f>
        <v>0</v>
      </c>
      <c r="F805" s="68"/>
      <c r="G805" s="68">
        <f>IF(ISNUMBER(SEARCH("DEV",Assessment[[#This Row],[JOB TARGET]])),SUBSTITUTE(Assessment[[#This Row],[JOB TARGET]],"DEV","EST"),Assessment[[#This Row],[JOB TARGET]])</f>
        <v>0</v>
      </c>
      <c r="H805" s="146" t="str" cm="1">
        <f t="array" aca="1" ref="H805" ca="1">IF(Assessment[[#This Row],[JOB TARGET]]="","Job Target Kosong",IF(COUNT(IF('Data Assessment'!$N805:$Z805-OFFSET(Standar!$B$2,MATCH(Assessment[[#This Row],[JOB TARGET
(EST)]],Standar[NAMA JABATAN],0)-1,1,1,13)&lt;0,1,""))&lt;=3,'9 Grid'!$B$4,IF(COUNT(IF('Data Assessment'!$N805:$Z805-OFFSET(Standar!$B$2,MATCH(Assessment[[#This Row],[JOB TARGET]],Standar[NAMA JABATAN],0)-1,1,1,13)&lt;0,1,""))&gt;=7,'9 Grid'!$B$6,'9 Grid'!$B$5)))</f>
        <v>Job Target Kosong</v>
      </c>
      <c r="I805" s="146" t="str">
        <f>IFERROR(IF(Data_Assessment[[#This Row],[IPP (3 YEARS AVERAGE)]]="","(IPP Belum Ada)",IF(Data_Assessment[[#This Row],[IPP (3 YEARS AVERAGE)]]&lt;2,'9 Grid'!$F$2,IF(Data_Assessment[[#This Row],[IPP (3 YEARS AVERAGE)]]&gt;=4,'9 Grid'!$D$2,'9 Grid'!$E$2))),"")</f>
        <v>Fully Competence Performance</v>
      </c>
      <c r="J805" s="146" t="str">
        <f ca="1">IFERROR(INDEX('9 Grid'!$D$4:$F$6,MATCH('Rekomendasi HAV'!H805,'9 Grid'!$B$4:$B$6,0),MATCH('Rekomendasi HAV'!I805,'9 Grid'!$D$2:$F$2,0)),"")</f>
        <v/>
      </c>
      <c r="K805" s="146" t="str">
        <f>IFERROR(INDEX('9 Grid'!$D$8:$F$8,1,MATCH('Rekomendasi HAV'!I805,'9 Grid'!$D$2:$F$2,0)),"")</f>
        <v>(ST) Within 12 - 18 month</v>
      </c>
      <c r="L805" s="146">
        <f>IF(ISNUMBER(SEARCH("EST",Assessment[[#This Row],[JOB TARGET]])),SUBSTITUTE(Assessment[[#This Row],[JOB TARGET]],"EST","DEV"),Assessment[[#This Row],[JOB TARGET]])</f>
        <v>0</v>
      </c>
      <c r="M805" s="146" t="str" cm="1">
        <f t="array" aca="1" ref="M805" ca="1">IF(Assessment[[#This Row],[JOB TARGET]]="","Job Target Kosong",IF(COUNT(IF('Data Assessment'!$N805:$Z805-OFFSET(Standar!$B$2,MATCH(Assessment[[#This Row],[JOB TARGET
(DEV)]],Standar[NAMA JABATAN],0)-1,1,1,13)&lt;0,1,""))&lt;=3,'9 Grid'!$B$4,IF(COUNT(IF('Data Assessment'!$N805:$Z805-OFFSET(Standar!$B$2,MATCH(Assessment[[#This Row],[JOB TARGET
(DEV)]],Standar[NAMA JABATAN],0)-1,1,1,13)&lt;0,1,""))&gt;=7,'9 Grid'!$B$6,'9 Grid'!$B$5)))</f>
        <v>Job Target Kosong</v>
      </c>
      <c r="N805" s="146" t="str">
        <f>IFERROR(IF(Data_Assessment[[#This Row],[IPP (3 YEARS AVERAGE)]]="","(IPP Belum Ada)",IF(Data_Assessment[[#This Row],[IPP (3 YEARS AVERAGE)]]&lt;2,'9 Grid'!$F$2,IF(Data_Assessment[[#This Row],[IPP (3 YEARS AVERAGE)]]&gt;=4,'9 Grid'!$D$2,'9 Grid'!$E$2))),"")</f>
        <v>Fully Competence Performance</v>
      </c>
      <c r="O805" s="146" t="str">
        <f ca="1">IFERROR(INDEX('9 Grid'!$D$4:$F$6,MATCH('Rekomendasi HAV'!M805,'9 Grid'!$B$4:$B$6,0),MATCH('Rekomendasi HAV'!N805,'9 Grid'!$D$2:$F$2,0)),"")</f>
        <v/>
      </c>
      <c r="P805" s="147" t="str">
        <f>IFERROR(INDEX('9 Grid'!$D$8:$F$8,1,MATCH('Rekomendasi HAV'!N805,'9 Grid'!$D$2:$F$2,0)),"")</f>
        <v>(ST) Within 12 - 18 month</v>
      </c>
    </row>
    <row r="806" spans="1:16" ht="28.5">
      <c r="A806" s="67">
        <v>805</v>
      </c>
      <c r="B806" s="68" t="str">
        <f>INDEX(Data_Assessment[],MATCH('Rekomendasi HAV'!$A806,Data_Assessment[[INDEX]:[INDEX]],0),MATCH('Rekomendasi HAV'!B$1,Data_Assessment[#Headers],0))</f>
        <v>Dwi Surya Asih</v>
      </c>
      <c r="C806" s="68" t="str">
        <f>INDEX(Data_Assessment[],MATCH('Rekomendasi HAV'!$A806,Data_Assessment[[INDEX]:[INDEX]],0),MATCH('Rekomendasi HAV'!C$1,Data_Assessment[#Headers],0))</f>
        <v>Sumatera Utara</v>
      </c>
      <c r="D806" s="68" t="str">
        <f>INDEX(Data_Assessment[],MATCH('Rekomendasi HAV'!$A806,Data_Assessment[[INDEX]:[INDEX]],0),MATCH('Rekomendasi HAV'!D$1,Data_Assessment[#Headers],0))</f>
        <v>LSIP - BLRS - NS</v>
      </c>
      <c r="E806" s="68">
        <f>INDEX(Data_Assessment[],MATCH('Rekomendasi HAV'!$B806,Data_Assessment[[NAME]:[NAME]],0),MATCH('Rekomendasi HAV'!E$1,Data_Assessment[#Headers],0))</f>
        <v>0</v>
      </c>
      <c r="F806" s="68"/>
      <c r="G806" s="68">
        <f>IF(ISNUMBER(SEARCH("DEV",Assessment[[#This Row],[JOB TARGET]])),SUBSTITUTE(Assessment[[#This Row],[JOB TARGET]],"DEV","EST"),Assessment[[#This Row],[JOB TARGET]])</f>
        <v>0</v>
      </c>
      <c r="H806" s="146" t="str" cm="1">
        <f t="array" aca="1" ref="H806" ca="1">IF(Assessment[[#This Row],[JOB TARGET]]="","Job Target Kosong",IF(COUNT(IF('Data Assessment'!$N806:$Z806-OFFSET(Standar!$B$2,MATCH(Assessment[[#This Row],[JOB TARGET
(EST)]],Standar[NAMA JABATAN],0)-1,1,1,13)&lt;0,1,""))&lt;=3,'9 Grid'!$B$4,IF(COUNT(IF('Data Assessment'!$N806:$Z806-OFFSET(Standar!$B$2,MATCH(Assessment[[#This Row],[JOB TARGET]],Standar[NAMA JABATAN],0)-1,1,1,13)&lt;0,1,""))&gt;=7,'9 Grid'!$B$6,'9 Grid'!$B$5)))</f>
        <v>Job Target Kosong</v>
      </c>
      <c r="I806" s="146" t="str">
        <f>IFERROR(IF(Data_Assessment[[#This Row],[IPP (3 YEARS AVERAGE)]]="","(IPP Belum Ada)",IF(Data_Assessment[[#This Row],[IPP (3 YEARS AVERAGE)]]&lt;2,'9 Grid'!$F$2,IF(Data_Assessment[[#This Row],[IPP (3 YEARS AVERAGE)]]&gt;=4,'9 Grid'!$D$2,'9 Grid'!$E$2))),"")</f>
        <v>Fully Competence Performance</v>
      </c>
      <c r="J806" s="146" t="str">
        <f ca="1">IFERROR(INDEX('9 Grid'!$D$4:$F$6,MATCH('Rekomendasi HAV'!H806,'9 Grid'!$B$4:$B$6,0),MATCH('Rekomendasi HAV'!I806,'9 Grid'!$D$2:$F$2,0)),"")</f>
        <v/>
      </c>
      <c r="K806" s="146" t="str">
        <f>IFERROR(INDEX('9 Grid'!$D$8:$F$8,1,MATCH('Rekomendasi HAV'!I806,'9 Grid'!$D$2:$F$2,0)),"")</f>
        <v>(ST) Within 12 - 18 month</v>
      </c>
      <c r="L806" s="146">
        <f>IF(ISNUMBER(SEARCH("EST",Assessment[[#This Row],[JOB TARGET]])),SUBSTITUTE(Assessment[[#This Row],[JOB TARGET]],"EST","DEV"),Assessment[[#This Row],[JOB TARGET]])</f>
        <v>0</v>
      </c>
      <c r="M806" s="146" t="str" cm="1">
        <f t="array" aca="1" ref="M806" ca="1">IF(Assessment[[#This Row],[JOB TARGET]]="","Job Target Kosong",IF(COUNT(IF('Data Assessment'!$N806:$Z806-OFFSET(Standar!$B$2,MATCH(Assessment[[#This Row],[JOB TARGET
(DEV)]],Standar[NAMA JABATAN],0)-1,1,1,13)&lt;0,1,""))&lt;=3,'9 Grid'!$B$4,IF(COUNT(IF('Data Assessment'!$N806:$Z806-OFFSET(Standar!$B$2,MATCH(Assessment[[#This Row],[JOB TARGET
(DEV)]],Standar[NAMA JABATAN],0)-1,1,1,13)&lt;0,1,""))&gt;=7,'9 Grid'!$B$6,'9 Grid'!$B$5)))</f>
        <v>Job Target Kosong</v>
      </c>
      <c r="N806" s="146" t="str">
        <f>IFERROR(IF(Data_Assessment[[#This Row],[IPP (3 YEARS AVERAGE)]]="","(IPP Belum Ada)",IF(Data_Assessment[[#This Row],[IPP (3 YEARS AVERAGE)]]&lt;2,'9 Grid'!$F$2,IF(Data_Assessment[[#This Row],[IPP (3 YEARS AVERAGE)]]&gt;=4,'9 Grid'!$D$2,'9 Grid'!$E$2))),"")</f>
        <v>Fully Competence Performance</v>
      </c>
      <c r="O806" s="146" t="str">
        <f ca="1">IFERROR(INDEX('9 Grid'!$D$4:$F$6,MATCH('Rekomendasi HAV'!M806,'9 Grid'!$B$4:$B$6,0),MATCH('Rekomendasi HAV'!N806,'9 Grid'!$D$2:$F$2,0)),"")</f>
        <v/>
      </c>
      <c r="P806" s="147" t="str">
        <f>IFERROR(INDEX('9 Grid'!$D$8:$F$8,1,MATCH('Rekomendasi HAV'!N806,'9 Grid'!$D$2:$F$2,0)),"")</f>
        <v>(ST) Within 12 - 18 month</v>
      </c>
    </row>
    <row r="807" spans="1:16" ht="28.5">
      <c r="A807" s="67">
        <v>806</v>
      </c>
      <c r="B807" s="68" t="str">
        <f>INDEX(Data_Assessment[],MATCH('Rekomendasi HAV'!$A807,Data_Assessment[[INDEX]:[INDEX]],0),MATCH('Rekomendasi HAV'!B$1,Data_Assessment[#Headers],0))</f>
        <v>Efni Eliza, Ir.</v>
      </c>
      <c r="C807" s="68" t="str">
        <f>INDEX(Data_Assessment[],MATCH('Rekomendasi HAV'!$A807,Data_Assessment[[INDEX]:[INDEX]],0),MATCH('Rekomendasi HAV'!C$1,Data_Assessment[#Headers],0))</f>
        <v>Sumatera Utara</v>
      </c>
      <c r="D807" s="68" t="str">
        <f>INDEX(Data_Assessment[],MATCH('Rekomendasi HAV'!$A807,Data_Assessment[[INDEX]:[INDEX]],0),MATCH('Rekomendasi HAV'!D$1,Data_Assessment[#Headers],0))</f>
        <v>LSIP - BLRS - NS</v>
      </c>
      <c r="E807" s="68">
        <f>INDEX(Data_Assessment[],MATCH('Rekomendasi HAV'!$B807,Data_Assessment[[NAME]:[NAME]],0),MATCH('Rekomendasi HAV'!E$1,Data_Assessment[#Headers],0))</f>
        <v>0</v>
      </c>
      <c r="F807" s="68"/>
      <c r="G807" s="68">
        <f>IF(ISNUMBER(SEARCH("DEV",Assessment[[#This Row],[JOB TARGET]])),SUBSTITUTE(Assessment[[#This Row],[JOB TARGET]],"DEV","EST"),Assessment[[#This Row],[JOB TARGET]])</f>
        <v>0</v>
      </c>
      <c r="H807" s="146" t="str" cm="1">
        <f t="array" aca="1" ref="H807" ca="1">IF(Assessment[[#This Row],[JOB TARGET]]="","Job Target Kosong",IF(COUNT(IF('Data Assessment'!$N807:$Z807-OFFSET(Standar!$B$2,MATCH(Assessment[[#This Row],[JOB TARGET
(EST)]],Standar[NAMA JABATAN],0)-1,1,1,13)&lt;0,1,""))&lt;=3,'9 Grid'!$B$4,IF(COUNT(IF('Data Assessment'!$N807:$Z807-OFFSET(Standar!$B$2,MATCH(Assessment[[#This Row],[JOB TARGET]],Standar[NAMA JABATAN],0)-1,1,1,13)&lt;0,1,""))&gt;=7,'9 Grid'!$B$6,'9 Grid'!$B$5)))</f>
        <v>Job Target Kosong</v>
      </c>
      <c r="I807" s="146" t="str">
        <f>IFERROR(IF(Data_Assessment[[#This Row],[IPP (3 YEARS AVERAGE)]]="","(IPP Belum Ada)",IF(Data_Assessment[[#This Row],[IPP (3 YEARS AVERAGE)]]&lt;2,'9 Grid'!$F$2,IF(Data_Assessment[[#This Row],[IPP (3 YEARS AVERAGE)]]&gt;=4,'9 Grid'!$D$2,'9 Grid'!$E$2))),"")</f>
        <v>Fully Competence Performance</v>
      </c>
      <c r="J807" s="146" t="str">
        <f ca="1">IFERROR(INDEX('9 Grid'!$D$4:$F$6,MATCH('Rekomendasi HAV'!H807,'9 Grid'!$B$4:$B$6,0),MATCH('Rekomendasi HAV'!I807,'9 Grid'!$D$2:$F$2,0)),"")</f>
        <v/>
      </c>
      <c r="K807" s="146" t="str">
        <f>IFERROR(INDEX('9 Grid'!$D$8:$F$8,1,MATCH('Rekomendasi HAV'!I807,'9 Grid'!$D$2:$F$2,0)),"")</f>
        <v>(ST) Within 12 - 18 month</v>
      </c>
      <c r="L807" s="146">
        <f>IF(ISNUMBER(SEARCH("EST",Assessment[[#This Row],[JOB TARGET]])),SUBSTITUTE(Assessment[[#This Row],[JOB TARGET]],"EST","DEV"),Assessment[[#This Row],[JOB TARGET]])</f>
        <v>0</v>
      </c>
      <c r="M807" s="146" t="str" cm="1">
        <f t="array" aca="1" ref="M807" ca="1">IF(Assessment[[#This Row],[JOB TARGET]]="","Job Target Kosong",IF(COUNT(IF('Data Assessment'!$N807:$Z807-OFFSET(Standar!$B$2,MATCH(Assessment[[#This Row],[JOB TARGET
(DEV)]],Standar[NAMA JABATAN],0)-1,1,1,13)&lt;0,1,""))&lt;=3,'9 Grid'!$B$4,IF(COUNT(IF('Data Assessment'!$N807:$Z807-OFFSET(Standar!$B$2,MATCH(Assessment[[#This Row],[JOB TARGET
(DEV)]],Standar[NAMA JABATAN],0)-1,1,1,13)&lt;0,1,""))&gt;=7,'9 Grid'!$B$6,'9 Grid'!$B$5)))</f>
        <v>Job Target Kosong</v>
      </c>
      <c r="N807" s="146" t="str">
        <f>IFERROR(IF(Data_Assessment[[#This Row],[IPP (3 YEARS AVERAGE)]]="","(IPP Belum Ada)",IF(Data_Assessment[[#This Row],[IPP (3 YEARS AVERAGE)]]&lt;2,'9 Grid'!$F$2,IF(Data_Assessment[[#This Row],[IPP (3 YEARS AVERAGE)]]&gt;=4,'9 Grid'!$D$2,'9 Grid'!$E$2))),"")</f>
        <v>Fully Competence Performance</v>
      </c>
      <c r="O807" s="146" t="str">
        <f ca="1">IFERROR(INDEX('9 Grid'!$D$4:$F$6,MATCH('Rekomendasi HAV'!M807,'9 Grid'!$B$4:$B$6,0),MATCH('Rekomendasi HAV'!N807,'9 Grid'!$D$2:$F$2,0)),"")</f>
        <v/>
      </c>
      <c r="P807" s="147" t="str">
        <f>IFERROR(INDEX('9 Grid'!$D$8:$F$8,1,MATCH('Rekomendasi HAV'!N807,'9 Grid'!$D$2:$F$2,0)),"")</f>
        <v>(ST) Within 12 - 18 month</v>
      </c>
    </row>
    <row r="808" spans="1:16" ht="28.5">
      <c r="A808" s="67">
        <v>807</v>
      </c>
      <c r="B808" s="68" t="str">
        <f>INDEX(Data_Assessment[],MATCH('Rekomendasi HAV'!$A808,Data_Assessment[[INDEX]:[INDEX]],0),MATCH('Rekomendasi HAV'!B$1,Data_Assessment[#Headers],0))</f>
        <v>Ahmad Faisal, SP</v>
      </c>
      <c r="C808" s="68" t="str">
        <f>INDEX(Data_Assessment[],MATCH('Rekomendasi HAV'!$A808,Data_Assessment[[INDEX]:[INDEX]],0),MATCH('Rekomendasi HAV'!C$1,Data_Assessment[#Headers],0))</f>
        <v>Sumatera Utara</v>
      </c>
      <c r="D808" s="68" t="str">
        <f>INDEX(Data_Assessment[],MATCH('Rekomendasi HAV'!$A808,Data_Assessment[[INDEX]:[INDEX]],0),MATCH('Rekomendasi HAV'!D$1,Data_Assessment[#Headers],0))</f>
        <v>LSIP - BLRS - NS</v>
      </c>
      <c r="E808" s="68">
        <f>INDEX(Data_Assessment[],MATCH('Rekomendasi HAV'!$B808,Data_Assessment[[NAME]:[NAME]],0),MATCH('Rekomendasi HAV'!E$1,Data_Assessment[#Headers],0))</f>
        <v>0</v>
      </c>
      <c r="F808" s="68"/>
      <c r="G808" s="68">
        <f>IF(ISNUMBER(SEARCH("DEV",Assessment[[#This Row],[JOB TARGET]])),SUBSTITUTE(Assessment[[#This Row],[JOB TARGET]],"DEV","EST"),Assessment[[#This Row],[JOB TARGET]])</f>
        <v>0</v>
      </c>
      <c r="H808" s="146" t="str" cm="1">
        <f t="array" aca="1" ref="H808" ca="1">IF(Assessment[[#This Row],[JOB TARGET]]="","Job Target Kosong",IF(COUNT(IF('Data Assessment'!$N808:$Z808-OFFSET(Standar!$B$2,MATCH(Assessment[[#This Row],[JOB TARGET
(EST)]],Standar[NAMA JABATAN],0)-1,1,1,13)&lt;0,1,""))&lt;=3,'9 Grid'!$B$4,IF(COUNT(IF('Data Assessment'!$N808:$Z808-OFFSET(Standar!$B$2,MATCH(Assessment[[#This Row],[JOB TARGET]],Standar[NAMA JABATAN],0)-1,1,1,13)&lt;0,1,""))&gt;=7,'9 Grid'!$B$6,'9 Grid'!$B$5)))</f>
        <v>Job Target Kosong</v>
      </c>
      <c r="I808" s="146" t="str">
        <f>IFERROR(IF(Data_Assessment[[#This Row],[IPP (3 YEARS AVERAGE)]]="","(IPP Belum Ada)",IF(Data_Assessment[[#This Row],[IPP (3 YEARS AVERAGE)]]&lt;2,'9 Grid'!$F$2,IF(Data_Assessment[[#This Row],[IPP (3 YEARS AVERAGE)]]&gt;=4,'9 Grid'!$D$2,'9 Grid'!$E$2))),"")</f>
        <v>Fully Competence Performance</v>
      </c>
      <c r="J808" s="146" t="str">
        <f ca="1">IFERROR(INDEX('9 Grid'!$D$4:$F$6,MATCH('Rekomendasi HAV'!H808,'9 Grid'!$B$4:$B$6,0),MATCH('Rekomendasi HAV'!I808,'9 Grid'!$D$2:$F$2,0)),"")</f>
        <v/>
      </c>
      <c r="K808" s="146" t="str">
        <f>IFERROR(INDEX('9 Grid'!$D$8:$F$8,1,MATCH('Rekomendasi HAV'!I808,'9 Grid'!$D$2:$F$2,0)),"")</f>
        <v>(ST) Within 12 - 18 month</v>
      </c>
      <c r="L808" s="146">
        <f>IF(ISNUMBER(SEARCH("EST",Assessment[[#This Row],[JOB TARGET]])),SUBSTITUTE(Assessment[[#This Row],[JOB TARGET]],"EST","DEV"),Assessment[[#This Row],[JOB TARGET]])</f>
        <v>0</v>
      </c>
      <c r="M808" s="146" t="str" cm="1">
        <f t="array" aca="1" ref="M808" ca="1">IF(Assessment[[#This Row],[JOB TARGET]]="","Job Target Kosong",IF(COUNT(IF('Data Assessment'!$N808:$Z808-OFFSET(Standar!$B$2,MATCH(Assessment[[#This Row],[JOB TARGET
(DEV)]],Standar[NAMA JABATAN],0)-1,1,1,13)&lt;0,1,""))&lt;=3,'9 Grid'!$B$4,IF(COUNT(IF('Data Assessment'!$N808:$Z808-OFFSET(Standar!$B$2,MATCH(Assessment[[#This Row],[JOB TARGET
(DEV)]],Standar[NAMA JABATAN],0)-1,1,1,13)&lt;0,1,""))&gt;=7,'9 Grid'!$B$6,'9 Grid'!$B$5)))</f>
        <v>Job Target Kosong</v>
      </c>
      <c r="N808" s="146" t="str">
        <f>IFERROR(IF(Data_Assessment[[#This Row],[IPP (3 YEARS AVERAGE)]]="","(IPP Belum Ada)",IF(Data_Assessment[[#This Row],[IPP (3 YEARS AVERAGE)]]&lt;2,'9 Grid'!$F$2,IF(Data_Assessment[[#This Row],[IPP (3 YEARS AVERAGE)]]&gt;=4,'9 Grid'!$D$2,'9 Grid'!$E$2))),"")</f>
        <v>Fully Competence Performance</v>
      </c>
      <c r="O808" s="146" t="str">
        <f ca="1">IFERROR(INDEX('9 Grid'!$D$4:$F$6,MATCH('Rekomendasi HAV'!M808,'9 Grid'!$B$4:$B$6,0),MATCH('Rekomendasi HAV'!N808,'9 Grid'!$D$2:$F$2,0)),"")</f>
        <v/>
      </c>
      <c r="P808" s="147" t="str">
        <f>IFERROR(INDEX('9 Grid'!$D$8:$F$8,1,MATCH('Rekomendasi HAV'!N808,'9 Grid'!$D$2:$F$2,0)),"")</f>
        <v>(ST) Within 12 - 18 month</v>
      </c>
    </row>
    <row r="809" spans="1:16" ht="28.5">
      <c r="A809" s="67">
        <v>808</v>
      </c>
      <c r="B809" s="68" t="str">
        <f>INDEX(Data_Assessment[],MATCH('Rekomendasi HAV'!$A809,Data_Assessment[[INDEX]:[INDEX]],0),MATCH('Rekomendasi HAV'!B$1,Data_Assessment[#Headers],0))</f>
        <v>Muhammad Husaini, Ir.</v>
      </c>
      <c r="C809" s="68" t="str">
        <f>INDEX(Data_Assessment[],MATCH('Rekomendasi HAV'!$A809,Data_Assessment[[INDEX]:[INDEX]],0),MATCH('Rekomendasi HAV'!C$1,Data_Assessment[#Headers],0))</f>
        <v>Sumatera Utara</v>
      </c>
      <c r="D809" s="68" t="str">
        <f>INDEX(Data_Assessment[],MATCH('Rekomendasi HAV'!$A809,Data_Assessment[[INDEX]:[INDEX]],0),MATCH('Rekomendasi HAV'!D$1,Data_Assessment[#Headers],0))</f>
        <v>LSIP - BLRS - NS</v>
      </c>
      <c r="E809" s="68">
        <f>INDEX(Data_Assessment[],MATCH('Rekomendasi HAV'!$B809,Data_Assessment[[NAME]:[NAME]],0),MATCH('Rekomendasi HAV'!E$1,Data_Assessment[#Headers],0))</f>
        <v>0</v>
      </c>
      <c r="F809" s="68"/>
      <c r="G809" s="68">
        <f>IF(ISNUMBER(SEARCH("DEV",Assessment[[#This Row],[JOB TARGET]])),SUBSTITUTE(Assessment[[#This Row],[JOB TARGET]],"DEV","EST"),Assessment[[#This Row],[JOB TARGET]])</f>
        <v>0</v>
      </c>
      <c r="H809" s="146" t="str" cm="1">
        <f t="array" aca="1" ref="H809" ca="1">IF(Assessment[[#This Row],[JOB TARGET]]="","Job Target Kosong",IF(COUNT(IF('Data Assessment'!$N809:$Z809-OFFSET(Standar!$B$2,MATCH(Assessment[[#This Row],[JOB TARGET
(EST)]],Standar[NAMA JABATAN],0)-1,1,1,13)&lt;0,1,""))&lt;=3,'9 Grid'!$B$4,IF(COUNT(IF('Data Assessment'!$N809:$Z809-OFFSET(Standar!$B$2,MATCH(Assessment[[#This Row],[JOB TARGET]],Standar[NAMA JABATAN],0)-1,1,1,13)&lt;0,1,""))&gt;=7,'9 Grid'!$B$6,'9 Grid'!$B$5)))</f>
        <v>Job Target Kosong</v>
      </c>
      <c r="I809" s="146" t="str">
        <f>IFERROR(IF(Data_Assessment[[#This Row],[IPP (3 YEARS AVERAGE)]]="","(IPP Belum Ada)",IF(Data_Assessment[[#This Row],[IPP (3 YEARS AVERAGE)]]&lt;2,'9 Grid'!$F$2,IF(Data_Assessment[[#This Row],[IPP (3 YEARS AVERAGE)]]&gt;=4,'9 Grid'!$D$2,'9 Grid'!$E$2))),"")</f>
        <v>Fully Competence Performance</v>
      </c>
      <c r="J809" s="146" t="str">
        <f ca="1">IFERROR(INDEX('9 Grid'!$D$4:$F$6,MATCH('Rekomendasi HAV'!H809,'9 Grid'!$B$4:$B$6,0),MATCH('Rekomendasi HAV'!I809,'9 Grid'!$D$2:$F$2,0)),"")</f>
        <v/>
      </c>
      <c r="K809" s="146" t="str">
        <f>IFERROR(INDEX('9 Grid'!$D$8:$F$8,1,MATCH('Rekomendasi HAV'!I809,'9 Grid'!$D$2:$F$2,0)),"")</f>
        <v>(ST) Within 12 - 18 month</v>
      </c>
      <c r="L809" s="146">
        <f>IF(ISNUMBER(SEARCH("EST",Assessment[[#This Row],[JOB TARGET]])),SUBSTITUTE(Assessment[[#This Row],[JOB TARGET]],"EST","DEV"),Assessment[[#This Row],[JOB TARGET]])</f>
        <v>0</v>
      </c>
      <c r="M809" s="146" t="str" cm="1">
        <f t="array" aca="1" ref="M809" ca="1">IF(Assessment[[#This Row],[JOB TARGET]]="","Job Target Kosong",IF(COUNT(IF('Data Assessment'!$N809:$Z809-OFFSET(Standar!$B$2,MATCH(Assessment[[#This Row],[JOB TARGET
(DEV)]],Standar[NAMA JABATAN],0)-1,1,1,13)&lt;0,1,""))&lt;=3,'9 Grid'!$B$4,IF(COUNT(IF('Data Assessment'!$N809:$Z809-OFFSET(Standar!$B$2,MATCH(Assessment[[#This Row],[JOB TARGET
(DEV)]],Standar[NAMA JABATAN],0)-1,1,1,13)&lt;0,1,""))&gt;=7,'9 Grid'!$B$6,'9 Grid'!$B$5)))</f>
        <v>Job Target Kosong</v>
      </c>
      <c r="N809" s="146" t="str">
        <f>IFERROR(IF(Data_Assessment[[#This Row],[IPP (3 YEARS AVERAGE)]]="","(IPP Belum Ada)",IF(Data_Assessment[[#This Row],[IPP (3 YEARS AVERAGE)]]&lt;2,'9 Grid'!$F$2,IF(Data_Assessment[[#This Row],[IPP (3 YEARS AVERAGE)]]&gt;=4,'9 Grid'!$D$2,'9 Grid'!$E$2))),"")</f>
        <v>Fully Competence Performance</v>
      </c>
      <c r="O809" s="146" t="str">
        <f ca="1">IFERROR(INDEX('9 Grid'!$D$4:$F$6,MATCH('Rekomendasi HAV'!M809,'9 Grid'!$B$4:$B$6,0),MATCH('Rekomendasi HAV'!N809,'9 Grid'!$D$2:$F$2,0)),"")</f>
        <v/>
      </c>
      <c r="P809" s="147" t="str">
        <f>IFERROR(INDEX('9 Grid'!$D$8:$F$8,1,MATCH('Rekomendasi HAV'!N809,'9 Grid'!$D$2:$F$2,0)),"")</f>
        <v>(ST) Within 12 - 18 month</v>
      </c>
    </row>
    <row r="810" spans="1:16" ht="28.5">
      <c r="A810" s="67">
        <v>809</v>
      </c>
      <c r="B810" s="68" t="str">
        <f>INDEX(Data_Assessment[],MATCH('Rekomendasi HAV'!$A810,Data_Assessment[[INDEX]:[INDEX]],0),MATCH('Rekomendasi HAV'!B$1,Data_Assessment[#Headers],0))</f>
        <v>Banda Ardiansyah Nasution</v>
      </c>
      <c r="C810" s="68" t="str">
        <f>INDEX(Data_Assessment[],MATCH('Rekomendasi HAV'!$A810,Data_Assessment[[INDEX]:[INDEX]],0),MATCH('Rekomendasi HAV'!C$1,Data_Assessment[#Headers],0))</f>
        <v>Sumatera Utara</v>
      </c>
      <c r="D810" s="68" t="str">
        <f>INDEX(Data_Assessment[],MATCH('Rekomendasi HAV'!$A810,Data_Assessment[[INDEX]:[INDEX]],0),MATCH('Rekomendasi HAV'!D$1,Data_Assessment[#Headers],0))</f>
        <v>LSIP - BLRS - NS</v>
      </c>
      <c r="E810" s="68">
        <f>INDEX(Data_Assessment[],MATCH('Rekomendasi HAV'!$B810,Data_Assessment[[NAME]:[NAME]],0),MATCH('Rekomendasi HAV'!E$1,Data_Assessment[#Headers],0))</f>
        <v>0</v>
      </c>
      <c r="F810" s="68"/>
      <c r="G810" s="68">
        <f>IF(ISNUMBER(SEARCH("DEV",Assessment[[#This Row],[JOB TARGET]])),SUBSTITUTE(Assessment[[#This Row],[JOB TARGET]],"DEV","EST"),Assessment[[#This Row],[JOB TARGET]])</f>
        <v>0</v>
      </c>
      <c r="H810" s="146" t="str" cm="1">
        <f t="array" aca="1" ref="H810" ca="1">IF(Assessment[[#This Row],[JOB TARGET]]="","Job Target Kosong",IF(COUNT(IF('Data Assessment'!$N810:$Z810-OFFSET(Standar!$B$2,MATCH(Assessment[[#This Row],[JOB TARGET
(EST)]],Standar[NAMA JABATAN],0)-1,1,1,13)&lt;0,1,""))&lt;=3,'9 Grid'!$B$4,IF(COUNT(IF('Data Assessment'!$N810:$Z810-OFFSET(Standar!$B$2,MATCH(Assessment[[#This Row],[JOB TARGET]],Standar[NAMA JABATAN],0)-1,1,1,13)&lt;0,1,""))&gt;=7,'9 Grid'!$B$6,'9 Grid'!$B$5)))</f>
        <v>Job Target Kosong</v>
      </c>
      <c r="I810" s="146" t="str">
        <f>IFERROR(IF(Data_Assessment[[#This Row],[IPP (3 YEARS AVERAGE)]]="","(IPP Belum Ada)",IF(Data_Assessment[[#This Row],[IPP (3 YEARS AVERAGE)]]&lt;2,'9 Grid'!$F$2,IF(Data_Assessment[[#This Row],[IPP (3 YEARS AVERAGE)]]&gt;=4,'9 Grid'!$D$2,'9 Grid'!$E$2))),"")</f>
        <v>Fully Competence Performance</v>
      </c>
      <c r="J810" s="146" t="str">
        <f ca="1">IFERROR(INDEX('9 Grid'!$D$4:$F$6,MATCH('Rekomendasi HAV'!H810,'9 Grid'!$B$4:$B$6,0),MATCH('Rekomendasi HAV'!I810,'9 Grid'!$D$2:$F$2,0)),"")</f>
        <v/>
      </c>
      <c r="K810" s="146" t="str">
        <f>IFERROR(INDEX('9 Grid'!$D$8:$F$8,1,MATCH('Rekomendasi HAV'!I810,'9 Grid'!$D$2:$F$2,0)),"")</f>
        <v>(ST) Within 12 - 18 month</v>
      </c>
      <c r="L810" s="146">
        <f>IF(ISNUMBER(SEARCH("EST",Assessment[[#This Row],[JOB TARGET]])),SUBSTITUTE(Assessment[[#This Row],[JOB TARGET]],"EST","DEV"),Assessment[[#This Row],[JOB TARGET]])</f>
        <v>0</v>
      </c>
      <c r="M810" s="146" t="str" cm="1">
        <f t="array" aca="1" ref="M810" ca="1">IF(Assessment[[#This Row],[JOB TARGET]]="","Job Target Kosong",IF(COUNT(IF('Data Assessment'!$N810:$Z810-OFFSET(Standar!$B$2,MATCH(Assessment[[#This Row],[JOB TARGET
(DEV)]],Standar[NAMA JABATAN],0)-1,1,1,13)&lt;0,1,""))&lt;=3,'9 Grid'!$B$4,IF(COUNT(IF('Data Assessment'!$N810:$Z810-OFFSET(Standar!$B$2,MATCH(Assessment[[#This Row],[JOB TARGET
(DEV)]],Standar[NAMA JABATAN],0)-1,1,1,13)&lt;0,1,""))&gt;=7,'9 Grid'!$B$6,'9 Grid'!$B$5)))</f>
        <v>Job Target Kosong</v>
      </c>
      <c r="N810" s="146" t="str">
        <f>IFERROR(IF(Data_Assessment[[#This Row],[IPP (3 YEARS AVERAGE)]]="","(IPP Belum Ada)",IF(Data_Assessment[[#This Row],[IPP (3 YEARS AVERAGE)]]&lt;2,'9 Grid'!$F$2,IF(Data_Assessment[[#This Row],[IPP (3 YEARS AVERAGE)]]&gt;=4,'9 Grid'!$D$2,'9 Grid'!$E$2))),"")</f>
        <v>Fully Competence Performance</v>
      </c>
      <c r="O810" s="146" t="str">
        <f ca="1">IFERROR(INDEX('9 Grid'!$D$4:$F$6,MATCH('Rekomendasi HAV'!M810,'9 Grid'!$B$4:$B$6,0),MATCH('Rekomendasi HAV'!N810,'9 Grid'!$D$2:$F$2,0)),"")</f>
        <v/>
      </c>
      <c r="P810" s="147" t="str">
        <f>IFERROR(INDEX('9 Grid'!$D$8:$F$8,1,MATCH('Rekomendasi HAV'!N810,'9 Grid'!$D$2:$F$2,0)),"")</f>
        <v>(ST) Within 12 - 18 month</v>
      </c>
    </row>
    <row r="811" spans="1:16" ht="28.5">
      <c r="A811" s="67">
        <v>810</v>
      </c>
      <c r="B811" s="68" t="str">
        <f>INDEX(Data_Assessment[],MATCH('Rekomendasi HAV'!$A811,Data_Assessment[[INDEX]:[INDEX]],0),MATCH('Rekomendasi HAV'!B$1,Data_Assessment[#Headers],0))</f>
        <v>Abu Hanifah Pohan, SP</v>
      </c>
      <c r="C811" s="68" t="str">
        <f>INDEX(Data_Assessment[],MATCH('Rekomendasi HAV'!$A811,Data_Assessment[[INDEX]:[INDEX]],0),MATCH('Rekomendasi HAV'!C$1,Data_Assessment[#Headers],0))</f>
        <v>Sumatera Utara</v>
      </c>
      <c r="D811" s="68" t="str">
        <f>INDEX(Data_Assessment[],MATCH('Rekomendasi HAV'!$A811,Data_Assessment[[INDEX]:[INDEX]],0),MATCH('Rekomendasi HAV'!D$1,Data_Assessment[#Headers],0))</f>
        <v>LSIP - BLRS - NS</v>
      </c>
      <c r="E811" s="68">
        <f>INDEX(Data_Assessment[],MATCH('Rekomendasi HAV'!$B811,Data_Assessment[[NAME]:[NAME]],0),MATCH('Rekomendasi HAV'!E$1,Data_Assessment[#Headers],0))</f>
        <v>0</v>
      </c>
      <c r="F811" s="68"/>
      <c r="G811" s="68">
        <f>IF(ISNUMBER(SEARCH("DEV",Assessment[[#This Row],[JOB TARGET]])),SUBSTITUTE(Assessment[[#This Row],[JOB TARGET]],"DEV","EST"),Assessment[[#This Row],[JOB TARGET]])</f>
        <v>0</v>
      </c>
      <c r="H811" s="146" t="str" cm="1">
        <f t="array" aca="1" ref="H811" ca="1">IF(Assessment[[#This Row],[JOB TARGET]]="","Job Target Kosong",IF(COUNT(IF('Data Assessment'!$N811:$Z811-OFFSET(Standar!$B$2,MATCH(Assessment[[#This Row],[JOB TARGET
(EST)]],Standar[NAMA JABATAN],0)-1,1,1,13)&lt;0,1,""))&lt;=3,'9 Grid'!$B$4,IF(COUNT(IF('Data Assessment'!$N811:$Z811-OFFSET(Standar!$B$2,MATCH(Assessment[[#This Row],[JOB TARGET]],Standar[NAMA JABATAN],0)-1,1,1,13)&lt;0,1,""))&gt;=7,'9 Grid'!$B$6,'9 Grid'!$B$5)))</f>
        <v>Job Target Kosong</v>
      </c>
      <c r="I811" s="146" t="str">
        <f>IFERROR(IF(Data_Assessment[[#This Row],[IPP (3 YEARS AVERAGE)]]="","(IPP Belum Ada)",IF(Data_Assessment[[#This Row],[IPP (3 YEARS AVERAGE)]]&lt;2,'9 Grid'!$F$2,IF(Data_Assessment[[#This Row],[IPP (3 YEARS AVERAGE)]]&gt;=4,'9 Grid'!$D$2,'9 Grid'!$E$2))),"")</f>
        <v>Fully Competence Performance</v>
      </c>
      <c r="J811" s="146" t="str">
        <f ca="1">IFERROR(INDEX('9 Grid'!$D$4:$F$6,MATCH('Rekomendasi HAV'!H811,'9 Grid'!$B$4:$B$6,0),MATCH('Rekomendasi HAV'!I811,'9 Grid'!$D$2:$F$2,0)),"")</f>
        <v/>
      </c>
      <c r="K811" s="146" t="str">
        <f>IFERROR(INDEX('9 Grid'!$D$8:$F$8,1,MATCH('Rekomendasi HAV'!I811,'9 Grid'!$D$2:$F$2,0)),"")</f>
        <v>(ST) Within 12 - 18 month</v>
      </c>
      <c r="L811" s="146">
        <f>IF(ISNUMBER(SEARCH("EST",Assessment[[#This Row],[JOB TARGET]])),SUBSTITUTE(Assessment[[#This Row],[JOB TARGET]],"EST","DEV"),Assessment[[#This Row],[JOB TARGET]])</f>
        <v>0</v>
      </c>
      <c r="M811" s="146" t="str" cm="1">
        <f t="array" aca="1" ref="M811" ca="1">IF(Assessment[[#This Row],[JOB TARGET]]="","Job Target Kosong",IF(COUNT(IF('Data Assessment'!$N811:$Z811-OFFSET(Standar!$B$2,MATCH(Assessment[[#This Row],[JOB TARGET
(DEV)]],Standar[NAMA JABATAN],0)-1,1,1,13)&lt;0,1,""))&lt;=3,'9 Grid'!$B$4,IF(COUNT(IF('Data Assessment'!$N811:$Z811-OFFSET(Standar!$B$2,MATCH(Assessment[[#This Row],[JOB TARGET
(DEV)]],Standar[NAMA JABATAN],0)-1,1,1,13)&lt;0,1,""))&gt;=7,'9 Grid'!$B$6,'9 Grid'!$B$5)))</f>
        <v>Job Target Kosong</v>
      </c>
      <c r="N811" s="146" t="str">
        <f>IFERROR(IF(Data_Assessment[[#This Row],[IPP (3 YEARS AVERAGE)]]="","(IPP Belum Ada)",IF(Data_Assessment[[#This Row],[IPP (3 YEARS AVERAGE)]]&lt;2,'9 Grid'!$F$2,IF(Data_Assessment[[#This Row],[IPP (3 YEARS AVERAGE)]]&gt;=4,'9 Grid'!$D$2,'9 Grid'!$E$2))),"")</f>
        <v>Fully Competence Performance</v>
      </c>
      <c r="O811" s="146" t="str">
        <f ca="1">IFERROR(INDEX('9 Grid'!$D$4:$F$6,MATCH('Rekomendasi HAV'!M811,'9 Grid'!$B$4:$B$6,0),MATCH('Rekomendasi HAV'!N811,'9 Grid'!$D$2:$F$2,0)),"")</f>
        <v/>
      </c>
      <c r="P811" s="147" t="str">
        <f>IFERROR(INDEX('9 Grid'!$D$8:$F$8,1,MATCH('Rekomendasi HAV'!N811,'9 Grid'!$D$2:$F$2,0)),"")</f>
        <v>(ST) Within 12 - 18 month</v>
      </c>
    </row>
    <row r="812" spans="1:16" ht="28.5">
      <c r="A812" s="67">
        <v>811</v>
      </c>
      <c r="B812" s="68" t="str">
        <f>INDEX(Data_Assessment[],MATCH('Rekomendasi HAV'!$A812,Data_Assessment[[INDEX]:[INDEX]],0),MATCH('Rekomendasi HAV'!B$1,Data_Assessment[#Headers],0))</f>
        <v>Bayu Irawan</v>
      </c>
      <c r="C812" s="68" t="str">
        <f>INDEX(Data_Assessment[],MATCH('Rekomendasi HAV'!$A812,Data_Assessment[[INDEX]:[INDEX]],0),MATCH('Rekomendasi HAV'!C$1,Data_Assessment[#Headers],0))</f>
        <v>Kalimantan Timur</v>
      </c>
      <c r="D812" s="68" t="str">
        <f>INDEX(Data_Assessment[],MATCH('Rekomendasi HAV'!$A812,Data_Assessment[[INDEX]:[INDEX]],0),MATCH('Rekomendasi HAV'!D$1,Data_Assessment[#Headers],0))</f>
        <v>LSIP - BLRS - SSGU</v>
      </c>
      <c r="E812" s="68">
        <f>INDEX(Data_Assessment[],MATCH('Rekomendasi HAV'!$B812,Data_Assessment[[NAME]:[NAME]],0),MATCH('Rekomendasi HAV'!E$1,Data_Assessment[#Headers],0))</f>
        <v>0</v>
      </c>
      <c r="F812" s="68"/>
      <c r="G812" s="68">
        <f>IF(ISNUMBER(SEARCH("DEV",Assessment[[#This Row],[JOB TARGET]])),SUBSTITUTE(Assessment[[#This Row],[JOB TARGET]],"DEV","EST"),Assessment[[#This Row],[JOB TARGET]])</f>
        <v>0</v>
      </c>
      <c r="H812" s="146" t="str" cm="1">
        <f t="array" aca="1" ref="H812" ca="1">IF(Assessment[[#This Row],[JOB TARGET]]="","Job Target Kosong",IF(COUNT(IF('Data Assessment'!$N812:$Z812-OFFSET(Standar!$B$2,MATCH(Assessment[[#This Row],[JOB TARGET
(EST)]],Standar[NAMA JABATAN],0)-1,1,1,13)&lt;0,1,""))&lt;=3,'9 Grid'!$B$4,IF(COUNT(IF('Data Assessment'!$N812:$Z812-OFFSET(Standar!$B$2,MATCH(Assessment[[#This Row],[JOB TARGET]],Standar[NAMA JABATAN],0)-1,1,1,13)&lt;0,1,""))&gt;=7,'9 Grid'!$B$6,'9 Grid'!$B$5)))</f>
        <v>Job Target Kosong</v>
      </c>
      <c r="I812" s="146" t="str">
        <f>IFERROR(IF(Data_Assessment[[#This Row],[IPP (3 YEARS AVERAGE)]]="","(IPP Belum Ada)",IF(Data_Assessment[[#This Row],[IPP (3 YEARS AVERAGE)]]&lt;2,'9 Grid'!$F$2,IF(Data_Assessment[[#This Row],[IPP (3 YEARS AVERAGE)]]&gt;=4,'9 Grid'!$D$2,'9 Grid'!$E$2))),"")</f>
        <v>Fully Competence Performance</v>
      </c>
      <c r="J812" s="146" t="str">
        <f ca="1">IFERROR(INDEX('9 Grid'!$D$4:$F$6,MATCH('Rekomendasi HAV'!H812,'9 Grid'!$B$4:$B$6,0),MATCH('Rekomendasi HAV'!I812,'9 Grid'!$D$2:$F$2,0)),"")</f>
        <v/>
      </c>
      <c r="K812" s="146" t="str">
        <f>IFERROR(INDEX('9 Grid'!$D$8:$F$8,1,MATCH('Rekomendasi HAV'!I812,'9 Grid'!$D$2:$F$2,0)),"")</f>
        <v>(ST) Within 12 - 18 month</v>
      </c>
      <c r="L812" s="146">
        <f>IF(ISNUMBER(SEARCH("EST",Assessment[[#This Row],[JOB TARGET]])),SUBSTITUTE(Assessment[[#This Row],[JOB TARGET]],"EST","DEV"),Assessment[[#This Row],[JOB TARGET]])</f>
        <v>0</v>
      </c>
      <c r="M812" s="146" t="str" cm="1">
        <f t="array" aca="1" ref="M812" ca="1">IF(Assessment[[#This Row],[JOB TARGET]]="","Job Target Kosong",IF(COUNT(IF('Data Assessment'!$N812:$Z812-OFFSET(Standar!$B$2,MATCH(Assessment[[#This Row],[JOB TARGET
(DEV)]],Standar[NAMA JABATAN],0)-1,1,1,13)&lt;0,1,""))&lt;=3,'9 Grid'!$B$4,IF(COUNT(IF('Data Assessment'!$N812:$Z812-OFFSET(Standar!$B$2,MATCH(Assessment[[#This Row],[JOB TARGET
(DEV)]],Standar[NAMA JABATAN],0)-1,1,1,13)&lt;0,1,""))&gt;=7,'9 Grid'!$B$6,'9 Grid'!$B$5)))</f>
        <v>Job Target Kosong</v>
      </c>
      <c r="N812" s="146" t="str">
        <f>IFERROR(IF(Data_Assessment[[#This Row],[IPP (3 YEARS AVERAGE)]]="","(IPP Belum Ada)",IF(Data_Assessment[[#This Row],[IPP (3 YEARS AVERAGE)]]&lt;2,'9 Grid'!$F$2,IF(Data_Assessment[[#This Row],[IPP (3 YEARS AVERAGE)]]&gt;=4,'9 Grid'!$D$2,'9 Grid'!$E$2))),"")</f>
        <v>Fully Competence Performance</v>
      </c>
      <c r="O812" s="146" t="str">
        <f ca="1">IFERROR(INDEX('9 Grid'!$D$4:$F$6,MATCH('Rekomendasi HAV'!M812,'9 Grid'!$B$4:$B$6,0),MATCH('Rekomendasi HAV'!N812,'9 Grid'!$D$2:$F$2,0)),"")</f>
        <v/>
      </c>
      <c r="P812" s="147" t="str">
        <f>IFERROR(INDEX('9 Grid'!$D$8:$F$8,1,MATCH('Rekomendasi HAV'!N812,'9 Grid'!$D$2:$F$2,0)),"")</f>
        <v>(ST) Within 12 - 18 month</v>
      </c>
    </row>
    <row r="813" spans="1:16" ht="28.5">
      <c r="A813" s="67">
        <v>812</v>
      </c>
      <c r="B813" s="68" t="str">
        <f>INDEX(Data_Assessment[],MATCH('Rekomendasi HAV'!$A813,Data_Assessment[[INDEX]:[INDEX]],0),MATCH('Rekomendasi HAV'!B$1,Data_Assessment[#Headers],0))</f>
        <v>Muhammad Annas Suanda</v>
      </c>
      <c r="C813" s="68" t="str">
        <f>INDEX(Data_Assessment[],MATCH('Rekomendasi HAV'!$A813,Data_Assessment[[INDEX]:[INDEX]],0),MATCH('Rekomendasi HAV'!C$1,Data_Assessment[#Headers],0))</f>
        <v>Riau</v>
      </c>
      <c r="D813" s="68" t="str">
        <f>INDEX(Data_Assessment[],MATCH('Rekomendasi HAV'!$A813,Data_Assessment[[INDEX]:[INDEX]],0),MATCH('Rekomendasi HAV'!D$1,Data_Assessment[#Headers],0))</f>
        <v>LSIP - HO Jakarta</v>
      </c>
      <c r="E813" s="68">
        <f>INDEX(Data_Assessment[],MATCH('Rekomendasi HAV'!$B813,Data_Assessment[[NAME]:[NAME]],0),MATCH('Rekomendasi HAV'!E$1,Data_Assessment[#Headers],0))</f>
        <v>0</v>
      </c>
      <c r="F813" s="68"/>
      <c r="G813" s="68">
        <f>IF(ISNUMBER(SEARCH("DEV",Assessment[[#This Row],[JOB TARGET]])),SUBSTITUTE(Assessment[[#This Row],[JOB TARGET]],"DEV","EST"),Assessment[[#This Row],[JOB TARGET]])</f>
        <v>0</v>
      </c>
      <c r="H813" s="146" t="str" cm="1">
        <f t="array" aca="1" ref="H813" ca="1">IF(Assessment[[#This Row],[JOB TARGET]]="","Job Target Kosong",IF(COUNT(IF('Data Assessment'!$N813:$Z813-OFFSET(Standar!$B$2,MATCH(Assessment[[#This Row],[JOB TARGET
(EST)]],Standar[NAMA JABATAN],0)-1,1,1,13)&lt;0,1,""))&lt;=3,'9 Grid'!$B$4,IF(COUNT(IF('Data Assessment'!$N813:$Z813-OFFSET(Standar!$B$2,MATCH(Assessment[[#This Row],[JOB TARGET]],Standar[NAMA JABATAN],0)-1,1,1,13)&lt;0,1,""))&gt;=7,'9 Grid'!$B$6,'9 Grid'!$B$5)))</f>
        <v>Job Target Kosong</v>
      </c>
      <c r="I813" s="146" t="str">
        <f>IFERROR(IF(Data_Assessment[[#This Row],[IPP (3 YEARS AVERAGE)]]="","(IPP Belum Ada)",IF(Data_Assessment[[#This Row],[IPP (3 YEARS AVERAGE)]]&lt;2,'9 Grid'!$F$2,IF(Data_Assessment[[#This Row],[IPP (3 YEARS AVERAGE)]]&gt;=4,'9 Grid'!$D$2,'9 Grid'!$E$2))),"")</f>
        <v>Fully Competence Performance</v>
      </c>
      <c r="J813" s="146" t="str">
        <f ca="1">IFERROR(INDEX('9 Grid'!$D$4:$F$6,MATCH('Rekomendasi HAV'!H813,'9 Grid'!$B$4:$B$6,0),MATCH('Rekomendasi HAV'!I813,'9 Grid'!$D$2:$F$2,0)),"")</f>
        <v/>
      </c>
      <c r="K813" s="146" t="str">
        <f>IFERROR(INDEX('9 Grid'!$D$8:$F$8,1,MATCH('Rekomendasi HAV'!I813,'9 Grid'!$D$2:$F$2,0)),"")</f>
        <v>(ST) Within 12 - 18 month</v>
      </c>
      <c r="L813" s="146">
        <f>IF(ISNUMBER(SEARCH("EST",Assessment[[#This Row],[JOB TARGET]])),SUBSTITUTE(Assessment[[#This Row],[JOB TARGET]],"EST","DEV"),Assessment[[#This Row],[JOB TARGET]])</f>
        <v>0</v>
      </c>
      <c r="M813" s="146" t="str" cm="1">
        <f t="array" aca="1" ref="M813" ca="1">IF(Assessment[[#This Row],[JOB TARGET]]="","Job Target Kosong",IF(COUNT(IF('Data Assessment'!$N813:$Z813-OFFSET(Standar!$B$2,MATCH(Assessment[[#This Row],[JOB TARGET
(DEV)]],Standar[NAMA JABATAN],0)-1,1,1,13)&lt;0,1,""))&lt;=3,'9 Grid'!$B$4,IF(COUNT(IF('Data Assessment'!$N813:$Z813-OFFSET(Standar!$B$2,MATCH(Assessment[[#This Row],[JOB TARGET
(DEV)]],Standar[NAMA JABATAN],0)-1,1,1,13)&lt;0,1,""))&gt;=7,'9 Grid'!$B$6,'9 Grid'!$B$5)))</f>
        <v>Job Target Kosong</v>
      </c>
      <c r="N813" s="146" t="str">
        <f>IFERROR(IF(Data_Assessment[[#This Row],[IPP (3 YEARS AVERAGE)]]="","(IPP Belum Ada)",IF(Data_Assessment[[#This Row],[IPP (3 YEARS AVERAGE)]]&lt;2,'9 Grid'!$F$2,IF(Data_Assessment[[#This Row],[IPP (3 YEARS AVERAGE)]]&gt;=4,'9 Grid'!$D$2,'9 Grid'!$E$2))),"")</f>
        <v>Fully Competence Performance</v>
      </c>
      <c r="O813" s="146" t="str">
        <f ca="1">IFERROR(INDEX('9 Grid'!$D$4:$F$6,MATCH('Rekomendasi HAV'!M813,'9 Grid'!$B$4:$B$6,0),MATCH('Rekomendasi HAV'!N813,'9 Grid'!$D$2:$F$2,0)),"")</f>
        <v/>
      </c>
      <c r="P813" s="147" t="str">
        <f>IFERROR(INDEX('9 Grid'!$D$8:$F$8,1,MATCH('Rekomendasi HAV'!N813,'9 Grid'!$D$2:$F$2,0)),"")</f>
        <v>(ST) Within 12 - 18 month</v>
      </c>
    </row>
    <row r="814" spans="1:16" ht="28.5">
      <c r="A814" s="67">
        <v>813</v>
      </c>
      <c r="B814" s="68" t="str">
        <f>INDEX(Data_Assessment[],MATCH('Rekomendasi HAV'!$A814,Data_Assessment[[INDEX]:[INDEX]],0),MATCH('Rekomendasi HAV'!B$1,Data_Assessment[#Headers],0))</f>
        <v>Zulhafani MS</v>
      </c>
      <c r="C814" s="68" t="str">
        <f>INDEX(Data_Assessment[],MATCH('Rekomendasi HAV'!$A814,Data_Assessment[[INDEX]:[INDEX]],0),MATCH('Rekomendasi HAV'!C$1,Data_Assessment[#Headers],0))</f>
        <v>Sumatera Selatan</v>
      </c>
      <c r="D814" s="68" t="str">
        <f>INDEX(Data_Assessment[],MATCH('Rekomendasi HAV'!$A814,Data_Assessment[[INDEX]:[INDEX]],0),MATCH('Rekomendasi HAV'!D$1,Data_Assessment[#Headers],0))</f>
        <v>LSIP - RO Palembang</v>
      </c>
      <c r="E814" s="68">
        <f>INDEX(Data_Assessment[],MATCH('Rekomendasi HAV'!$B814,Data_Assessment[[NAME]:[NAME]],0),MATCH('Rekomendasi HAV'!E$1,Data_Assessment[#Headers],0))</f>
        <v>0</v>
      </c>
      <c r="F814" s="68"/>
      <c r="G814" s="68">
        <f>IF(ISNUMBER(SEARCH("DEV",Assessment[[#This Row],[JOB TARGET]])),SUBSTITUTE(Assessment[[#This Row],[JOB TARGET]],"DEV","EST"),Assessment[[#This Row],[JOB TARGET]])</f>
        <v>0</v>
      </c>
      <c r="H814" s="146" t="str" cm="1">
        <f t="array" aca="1" ref="H814" ca="1">IF(Assessment[[#This Row],[JOB TARGET]]="","Job Target Kosong",IF(COUNT(IF('Data Assessment'!$N814:$Z814-OFFSET(Standar!$B$2,MATCH(Assessment[[#This Row],[JOB TARGET
(EST)]],Standar[NAMA JABATAN],0)-1,1,1,13)&lt;0,1,""))&lt;=3,'9 Grid'!$B$4,IF(COUNT(IF('Data Assessment'!$N814:$Z814-OFFSET(Standar!$B$2,MATCH(Assessment[[#This Row],[JOB TARGET]],Standar[NAMA JABATAN],0)-1,1,1,13)&lt;0,1,""))&gt;=7,'9 Grid'!$B$6,'9 Grid'!$B$5)))</f>
        <v>Job Target Kosong</v>
      </c>
      <c r="I814" s="146" t="str">
        <f>IFERROR(IF(Data_Assessment[[#This Row],[IPP (3 YEARS AVERAGE)]]="","(IPP Belum Ada)",IF(Data_Assessment[[#This Row],[IPP (3 YEARS AVERAGE)]]&lt;2,'9 Grid'!$F$2,IF(Data_Assessment[[#This Row],[IPP (3 YEARS AVERAGE)]]&gt;=4,'9 Grid'!$D$2,'9 Grid'!$E$2))),"")</f>
        <v>Fully Competence Performance</v>
      </c>
      <c r="J814" s="146" t="str">
        <f ca="1">IFERROR(INDEX('9 Grid'!$D$4:$F$6,MATCH('Rekomendasi HAV'!H814,'9 Grid'!$B$4:$B$6,0),MATCH('Rekomendasi HAV'!I814,'9 Grid'!$D$2:$F$2,0)),"")</f>
        <v/>
      </c>
      <c r="K814" s="146" t="str">
        <f>IFERROR(INDEX('9 Grid'!$D$8:$F$8,1,MATCH('Rekomendasi HAV'!I814,'9 Grid'!$D$2:$F$2,0)),"")</f>
        <v>(ST) Within 12 - 18 month</v>
      </c>
      <c r="L814" s="146">
        <f>IF(ISNUMBER(SEARCH("EST",Assessment[[#This Row],[JOB TARGET]])),SUBSTITUTE(Assessment[[#This Row],[JOB TARGET]],"EST","DEV"),Assessment[[#This Row],[JOB TARGET]])</f>
        <v>0</v>
      </c>
      <c r="M814" s="146" t="str" cm="1">
        <f t="array" aca="1" ref="M814" ca="1">IF(Assessment[[#This Row],[JOB TARGET]]="","Job Target Kosong",IF(COUNT(IF('Data Assessment'!$N814:$Z814-OFFSET(Standar!$B$2,MATCH(Assessment[[#This Row],[JOB TARGET
(DEV)]],Standar[NAMA JABATAN],0)-1,1,1,13)&lt;0,1,""))&lt;=3,'9 Grid'!$B$4,IF(COUNT(IF('Data Assessment'!$N814:$Z814-OFFSET(Standar!$B$2,MATCH(Assessment[[#This Row],[JOB TARGET
(DEV)]],Standar[NAMA JABATAN],0)-1,1,1,13)&lt;0,1,""))&gt;=7,'9 Grid'!$B$6,'9 Grid'!$B$5)))</f>
        <v>Job Target Kosong</v>
      </c>
      <c r="N814" s="146" t="str">
        <f>IFERROR(IF(Data_Assessment[[#This Row],[IPP (3 YEARS AVERAGE)]]="","(IPP Belum Ada)",IF(Data_Assessment[[#This Row],[IPP (3 YEARS AVERAGE)]]&lt;2,'9 Grid'!$F$2,IF(Data_Assessment[[#This Row],[IPP (3 YEARS AVERAGE)]]&gt;=4,'9 Grid'!$D$2,'9 Grid'!$E$2))),"")</f>
        <v>Fully Competence Performance</v>
      </c>
      <c r="O814" s="146" t="str">
        <f ca="1">IFERROR(INDEX('9 Grid'!$D$4:$F$6,MATCH('Rekomendasi HAV'!M814,'9 Grid'!$B$4:$B$6,0),MATCH('Rekomendasi HAV'!N814,'9 Grid'!$D$2:$F$2,0)),"")</f>
        <v/>
      </c>
      <c r="P814" s="147" t="str">
        <f>IFERROR(INDEX('9 Grid'!$D$8:$F$8,1,MATCH('Rekomendasi HAV'!N814,'9 Grid'!$D$2:$F$2,0)),"")</f>
        <v>(ST) Within 12 - 18 month</v>
      </c>
    </row>
    <row r="815" spans="1:16" ht="28.5">
      <c r="A815" s="67">
        <v>814</v>
      </c>
      <c r="B815" s="68" t="str">
        <f>INDEX(Data_Assessment[],MATCH('Rekomendasi HAV'!$A815,Data_Assessment[[INDEX]:[INDEX]],0),MATCH('Rekomendasi HAV'!B$1,Data_Assessment[#Headers],0))</f>
        <v>Ikayana Putra, SE</v>
      </c>
      <c r="C815" s="68" t="str">
        <f>INDEX(Data_Assessment[],MATCH('Rekomendasi HAV'!$A815,Data_Assessment[[INDEX]:[INDEX]],0),MATCH('Rekomendasi HAV'!C$1,Data_Assessment[#Headers],0))</f>
        <v>Palembang</v>
      </c>
      <c r="D815" s="68" t="str">
        <f>INDEX(Data_Assessment[],MATCH('Rekomendasi HAV'!$A815,Data_Assessment[[INDEX]:[INDEX]],0),MATCH('Rekomendasi HAV'!D$1,Data_Assessment[#Headers],0))</f>
        <v>LSIP - RO Palembang</v>
      </c>
      <c r="E815" s="68">
        <f>INDEX(Data_Assessment[],MATCH('Rekomendasi HAV'!$B815,Data_Assessment[[NAME]:[NAME]],0),MATCH('Rekomendasi HAV'!E$1,Data_Assessment[#Headers],0))</f>
        <v>0</v>
      </c>
      <c r="F815" s="68"/>
      <c r="G815" s="68">
        <f>IF(ISNUMBER(SEARCH("DEV",Assessment[[#This Row],[JOB TARGET]])),SUBSTITUTE(Assessment[[#This Row],[JOB TARGET]],"DEV","EST"),Assessment[[#This Row],[JOB TARGET]])</f>
        <v>0</v>
      </c>
      <c r="H815" s="146" t="str" cm="1">
        <f t="array" aca="1" ref="H815" ca="1">IF(Assessment[[#This Row],[JOB TARGET]]="","Job Target Kosong",IF(COUNT(IF('Data Assessment'!$N815:$Z815-OFFSET(Standar!$B$2,MATCH(Assessment[[#This Row],[JOB TARGET
(EST)]],Standar[NAMA JABATAN],0)-1,1,1,13)&lt;0,1,""))&lt;=3,'9 Grid'!$B$4,IF(COUNT(IF('Data Assessment'!$N815:$Z815-OFFSET(Standar!$B$2,MATCH(Assessment[[#This Row],[JOB TARGET]],Standar[NAMA JABATAN],0)-1,1,1,13)&lt;0,1,""))&gt;=7,'9 Grid'!$B$6,'9 Grid'!$B$5)))</f>
        <v>Job Target Kosong</v>
      </c>
      <c r="I815" s="146" t="str">
        <f>IFERROR(IF(Data_Assessment[[#This Row],[IPP (3 YEARS AVERAGE)]]="","(IPP Belum Ada)",IF(Data_Assessment[[#This Row],[IPP (3 YEARS AVERAGE)]]&lt;2,'9 Grid'!$F$2,IF(Data_Assessment[[#This Row],[IPP (3 YEARS AVERAGE)]]&gt;=4,'9 Grid'!$D$2,'9 Grid'!$E$2))),"")</f>
        <v>Fully Competence Performance</v>
      </c>
      <c r="J815" s="146" t="str">
        <f ca="1">IFERROR(INDEX('9 Grid'!$D$4:$F$6,MATCH('Rekomendasi HAV'!H815,'9 Grid'!$B$4:$B$6,0),MATCH('Rekomendasi HAV'!I815,'9 Grid'!$D$2:$F$2,0)),"")</f>
        <v/>
      </c>
      <c r="K815" s="146" t="str">
        <f>IFERROR(INDEX('9 Grid'!$D$8:$F$8,1,MATCH('Rekomendasi HAV'!I815,'9 Grid'!$D$2:$F$2,0)),"")</f>
        <v>(ST) Within 12 - 18 month</v>
      </c>
      <c r="L815" s="146">
        <f>IF(ISNUMBER(SEARCH("EST",Assessment[[#This Row],[JOB TARGET]])),SUBSTITUTE(Assessment[[#This Row],[JOB TARGET]],"EST","DEV"),Assessment[[#This Row],[JOB TARGET]])</f>
        <v>0</v>
      </c>
      <c r="M815" s="146" t="str" cm="1">
        <f t="array" aca="1" ref="M815" ca="1">IF(Assessment[[#This Row],[JOB TARGET]]="","Job Target Kosong",IF(COUNT(IF('Data Assessment'!$N815:$Z815-OFFSET(Standar!$B$2,MATCH(Assessment[[#This Row],[JOB TARGET
(DEV)]],Standar[NAMA JABATAN],0)-1,1,1,13)&lt;0,1,""))&lt;=3,'9 Grid'!$B$4,IF(COUNT(IF('Data Assessment'!$N815:$Z815-OFFSET(Standar!$B$2,MATCH(Assessment[[#This Row],[JOB TARGET
(DEV)]],Standar[NAMA JABATAN],0)-1,1,1,13)&lt;0,1,""))&gt;=7,'9 Grid'!$B$6,'9 Grid'!$B$5)))</f>
        <v>Job Target Kosong</v>
      </c>
      <c r="N815" s="146" t="str">
        <f>IFERROR(IF(Data_Assessment[[#This Row],[IPP (3 YEARS AVERAGE)]]="","(IPP Belum Ada)",IF(Data_Assessment[[#This Row],[IPP (3 YEARS AVERAGE)]]&lt;2,'9 Grid'!$F$2,IF(Data_Assessment[[#This Row],[IPP (3 YEARS AVERAGE)]]&gt;=4,'9 Grid'!$D$2,'9 Grid'!$E$2))),"")</f>
        <v>Fully Competence Performance</v>
      </c>
      <c r="O815" s="146" t="str">
        <f ca="1">IFERROR(INDEX('9 Grid'!$D$4:$F$6,MATCH('Rekomendasi HAV'!M815,'9 Grid'!$B$4:$B$6,0),MATCH('Rekomendasi HAV'!N815,'9 Grid'!$D$2:$F$2,0)),"")</f>
        <v/>
      </c>
      <c r="P815" s="147" t="str">
        <f>IFERROR(INDEX('9 Grid'!$D$8:$F$8,1,MATCH('Rekomendasi HAV'!N815,'9 Grid'!$D$2:$F$2,0)),"")</f>
        <v>(ST) Within 12 - 18 month</v>
      </c>
    </row>
    <row r="816" spans="1:16" ht="28.5">
      <c r="A816" s="67">
        <v>815</v>
      </c>
      <c r="B816" s="68" t="str">
        <f>INDEX(Data_Assessment[],MATCH('Rekomendasi HAV'!$A816,Data_Assessment[[INDEX]:[INDEX]],0),MATCH('Rekomendasi HAV'!B$1,Data_Assessment[#Headers],0))</f>
        <v>Indra, Ir.</v>
      </c>
      <c r="C816" s="68" t="str">
        <f>INDEX(Data_Assessment[],MATCH('Rekomendasi HAV'!$A816,Data_Assessment[[INDEX]:[INDEX]],0),MATCH('Rekomendasi HAV'!C$1,Data_Assessment[#Headers],0))</f>
        <v>Sumatera Utara</v>
      </c>
      <c r="D816" s="68" t="str">
        <f>INDEX(Data_Assessment[],MATCH('Rekomendasi HAV'!$A816,Data_Assessment[[INDEX]:[INDEX]],0),MATCH('Rekomendasi HAV'!D$1,Data_Assessment[#Headers],0))</f>
        <v>LSIP - BLRS - NS</v>
      </c>
      <c r="E816" s="68">
        <f>INDEX(Data_Assessment[],MATCH('Rekomendasi HAV'!$B816,Data_Assessment[[NAME]:[NAME]],0),MATCH('Rekomendasi HAV'!E$1,Data_Assessment[#Headers],0))</f>
        <v>0</v>
      </c>
      <c r="F816" s="144"/>
      <c r="G816" s="144">
        <f>IF(ISNUMBER(SEARCH("DEV",Assessment[[#This Row],[JOB TARGET]])),SUBSTITUTE(Assessment[[#This Row],[JOB TARGET]],"DEV","EST"),Assessment[[#This Row],[JOB TARGET]])</f>
        <v>0</v>
      </c>
      <c r="H816" s="148" t="str" cm="1">
        <f t="array" aca="1" ref="H816" ca="1">IF(Assessment[[#This Row],[JOB TARGET]]="","Job Target Kosong",IF(COUNT(IF('Data Assessment'!$N816:$Z816-OFFSET(Standar!$B$2,MATCH(Assessment[[#This Row],[JOB TARGET
(EST)]],Standar[NAMA JABATAN],0)-1,1,1,13)&lt;0,1,""))&lt;=3,'9 Grid'!$B$4,IF(COUNT(IF('Data Assessment'!$N816:$Z816-OFFSET(Standar!$B$2,MATCH(Assessment[[#This Row],[JOB TARGET]],Standar[NAMA JABATAN],0)-1,1,1,13)&lt;0,1,""))&gt;=7,'9 Grid'!$B$6,'9 Grid'!$B$5)))</f>
        <v>Job Target Kosong</v>
      </c>
      <c r="I816" s="148" t="str">
        <f>IFERROR(IF(Data_Assessment[[#This Row],[IPP (3 YEARS AVERAGE)]]="","(IPP Belum Ada)",IF(Data_Assessment[[#This Row],[IPP (3 YEARS AVERAGE)]]&lt;2,'9 Grid'!$F$2,IF(Data_Assessment[[#This Row],[IPP (3 YEARS AVERAGE)]]&gt;=4,'9 Grid'!$D$2,'9 Grid'!$E$2))),"")</f>
        <v>Fully Competence Performance</v>
      </c>
      <c r="J816" s="148" t="str">
        <f ca="1">IFERROR(INDEX('9 Grid'!$D$4:$F$6,MATCH('Rekomendasi HAV'!H816,'9 Grid'!$B$4:$B$6,0),MATCH('Rekomendasi HAV'!I816,'9 Grid'!$D$2:$F$2,0)),"")</f>
        <v/>
      </c>
      <c r="K816" s="148" t="str">
        <f>IFERROR(INDEX('9 Grid'!$D$8:$F$8,1,MATCH('Rekomendasi HAV'!I816,'9 Grid'!$D$2:$F$2,0)),"")</f>
        <v>(ST) Within 12 - 18 month</v>
      </c>
      <c r="L816" s="148">
        <f>IF(ISNUMBER(SEARCH("EST",Assessment[[#This Row],[JOB TARGET]])),SUBSTITUTE(Assessment[[#This Row],[JOB TARGET]],"EST","DEV"),Assessment[[#This Row],[JOB TARGET]])</f>
        <v>0</v>
      </c>
      <c r="M816" s="146" t="str" cm="1">
        <f t="array" aca="1" ref="M816" ca="1">IF(Assessment[[#This Row],[JOB TARGET]]="","Job Target Kosong",IF(COUNT(IF('Data Assessment'!$N816:$Z816-OFFSET(Standar!$B$2,MATCH(Assessment[[#This Row],[JOB TARGET
(DEV)]],Standar[NAMA JABATAN],0)-1,1,1,13)&lt;0,1,""))&lt;=3,'9 Grid'!$B$4,IF(COUNT(IF('Data Assessment'!$N816:$Z816-OFFSET(Standar!$B$2,MATCH(Assessment[[#This Row],[JOB TARGET
(DEV)]],Standar[NAMA JABATAN],0)-1,1,1,13)&lt;0,1,""))&gt;=7,'9 Grid'!$B$6,'9 Grid'!$B$5)))</f>
        <v>Job Target Kosong</v>
      </c>
      <c r="N816" s="148" t="str">
        <f>IFERROR(IF(Data_Assessment[[#This Row],[IPP (3 YEARS AVERAGE)]]="","(IPP Belum Ada)",IF(Data_Assessment[[#This Row],[IPP (3 YEARS AVERAGE)]]&lt;2,'9 Grid'!$F$2,IF(Data_Assessment[[#This Row],[IPP (3 YEARS AVERAGE)]]&gt;=4,'9 Grid'!$D$2,'9 Grid'!$E$2))),"")</f>
        <v>Fully Competence Performance</v>
      </c>
      <c r="O816" s="148" t="str">
        <f ca="1">IFERROR(INDEX('9 Grid'!$D$4:$F$6,MATCH('Rekomendasi HAV'!M816,'9 Grid'!$B$4:$B$6,0),MATCH('Rekomendasi HAV'!N816,'9 Grid'!$D$2:$F$2,0)),"")</f>
        <v/>
      </c>
      <c r="P816" s="149" t="str">
        <f>IFERROR(INDEX('9 Grid'!$D$8:$F$8,1,MATCH('Rekomendasi HAV'!N816,'9 Grid'!$D$2:$F$2,0)),"")</f>
        <v>(ST) Within 12 - 18 month</v>
      </c>
    </row>
  </sheetData>
  <conditionalFormatting sqref="J2:J816 O2:O816">
    <cfRule type="cellIs" dxfId="130" priority="58" operator="equal">
      <formula>"""(1) Move Now (Promote/Job Enlargement)"""</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3" id="{6D978F11-DE2F-4DF6-946B-39D07F03C48E}">
            <xm:f>$K2='9 Grid'!$D$8</xm:f>
            <x14:dxf>
              <fill>
                <patternFill>
                  <bgColor rgb="FF92D050"/>
                </patternFill>
              </fill>
            </x14:dxf>
          </x14:cfRule>
          <x14:cfRule type="expression" priority="14" id="{9F38E336-F18C-4FFB-AB22-EDE4269D1F26}">
            <xm:f>$K2='9 Grid'!$E$8</xm:f>
            <x14:dxf>
              <fill>
                <patternFill>
                  <bgColor theme="9" tint="0.59996337778862885"/>
                </patternFill>
              </fill>
            </x14:dxf>
          </x14:cfRule>
          <x14:cfRule type="expression" priority="15" id="{35921A7D-8A51-4941-87D8-E0D23650681D}">
            <xm:f>$K2='9 Grid'!$F$8</xm:f>
            <x14:dxf>
              <font>
                <color auto="1"/>
              </font>
              <fill>
                <patternFill>
                  <bgColor theme="0"/>
                </patternFill>
              </fill>
            </x14:dxf>
          </x14:cfRule>
          <xm:sqref>P2:P816 K2:L816</xm:sqref>
        </x14:conditionalFormatting>
        <x14:conditionalFormatting xmlns:xm="http://schemas.microsoft.com/office/excel/2006/main">
          <x14:cfRule type="expression" priority="53" id="{10AE3CBA-7E18-4EA4-B3DF-AFEADCF09C35}">
            <xm:f>'9 Grid'!$F$6</xm:f>
            <x14:dxf>
              <font>
                <color rgb="FFC00000"/>
              </font>
              <fill>
                <patternFill>
                  <bgColor rgb="FFFFCCCC"/>
                </patternFill>
              </fill>
            </x14:dxf>
          </x14:cfRule>
          <x14:cfRule type="expression" priority="54" id="{93E53CEF-C11A-4510-BE02-BA26F9DB17A0}">
            <xm:f>OR(COUNTIF('9 Grid'!$D$5,$J2)=1,COUNTIF('9 Grid'!$E$4,$J2)=1)</xm:f>
            <x14:dxf>
              <font>
                <color rgb="FF002060"/>
              </font>
              <fill>
                <patternFill>
                  <bgColor theme="8" tint="0.59996337778862885"/>
                </patternFill>
              </fill>
            </x14:dxf>
          </x14:cfRule>
          <x14:cfRule type="expression" priority="55" id="{F9C5BF74-1B20-4C0C-9104-7AE3ED6572B7}">
            <xm:f>OR(COUNTIF('9 Grid'!$E$5,$J2)=1,COUNTIF('9 Grid'!$E$6,$J2)=1,COUNTIF('9 Grid'!$F$5,$J2)=1)</xm:f>
            <x14:dxf>
              <font>
                <color theme="5" tint="-0.499984740745262"/>
              </font>
              <fill>
                <patternFill>
                  <bgColor theme="7" tint="0.59996337778862885"/>
                </patternFill>
              </fill>
            </x14:dxf>
          </x14:cfRule>
          <x14:cfRule type="expression" priority="56" id="{2246FD32-17FB-46E0-B74C-F6AD87F1D5BE}">
            <xm:f>OR(COUNTIF('9 Grid'!$D$6,$J2)=1,COUNTIF('9 Grid'!$F$4,$J2)=1)</xm:f>
            <x14:dxf>
              <font>
                <color rgb="FF00B050"/>
              </font>
              <fill>
                <patternFill>
                  <bgColor theme="9" tint="0.59996337778862885"/>
                </patternFill>
              </fill>
            </x14:dxf>
          </x14:cfRule>
          <x14:cfRule type="expression" priority="57" id="{F5A5E5D9-08F2-4EAC-B905-361252CF20F8}">
            <xm:f>$J2='9 Grid'!$D$4</xm:f>
            <x14:dxf/>
          </x14:cfRule>
          <xm:sqref>J2:J816 O2:O816</xm:sqref>
        </x14:conditionalFormatting>
        <x14:conditionalFormatting xmlns:xm="http://schemas.microsoft.com/office/excel/2006/main">
          <x14:cfRule type="expression" priority="1" id="{B72DD562-FADA-4E0E-AF52-A6E3EAD413F9}">
            <xm:f>$K2='9 Grid'!$D$8</xm:f>
            <x14:dxf>
              <fill>
                <patternFill>
                  <bgColor rgb="FF92D050"/>
                </patternFill>
              </fill>
            </x14:dxf>
          </x14:cfRule>
          <x14:cfRule type="expression" priority="2" id="{99B5FF3D-234F-4772-8B8B-10FDBEAC290A}">
            <xm:f>$K2='9 Grid'!$E$8</xm:f>
            <x14:dxf>
              <fill>
                <patternFill>
                  <bgColor theme="9" tint="0.59996337778862885"/>
                </patternFill>
              </fill>
            </x14:dxf>
          </x14:cfRule>
          <x14:cfRule type="expression" priority="3" id="{D25C4391-5163-407A-9804-4C5A167162D6}">
            <xm:f>$K2='9 Grid'!$F$8</xm:f>
            <x14:dxf>
              <font>
                <color auto="1"/>
              </font>
              <fill>
                <patternFill>
                  <bgColor theme="0"/>
                </patternFill>
              </fill>
            </x14:dxf>
          </x14:cfRule>
          <xm:sqref>G2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440BCFD-03AE-48D0-92CF-802CCE05606F}">
          <x14:formula1>
            <xm:f>OFFSET(Standar!$B$2,0,0,COUNTA(Standar!$B$2:$B$1000),1)</xm:f>
          </x14:formula1>
          <xm:sqref>F2:F816 G3:G816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sheetPr>
  <dimension ref="A1:L72"/>
  <sheetViews>
    <sheetView showGridLines="0" zoomScale="70" zoomScaleNormal="70" zoomScaleSheetLayoutView="85" workbookViewId="0">
      <selection activeCell="I19" sqref="I19"/>
    </sheetView>
  </sheetViews>
  <sheetFormatPr defaultColWidth="9.140625" defaultRowHeight="14.25"/>
  <cols>
    <col min="1" max="1" width="6.85546875" style="72" bestFit="1" customWidth="1"/>
    <col min="2" max="2" width="33.28515625" style="72" bestFit="1" customWidth="1"/>
    <col min="3" max="3" width="10.85546875" style="80" bestFit="1" customWidth="1"/>
    <col min="4" max="4" width="9.42578125" style="80" bestFit="1" customWidth="1"/>
    <col min="5" max="5" width="9.85546875" style="80" bestFit="1" customWidth="1"/>
    <col min="6" max="6" width="14.7109375" style="72" bestFit="1" customWidth="1"/>
    <col min="7" max="7" width="15.140625" style="72" bestFit="1" customWidth="1"/>
    <col min="8" max="8" width="9.28515625" style="72" bestFit="1" customWidth="1"/>
    <col min="9" max="16384" width="9.140625" style="72"/>
  </cols>
  <sheetData>
    <row r="1" spans="1:9">
      <c r="A1" s="69"/>
      <c r="B1" s="70" t="s">
        <v>1628</v>
      </c>
      <c r="C1" s="258" t="str">
        <f>Dashboard!$D$10</f>
        <v>HA_DEV</v>
      </c>
      <c r="D1" s="258"/>
      <c r="E1" s="258"/>
      <c r="F1" s="70"/>
      <c r="G1" s="70"/>
      <c r="H1" s="71"/>
    </row>
    <row r="3" spans="1:9" ht="30" customHeight="1">
      <c r="D3" s="259" t="str">
        <f>"Nilai Standar "&amp;IF(ISNUMBER(SEARCH("_",Analysis!$C$1)),LEFT(Analysis!$C$1,SEARCH("_",Analysis!$C$1)-1),Analysis!$C$1)</f>
        <v>Nilai Standar HA</v>
      </c>
      <c r="E3" s="259"/>
    </row>
    <row r="4" spans="1:9" s="75" customFormat="1">
      <c r="A4" s="73" t="s">
        <v>23</v>
      </c>
      <c r="B4" s="73" t="s">
        <v>24</v>
      </c>
      <c r="C4" s="74" t="s">
        <v>59</v>
      </c>
      <c r="D4" s="74" t="s">
        <v>55</v>
      </c>
      <c r="E4" s="74" t="s">
        <v>56</v>
      </c>
      <c r="F4" s="74" t="s">
        <v>855</v>
      </c>
      <c r="G4" s="74" t="s">
        <v>856</v>
      </c>
      <c r="H4" s="74" t="s">
        <v>857</v>
      </c>
      <c r="I4" s="80" t="s">
        <v>1638</v>
      </c>
    </row>
    <row r="5" spans="1:9" ht="15">
      <c r="A5" s="76">
        <v>1</v>
      </c>
      <c r="B5" s="76" t="s">
        <v>40</v>
      </c>
      <c r="C5" s="77">
        <f>IFERROR(INDEX('Data Assessment'!$E$2:$AO$818,MATCH(Dashboard!$D$1,Data_Assessment[INDEX],0),MATCH($B5,'Data Assessment'!$E$1:$AO$1,0)),"")</f>
        <v>5</v>
      </c>
      <c r="D5" s="77">
        <f>IFERROR(INDEX(Standar[],MATCH(IF(ISNUMBER(SEARCH(Analisis_Pot[[#Headers],[Dev]],$C$1)),SUBSTITUTE($C$1,RIGHT($C$1,3),Analisis_Pot[[#Headers],[Est]]),$C$1),Standar[[NAMA JABATAN]:[NAMA JABATAN]],0),MATCH(Analisis_Pot[[#This Row],[Dimensi]],Standar[#Headers],0)),"")</f>
        <v>6</v>
      </c>
      <c r="E5" s="77">
        <f>IFERROR(INDEX(Standar[],MATCH(IF(ISNUMBER(SEARCH(Analisis_Pot[[#Headers],[Est]],$C$1)),SUBSTITUTE($C$1,RIGHT($C$1,3),Analisis_Pot[[#Headers],[Dev]]),$C$1),Standar[[NAMA JABATAN]:[NAMA JABATAN]],0),MATCH(Analisis_Pot[[#This Row],[Dimensi]],Standar[#Headers],0)),"")</f>
        <v>6</v>
      </c>
      <c r="F5" s="78">
        <f t="shared" ref="F5:F17" si="0">C5/D5</f>
        <v>0.83333333333333337</v>
      </c>
      <c r="G5" s="78">
        <f t="shared" ref="G5:G17" si="1">C5/E5</f>
        <v>0.83333333333333337</v>
      </c>
      <c r="H5" s="78">
        <f t="shared" ref="H5:H17" si="2">C5/C5</f>
        <v>1</v>
      </c>
      <c r="I5" s="157" cm="1">
        <f t="array" ref="I5:I17">IF(ISNUMBER(SEARCH("EST",$C$1)),Analisis_Pot[% Nilai Est ],IF(ISNUMBER(SEARCH("DEV",$C$1)),Analisis_Pot[% Nilai Dev],Analisis_Pot[% Nilai Est ]))</f>
        <v>0.83333333333333337</v>
      </c>
    </row>
    <row r="6" spans="1:9" ht="15">
      <c r="A6" s="76">
        <v>2</v>
      </c>
      <c r="B6" s="76" t="s">
        <v>41</v>
      </c>
      <c r="C6" s="77">
        <f>IFERROR(INDEX('Data Assessment'!$E$2:$AO$818,MATCH(Dashboard!$D$1,Data_Assessment[INDEX],0),MATCH($B6,'Data Assessment'!$E$1:$AO$1,0)),"")</f>
        <v>5</v>
      </c>
      <c r="D6" s="77">
        <f>IFERROR(INDEX(Standar[],MATCH(IF(ISNUMBER(SEARCH(Analisis_Pot[[#Headers],[Dev]],$C$1)),SUBSTITUTE($C$1,RIGHT($C$1,3),Analisis_Pot[[#Headers],[Est]]),$C$1),Standar[[NAMA JABATAN]:[NAMA JABATAN]],0),MATCH(Analisis_Pot[[#This Row],[Dimensi]],Standar[#Headers],0)),"")</f>
        <v>5</v>
      </c>
      <c r="E6" s="77">
        <f>IFERROR(INDEX(Standar[],MATCH(IF(ISNUMBER(SEARCH(Analisis_Pot[[#Headers],[Est]],$C$1)),SUBSTITUTE($C$1,RIGHT($C$1,3),Analisis_Pot[[#Headers],[Dev]]),$C$1),Standar[[NAMA JABATAN]:[NAMA JABATAN]],0),MATCH(Analisis_Pot[[#This Row],[Dimensi]],Standar[#Headers],0)),"")</f>
        <v>5</v>
      </c>
      <c r="F6" s="78">
        <f t="shared" si="0"/>
        <v>1</v>
      </c>
      <c r="G6" s="78">
        <f t="shared" si="1"/>
        <v>1</v>
      </c>
      <c r="H6" s="78">
        <f t="shared" si="2"/>
        <v>1</v>
      </c>
      <c r="I6" s="157">
        <v>1</v>
      </c>
    </row>
    <row r="7" spans="1:9" ht="15">
      <c r="A7" s="76">
        <v>3</v>
      </c>
      <c r="B7" s="76" t="s">
        <v>42</v>
      </c>
      <c r="C7" s="77">
        <f>IFERROR(INDEX('Data Assessment'!$E$2:$AO$818,MATCH(Dashboard!$D$1,Data_Assessment[INDEX],0),MATCH($B7,'Data Assessment'!$E$1:$AO$1,0)),"")</f>
        <v>6</v>
      </c>
      <c r="D7" s="77">
        <f>IFERROR(INDEX(Standar[],MATCH(IF(ISNUMBER(SEARCH(Analisis_Pot[[#Headers],[Dev]],$C$1)),SUBSTITUTE($C$1,RIGHT($C$1,3),Analisis_Pot[[#Headers],[Est]]),$C$1),Standar[[NAMA JABATAN]:[NAMA JABATAN]],0),MATCH(Analisis_Pot[[#This Row],[Dimensi]],Standar[#Headers],0)),"")</f>
        <v>6</v>
      </c>
      <c r="E7" s="77">
        <f>IFERROR(INDEX(Standar[],MATCH(IF(ISNUMBER(SEARCH(Analisis_Pot[[#Headers],[Est]],$C$1)),SUBSTITUTE($C$1,RIGHT($C$1,3),Analisis_Pot[[#Headers],[Dev]]),$C$1),Standar[[NAMA JABATAN]:[NAMA JABATAN]],0),MATCH(Analisis_Pot[[#This Row],[Dimensi]],Standar[#Headers],0)),"")</f>
        <v>6</v>
      </c>
      <c r="F7" s="78">
        <f t="shared" si="0"/>
        <v>1</v>
      </c>
      <c r="G7" s="78">
        <f t="shared" si="1"/>
        <v>1</v>
      </c>
      <c r="H7" s="78">
        <f t="shared" si="2"/>
        <v>1</v>
      </c>
      <c r="I7" s="157">
        <v>1</v>
      </c>
    </row>
    <row r="8" spans="1:9" ht="15">
      <c r="A8" s="76">
        <v>4</v>
      </c>
      <c r="B8" s="76" t="s">
        <v>43</v>
      </c>
      <c r="C8" s="77">
        <f>IFERROR(INDEX('Data Assessment'!$E$2:$AO$818,MATCH(Dashboard!$D$1,Data_Assessment[INDEX],0),MATCH($B8,'Data Assessment'!$E$1:$AO$1,0)),"")</f>
        <v>7</v>
      </c>
      <c r="D8" s="77">
        <f>IFERROR(INDEX(Standar[],MATCH(IF(ISNUMBER(SEARCH(Analisis_Pot[[#Headers],[Dev]],$C$1)),SUBSTITUTE($C$1,RIGHT($C$1,3),Analisis_Pot[[#Headers],[Est]]),$C$1),Standar[[NAMA JABATAN]:[NAMA JABATAN]],0),MATCH(Analisis_Pot[[#This Row],[Dimensi]],Standar[#Headers],0)),"")</f>
        <v>5</v>
      </c>
      <c r="E8" s="77">
        <f>IFERROR(INDEX(Standar[],MATCH(IF(ISNUMBER(SEARCH(Analisis_Pot[[#Headers],[Est]],$C$1)),SUBSTITUTE($C$1,RIGHT($C$1,3),Analisis_Pot[[#Headers],[Dev]]),$C$1),Standar[[NAMA JABATAN]:[NAMA JABATAN]],0),MATCH(Analisis_Pot[[#This Row],[Dimensi]],Standar[#Headers],0)),"")</f>
        <v>5</v>
      </c>
      <c r="F8" s="78">
        <f t="shared" si="0"/>
        <v>1.4</v>
      </c>
      <c r="G8" s="78">
        <f t="shared" si="1"/>
        <v>1.4</v>
      </c>
      <c r="H8" s="78">
        <f t="shared" si="2"/>
        <v>1</v>
      </c>
      <c r="I8" s="157">
        <v>1.4</v>
      </c>
    </row>
    <row r="9" spans="1:9" ht="15">
      <c r="A9" s="76">
        <v>5</v>
      </c>
      <c r="B9" s="76" t="s">
        <v>44</v>
      </c>
      <c r="C9" s="77">
        <f>IFERROR(INDEX('Data Assessment'!$E$2:$AO$818,MATCH(Dashboard!$D$1,Data_Assessment[INDEX],0),MATCH($B9,'Data Assessment'!$E$1:$AO$1,0)),"")</f>
        <v>7</v>
      </c>
      <c r="D9" s="77">
        <f>IFERROR(INDEX(Standar[],MATCH(IF(ISNUMBER(SEARCH(Analisis_Pot[[#Headers],[Dev]],$C$1)),SUBSTITUTE($C$1,RIGHT($C$1,3),Analisis_Pot[[#Headers],[Est]]),$C$1),Standar[[NAMA JABATAN]:[NAMA JABATAN]],0),MATCH(Analisis_Pot[[#This Row],[Dimensi]],Standar[#Headers],0)),"")</f>
        <v>6</v>
      </c>
      <c r="E9" s="77">
        <f>IFERROR(INDEX(Standar[],MATCH(IF(ISNUMBER(SEARCH(Analisis_Pot[[#Headers],[Est]],$C$1)),SUBSTITUTE($C$1,RIGHT($C$1,3),Analisis_Pot[[#Headers],[Dev]]),$C$1),Standar[[NAMA JABATAN]:[NAMA JABATAN]],0),MATCH(Analisis_Pot[[#This Row],[Dimensi]],Standar[#Headers],0)),"")</f>
        <v>6</v>
      </c>
      <c r="F9" s="78">
        <f t="shared" si="0"/>
        <v>1.1666666666666667</v>
      </c>
      <c r="G9" s="78">
        <f t="shared" si="1"/>
        <v>1.1666666666666667</v>
      </c>
      <c r="H9" s="78">
        <f t="shared" si="2"/>
        <v>1</v>
      </c>
      <c r="I9" s="157">
        <v>1.1666666666666667</v>
      </c>
    </row>
    <row r="10" spans="1:9" ht="15">
      <c r="A10" s="76">
        <v>6</v>
      </c>
      <c r="B10" s="76" t="s">
        <v>13</v>
      </c>
      <c r="C10" s="77">
        <f>IFERROR(INDEX('Data Assessment'!$E$2:$AO$818,MATCH(Dashboard!$D$1,Data_Assessment[INDEX],0),MATCH($B10,'Data Assessment'!$E$1:$AO$1,0)),"")</f>
        <v>5</v>
      </c>
      <c r="D10" s="77">
        <f>IFERROR(INDEX(Standar[],MATCH(IF(ISNUMBER(SEARCH(Analisis_Pot[[#Headers],[Dev]],$C$1)),SUBSTITUTE($C$1,RIGHT($C$1,3),Analisis_Pot[[#Headers],[Est]]),$C$1),Standar[[NAMA JABATAN]:[NAMA JABATAN]],0),MATCH(Analisis_Pot[[#This Row],[Dimensi]],Standar[#Headers],0)),"")</f>
        <v>5</v>
      </c>
      <c r="E10" s="77">
        <f>IFERROR(INDEX(Standar[],MATCH(IF(ISNUMBER(SEARCH(Analisis_Pot[[#Headers],[Est]],$C$1)),SUBSTITUTE($C$1,RIGHT($C$1,3),Analisis_Pot[[#Headers],[Dev]]),$C$1),Standar[[NAMA JABATAN]:[NAMA JABATAN]],0),MATCH(Analisis_Pot[[#This Row],[Dimensi]],Standar[#Headers],0)),"")</f>
        <v>5</v>
      </c>
      <c r="F10" s="78">
        <f t="shared" si="0"/>
        <v>1</v>
      </c>
      <c r="G10" s="78">
        <f t="shared" si="1"/>
        <v>1</v>
      </c>
      <c r="H10" s="78">
        <f t="shared" si="2"/>
        <v>1</v>
      </c>
      <c r="I10" s="157">
        <v>1</v>
      </c>
    </row>
    <row r="11" spans="1:9" ht="15">
      <c r="A11" s="76">
        <v>7</v>
      </c>
      <c r="B11" s="76" t="s">
        <v>12</v>
      </c>
      <c r="C11" s="77">
        <f>IFERROR(INDEX('Data Assessment'!$E$2:$AO$818,MATCH(Dashboard!$D$1,Data_Assessment[INDEX],0),MATCH($B11,'Data Assessment'!$E$1:$AO$1,0)),"")</f>
        <v>5</v>
      </c>
      <c r="D11" s="77">
        <f>IFERROR(INDEX(Standar[],MATCH(IF(ISNUMBER(SEARCH(Analisis_Pot[[#Headers],[Dev]],$C$1)),SUBSTITUTE($C$1,RIGHT($C$1,3),Analisis_Pot[[#Headers],[Est]]),$C$1),Standar[[NAMA JABATAN]:[NAMA JABATAN]],0),MATCH(Analisis_Pot[[#This Row],[Dimensi]],Standar[#Headers],0)),"")</f>
        <v>6</v>
      </c>
      <c r="E11" s="77">
        <f>IFERROR(INDEX(Standar[],MATCH(IF(ISNUMBER(SEARCH(Analisis_Pot[[#Headers],[Est]],$C$1)),SUBSTITUTE($C$1,RIGHT($C$1,3),Analisis_Pot[[#Headers],[Dev]]),$C$1),Standar[[NAMA JABATAN]:[NAMA JABATAN]],0),MATCH(Analisis_Pot[[#This Row],[Dimensi]],Standar[#Headers],0)),"")</f>
        <v>6</v>
      </c>
      <c r="F11" s="78">
        <f t="shared" si="0"/>
        <v>0.83333333333333337</v>
      </c>
      <c r="G11" s="78">
        <f t="shared" si="1"/>
        <v>0.83333333333333337</v>
      </c>
      <c r="H11" s="78">
        <f t="shared" si="2"/>
        <v>1</v>
      </c>
      <c r="I11" s="157">
        <v>0.83333333333333337</v>
      </c>
    </row>
    <row r="12" spans="1:9" ht="15">
      <c r="A12" s="79">
        <v>8</v>
      </c>
      <c r="B12" s="79" t="s">
        <v>14</v>
      </c>
      <c r="C12" s="77">
        <f>IFERROR(INDEX('Data Assessment'!$E$2:$AO$818,MATCH(Dashboard!$D$1,Data_Assessment[INDEX],0),MATCH($B12,'Data Assessment'!$E$1:$AO$1,0)),"")</f>
        <v>6</v>
      </c>
      <c r="D12" s="77">
        <f>IFERROR(INDEX(Standar[],MATCH(IF(ISNUMBER(SEARCH(Analisis_Pot[[#Headers],[Dev]],$C$1)),SUBSTITUTE($C$1,RIGHT($C$1,3),Analisis_Pot[[#Headers],[Est]]),$C$1),Standar[[NAMA JABATAN]:[NAMA JABATAN]],0),MATCH(Analisis_Pot[[#This Row],[Dimensi]],Standar[#Headers],0)),"")</f>
        <v>6</v>
      </c>
      <c r="E12" s="77">
        <f>IFERROR(INDEX(Standar[],MATCH(IF(ISNUMBER(SEARCH(Analisis_Pot[[#Headers],[Est]],$C$1)),SUBSTITUTE($C$1,RIGHT($C$1,3),Analisis_Pot[[#Headers],[Dev]]),$C$1),Standar[[NAMA JABATAN]:[NAMA JABATAN]],0),MATCH(Analisis_Pot[[#This Row],[Dimensi]],Standar[#Headers],0)),"")</f>
        <v>6</v>
      </c>
      <c r="F12" s="78">
        <f t="shared" si="0"/>
        <v>1</v>
      </c>
      <c r="G12" s="78">
        <f t="shared" si="1"/>
        <v>1</v>
      </c>
      <c r="H12" s="78">
        <f t="shared" si="2"/>
        <v>1</v>
      </c>
      <c r="I12" s="157">
        <v>1</v>
      </c>
    </row>
    <row r="13" spans="1:9" ht="15">
      <c r="A13" s="79">
        <v>9</v>
      </c>
      <c r="B13" s="79" t="s">
        <v>45</v>
      </c>
      <c r="C13" s="77">
        <f>IFERROR(INDEX('Data Assessment'!$E$2:$AO$818,MATCH(Dashboard!$D$1,Data_Assessment[INDEX],0),MATCH($B13,'Data Assessment'!$E$1:$AO$1,0)),"")</f>
        <v>6</v>
      </c>
      <c r="D13" s="77">
        <f>IFERROR(INDEX(Standar[],MATCH(IF(ISNUMBER(SEARCH(Analisis_Pot[[#Headers],[Dev]],$C$1)),SUBSTITUTE($C$1,RIGHT($C$1,3),Analisis_Pot[[#Headers],[Est]]),$C$1),Standar[[NAMA JABATAN]:[NAMA JABATAN]],0),MATCH(Analisis_Pot[[#This Row],[Dimensi]],Standar[#Headers],0)),"")</f>
        <v>7</v>
      </c>
      <c r="E13" s="77">
        <f>IFERROR(INDEX(Standar[],MATCH(IF(ISNUMBER(SEARCH(Analisis_Pot[[#Headers],[Est]],$C$1)),SUBSTITUTE($C$1,RIGHT($C$1,3),Analisis_Pot[[#Headers],[Dev]]),$C$1),Standar[[NAMA JABATAN]:[NAMA JABATAN]],0),MATCH(Analisis_Pot[[#This Row],[Dimensi]],Standar[#Headers],0)),"")</f>
        <v>7</v>
      </c>
      <c r="F13" s="78">
        <f t="shared" si="0"/>
        <v>0.8571428571428571</v>
      </c>
      <c r="G13" s="78">
        <f t="shared" si="1"/>
        <v>0.8571428571428571</v>
      </c>
      <c r="H13" s="78">
        <f t="shared" si="2"/>
        <v>1</v>
      </c>
      <c r="I13" s="157">
        <v>0.8571428571428571</v>
      </c>
    </row>
    <row r="14" spans="1:9" ht="15">
      <c r="A14" s="79">
        <v>10</v>
      </c>
      <c r="B14" s="79" t="s">
        <v>46</v>
      </c>
      <c r="C14" s="77">
        <f>IFERROR(INDEX('Data Assessment'!$E$2:$AO$818,MATCH(Dashboard!$D$1,Data_Assessment[INDEX],0),MATCH($B14,'Data Assessment'!$E$1:$AO$1,0)),"")</f>
        <v>6</v>
      </c>
      <c r="D14" s="77">
        <f>IFERROR(INDEX(Standar[],MATCH(IF(ISNUMBER(SEARCH(Analisis_Pot[[#Headers],[Dev]],$C$1)),SUBSTITUTE($C$1,RIGHT($C$1,3),Analisis_Pot[[#Headers],[Est]]),$C$1),Standar[[NAMA JABATAN]:[NAMA JABATAN]],0),MATCH(Analisis_Pot[[#This Row],[Dimensi]],Standar[#Headers],0)),"")</f>
        <v>6</v>
      </c>
      <c r="E14" s="77">
        <f>IFERROR(INDEX(Standar[],MATCH(IF(ISNUMBER(SEARCH(Analisis_Pot[[#Headers],[Est]],$C$1)),SUBSTITUTE($C$1,RIGHT($C$1,3),Analisis_Pot[[#Headers],[Dev]]),$C$1),Standar[[NAMA JABATAN]:[NAMA JABATAN]],0),MATCH(Analisis_Pot[[#This Row],[Dimensi]],Standar[#Headers],0)),"")</f>
        <v>6</v>
      </c>
      <c r="F14" s="78">
        <f t="shared" si="0"/>
        <v>1</v>
      </c>
      <c r="G14" s="78">
        <f t="shared" si="1"/>
        <v>1</v>
      </c>
      <c r="H14" s="78">
        <f t="shared" si="2"/>
        <v>1</v>
      </c>
      <c r="I14" s="157">
        <v>1</v>
      </c>
    </row>
    <row r="15" spans="1:9" ht="15">
      <c r="A15" s="79">
        <v>11</v>
      </c>
      <c r="B15" s="79" t="s">
        <v>15</v>
      </c>
      <c r="C15" s="77">
        <f>IFERROR(INDEX('Data Assessment'!$E$2:$AO$818,MATCH(Dashboard!$D$1,Data_Assessment[INDEX],0),MATCH($B15,'Data Assessment'!$E$1:$AO$1,0)),"")</f>
        <v>5</v>
      </c>
      <c r="D15" s="77">
        <f>IFERROR(INDEX(Standar[],MATCH(IF(ISNUMBER(SEARCH(Analisis_Pot[[#Headers],[Dev]],$C$1)),SUBSTITUTE($C$1,RIGHT($C$1,3),Analisis_Pot[[#Headers],[Est]]),$C$1),Standar[[NAMA JABATAN]:[NAMA JABATAN]],0),MATCH(Analisis_Pot[[#This Row],[Dimensi]],Standar[#Headers],0)),"")</f>
        <v>7</v>
      </c>
      <c r="E15" s="77">
        <f>IFERROR(INDEX(Standar[],MATCH(IF(ISNUMBER(SEARCH(Analisis_Pot[[#Headers],[Est]],$C$1)),SUBSTITUTE($C$1,RIGHT($C$1,3),Analisis_Pot[[#Headers],[Dev]]),$C$1),Standar[[NAMA JABATAN]:[NAMA JABATAN]],0),MATCH(Analisis_Pot[[#This Row],[Dimensi]],Standar[#Headers],0)),"")</f>
        <v>7</v>
      </c>
      <c r="F15" s="78">
        <f t="shared" si="0"/>
        <v>0.7142857142857143</v>
      </c>
      <c r="G15" s="78">
        <f t="shared" si="1"/>
        <v>0.7142857142857143</v>
      </c>
      <c r="H15" s="78">
        <f t="shared" si="2"/>
        <v>1</v>
      </c>
      <c r="I15" s="157">
        <v>0.7142857142857143</v>
      </c>
    </row>
    <row r="16" spans="1:9" ht="15">
      <c r="A16" s="79">
        <v>12</v>
      </c>
      <c r="B16" s="79" t="s">
        <v>47</v>
      </c>
      <c r="C16" s="77">
        <f>IFERROR(INDEX('Data Assessment'!$E$2:$AO$818,MATCH(Dashboard!$D$1,Data_Assessment[INDEX],0),MATCH($B16,'Data Assessment'!$E$1:$AO$1,0)),"")</f>
        <v>6</v>
      </c>
      <c r="D16" s="77">
        <f>IFERROR(INDEX(Standar[],MATCH(IF(ISNUMBER(SEARCH(Analisis_Pot[[#Headers],[Dev]],$C$1)),SUBSTITUTE($C$1,RIGHT($C$1,3),Analisis_Pot[[#Headers],[Est]]),$C$1),Standar[[NAMA JABATAN]:[NAMA JABATAN]],0),MATCH(Analisis_Pot[[#This Row],[Dimensi]],Standar[#Headers],0)),"")</f>
        <v>7</v>
      </c>
      <c r="E16" s="77">
        <f>IFERROR(INDEX(Standar[],MATCH(IF(ISNUMBER(SEARCH(Analisis_Pot[[#Headers],[Est]],$C$1)),SUBSTITUTE($C$1,RIGHT($C$1,3),Analisis_Pot[[#Headers],[Dev]]),$C$1),Standar[[NAMA JABATAN]:[NAMA JABATAN]],0),MATCH(Analisis_Pot[[#This Row],[Dimensi]],Standar[#Headers],0)),"")</f>
        <v>7</v>
      </c>
      <c r="F16" s="78">
        <f t="shared" si="0"/>
        <v>0.8571428571428571</v>
      </c>
      <c r="G16" s="78">
        <f t="shared" si="1"/>
        <v>0.8571428571428571</v>
      </c>
      <c r="H16" s="78">
        <f t="shared" si="2"/>
        <v>1</v>
      </c>
      <c r="I16" s="157">
        <v>0.8571428571428571</v>
      </c>
    </row>
    <row r="17" spans="1:9" ht="15">
      <c r="A17" s="79">
        <v>13</v>
      </c>
      <c r="B17" s="79" t="s">
        <v>48</v>
      </c>
      <c r="C17" s="77">
        <f>IFERROR(INDEX('Data Assessment'!$E$2:$AO$818,MATCH(Dashboard!$D$1,Data_Assessment[INDEX],0),MATCH($B17,'Data Assessment'!$E$1:$AO$1,0)),"")</f>
        <v>5</v>
      </c>
      <c r="D17" s="77">
        <f>IFERROR(INDEX(Standar[],MATCH(IF(ISNUMBER(SEARCH(Analisis_Pot[[#Headers],[Dev]],$C$1)),SUBSTITUTE($C$1,RIGHT($C$1,3),Analisis_Pot[[#Headers],[Est]]),$C$1),Standar[[NAMA JABATAN]:[NAMA JABATAN]],0),MATCH(Analisis_Pot[[#This Row],[Dimensi]],Standar[#Headers],0)),"")</f>
        <v>6</v>
      </c>
      <c r="E17" s="77">
        <f>IFERROR(INDEX(Standar[],MATCH(IF(ISNUMBER(SEARCH(Analisis_Pot[[#Headers],[Est]],$C$1)),SUBSTITUTE($C$1,RIGHT($C$1,3),Analisis_Pot[[#Headers],[Dev]]),$C$1),Standar[[NAMA JABATAN]:[NAMA JABATAN]],0),MATCH(Analisis_Pot[[#This Row],[Dimensi]],Standar[#Headers],0)),"")</f>
        <v>6</v>
      </c>
      <c r="F17" s="78">
        <f t="shared" si="0"/>
        <v>0.83333333333333337</v>
      </c>
      <c r="G17" s="78">
        <f t="shared" si="1"/>
        <v>0.83333333333333337</v>
      </c>
      <c r="H17" s="78">
        <f t="shared" si="2"/>
        <v>1</v>
      </c>
      <c r="I17" s="157">
        <v>0.83333333333333337</v>
      </c>
    </row>
    <row r="19" spans="1:9" ht="30" customHeight="1">
      <c r="A19" s="125"/>
      <c r="B19" s="124"/>
      <c r="C19" s="124"/>
      <c r="D19" s="259" t="str">
        <f>"Nilai Standar "&amp;IF(ISNUMBER(SEARCH("_",Analysis!$C$1)),LEFT(Analysis!$C$1,SEARCH("_",Analysis!$C$1)-1),Analysis!$C$1)</f>
        <v>Nilai Standar HA</v>
      </c>
      <c r="E19" s="259"/>
      <c r="F19" s="72" t="s">
        <v>1637</v>
      </c>
    </row>
    <row r="20" spans="1:9" s="85" customFormat="1">
      <c r="A20" s="82" t="s">
        <v>23</v>
      </c>
      <c r="B20" s="83" t="s">
        <v>24</v>
      </c>
      <c r="C20" s="84" t="s">
        <v>59</v>
      </c>
      <c r="D20" s="84" t="s">
        <v>55</v>
      </c>
      <c r="E20" s="84" t="s">
        <v>56</v>
      </c>
      <c r="F20" s="156" t="str">
        <f>IF(OR(ISNUMBER(SEARCH("EST",C1)),ISNUMBER(SEARCH("DEV",C1))),RIGHT(C1,3),C1)</f>
        <v>DEV</v>
      </c>
      <c r="H20" s="86"/>
    </row>
    <row r="21" spans="1:9">
      <c r="A21" s="76" cm="1">
        <f t="array" aca="1" ref="A21" ca="1">ROW(_xlfn.ANCHORARRAY($B21))-ROW($B$20)</f>
        <v>1</v>
      </c>
      <c r="B21" s="79" t="str" cm="1">
        <f t="array" aca="1" ref="B21" ca="1">IFERROR(PROPER(INDEX(Standar[#Headers],1,TRANSPOSE(_xlfn.AGGREGATE(15,3,(OFFSET(Standar!$P$2,MATCH($C$1,Standar[NAMA JABATAN],0)-1,0,1,15)&lt;&gt;"")/(OFFSET(Standar!$P$2,MATCH($C$1,Standar[NAMA JABATAN],0)-1,0,1,15)&lt;&gt;"")*COLUMN(OFFSET(Standar!$P$2,MATCH($C$1,Standar[NAMA JABATAN],0)-1,0,1,15)),ROWS($A$21:A21))))),"")</f>
        <v>Innovation</v>
      </c>
      <c r="C21" s="77">
        <f ca="1">IFERROR(INDEX('Data Assessment'!$E$2:$AO$816,MATCH(Dashboard!$D$1,Data_Assessment[INDEX],0),MATCH(Analisis_Komp[[#This Row],[Dimensi]],'Data Assessment'!$E$1:$AO$1,0)),"-")</f>
        <v>3</v>
      </c>
      <c r="D21" s="77">
        <f ca="1">IFERROR(INDEX(Standar[],MATCH(IF(ISNUMBER(SEARCH(Analisis_Pot[[#Headers],[Dev]],$C$1)),SUBSTITUTE($C$1,RIGHT($C$1,3),Analisis_Pot[[#Headers],[Est]]),$C$1),Standar[[NAMA JABATAN]:[NAMA JABATAN]],0),MATCH(Analisis_Komp[[#This Row],[Dimensi]],Standar[#Headers],0)),"-")</f>
        <v>3</v>
      </c>
      <c r="E21" s="77">
        <f ca="1">IFERROR(INDEX(Standar[],MATCH(IF(ISNUMBER(SEARCH(Analisis_Pot[[#Headers],[Est]],$C$1)),SUBSTITUTE($C$1,RIGHT($C$1,3),Analisis_Pot[[#Headers],[Dev]]),$C$1),Standar[[NAMA JABATAN]:[NAMA JABATAN]],0),MATCH(Analisis_Komp[[#This Row],[Dimensi]],Standar[#Headers],0)),"-")</f>
        <v>3</v>
      </c>
      <c r="F21" s="77" cm="1">
        <f t="array" aca="1" ref="F21:F25" ca="1">IF(ISNUMBER(SEARCH("EST",$C$1)),Analisis_Komp[Est],IF(ISNUMBER(SEARCH("DEV",$C$1)),Analisis_Komp[Dev],Analisis_Komp[Est]))</f>
        <v>3</v>
      </c>
      <c r="H21" s="81"/>
    </row>
    <row r="22" spans="1:9">
      <c r="A22" s="76" cm="1">
        <f t="array" aca="1" ref="A22" ca="1">ROW(_xlfn.ANCHORARRAY($B22))-ROW($B$20)</f>
        <v>2</v>
      </c>
      <c r="B22" s="79" t="str" cm="1">
        <f t="array" aca="1" ref="B22" ca="1">IFERROR(PROPER(INDEX(Standar[#Headers],1,TRANSPOSE(_xlfn.AGGREGATE(15,3,(OFFSET(Standar!$P$2,MATCH($C$1,Standar[NAMA JABATAN],0)-1,0,1,15)&lt;&gt;"")/(OFFSET(Standar!$P$2,MATCH($C$1,Standar[NAMA JABATAN],0)-1,0,1,15)&lt;&gt;"")*COLUMN(OFFSET(Standar!$P$2,MATCH($C$1,Standar[NAMA JABATAN],0)-1,0,1,15)),ROWS($A$21:A22))))),"")</f>
        <v>Pdca</v>
      </c>
      <c r="C22" s="77">
        <f ca="1">IFERROR(INDEX('Data Assessment'!$E$2:$AO$816,MATCH(Dashboard!$D$1,Data_Assessment[INDEX],0),MATCH(Analisis_Komp[[#This Row],[Dimensi]],'Data Assessment'!$E$1:$AO$1,0)),"-")</f>
        <v>4</v>
      </c>
      <c r="D22" s="77">
        <f ca="1">IFERROR(INDEX(Standar[],MATCH(IF(ISNUMBER(SEARCH(Analisis_Pot[[#Headers],[Dev]],$C$1)),SUBSTITUTE($C$1,RIGHT($C$1,3),Analisis_Pot[[#Headers],[Est]]),$C$1),Standar[[NAMA JABATAN]:[NAMA JABATAN]],0),MATCH(Analisis_Komp[[#This Row],[Dimensi]],Standar[#Headers],0)),"-")</f>
        <v>3</v>
      </c>
      <c r="E22" s="77">
        <f ca="1">IFERROR(INDEX(Standar[],MATCH(IF(ISNUMBER(SEARCH(Analisis_Pot[[#Headers],[Est]],$C$1)),SUBSTITUTE($C$1,RIGHT($C$1,3),Analisis_Pot[[#Headers],[Dev]]),$C$1),Standar[[NAMA JABATAN]:[NAMA JABATAN]],0),MATCH(Analisis_Komp[[#This Row],[Dimensi]],Standar[#Headers],0)),"-")</f>
        <v>2</v>
      </c>
      <c r="F22" s="77">
        <f ca="1"/>
        <v>2</v>
      </c>
      <c r="H22" s="81"/>
    </row>
    <row r="23" spans="1:9">
      <c r="A23" s="76" cm="1">
        <f t="array" aca="1" ref="A23" ca="1">ROW(_xlfn.ANCHORARRAY($B23))-ROW($B$20)</f>
        <v>3</v>
      </c>
      <c r="B23" s="79" t="str" cm="1">
        <f t="array" aca="1" ref="B23" ca="1">IFERROR(PROPER(INDEX(Standar[#Headers],1,TRANSPOSE(_xlfn.AGGREGATE(15,3,(OFFSET(Standar!$P$2,MATCH($C$1,Standar[NAMA JABATAN],0)-1,0,1,15)&lt;&gt;"")/(OFFSET(Standar!$P$2,MATCH($C$1,Standar[NAMA JABATAN],0)-1,0,1,15)&lt;&gt;"")*COLUMN(OFFSET(Standar!$P$2,MATCH($C$1,Standar[NAMA JABATAN],0)-1,0,1,15)),ROWS($A$21:A23))))),"")</f>
        <v>Planning &amp; Organization</v>
      </c>
      <c r="C23" s="77">
        <f ca="1">IFERROR(INDEX('Data Assessment'!$E$2:$AO$816,MATCH(Dashboard!$D$1,Data_Assessment[INDEX],0),MATCH(Analisis_Komp[[#This Row],[Dimensi]],'Data Assessment'!$E$1:$AO$1,0)),"-")</f>
        <v>3</v>
      </c>
      <c r="D23" s="77">
        <f ca="1">IFERROR(INDEX(Standar[],MATCH(IF(ISNUMBER(SEARCH(Analisis_Pot[[#Headers],[Dev]],$C$1)),SUBSTITUTE($C$1,RIGHT($C$1,3),Analisis_Pot[[#Headers],[Est]]),$C$1),Standar[[NAMA JABATAN]:[NAMA JABATAN]],0),MATCH(Analisis_Komp[[#This Row],[Dimensi]],Standar[#Headers],0)),"-")</f>
        <v>2</v>
      </c>
      <c r="E23" s="77">
        <f ca="1">IFERROR(INDEX(Standar[],MATCH(IF(ISNUMBER(SEARCH(Analisis_Pot[[#Headers],[Est]],$C$1)),SUBSTITUTE($C$1,RIGHT($C$1,3),Analisis_Pot[[#Headers],[Dev]]),$C$1),Standar[[NAMA JABATAN]:[NAMA JABATAN]],0),MATCH(Analisis_Komp[[#This Row],[Dimensi]],Standar[#Headers],0)),"-")</f>
        <v>3</v>
      </c>
      <c r="F23" s="77">
        <f ca="1"/>
        <v>3</v>
      </c>
      <c r="H23" s="81"/>
    </row>
    <row r="24" spans="1:9">
      <c r="A24" s="76" cm="1">
        <f t="array" aca="1" ref="A24" ca="1">ROW(_xlfn.ANCHORARRAY($B24))-ROW($B$20)</f>
        <v>4</v>
      </c>
      <c r="B24" s="79" t="str" cm="1">
        <f t="array" aca="1" ref="B24" ca="1">IFERROR(PROPER(INDEX(Standar[#Headers],1,TRANSPOSE(_xlfn.AGGREGATE(15,3,(OFFSET(Standar!$P$2,MATCH($C$1,Standar[NAMA JABATAN],0)-1,0,1,15)&lt;&gt;"")/(OFFSET(Standar!$P$2,MATCH($C$1,Standar[NAMA JABATAN],0)-1,0,1,15)&lt;&gt;"")*COLUMN(OFFSET(Standar!$P$2,MATCH($C$1,Standar[NAMA JABATAN],0)-1,0,1,15)),ROWS($A$21:A24))))),"")</f>
        <v>Interpersonal &amp; Collaboration</v>
      </c>
      <c r="C24" s="77">
        <f ca="1">IFERROR(INDEX('Data Assessment'!$E$2:$AO$816,MATCH(Dashboard!$D$1,Data_Assessment[INDEX],0),MATCH(Analisis_Komp[[#This Row],[Dimensi]],'Data Assessment'!$E$1:$AO$1,0)),"-")</f>
        <v>2</v>
      </c>
      <c r="D24" s="77">
        <f ca="1">IFERROR(INDEX(Standar[],MATCH(IF(ISNUMBER(SEARCH(Analisis_Pot[[#Headers],[Dev]],$C$1)),SUBSTITUTE($C$1,RIGHT($C$1,3),Analisis_Pot[[#Headers],[Est]]),$C$1),Standar[[NAMA JABATAN]:[NAMA JABATAN]],0),MATCH(Analisis_Komp[[#This Row],[Dimensi]],Standar[#Headers],0)),"-")</f>
        <v>2</v>
      </c>
      <c r="E24" s="77">
        <f ca="1">IFERROR(INDEX(Standar[],MATCH(IF(ISNUMBER(SEARCH(Analisis_Pot[[#Headers],[Est]],$C$1)),SUBSTITUTE($C$1,RIGHT($C$1,3),Analisis_Pot[[#Headers],[Dev]]),$C$1),Standar[[NAMA JABATAN]:[NAMA JABATAN]],0),MATCH(Analisis_Komp[[#This Row],[Dimensi]],Standar[#Headers],0)),"-")</f>
        <v>3</v>
      </c>
      <c r="F24" s="77">
        <f ca="1"/>
        <v>3</v>
      </c>
      <c r="H24" s="81"/>
    </row>
    <row r="25" spans="1:9">
      <c r="A25" s="76" cm="1">
        <f t="array" aca="1" ref="A25" ca="1">ROW(_xlfn.ANCHORARRAY($B25))-ROW($B$20)</f>
        <v>5</v>
      </c>
      <c r="B25" s="79" t="str" cm="1">
        <f t="array" aca="1" ref="B25" ca="1">IFERROR(PROPER(INDEX(Standar[#Headers],1,TRANSPOSE(_xlfn.AGGREGATE(15,3,(OFFSET(Standar!$P$2,MATCH($C$1,Standar[NAMA JABATAN],0)-1,0,1,15)&lt;&gt;"")/(OFFSET(Standar!$P$2,MATCH($C$1,Standar[NAMA JABATAN],0)-1,0,1,15)&lt;&gt;"")*COLUMN(OFFSET(Standar!$P$2,MATCH($C$1,Standar[NAMA JABATAN],0)-1,0,1,15)),ROWS($A$21:A25))))),"")</f>
        <v>Communication</v>
      </c>
      <c r="C25" s="77">
        <f ca="1">IFERROR(INDEX('Data Assessment'!$E$2:$AO$816,MATCH(Dashboard!$D$1,Data_Assessment[INDEX],0),MATCH(Analisis_Komp[[#This Row],[Dimensi]],'Data Assessment'!$E$1:$AO$1,0)),"-")</f>
        <v>2</v>
      </c>
      <c r="D25" s="77">
        <f ca="1">IFERROR(INDEX(Standar[],MATCH(IF(ISNUMBER(SEARCH(Analisis_Pot[[#Headers],[Dev]],$C$1)),SUBSTITUTE($C$1,RIGHT($C$1,3),Analisis_Pot[[#Headers],[Est]]),$C$1),Standar[[NAMA JABATAN]:[NAMA JABATAN]],0),MATCH(Analisis_Komp[[#This Row],[Dimensi]],Standar[#Headers],0)),"-")</f>
        <v>3</v>
      </c>
      <c r="E25" s="77">
        <f ca="1">IFERROR(INDEX(Standar[],MATCH(IF(ISNUMBER(SEARCH(Analisis_Pot[[#Headers],[Est]],$C$1)),SUBSTITUTE($C$1,RIGHT($C$1,3),Analisis_Pot[[#Headers],[Dev]]),$C$1),Standar[[NAMA JABATAN]:[NAMA JABATAN]],0),MATCH(Analisis_Komp[[#This Row],[Dimensi]],Standar[#Headers],0)),"-")</f>
        <v>3</v>
      </c>
      <c r="F25" s="77">
        <f ca="1"/>
        <v>3</v>
      </c>
      <c r="H25" s="81"/>
    </row>
    <row r="26" spans="1:9">
      <c r="A26" s="76"/>
      <c r="B26" s="79"/>
      <c r="C26" s="77"/>
      <c r="D26" s="77"/>
      <c r="E26" s="77"/>
      <c r="F26" s="79"/>
      <c r="G26" s="79"/>
      <c r="H26" s="77"/>
    </row>
    <row r="27" spans="1:9">
      <c r="A27" s="76"/>
      <c r="D27" s="77"/>
      <c r="E27" s="77"/>
      <c r="F27" s="79"/>
      <c r="G27" s="79"/>
      <c r="H27" s="77"/>
    </row>
    <row r="28" spans="1:9">
      <c r="A28" s="76"/>
      <c r="B28" s="126" t="s">
        <v>11</v>
      </c>
      <c r="C28" s="140">
        <f>INDEX(Data_Assessment[],MATCH(Dashboard!$D$1,Data_Assessment[INDEX],0),MATCH("IQ",Data_Assessment[#Headers],0))</f>
        <v>130</v>
      </c>
      <c r="D28" s="145"/>
      <c r="E28" s="141"/>
      <c r="F28" s="77"/>
      <c r="G28" s="79"/>
      <c r="H28" s="77"/>
    </row>
    <row r="29" spans="1:9">
      <c r="A29" s="76"/>
      <c r="B29" s="127" t="s">
        <v>10</v>
      </c>
      <c r="C29" s="151">
        <f>AVERAGE(Analisis_Pot[Nilai])</f>
        <v>5.6923076923076925</v>
      </c>
      <c r="D29" s="142">
        <f>IF(ISNUMBER(SEARCH("EST",$C$1)),COUNTIF(Potensi[EST],"ok"),IF(ISNUMBER(SEARCH("DEV",$C$1)),COUNTIF(Potensi[DEV],"ok"),COUNTIF(Potensi[DEV],"ok")))</f>
        <v>7</v>
      </c>
      <c r="E29" s="153" t="str">
        <f>$D$29&amp;"/13"</f>
        <v>7/13</v>
      </c>
      <c r="F29" s="139"/>
      <c r="G29" s="79"/>
      <c r="H29" s="77"/>
    </row>
    <row r="30" spans="1:9">
      <c r="A30" s="76"/>
      <c r="B30" s="128" t="s">
        <v>9</v>
      </c>
      <c r="C30" s="152">
        <f ca="1">AVERAGE(Analisis_Komp[Nilai])</f>
        <v>2.8</v>
      </c>
      <c r="D30" s="154">
        <f ca="1">IF(ISNUMBER(SEARCH("EST",$C$1)),COUNTIF(Kompetensi[EST],"ok"),IF(ISNUMBER(SEARCH("DEV",$C$1)),COUNTIF(Kompetensi[DEV],"ok"),COUNTIF(Kompetensi[DEV],"ok")))</f>
        <v>3</v>
      </c>
      <c r="E30" s="155" t="str">
        <f ca="1">$D$30&amp;"/"&amp;COUNT(Analisis_Komp[Nilai])</f>
        <v>3/5</v>
      </c>
      <c r="F30" s="79"/>
      <c r="G30" s="79"/>
      <c r="H30" s="77"/>
    </row>
    <row r="31" spans="1:9">
      <c r="A31" s="76"/>
      <c r="B31" s="79"/>
      <c r="C31" s="77"/>
      <c r="D31" s="77"/>
      <c r="E31" s="77"/>
      <c r="F31" s="79"/>
      <c r="G31" s="79"/>
      <c r="H31" s="77"/>
    </row>
    <row r="32" spans="1:9">
      <c r="A32" s="76"/>
      <c r="B32" s="79"/>
      <c r="C32" s="77"/>
      <c r="D32" s="77"/>
      <c r="E32" s="77"/>
      <c r="F32" s="79"/>
      <c r="G32" s="79"/>
      <c r="H32" s="77"/>
    </row>
    <row r="33" spans="1:12">
      <c r="A33" s="79"/>
      <c r="B33" s="79"/>
      <c r="C33" s="77"/>
      <c r="D33" s="77"/>
      <c r="E33" s="77"/>
      <c r="F33" s="79"/>
      <c r="G33" s="79"/>
      <c r="H33" s="77"/>
    </row>
    <row r="34" spans="1:12">
      <c r="A34" s="79"/>
      <c r="B34" s="79"/>
      <c r="C34" s="77"/>
      <c r="D34" s="77"/>
      <c r="E34" s="77"/>
      <c r="F34" s="79"/>
      <c r="G34" s="79"/>
      <c r="H34" s="77"/>
    </row>
    <row r="36" spans="1:12">
      <c r="B36" s="79"/>
      <c r="C36" s="77"/>
      <c r="D36" s="77"/>
      <c r="E36" s="77"/>
      <c r="F36" s="79"/>
      <c r="G36" s="79"/>
      <c r="H36" s="79"/>
      <c r="I36" s="79"/>
      <c r="J36" s="79"/>
      <c r="K36" s="79"/>
      <c r="L36" s="79"/>
    </row>
    <row r="37" spans="1:12">
      <c r="B37" s="79"/>
      <c r="C37" s="77"/>
      <c r="D37" s="77"/>
      <c r="E37" s="77"/>
      <c r="F37" s="79"/>
      <c r="G37" s="79"/>
      <c r="H37" s="79"/>
      <c r="I37" s="79"/>
      <c r="J37" s="79"/>
      <c r="K37" s="79"/>
      <c r="L37" s="79"/>
    </row>
    <row r="38" spans="1:12">
      <c r="B38" s="79"/>
      <c r="C38" s="77"/>
      <c r="D38" s="77"/>
      <c r="E38" s="77"/>
      <c r="F38" s="79"/>
      <c r="G38" s="79"/>
      <c r="H38" s="79"/>
      <c r="I38" s="79"/>
      <c r="J38" s="79"/>
      <c r="K38" s="79"/>
      <c r="L38" s="79"/>
    </row>
    <row r="39" spans="1:12">
      <c r="B39" s="79"/>
      <c r="C39" s="77"/>
      <c r="D39" s="77"/>
      <c r="E39" s="77"/>
      <c r="F39" s="79"/>
      <c r="G39" s="79"/>
      <c r="H39" s="79"/>
      <c r="I39" s="79"/>
      <c r="J39" s="79"/>
      <c r="K39" s="79"/>
      <c r="L39" s="79"/>
    </row>
    <row r="40" spans="1:12">
      <c r="B40" s="79"/>
      <c r="C40" s="77"/>
      <c r="D40" s="77"/>
      <c r="E40" s="77"/>
      <c r="F40" s="79"/>
      <c r="G40" s="79"/>
      <c r="H40" s="79"/>
      <c r="I40" s="79"/>
      <c r="J40" s="79"/>
      <c r="K40" s="79"/>
      <c r="L40" s="79"/>
    </row>
    <row r="41" spans="1:12">
      <c r="B41" s="79"/>
      <c r="C41" s="77"/>
      <c r="D41" s="77"/>
      <c r="E41" s="77"/>
      <c r="F41" s="79"/>
      <c r="G41" s="79"/>
      <c r="H41" s="79"/>
      <c r="I41" s="79"/>
      <c r="J41" s="79"/>
      <c r="K41" s="79"/>
      <c r="L41" s="79"/>
    </row>
    <row r="42" spans="1:12">
      <c r="A42" s="81"/>
      <c r="B42" s="87"/>
      <c r="C42" s="88"/>
      <c r="D42" s="88"/>
      <c r="E42" s="88"/>
      <c r="F42" s="87"/>
      <c r="G42" s="87"/>
      <c r="H42" s="87"/>
      <c r="I42" s="79"/>
      <c r="J42" s="79"/>
      <c r="K42" s="79"/>
      <c r="L42" s="79"/>
    </row>
    <row r="43" spans="1:12">
      <c r="A43" s="81"/>
      <c r="B43" s="87"/>
      <c r="C43" s="88"/>
      <c r="D43" s="88"/>
      <c r="E43" s="88"/>
      <c r="F43" s="87"/>
      <c r="G43" s="87"/>
      <c r="H43" s="87"/>
      <c r="I43" s="79"/>
      <c r="J43" s="79"/>
      <c r="K43" s="79"/>
      <c r="L43" s="79"/>
    </row>
    <row r="44" spans="1:12">
      <c r="A44" s="81"/>
      <c r="B44" s="87"/>
      <c r="C44" s="88"/>
      <c r="D44" s="88"/>
      <c r="E44" s="88"/>
      <c r="F44" s="87"/>
      <c r="G44" s="87"/>
      <c r="H44" s="87"/>
      <c r="I44" s="79"/>
      <c r="J44" s="79"/>
      <c r="K44" s="79"/>
      <c r="L44" s="79"/>
    </row>
    <row r="45" spans="1:12">
      <c r="A45" s="81"/>
      <c r="B45" s="87"/>
      <c r="C45" s="88"/>
      <c r="D45" s="88"/>
      <c r="E45" s="88"/>
      <c r="F45" s="87"/>
      <c r="G45" s="87"/>
      <c r="H45" s="87"/>
      <c r="I45" s="79"/>
      <c r="J45" s="79"/>
      <c r="K45" s="79"/>
      <c r="L45" s="79"/>
    </row>
    <row r="46" spans="1:12">
      <c r="A46" s="81"/>
      <c r="B46" s="87"/>
      <c r="C46" s="88"/>
      <c r="D46" s="88"/>
      <c r="E46" s="88"/>
      <c r="F46" s="87"/>
      <c r="G46" s="87"/>
      <c r="H46" s="87"/>
      <c r="I46" s="79"/>
      <c r="J46" s="79"/>
      <c r="K46" s="79"/>
      <c r="L46" s="79"/>
    </row>
    <row r="47" spans="1:12">
      <c r="A47" s="81"/>
      <c r="B47" s="87"/>
      <c r="C47" s="88"/>
      <c r="D47" s="88"/>
      <c r="E47" s="88"/>
      <c r="F47" s="87"/>
      <c r="G47" s="87"/>
      <c r="H47" s="87"/>
      <c r="I47" s="79"/>
      <c r="J47" s="79"/>
      <c r="K47" s="79"/>
      <c r="L47" s="79"/>
    </row>
    <row r="48" spans="1:12">
      <c r="A48" s="81"/>
      <c r="B48" s="87"/>
      <c r="C48" s="88"/>
      <c r="D48" s="88"/>
      <c r="E48" s="88"/>
      <c r="F48" s="87"/>
      <c r="G48" s="87"/>
      <c r="H48" s="87"/>
      <c r="I48" s="79"/>
      <c r="J48" s="79"/>
      <c r="K48" s="79"/>
      <c r="L48" s="79"/>
    </row>
    <row r="49" spans="1:12">
      <c r="A49" s="81"/>
      <c r="B49" s="87"/>
      <c r="C49" s="88"/>
      <c r="D49" s="88"/>
      <c r="E49" s="88"/>
      <c r="F49" s="87"/>
      <c r="G49" s="87"/>
      <c r="H49" s="87"/>
      <c r="I49" s="79"/>
      <c r="J49" s="79"/>
      <c r="K49" s="79"/>
      <c r="L49" s="79"/>
    </row>
    <row r="50" spans="1:12">
      <c r="A50" s="81"/>
      <c r="B50" s="87"/>
      <c r="C50" s="88"/>
      <c r="D50" s="88"/>
      <c r="E50" s="88"/>
      <c r="F50" s="87"/>
      <c r="G50" s="87"/>
      <c r="H50" s="87"/>
      <c r="I50" s="79"/>
      <c r="J50" s="79"/>
      <c r="K50" s="79"/>
      <c r="L50" s="79"/>
    </row>
    <row r="51" spans="1:12">
      <c r="A51" s="81"/>
      <c r="B51" s="87"/>
      <c r="C51" s="88"/>
      <c r="D51" s="88"/>
      <c r="E51" s="88"/>
      <c r="F51" s="87"/>
      <c r="G51" s="87"/>
      <c r="H51" s="87"/>
      <c r="I51" s="79"/>
      <c r="J51" s="79"/>
      <c r="K51" s="79"/>
      <c r="L51" s="79"/>
    </row>
    <row r="52" spans="1:12">
      <c r="A52" s="81"/>
      <c r="B52" s="87"/>
      <c r="C52" s="88"/>
      <c r="D52" s="88"/>
      <c r="E52" s="88"/>
      <c r="F52" s="87"/>
      <c r="G52" s="87"/>
      <c r="H52" s="87"/>
      <c r="I52" s="79"/>
      <c r="J52" s="79"/>
      <c r="K52" s="79"/>
      <c r="L52" s="79"/>
    </row>
    <row r="53" spans="1:12">
      <c r="A53" s="81"/>
      <c r="B53" s="87"/>
      <c r="C53" s="88"/>
      <c r="D53" s="88"/>
      <c r="E53" s="88"/>
      <c r="F53" s="87"/>
      <c r="G53" s="87"/>
      <c r="H53" s="87"/>
      <c r="I53" s="79"/>
      <c r="J53" s="79"/>
      <c r="K53" s="79"/>
      <c r="L53" s="79"/>
    </row>
    <row r="54" spans="1:12">
      <c r="A54" s="81"/>
      <c r="B54" s="87"/>
      <c r="C54" s="88"/>
      <c r="D54" s="88"/>
      <c r="E54" s="88"/>
      <c r="F54" s="87"/>
      <c r="G54" s="87"/>
      <c r="H54" s="87"/>
      <c r="I54" s="79"/>
      <c r="J54" s="79"/>
      <c r="K54" s="79"/>
      <c r="L54" s="79"/>
    </row>
    <row r="55" spans="1:12">
      <c r="A55" s="81"/>
      <c r="B55" s="87"/>
      <c r="C55" s="88"/>
      <c r="D55" s="88"/>
      <c r="E55" s="88"/>
      <c r="F55" s="87"/>
      <c r="G55" s="87"/>
      <c r="H55" s="87"/>
      <c r="I55" s="79"/>
      <c r="J55" s="79"/>
      <c r="K55" s="79"/>
      <c r="L55" s="79"/>
    </row>
    <row r="56" spans="1:12">
      <c r="A56" s="81"/>
      <c r="B56" s="87"/>
      <c r="C56" s="88"/>
      <c r="D56" s="88"/>
      <c r="E56" s="88"/>
      <c r="F56" s="87"/>
      <c r="G56" s="87"/>
      <c r="H56" s="87"/>
      <c r="I56" s="79"/>
      <c r="J56" s="79"/>
      <c r="K56" s="79"/>
      <c r="L56" s="79"/>
    </row>
    <row r="57" spans="1:12">
      <c r="A57" s="81"/>
      <c r="B57" s="87"/>
      <c r="C57" s="88"/>
      <c r="D57" s="88"/>
      <c r="E57" s="88"/>
      <c r="F57" s="87"/>
      <c r="G57" s="87"/>
      <c r="H57" s="87"/>
      <c r="I57" s="79"/>
      <c r="J57" s="79"/>
      <c r="K57" s="79"/>
      <c r="L57" s="79"/>
    </row>
    <row r="58" spans="1:12">
      <c r="A58" s="81"/>
      <c r="B58" s="87"/>
      <c r="C58" s="88"/>
      <c r="D58" s="88"/>
      <c r="E58" s="88"/>
      <c r="F58" s="87"/>
      <c r="G58" s="87"/>
      <c r="H58" s="87"/>
      <c r="I58" s="79"/>
      <c r="J58" s="79"/>
      <c r="K58" s="79"/>
      <c r="L58" s="79"/>
    </row>
    <row r="59" spans="1:12">
      <c r="A59" s="81"/>
      <c r="B59" s="87"/>
      <c r="C59" s="88"/>
      <c r="D59" s="88"/>
      <c r="E59" s="88"/>
      <c r="F59" s="87"/>
      <c r="G59" s="87"/>
      <c r="H59" s="87"/>
      <c r="I59" s="79"/>
      <c r="J59" s="79"/>
      <c r="K59" s="79"/>
      <c r="L59" s="79"/>
    </row>
    <row r="60" spans="1:12">
      <c r="A60" s="81"/>
      <c r="B60" s="87"/>
      <c r="C60" s="88"/>
      <c r="D60" s="88"/>
      <c r="E60" s="88"/>
      <c r="F60" s="87"/>
      <c r="G60" s="87"/>
      <c r="H60" s="87"/>
      <c r="I60" s="79"/>
      <c r="J60" s="79"/>
      <c r="K60" s="79"/>
      <c r="L60" s="79"/>
    </row>
    <row r="61" spans="1:12">
      <c r="A61" s="81"/>
      <c r="B61" s="87"/>
      <c r="C61" s="88"/>
      <c r="D61" s="88"/>
      <c r="E61" s="88"/>
      <c r="F61" s="87"/>
      <c r="G61" s="87"/>
      <c r="H61" s="87"/>
      <c r="I61" s="79"/>
      <c r="J61" s="79"/>
      <c r="K61" s="79"/>
      <c r="L61" s="79"/>
    </row>
    <row r="62" spans="1:12">
      <c r="A62" s="81"/>
      <c r="B62" s="257"/>
      <c r="C62" s="257"/>
      <c r="D62" s="257"/>
      <c r="E62" s="257"/>
      <c r="F62" s="257"/>
      <c r="G62" s="257"/>
      <c r="H62" s="257"/>
      <c r="I62" s="79"/>
      <c r="J62" s="79"/>
      <c r="K62" s="79"/>
      <c r="L62" s="79"/>
    </row>
    <row r="63" spans="1:12">
      <c r="A63" s="81"/>
      <c r="B63" s="257"/>
      <c r="C63" s="257"/>
      <c r="D63" s="257"/>
      <c r="E63" s="257"/>
      <c r="F63" s="257"/>
      <c r="G63" s="257"/>
      <c r="H63" s="257"/>
      <c r="I63" s="79"/>
      <c r="J63" s="79"/>
      <c r="K63" s="79"/>
      <c r="L63" s="79"/>
    </row>
    <row r="64" spans="1:12">
      <c r="A64" s="81"/>
      <c r="B64" s="87"/>
      <c r="C64" s="88"/>
      <c r="D64" s="88"/>
      <c r="E64" s="88"/>
      <c r="F64" s="87"/>
      <c r="G64" s="87"/>
      <c r="H64" s="87"/>
      <c r="I64" s="79"/>
      <c r="J64" s="79"/>
      <c r="K64" s="79"/>
      <c r="L64" s="79"/>
    </row>
    <row r="65" spans="1:12">
      <c r="A65" s="81"/>
      <c r="B65" s="87"/>
      <c r="C65" s="88"/>
      <c r="D65" s="88"/>
      <c r="E65" s="88"/>
      <c r="F65" s="87"/>
      <c r="G65" s="87"/>
      <c r="H65" s="87"/>
      <c r="I65" s="79"/>
      <c r="J65" s="79"/>
      <c r="K65" s="79"/>
      <c r="L65" s="79"/>
    </row>
    <row r="66" spans="1:12">
      <c r="B66" s="79"/>
      <c r="C66" s="77"/>
      <c r="D66" s="77"/>
      <c r="E66" s="77"/>
      <c r="F66" s="79"/>
      <c r="G66" s="79"/>
      <c r="H66" s="79"/>
      <c r="I66" s="79"/>
      <c r="J66" s="79"/>
      <c r="K66" s="79"/>
      <c r="L66" s="79"/>
    </row>
    <row r="67" spans="1:12">
      <c r="B67" s="79"/>
      <c r="C67" s="77"/>
      <c r="D67" s="77"/>
      <c r="E67" s="77"/>
      <c r="F67" s="79"/>
      <c r="G67" s="79"/>
      <c r="H67" s="79"/>
      <c r="I67" s="79"/>
      <c r="J67" s="79"/>
      <c r="K67" s="79"/>
      <c r="L67" s="79"/>
    </row>
    <row r="68" spans="1:12">
      <c r="B68" s="79"/>
      <c r="C68" s="77"/>
      <c r="D68" s="77"/>
      <c r="E68" s="77"/>
      <c r="F68" s="79"/>
      <c r="G68" s="79"/>
      <c r="H68" s="79"/>
      <c r="I68" s="79"/>
      <c r="J68" s="79"/>
      <c r="K68" s="79"/>
      <c r="L68" s="79"/>
    </row>
    <row r="69" spans="1:12">
      <c r="B69" s="79"/>
      <c r="C69" s="77"/>
      <c r="D69" s="77"/>
      <c r="E69" s="77"/>
      <c r="F69" s="79"/>
      <c r="G69" s="79"/>
      <c r="H69" s="79"/>
      <c r="I69" s="79"/>
      <c r="J69" s="79"/>
      <c r="K69" s="79"/>
      <c r="L69" s="79"/>
    </row>
    <row r="70" spans="1:12">
      <c r="B70" s="79"/>
      <c r="C70" s="77"/>
      <c r="D70" s="77"/>
      <c r="E70" s="77"/>
      <c r="F70" s="79"/>
      <c r="G70" s="79"/>
      <c r="H70" s="79"/>
      <c r="I70" s="79"/>
      <c r="J70" s="79"/>
      <c r="K70" s="79"/>
      <c r="L70" s="79"/>
    </row>
    <row r="71" spans="1:12">
      <c r="B71" s="79"/>
      <c r="C71" s="77"/>
      <c r="D71" s="77"/>
      <c r="E71" s="77"/>
      <c r="F71" s="79"/>
      <c r="G71" s="79"/>
      <c r="H71" s="79"/>
      <c r="I71" s="79"/>
      <c r="J71" s="79"/>
      <c r="K71" s="79"/>
      <c r="L71" s="79"/>
    </row>
    <row r="72" spans="1:12">
      <c r="B72" s="79"/>
      <c r="C72" s="77"/>
      <c r="D72" s="77"/>
      <c r="E72" s="77"/>
      <c r="F72" s="79"/>
      <c r="G72" s="79"/>
      <c r="H72" s="79"/>
      <c r="I72" s="79"/>
      <c r="J72" s="79"/>
      <c r="K72" s="79"/>
      <c r="L72" s="79"/>
    </row>
  </sheetData>
  <sheetProtection selectLockedCells="1" selectUnlockedCells="1"/>
  <mergeCells count="5">
    <mergeCell ref="B63:H63"/>
    <mergeCell ref="B62:H62"/>
    <mergeCell ref="C1:E1"/>
    <mergeCell ref="D3:E3"/>
    <mergeCell ref="D19:E19"/>
  </mergeCells>
  <pageMargins left="0.7" right="0.7" top="0.75" bottom="0.75" header="0.51180555555555551" footer="0.51180555555555551"/>
  <pageSetup scale="61" firstPageNumber="0" orientation="portrait" horizontalDpi="300" verticalDpi="300" r:id="rId1"/>
  <headerFooter alignWithMargins="0"/>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theme="6" tint="-0.249977111117893"/>
  </sheetPr>
  <dimension ref="A1:AP816"/>
  <sheetViews>
    <sheetView showGridLines="0" zoomScale="90" zoomScaleNormal="90" zoomScaleSheetLayoutView="115" workbookViewId="0">
      <pane xSplit="3" ySplit="1" topLeftCell="K2" activePane="bottomRight" state="frozen"/>
      <selection pane="topRight" activeCell="D1" sqref="D1"/>
      <selection pane="bottomLeft" activeCell="A2" sqref="A2"/>
      <selection pane="bottomRight" activeCell="AJ9" sqref="AJ9"/>
    </sheetView>
  </sheetViews>
  <sheetFormatPr defaultColWidth="9.140625" defaultRowHeight="15" outlineLevelCol="1"/>
  <cols>
    <col min="1" max="1" width="9.85546875" style="61" bestFit="1" customWidth="1"/>
    <col min="2" max="2" width="17.28515625" style="61" bestFit="1" customWidth="1"/>
    <col min="3" max="3" width="33.42578125" style="61" bestFit="1" customWidth="1"/>
    <col min="4" max="4" width="12" style="61" customWidth="1" outlineLevel="1"/>
    <col min="5" max="5" width="16.42578125" style="61" customWidth="1" outlineLevel="1"/>
    <col min="6" max="6" width="16.5703125" style="66" customWidth="1" outlineLevel="1"/>
    <col min="7" max="7" width="20" style="61" customWidth="1" outlineLevel="1"/>
    <col min="8" max="8" width="33.140625" style="61" customWidth="1" outlineLevel="1"/>
    <col min="9" max="9" width="9.140625" style="60" customWidth="1" outlineLevel="1"/>
    <col min="10" max="10" width="37.7109375" style="66" customWidth="1" outlineLevel="1"/>
    <col min="11" max="11" width="27.85546875" style="60" customWidth="1" outlineLevel="1"/>
    <col min="12" max="12" width="25" style="60" customWidth="1" outlineLevel="1"/>
    <col min="13" max="13" width="5.85546875" style="61" customWidth="1"/>
    <col min="14" max="14" width="21.5703125" style="61" bestFit="1" customWidth="1" outlineLevel="1"/>
    <col min="15" max="15" width="28.28515625" style="61" bestFit="1" customWidth="1" outlineLevel="1"/>
    <col min="16" max="16" width="21.5703125" style="61" bestFit="1" customWidth="1" outlineLevel="1"/>
    <col min="17" max="17" width="26.85546875" style="61" bestFit="1" customWidth="1" outlineLevel="1"/>
    <col min="18" max="18" width="12.28515625" style="61" bestFit="1" customWidth="1" outlineLevel="1"/>
    <col min="19" max="19" width="24.7109375" style="61" bestFit="1" customWidth="1" outlineLevel="1"/>
    <col min="20" max="20" width="16" style="61" bestFit="1" customWidth="1" outlineLevel="1"/>
    <col min="21" max="21" width="22.7109375" style="61" bestFit="1" customWidth="1" outlineLevel="1"/>
    <col min="22" max="22" width="23.7109375" style="61" bestFit="1" customWidth="1" outlineLevel="1"/>
    <col min="23" max="23" width="19.85546875" style="61" bestFit="1" customWidth="1" outlineLevel="1"/>
    <col min="24" max="24" width="15.85546875" style="61" bestFit="1" customWidth="1" outlineLevel="1"/>
    <col min="25" max="25" width="18.42578125" style="61" bestFit="1" customWidth="1" outlineLevel="1"/>
    <col min="26" max="26" width="28.42578125" style="61" bestFit="1" customWidth="1"/>
    <col min="27" max="27" width="16.5703125" style="61" bestFit="1" customWidth="1" outlineLevel="1" collapsed="1"/>
    <col min="28" max="28" width="34.7109375" style="61" bestFit="1" customWidth="1" outlineLevel="1"/>
    <col min="29" max="29" width="34.28515625" style="61" bestFit="1" customWidth="1" outlineLevel="1"/>
    <col min="30" max="30" width="14.7109375" style="61" bestFit="1" customWidth="1" outlineLevel="1"/>
    <col min="31" max="31" width="34.5703125" style="61" bestFit="1" customWidth="1" outlineLevel="1"/>
    <col min="32" max="32" width="16.42578125" style="61" bestFit="1" customWidth="1" outlineLevel="1"/>
    <col min="33" max="33" width="41.85546875" style="61" bestFit="1" customWidth="1" outlineLevel="1"/>
    <col min="34" max="34" width="9.140625" style="61" bestFit="1" customWidth="1" outlineLevel="1"/>
    <col min="35" max="35" width="32.42578125" style="61" bestFit="1" customWidth="1" outlineLevel="1"/>
    <col min="36" max="36" width="41" style="61" bestFit="1" customWidth="1" outlineLevel="1"/>
    <col min="37" max="37" width="30.5703125" style="61" bestFit="1" customWidth="1" outlineLevel="1"/>
    <col min="38" max="38" width="21.5703125" style="61" bestFit="1" customWidth="1" outlineLevel="1"/>
    <col min="39" max="39" width="40.28515625" style="61" bestFit="1" customWidth="1" outlineLevel="1"/>
    <col min="40" max="40" width="44.28515625" style="61" bestFit="1" customWidth="1" outlineLevel="1"/>
    <col min="41" max="41" width="34.5703125" style="61" bestFit="1" customWidth="1"/>
    <col min="42" max="42" width="39" style="61" bestFit="1" customWidth="1" collapsed="1"/>
    <col min="43" max="16384" width="9.140625" style="61"/>
  </cols>
  <sheetData>
    <row r="1" spans="1:42" s="109" customFormat="1" ht="14.25">
      <c r="A1" s="107" t="s">
        <v>1597</v>
      </c>
      <c r="B1" s="108" t="s">
        <v>1598</v>
      </c>
      <c r="C1" s="108" t="s">
        <v>38</v>
      </c>
      <c r="D1" s="107" t="s">
        <v>1599</v>
      </c>
      <c r="E1" s="107" t="s">
        <v>1600</v>
      </c>
      <c r="F1" s="107" t="s">
        <v>1601</v>
      </c>
      <c r="G1" s="107" t="s">
        <v>1602</v>
      </c>
      <c r="H1" s="107" t="s">
        <v>1589</v>
      </c>
      <c r="I1" s="109" t="s">
        <v>854</v>
      </c>
      <c r="J1" s="110" t="s">
        <v>1603</v>
      </c>
      <c r="K1" s="107" t="s">
        <v>1604</v>
      </c>
      <c r="L1" s="111" t="s">
        <v>1594</v>
      </c>
      <c r="M1" s="111" t="s">
        <v>11</v>
      </c>
      <c r="N1" s="112" t="s">
        <v>1605</v>
      </c>
      <c r="O1" s="113" t="s">
        <v>1606</v>
      </c>
      <c r="P1" s="113" t="s">
        <v>1607</v>
      </c>
      <c r="Q1" s="113" t="s">
        <v>1608</v>
      </c>
      <c r="R1" s="113" t="s">
        <v>1609</v>
      </c>
      <c r="S1" s="113" t="s">
        <v>1610</v>
      </c>
      <c r="T1" s="113" t="s">
        <v>1611</v>
      </c>
      <c r="U1" s="113" t="s">
        <v>1612</v>
      </c>
      <c r="V1" s="113" t="s">
        <v>1613</v>
      </c>
      <c r="W1" s="113" t="s">
        <v>1614</v>
      </c>
      <c r="X1" s="113" t="s">
        <v>1615</v>
      </c>
      <c r="Y1" s="113" t="s">
        <v>1616</v>
      </c>
      <c r="Z1" s="113" t="s">
        <v>1617</v>
      </c>
      <c r="AA1" s="114" t="s">
        <v>1670</v>
      </c>
      <c r="AB1" s="114" t="s">
        <v>1671</v>
      </c>
      <c r="AC1" s="114" t="s">
        <v>1672</v>
      </c>
      <c r="AD1" s="114" t="s">
        <v>1673</v>
      </c>
      <c r="AE1" s="114" t="s">
        <v>1674</v>
      </c>
      <c r="AF1" s="114" t="s">
        <v>1675</v>
      </c>
      <c r="AG1" s="114" t="s">
        <v>1676</v>
      </c>
      <c r="AH1" s="114" t="s">
        <v>1665</v>
      </c>
      <c r="AI1" s="114" t="s">
        <v>1677</v>
      </c>
      <c r="AJ1" s="114" t="s">
        <v>1678</v>
      </c>
      <c r="AK1" s="114" t="s">
        <v>1679</v>
      </c>
      <c r="AL1" s="114" t="s">
        <v>1680</v>
      </c>
      <c r="AM1" s="114" t="s">
        <v>1681</v>
      </c>
      <c r="AN1" s="114" t="s">
        <v>1682</v>
      </c>
      <c r="AO1" s="115" t="s">
        <v>1683</v>
      </c>
      <c r="AP1" s="198" t="s">
        <v>1684</v>
      </c>
    </row>
    <row r="2" spans="1:42">
      <c r="A2" s="89">
        <v>1</v>
      </c>
      <c r="B2" s="90">
        <v>50142298</v>
      </c>
      <c r="C2" s="91" t="s">
        <v>381</v>
      </c>
      <c r="D2" s="58" t="s">
        <v>845</v>
      </c>
      <c r="E2" s="59">
        <v>35383</v>
      </c>
      <c r="F2" s="92">
        <f ca="1">(TODAY()-Data_Assessment[[#This Row],[BIRTH DATE]])/365.25</f>
        <v>25.347022587268995</v>
      </c>
      <c r="G2" s="93" t="s">
        <v>895</v>
      </c>
      <c r="H2" s="105" t="s">
        <v>896</v>
      </c>
      <c r="I2" s="106">
        <v>1</v>
      </c>
      <c r="J2" s="94" t="s">
        <v>897</v>
      </c>
      <c r="K2" s="143">
        <v>0</v>
      </c>
      <c r="L2" s="58" t="s">
        <v>50</v>
      </c>
      <c r="M2" s="58">
        <v>125</v>
      </c>
      <c r="N2" s="101">
        <v>3</v>
      </c>
      <c r="O2" s="101">
        <v>3</v>
      </c>
      <c r="P2" s="101">
        <v>3</v>
      </c>
      <c r="Q2" s="101">
        <v>3</v>
      </c>
      <c r="R2" s="101">
        <v>3</v>
      </c>
      <c r="S2" s="101">
        <v>3</v>
      </c>
      <c r="T2" s="101">
        <v>3</v>
      </c>
      <c r="U2" s="101">
        <v>3</v>
      </c>
      <c r="V2" s="101">
        <v>3</v>
      </c>
      <c r="W2" s="101">
        <v>3</v>
      </c>
      <c r="X2" s="101">
        <v>3</v>
      </c>
      <c r="Y2" s="101">
        <v>3</v>
      </c>
      <c r="Z2" s="101">
        <v>3</v>
      </c>
      <c r="AA2" s="101">
        <v>4</v>
      </c>
      <c r="AB2" s="101">
        <v>3</v>
      </c>
      <c r="AC2" s="101">
        <v>3</v>
      </c>
      <c r="AD2" s="101">
        <v>3</v>
      </c>
      <c r="AE2" s="101">
        <v>3</v>
      </c>
      <c r="AF2" s="101">
        <v>3</v>
      </c>
      <c r="AG2" s="101">
        <v>3</v>
      </c>
      <c r="AH2" s="101">
        <v>3</v>
      </c>
      <c r="AI2" s="101">
        <v>3</v>
      </c>
      <c r="AJ2" s="101">
        <v>3</v>
      </c>
      <c r="AK2" s="101">
        <v>3</v>
      </c>
      <c r="AL2" s="101">
        <v>3</v>
      </c>
      <c r="AM2" s="101">
        <v>3</v>
      </c>
      <c r="AN2" s="101">
        <v>3</v>
      </c>
      <c r="AO2" s="101">
        <v>3</v>
      </c>
      <c r="AP2" s="102"/>
    </row>
    <row r="3" spans="1:42">
      <c r="A3" s="89">
        <v>2</v>
      </c>
      <c r="B3" s="90">
        <v>50031149</v>
      </c>
      <c r="C3" s="91" t="s">
        <v>74</v>
      </c>
      <c r="D3" s="58" t="s">
        <v>845</v>
      </c>
      <c r="E3" s="59">
        <v>26785</v>
      </c>
      <c r="F3" s="92">
        <f ca="1">(TODAY()-Data_Assessment[[#This Row],[BIRTH DATE]])/365.25</f>
        <v>48.887063655030801</v>
      </c>
      <c r="G3" s="93" t="s">
        <v>898</v>
      </c>
      <c r="H3" s="105" t="s">
        <v>899</v>
      </c>
      <c r="I3" s="106">
        <v>1</v>
      </c>
      <c r="J3" s="94" t="s">
        <v>900</v>
      </c>
      <c r="K3" s="143">
        <v>3</v>
      </c>
      <c r="L3" s="58" t="s">
        <v>60</v>
      </c>
      <c r="M3" s="58">
        <v>130</v>
      </c>
      <c r="N3" s="101">
        <v>5</v>
      </c>
      <c r="O3" s="101">
        <v>5</v>
      </c>
      <c r="P3" s="101">
        <v>6</v>
      </c>
      <c r="Q3" s="101">
        <v>7</v>
      </c>
      <c r="R3" s="101">
        <v>7</v>
      </c>
      <c r="S3" s="101">
        <v>5</v>
      </c>
      <c r="T3" s="101">
        <v>5</v>
      </c>
      <c r="U3" s="101">
        <v>6</v>
      </c>
      <c r="V3" s="101">
        <v>6</v>
      </c>
      <c r="W3" s="101">
        <v>6</v>
      </c>
      <c r="X3" s="101">
        <v>5</v>
      </c>
      <c r="Y3" s="101">
        <v>6</v>
      </c>
      <c r="Z3" s="101">
        <v>5</v>
      </c>
      <c r="AA3" s="101">
        <v>3</v>
      </c>
      <c r="AB3" s="101">
        <v>2</v>
      </c>
      <c r="AC3" s="101">
        <v>2</v>
      </c>
      <c r="AD3" s="101">
        <v>3</v>
      </c>
      <c r="AE3" s="101">
        <v>4</v>
      </c>
      <c r="AF3" s="101">
        <v>3</v>
      </c>
      <c r="AG3" s="101">
        <v>4</v>
      </c>
      <c r="AH3" s="101">
        <v>4</v>
      </c>
      <c r="AI3" s="101">
        <v>3</v>
      </c>
      <c r="AJ3" s="101">
        <v>2</v>
      </c>
      <c r="AK3" s="101">
        <v>2</v>
      </c>
      <c r="AL3" s="101">
        <v>2</v>
      </c>
      <c r="AM3" s="101">
        <v>2</v>
      </c>
      <c r="AN3" s="101">
        <v>3</v>
      </c>
      <c r="AO3" s="101">
        <v>4</v>
      </c>
      <c r="AP3" s="102"/>
    </row>
    <row r="4" spans="1:42">
      <c r="A4" s="89">
        <v>3</v>
      </c>
      <c r="B4" s="90">
        <v>50144878</v>
      </c>
      <c r="C4" s="91" t="s">
        <v>901</v>
      </c>
      <c r="D4" s="58" t="s">
        <v>845</v>
      </c>
      <c r="E4" s="59">
        <v>34972</v>
      </c>
      <c r="F4" s="92">
        <f ca="1">(TODAY()-Data_Assessment[[#This Row],[BIRTH DATE]])/365.25</f>
        <v>26.472279260780287</v>
      </c>
      <c r="G4" s="94" t="s">
        <v>895</v>
      </c>
      <c r="H4" s="105" t="s">
        <v>902</v>
      </c>
      <c r="I4" s="106">
        <v>1</v>
      </c>
      <c r="J4" s="94" t="s">
        <v>903</v>
      </c>
      <c r="K4" s="143">
        <v>0</v>
      </c>
      <c r="L4" s="58" t="s">
        <v>52</v>
      </c>
      <c r="M4" s="58">
        <v>120</v>
      </c>
      <c r="N4" s="101">
        <v>7</v>
      </c>
      <c r="O4" s="101">
        <v>6</v>
      </c>
      <c r="P4" s="101">
        <v>6</v>
      </c>
      <c r="Q4" s="101">
        <v>5</v>
      </c>
      <c r="R4" s="101">
        <v>5</v>
      </c>
      <c r="S4" s="101">
        <v>6</v>
      </c>
      <c r="T4" s="101">
        <v>6</v>
      </c>
      <c r="U4" s="101">
        <v>6</v>
      </c>
      <c r="V4" s="101">
        <v>7</v>
      </c>
      <c r="W4" s="101">
        <v>7</v>
      </c>
      <c r="X4" s="101">
        <v>6</v>
      </c>
      <c r="Y4" s="101">
        <v>4</v>
      </c>
      <c r="Z4" s="101">
        <v>7</v>
      </c>
      <c r="AA4" s="101">
        <v>3</v>
      </c>
      <c r="AB4" s="101">
        <v>4</v>
      </c>
      <c r="AC4" s="101">
        <v>3</v>
      </c>
      <c r="AD4" s="101">
        <v>3</v>
      </c>
      <c r="AE4" s="101">
        <v>3</v>
      </c>
      <c r="AF4" s="101">
        <v>2</v>
      </c>
      <c r="AG4" s="101">
        <v>3</v>
      </c>
      <c r="AH4" s="101">
        <v>3</v>
      </c>
      <c r="AI4" s="101">
        <v>3</v>
      </c>
      <c r="AJ4" s="101">
        <v>4</v>
      </c>
      <c r="AK4" s="101">
        <v>3</v>
      </c>
      <c r="AL4" s="101">
        <v>3</v>
      </c>
      <c r="AM4" s="101">
        <v>2</v>
      </c>
      <c r="AN4" s="101">
        <v>2</v>
      </c>
      <c r="AO4" s="101">
        <v>3</v>
      </c>
      <c r="AP4" s="102"/>
    </row>
    <row r="5" spans="1:42">
      <c r="A5" s="89">
        <v>4</v>
      </c>
      <c r="B5" s="90">
        <v>50030909</v>
      </c>
      <c r="C5" s="91" t="s">
        <v>75</v>
      </c>
      <c r="D5" s="58" t="s">
        <v>846</v>
      </c>
      <c r="E5" s="59">
        <v>28972</v>
      </c>
      <c r="F5" s="92">
        <f ca="1">(TODAY()-Data_Assessment[[#This Row],[BIRTH DATE]])/365.25</f>
        <v>42.899383983572896</v>
      </c>
      <c r="G5" s="93" t="s">
        <v>898</v>
      </c>
      <c r="H5" s="105" t="s">
        <v>899</v>
      </c>
      <c r="I5" s="106">
        <v>1</v>
      </c>
      <c r="J5" s="94" t="s">
        <v>904</v>
      </c>
      <c r="K5" s="143">
        <v>3</v>
      </c>
      <c r="L5" s="58" t="s">
        <v>53</v>
      </c>
      <c r="M5" s="58">
        <v>100</v>
      </c>
      <c r="N5" s="101">
        <v>7</v>
      </c>
      <c r="O5" s="101">
        <v>6</v>
      </c>
      <c r="P5" s="101">
        <v>5</v>
      </c>
      <c r="Q5" s="101">
        <v>5</v>
      </c>
      <c r="R5" s="101">
        <v>5</v>
      </c>
      <c r="S5" s="101">
        <v>5</v>
      </c>
      <c r="T5" s="101">
        <v>6</v>
      </c>
      <c r="U5" s="101">
        <v>6</v>
      </c>
      <c r="V5" s="101">
        <v>6</v>
      </c>
      <c r="W5" s="101">
        <v>3</v>
      </c>
      <c r="X5" s="101">
        <v>4</v>
      </c>
      <c r="Y5" s="101">
        <v>4</v>
      </c>
      <c r="Z5" s="101">
        <v>3</v>
      </c>
      <c r="AA5" s="101">
        <v>3</v>
      </c>
      <c r="AB5" s="101">
        <v>4</v>
      </c>
      <c r="AC5" s="101">
        <v>3</v>
      </c>
      <c r="AD5" s="101">
        <v>4</v>
      </c>
      <c r="AE5" s="101">
        <v>3</v>
      </c>
      <c r="AF5" s="101">
        <v>3</v>
      </c>
      <c r="AG5" s="101">
        <v>3</v>
      </c>
      <c r="AH5" s="101">
        <v>3</v>
      </c>
      <c r="AI5" s="101">
        <v>4</v>
      </c>
      <c r="AJ5" s="101">
        <v>4</v>
      </c>
      <c r="AK5" s="101">
        <v>3</v>
      </c>
      <c r="AL5" s="101">
        <v>4</v>
      </c>
      <c r="AM5" s="101">
        <v>2</v>
      </c>
      <c r="AN5" s="101">
        <v>2</v>
      </c>
      <c r="AO5" s="101">
        <v>2</v>
      </c>
      <c r="AP5" s="102"/>
    </row>
    <row r="6" spans="1:42">
      <c r="A6" s="89">
        <v>5</v>
      </c>
      <c r="B6" s="90">
        <v>50144874</v>
      </c>
      <c r="C6" s="91" t="s">
        <v>397</v>
      </c>
      <c r="D6" s="58" t="s">
        <v>845</v>
      </c>
      <c r="E6" s="59">
        <v>35096</v>
      </c>
      <c r="F6" s="92">
        <f ca="1">(TODAY()-Data_Assessment[[#This Row],[BIRTH DATE]])/365.25</f>
        <v>26.132785763175907</v>
      </c>
      <c r="G6" s="93" t="s">
        <v>895</v>
      </c>
      <c r="H6" s="105" t="s">
        <v>902</v>
      </c>
      <c r="I6" s="106">
        <v>1</v>
      </c>
      <c r="J6" s="94" t="s">
        <v>903</v>
      </c>
      <c r="K6" s="143">
        <v>0</v>
      </c>
      <c r="L6" s="58" t="s">
        <v>54</v>
      </c>
      <c r="M6" s="58"/>
      <c r="N6" s="101">
        <v>2</v>
      </c>
      <c r="O6" s="101"/>
      <c r="P6" s="101">
        <v>1</v>
      </c>
      <c r="Q6" s="101"/>
      <c r="R6" s="101"/>
      <c r="S6" s="101"/>
      <c r="T6" s="101"/>
      <c r="U6" s="101"/>
      <c r="V6" s="101"/>
      <c r="W6" s="101"/>
      <c r="X6" s="101"/>
      <c r="Y6" s="101">
        <v>2</v>
      </c>
      <c r="Z6" s="101">
        <v>1</v>
      </c>
      <c r="AA6" s="101">
        <v>3</v>
      </c>
      <c r="AB6" s="101">
        <v>3</v>
      </c>
      <c r="AC6" s="101">
        <v>3</v>
      </c>
      <c r="AD6" s="101">
        <v>3</v>
      </c>
      <c r="AE6" s="101"/>
      <c r="AF6" s="101"/>
      <c r="AG6" s="101">
        <v>3</v>
      </c>
      <c r="AH6" s="101">
        <v>3</v>
      </c>
      <c r="AI6" s="101">
        <v>3</v>
      </c>
      <c r="AJ6" s="101">
        <v>3</v>
      </c>
      <c r="AK6" s="101">
        <v>3</v>
      </c>
      <c r="AL6" s="101">
        <v>3</v>
      </c>
      <c r="AM6" s="101">
        <v>3</v>
      </c>
      <c r="AN6" s="101">
        <v>3</v>
      </c>
      <c r="AO6" s="101">
        <v>3</v>
      </c>
      <c r="AP6" s="102"/>
    </row>
    <row r="7" spans="1:42">
      <c r="A7" s="89">
        <v>6</v>
      </c>
      <c r="B7" s="90">
        <v>50114563</v>
      </c>
      <c r="C7" s="91" t="s">
        <v>76</v>
      </c>
      <c r="D7" s="58" t="s">
        <v>845</v>
      </c>
      <c r="E7" s="59">
        <v>32263</v>
      </c>
      <c r="F7" s="92">
        <f ca="1">(TODAY()-Data_Assessment[[#This Row],[BIRTH DATE]])/365.25</f>
        <v>33.889117043121146</v>
      </c>
      <c r="G7" s="93" t="s">
        <v>898</v>
      </c>
      <c r="H7" s="105" t="s">
        <v>899</v>
      </c>
      <c r="I7" s="106">
        <v>1</v>
      </c>
      <c r="J7" s="94" t="s">
        <v>905</v>
      </c>
      <c r="K7" s="143">
        <v>3</v>
      </c>
      <c r="L7" s="58" t="s">
        <v>1632</v>
      </c>
      <c r="M7" s="58">
        <v>200</v>
      </c>
      <c r="N7" s="101"/>
      <c r="O7" s="101"/>
      <c r="P7" s="101"/>
      <c r="Q7" s="101"/>
      <c r="R7" s="101"/>
      <c r="S7" s="101"/>
      <c r="T7" s="101"/>
      <c r="U7" s="101"/>
      <c r="V7" s="101"/>
      <c r="W7" s="101"/>
      <c r="X7" s="101"/>
      <c r="Y7" s="101"/>
      <c r="Z7" s="101">
        <v>1</v>
      </c>
      <c r="AA7" s="101">
        <v>3</v>
      </c>
      <c r="AB7" s="101">
        <v>3</v>
      </c>
      <c r="AC7" s="101">
        <v>3</v>
      </c>
      <c r="AD7" s="101">
        <v>3</v>
      </c>
      <c r="AE7" s="101"/>
      <c r="AF7" s="101"/>
      <c r="AG7" s="101">
        <v>3</v>
      </c>
      <c r="AH7" s="101">
        <v>3</v>
      </c>
      <c r="AI7" s="101">
        <v>3</v>
      </c>
      <c r="AJ7" s="101">
        <v>3</v>
      </c>
      <c r="AK7" s="101">
        <v>3</v>
      </c>
      <c r="AL7" s="101">
        <v>3</v>
      </c>
      <c r="AM7" s="101">
        <v>3</v>
      </c>
      <c r="AN7" s="101">
        <v>3</v>
      </c>
      <c r="AO7" s="101">
        <v>3</v>
      </c>
      <c r="AP7" s="102"/>
    </row>
    <row r="8" spans="1:42">
      <c r="A8" s="89">
        <v>7</v>
      </c>
      <c r="B8" s="90">
        <v>50142299</v>
      </c>
      <c r="C8" s="91" t="s">
        <v>403</v>
      </c>
      <c r="D8" s="58" t="s">
        <v>845</v>
      </c>
      <c r="E8" s="59">
        <v>35366</v>
      </c>
      <c r="F8" s="92">
        <f ca="1">(TODAY()-Data_Assessment[[#This Row],[BIRTH DATE]])/365.25</f>
        <v>25.393566050650239</v>
      </c>
      <c r="G8" s="93" t="s">
        <v>895</v>
      </c>
      <c r="H8" s="105" t="s">
        <v>906</v>
      </c>
      <c r="I8" s="106">
        <v>1</v>
      </c>
      <c r="J8" s="94" t="s">
        <v>907</v>
      </c>
      <c r="K8" s="143">
        <v>0</v>
      </c>
      <c r="L8" s="58"/>
      <c r="M8" s="58"/>
      <c r="N8" s="101"/>
      <c r="O8" s="101"/>
      <c r="P8" s="101"/>
      <c r="Q8" s="101"/>
      <c r="R8" s="101"/>
      <c r="S8" s="101"/>
      <c r="T8" s="101"/>
      <c r="U8" s="101"/>
      <c r="V8" s="101"/>
      <c r="W8" s="101"/>
      <c r="X8" s="101"/>
      <c r="Y8" s="101"/>
      <c r="Z8" s="101"/>
      <c r="AA8" s="101"/>
      <c r="AB8" s="101"/>
      <c r="AC8" s="101"/>
      <c r="AD8" s="101"/>
      <c r="AE8" s="101"/>
      <c r="AF8" s="101"/>
      <c r="AG8" s="101"/>
      <c r="AH8" s="101"/>
      <c r="AI8" s="101"/>
      <c r="AJ8" s="101"/>
      <c r="AK8" s="101"/>
      <c r="AL8" s="101"/>
      <c r="AM8" s="101"/>
      <c r="AN8" s="101"/>
      <c r="AO8" s="101"/>
      <c r="AP8" s="102"/>
    </row>
    <row r="9" spans="1:42" ht="29.25">
      <c r="A9" s="89">
        <v>8</v>
      </c>
      <c r="B9" s="90">
        <v>50030912</v>
      </c>
      <c r="C9" s="91" t="s">
        <v>77</v>
      </c>
      <c r="D9" s="58" t="s">
        <v>846</v>
      </c>
      <c r="E9" s="59">
        <v>29175</v>
      </c>
      <c r="F9" s="92">
        <f ca="1">(TODAY()-Data_Assessment[[#This Row],[BIRTH DATE]])/365.25</f>
        <v>42.343600273785079</v>
      </c>
      <c r="G9" s="93" t="s">
        <v>898</v>
      </c>
      <c r="H9" s="105" t="s">
        <v>899</v>
      </c>
      <c r="I9" s="106">
        <v>1</v>
      </c>
      <c r="J9" s="94" t="s">
        <v>908</v>
      </c>
      <c r="K9" s="143">
        <v>2</v>
      </c>
      <c r="L9" s="58"/>
      <c r="M9" s="58"/>
      <c r="N9" s="101"/>
      <c r="O9" s="101"/>
      <c r="P9" s="101"/>
      <c r="Q9" s="101"/>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2"/>
    </row>
    <row r="10" spans="1:42">
      <c r="A10" s="89">
        <v>9</v>
      </c>
      <c r="B10" s="90">
        <v>50142297</v>
      </c>
      <c r="C10" s="91" t="s">
        <v>448</v>
      </c>
      <c r="D10" s="58" t="s">
        <v>845</v>
      </c>
      <c r="E10" s="59">
        <v>34725</v>
      </c>
      <c r="F10" s="92">
        <f ca="1">(TODAY()-Data_Assessment[[#This Row],[BIRTH DATE]])/365.25</f>
        <v>27.148528405201915</v>
      </c>
      <c r="G10" s="93" t="s">
        <v>895</v>
      </c>
      <c r="H10" s="105" t="s">
        <v>909</v>
      </c>
      <c r="I10" s="106">
        <v>1</v>
      </c>
      <c r="J10" s="94" t="s">
        <v>910</v>
      </c>
      <c r="K10" s="143">
        <v>0</v>
      </c>
      <c r="L10" s="58"/>
      <c r="M10" s="58"/>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2"/>
    </row>
    <row r="11" spans="1:42">
      <c r="A11" s="89">
        <v>10</v>
      </c>
      <c r="B11" s="90">
        <v>50031215</v>
      </c>
      <c r="C11" s="91" t="s">
        <v>78</v>
      </c>
      <c r="D11" s="58" t="s">
        <v>846</v>
      </c>
      <c r="E11" s="59">
        <v>30428</v>
      </c>
      <c r="F11" s="92">
        <f ca="1">(TODAY()-Data_Assessment[[#This Row],[BIRTH DATE]])/365.25</f>
        <v>38.913073237508556</v>
      </c>
      <c r="G11" s="93" t="s">
        <v>898</v>
      </c>
      <c r="H11" s="105" t="s">
        <v>899</v>
      </c>
      <c r="I11" s="106">
        <v>1</v>
      </c>
      <c r="J11" s="94" t="s">
        <v>911</v>
      </c>
      <c r="K11" s="143">
        <v>3</v>
      </c>
      <c r="L11" s="58"/>
      <c r="M11" s="58"/>
      <c r="N11" s="101"/>
      <c r="O11" s="101"/>
      <c r="P11" s="101"/>
      <c r="Q11" s="101"/>
      <c r="R11" s="101"/>
      <c r="S11" s="101"/>
      <c r="T11" s="101"/>
      <c r="U11" s="101"/>
      <c r="V11" s="101"/>
      <c r="W11" s="101"/>
      <c r="X11" s="101"/>
      <c r="Y11" s="101"/>
      <c r="Z11" s="101"/>
      <c r="AA11" s="101"/>
      <c r="AB11" s="101"/>
      <c r="AC11" s="101"/>
      <c r="AD11" s="101"/>
      <c r="AE11" s="101"/>
      <c r="AF11" s="101"/>
      <c r="AG11" s="101"/>
      <c r="AH11" s="101"/>
      <c r="AI11" s="101"/>
      <c r="AJ11" s="101"/>
      <c r="AK11" s="101"/>
      <c r="AL11" s="101"/>
      <c r="AM11" s="101"/>
      <c r="AN11" s="101"/>
      <c r="AO11" s="101"/>
      <c r="AP11" s="102"/>
    </row>
    <row r="12" spans="1:42">
      <c r="A12" s="89">
        <v>11</v>
      </c>
      <c r="B12" s="90">
        <v>50144877</v>
      </c>
      <c r="C12" s="91" t="s">
        <v>459</v>
      </c>
      <c r="D12" s="58" t="s">
        <v>845</v>
      </c>
      <c r="E12" s="59">
        <v>35571</v>
      </c>
      <c r="F12" s="92">
        <f ca="1">(TODAY()-Data_Assessment[[#This Row],[BIRTH DATE]])/365.25</f>
        <v>24.832306639288159</v>
      </c>
      <c r="G12" s="93" t="s">
        <v>895</v>
      </c>
      <c r="H12" s="105" t="s">
        <v>912</v>
      </c>
      <c r="I12" s="106">
        <v>1</v>
      </c>
      <c r="J12" s="94" t="s">
        <v>913</v>
      </c>
      <c r="K12" s="143">
        <v>0</v>
      </c>
      <c r="L12" s="58"/>
      <c r="M12" s="58"/>
      <c r="N12" s="101"/>
      <c r="O12" s="101"/>
      <c r="P12" s="101"/>
      <c r="Q12" s="101"/>
      <c r="R12" s="101"/>
      <c r="S12" s="101"/>
      <c r="T12" s="101"/>
      <c r="U12" s="101"/>
      <c r="V12" s="101"/>
      <c r="W12" s="101"/>
      <c r="X12" s="101"/>
      <c r="Y12" s="101"/>
      <c r="Z12" s="101"/>
      <c r="AA12" s="101"/>
      <c r="AB12" s="101"/>
      <c r="AC12" s="101"/>
      <c r="AD12" s="101"/>
      <c r="AE12" s="101"/>
      <c r="AF12" s="101"/>
      <c r="AG12" s="101"/>
      <c r="AH12" s="101"/>
      <c r="AI12" s="101"/>
      <c r="AJ12" s="101"/>
      <c r="AK12" s="101"/>
      <c r="AL12" s="101"/>
      <c r="AM12" s="101"/>
      <c r="AN12" s="101"/>
      <c r="AO12" s="101"/>
      <c r="AP12" s="102"/>
    </row>
    <row r="13" spans="1:42" ht="29.25">
      <c r="A13" s="89">
        <v>12</v>
      </c>
      <c r="B13" s="90">
        <v>50030646</v>
      </c>
      <c r="C13" s="91" t="s">
        <v>79</v>
      </c>
      <c r="D13" s="58" t="s">
        <v>845</v>
      </c>
      <c r="E13" s="59">
        <v>31897</v>
      </c>
      <c r="F13" s="92">
        <f ca="1">(TODAY()-Data_Assessment[[#This Row],[BIRTH DATE]])/365.25</f>
        <v>34.891170431211499</v>
      </c>
      <c r="G13" s="93" t="s">
        <v>895</v>
      </c>
      <c r="H13" s="105" t="s">
        <v>899</v>
      </c>
      <c r="I13" s="106">
        <v>1</v>
      </c>
      <c r="J13" s="94" t="s">
        <v>914</v>
      </c>
      <c r="K13" s="143">
        <v>3</v>
      </c>
      <c r="L13" s="58"/>
      <c r="M13" s="58"/>
      <c r="N13" s="101"/>
      <c r="O13" s="101"/>
      <c r="P13" s="101"/>
      <c r="Q13" s="101"/>
      <c r="R13" s="101"/>
      <c r="S13" s="101"/>
      <c r="T13" s="101"/>
      <c r="U13" s="101"/>
      <c r="V13" s="101"/>
      <c r="W13" s="101"/>
      <c r="X13" s="101"/>
      <c r="Y13" s="101"/>
      <c r="Z13" s="101"/>
      <c r="AA13" s="101"/>
      <c r="AB13" s="101"/>
      <c r="AC13" s="101"/>
      <c r="AD13" s="101"/>
      <c r="AE13" s="101"/>
      <c r="AF13" s="101"/>
      <c r="AG13" s="101"/>
      <c r="AH13" s="101"/>
      <c r="AI13" s="101"/>
      <c r="AJ13" s="101"/>
      <c r="AK13" s="101"/>
      <c r="AL13" s="101"/>
      <c r="AM13" s="101"/>
      <c r="AN13" s="101"/>
      <c r="AO13" s="101"/>
      <c r="AP13" s="102"/>
    </row>
    <row r="14" spans="1:42">
      <c r="A14" s="89">
        <v>13</v>
      </c>
      <c r="B14" s="90">
        <v>50144875</v>
      </c>
      <c r="C14" s="91" t="s">
        <v>470</v>
      </c>
      <c r="D14" s="58" t="s">
        <v>845</v>
      </c>
      <c r="E14" s="59">
        <v>35870</v>
      </c>
      <c r="F14" s="92">
        <f ca="1">(TODAY()-Data_Assessment[[#This Row],[BIRTH DATE]])/365.25</f>
        <v>24.013689253935659</v>
      </c>
      <c r="G14" s="93" t="s">
        <v>895</v>
      </c>
      <c r="H14" s="105" t="s">
        <v>915</v>
      </c>
      <c r="I14" s="106">
        <v>1</v>
      </c>
      <c r="J14" s="94" t="s">
        <v>916</v>
      </c>
      <c r="K14" s="143">
        <v>0</v>
      </c>
      <c r="L14" s="58"/>
      <c r="M14" s="58"/>
      <c r="N14" s="101"/>
      <c r="O14" s="101"/>
      <c r="P14" s="101"/>
      <c r="Q14" s="101"/>
      <c r="R14" s="101"/>
      <c r="S14" s="101"/>
      <c r="T14" s="101"/>
      <c r="U14" s="101"/>
      <c r="V14" s="101"/>
      <c r="W14" s="101"/>
      <c r="X14" s="101"/>
      <c r="Y14" s="101"/>
      <c r="Z14" s="101"/>
      <c r="AA14" s="101"/>
      <c r="AB14" s="101"/>
      <c r="AC14" s="101"/>
      <c r="AD14" s="101"/>
      <c r="AE14" s="101"/>
      <c r="AF14" s="101"/>
      <c r="AG14" s="101"/>
      <c r="AH14" s="101"/>
      <c r="AI14" s="101"/>
      <c r="AJ14" s="101"/>
      <c r="AK14" s="101"/>
      <c r="AL14" s="101"/>
      <c r="AM14" s="101"/>
      <c r="AN14" s="101"/>
      <c r="AO14" s="101"/>
      <c r="AP14" s="102"/>
    </row>
    <row r="15" spans="1:42" ht="29.25">
      <c r="A15" s="89">
        <v>14</v>
      </c>
      <c r="B15" s="90">
        <v>50031217</v>
      </c>
      <c r="C15" s="91" t="s">
        <v>80</v>
      </c>
      <c r="D15" s="58" t="s">
        <v>846</v>
      </c>
      <c r="E15" s="59">
        <v>31031</v>
      </c>
      <c r="F15" s="92">
        <f ca="1">(TODAY()-Data_Assessment[[#This Row],[BIRTH DATE]])/365.25</f>
        <v>37.262149212867897</v>
      </c>
      <c r="G15" s="62" t="s">
        <v>895</v>
      </c>
      <c r="H15" s="63" t="s">
        <v>899</v>
      </c>
      <c r="I15" s="106">
        <v>1</v>
      </c>
      <c r="J15" s="64" t="s">
        <v>917</v>
      </c>
      <c r="K15" s="143">
        <v>2</v>
      </c>
      <c r="L15" s="58"/>
      <c r="M15" s="58"/>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row>
    <row r="16" spans="1:42">
      <c r="A16" s="89">
        <v>15</v>
      </c>
      <c r="B16" s="90">
        <v>50144881</v>
      </c>
      <c r="C16" s="91" t="s">
        <v>471</v>
      </c>
      <c r="D16" s="58" t="s">
        <v>845</v>
      </c>
      <c r="E16" s="59">
        <v>35771</v>
      </c>
      <c r="F16" s="92">
        <f ca="1">(TODAY()-Data_Assessment[[#This Row],[BIRTH DATE]])/365.25</f>
        <v>24.284736481861739</v>
      </c>
      <c r="G16" s="62" t="s">
        <v>895</v>
      </c>
      <c r="H16" s="63" t="s">
        <v>915</v>
      </c>
      <c r="I16" s="106">
        <v>1</v>
      </c>
      <c r="J16" s="64" t="s">
        <v>916</v>
      </c>
      <c r="K16" s="143">
        <v>0</v>
      </c>
      <c r="L16" s="58"/>
      <c r="M16" s="58"/>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row>
    <row r="17" spans="1:42">
      <c r="A17" s="89">
        <v>16</v>
      </c>
      <c r="B17" s="90">
        <v>50148055</v>
      </c>
      <c r="C17" s="91" t="s">
        <v>81</v>
      </c>
      <c r="D17" s="58" t="s">
        <v>845</v>
      </c>
      <c r="E17" s="59">
        <v>34222</v>
      </c>
      <c r="F17" s="92">
        <f ca="1">(TODAY()-Data_Assessment[[#This Row],[BIRTH DATE]])/365.25</f>
        <v>28.525667351129364</v>
      </c>
      <c r="G17" s="62" t="s">
        <v>895</v>
      </c>
      <c r="H17" s="63" t="s">
        <v>899</v>
      </c>
      <c r="I17" s="106">
        <v>1</v>
      </c>
      <c r="J17" s="64" t="s">
        <v>918</v>
      </c>
      <c r="K17" s="143">
        <v>0</v>
      </c>
      <c r="L17" s="58"/>
      <c r="M17" s="58"/>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row>
    <row r="18" spans="1:42">
      <c r="A18" s="89">
        <v>17</v>
      </c>
      <c r="B18" s="90">
        <v>50142312</v>
      </c>
      <c r="C18" s="91" t="s">
        <v>754</v>
      </c>
      <c r="D18" s="58" t="s">
        <v>845</v>
      </c>
      <c r="E18" s="59">
        <v>35587</v>
      </c>
      <c r="F18" s="92">
        <f ca="1">(TODAY()-Data_Assessment[[#This Row],[BIRTH DATE]])/365.25</f>
        <v>24.788501026694046</v>
      </c>
      <c r="G18" s="62" t="s">
        <v>919</v>
      </c>
      <c r="H18" s="63" t="s">
        <v>920</v>
      </c>
      <c r="I18" s="106">
        <v>1</v>
      </c>
      <c r="J18" s="64" t="s">
        <v>921</v>
      </c>
      <c r="K18" s="143">
        <v>0</v>
      </c>
      <c r="L18" s="58"/>
      <c r="M18" s="58"/>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row>
    <row r="19" spans="1:42">
      <c r="A19" s="89">
        <v>18</v>
      </c>
      <c r="B19" s="90">
        <v>50148412</v>
      </c>
      <c r="C19" s="91" t="s">
        <v>82</v>
      </c>
      <c r="D19" s="58" t="s">
        <v>845</v>
      </c>
      <c r="E19" s="59">
        <v>35642</v>
      </c>
      <c r="F19" s="92">
        <f ca="1">(TODAY()-Data_Assessment[[#This Row],[BIRTH DATE]])/365.25</f>
        <v>24.637919233401778</v>
      </c>
      <c r="G19" s="62" t="s">
        <v>895</v>
      </c>
      <c r="H19" s="63" t="s">
        <v>899</v>
      </c>
      <c r="I19" s="106">
        <v>1</v>
      </c>
      <c r="J19" s="64" t="s">
        <v>922</v>
      </c>
      <c r="K19" s="143">
        <v>0</v>
      </c>
      <c r="L19" s="58"/>
      <c r="M19" s="58"/>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row>
    <row r="20" spans="1:42">
      <c r="A20" s="89">
        <v>19</v>
      </c>
      <c r="B20" s="90">
        <v>50142700</v>
      </c>
      <c r="C20" s="91" t="s">
        <v>746</v>
      </c>
      <c r="D20" s="58" t="s">
        <v>845</v>
      </c>
      <c r="E20" s="59">
        <v>34623</v>
      </c>
      <c r="F20" s="92">
        <f ca="1">(TODAY()-Data_Assessment[[#This Row],[BIRTH DATE]])/365.25</f>
        <v>27.427789185489392</v>
      </c>
      <c r="G20" s="62" t="s">
        <v>919</v>
      </c>
      <c r="H20" s="63" t="s">
        <v>923</v>
      </c>
      <c r="I20" s="106">
        <v>1</v>
      </c>
      <c r="J20" s="64" t="s">
        <v>924</v>
      </c>
      <c r="K20" s="143">
        <v>0</v>
      </c>
      <c r="L20" s="58"/>
      <c r="M20" s="58"/>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row>
    <row r="21" spans="1:42">
      <c r="A21" s="89">
        <v>20</v>
      </c>
      <c r="B21" s="90">
        <v>50148427</v>
      </c>
      <c r="C21" s="91" t="s">
        <v>83</v>
      </c>
      <c r="D21" s="58" t="s">
        <v>845</v>
      </c>
      <c r="E21" s="59">
        <v>35542</v>
      </c>
      <c r="F21" s="92">
        <f ca="1">(TODAY()-Data_Assessment[[#This Row],[BIRTH DATE]])/365.25</f>
        <v>24.911704312114988</v>
      </c>
      <c r="G21" s="62" t="s">
        <v>895</v>
      </c>
      <c r="H21" s="63" t="s">
        <v>899</v>
      </c>
      <c r="I21" s="106">
        <v>1</v>
      </c>
      <c r="J21" s="64" t="s">
        <v>925</v>
      </c>
      <c r="K21" s="143">
        <v>0</v>
      </c>
      <c r="L21" s="58"/>
      <c r="M21" s="58"/>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row>
    <row r="22" spans="1:42">
      <c r="A22" s="89">
        <v>21</v>
      </c>
      <c r="B22" s="90">
        <v>50144880</v>
      </c>
      <c r="C22" s="91" t="s">
        <v>859</v>
      </c>
      <c r="D22" s="58" t="s">
        <v>845</v>
      </c>
      <c r="E22" s="59">
        <v>35875</v>
      </c>
      <c r="F22" s="92">
        <f ca="1">(TODAY()-Data_Assessment[[#This Row],[BIRTH DATE]])/365.25</f>
        <v>24</v>
      </c>
      <c r="G22" s="62" t="s">
        <v>926</v>
      </c>
      <c r="H22" s="63" t="s">
        <v>927</v>
      </c>
      <c r="I22" s="106">
        <v>4</v>
      </c>
      <c r="J22" s="64" t="s">
        <v>928</v>
      </c>
      <c r="K22" s="143">
        <v>0</v>
      </c>
      <c r="L22" s="58"/>
      <c r="M22" s="58"/>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row>
    <row r="23" spans="1:42">
      <c r="A23" s="89">
        <v>22</v>
      </c>
      <c r="B23" s="90">
        <v>50148428</v>
      </c>
      <c r="C23" s="91" t="s">
        <v>84</v>
      </c>
      <c r="D23" s="58" t="s">
        <v>845</v>
      </c>
      <c r="E23" s="59">
        <v>35560</v>
      </c>
      <c r="F23" s="92">
        <f ca="1">(TODAY()-Data_Assessment[[#This Row],[BIRTH DATE]])/365.25</f>
        <v>24.862422997946613</v>
      </c>
      <c r="G23" s="62" t="s">
        <v>895</v>
      </c>
      <c r="H23" s="63" t="s">
        <v>899</v>
      </c>
      <c r="I23" s="106">
        <v>1</v>
      </c>
      <c r="J23" s="64" t="s">
        <v>925</v>
      </c>
      <c r="K23" s="143">
        <v>0</v>
      </c>
      <c r="L23" s="58"/>
      <c r="M23" s="58"/>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row>
    <row r="24" spans="1:42">
      <c r="A24" s="89">
        <v>23</v>
      </c>
      <c r="B24" s="90">
        <v>50143763</v>
      </c>
      <c r="C24" s="91" t="s">
        <v>390</v>
      </c>
      <c r="D24" s="58" t="s">
        <v>845</v>
      </c>
      <c r="E24" s="59">
        <v>35512</v>
      </c>
      <c r="F24" s="92">
        <f ca="1">(TODAY()-Data_Assessment[[#This Row],[BIRTH DATE]])/365.25</f>
        <v>24.993839835728952</v>
      </c>
      <c r="G24" s="62" t="s">
        <v>895</v>
      </c>
      <c r="H24" s="63" t="s">
        <v>929</v>
      </c>
      <c r="I24" s="106">
        <v>1</v>
      </c>
      <c r="J24" s="64" t="s">
        <v>930</v>
      </c>
      <c r="K24" s="143">
        <v>0</v>
      </c>
      <c r="L24" s="58"/>
      <c r="M24" s="58"/>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row>
    <row r="25" spans="1:42">
      <c r="A25" s="89">
        <v>24</v>
      </c>
      <c r="B25" s="90">
        <v>50148429</v>
      </c>
      <c r="C25" s="91" t="s">
        <v>85</v>
      </c>
      <c r="D25" s="58" t="s">
        <v>845</v>
      </c>
      <c r="E25" s="59">
        <v>34856</v>
      </c>
      <c r="F25" s="92">
        <f ca="1">(TODAY()-Data_Assessment[[#This Row],[BIRTH DATE]])/365.25</f>
        <v>26.78986995208761</v>
      </c>
      <c r="G25" s="62" t="s">
        <v>895</v>
      </c>
      <c r="H25" s="63" t="s">
        <v>899</v>
      </c>
      <c r="I25" s="106">
        <v>1</v>
      </c>
      <c r="J25" s="64" t="s">
        <v>931</v>
      </c>
      <c r="K25" s="143">
        <v>0</v>
      </c>
      <c r="L25" s="58"/>
      <c r="M25" s="58"/>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row>
    <row r="26" spans="1:42">
      <c r="A26" s="89">
        <v>25</v>
      </c>
      <c r="B26" s="90">
        <v>50146749</v>
      </c>
      <c r="C26" s="91" t="s">
        <v>440</v>
      </c>
      <c r="D26" s="58" t="s">
        <v>845</v>
      </c>
      <c r="E26" s="59">
        <v>34737</v>
      </c>
      <c r="F26" s="92">
        <f ca="1">(TODAY()-Data_Assessment[[#This Row],[BIRTH DATE]])/365.25</f>
        <v>27.115674195756331</v>
      </c>
      <c r="G26" s="62" t="s">
        <v>895</v>
      </c>
      <c r="H26" s="63" t="s">
        <v>932</v>
      </c>
      <c r="I26" s="106">
        <v>1</v>
      </c>
      <c r="J26" s="64" t="s">
        <v>933</v>
      </c>
      <c r="K26" s="143">
        <v>0</v>
      </c>
      <c r="L26" s="58"/>
      <c r="M26" s="58"/>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row>
    <row r="27" spans="1:42">
      <c r="A27" s="89">
        <v>26</v>
      </c>
      <c r="B27" s="90">
        <v>50148430</v>
      </c>
      <c r="C27" s="91" t="s">
        <v>86</v>
      </c>
      <c r="D27" s="58" t="s">
        <v>845</v>
      </c>
      <c r="E27" s="59">
        <v>35967</v>
      </c>
      <c r="F27" s="92">
        <f ca="1">(TODAY()-Data_Assessment[[#This Row],[BIRTH DATE]])/365.25</f>
        <v>23.748117727583846</v>
      </c>
      <c r="G27" s="62" t="s">
        <v>895</v>
      </c>
      <c r="H27" s="63" t="s">
        <v>899</v>
      </c>
      <c r="I27" s="106">
        <v>1</v>
      </c>
      <c r="J27" s="64" t="s">
        <v>934</v>
      </c>
      <c r="K27" s="143">
        <v>0</v>
      </c>
      <c r="L27" s="58"/>
      <c r="M27" s="58"/>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row>
    <row r="28" spans="1:42">
      <c r="A28" s="89">
        <v>27</v>
      </c>
      <c r="B28" s="90">
        <v>50144879</v>
      </c>
      <c r="C28" s="91" t="s">
        <v>484</v>
      </c>
      <c r="D28" s="58" t="s">
        <v>845</v>
      </c>
      <c r="E28" s="59">
        <v>35621</v>
      </c>
      <c r="F28" s="92">
        <f ca="1">(TODAY()-Data_Assessment[[#This Row],[BIRTH DATE]])/365.25</f>
        <v>24.695414099931554</v>
      </c>
      <c r="G28" s="62" t="s">
        <v>935</v>
      </c>
      <c r="H28" s="63" t="s">
        <v>936</v>
      </c>
      <c r="I28" s="106">
        <v>4</v>
      </c>
      <c r="J28" s="64" t="s">
        <v>937</v>
      </c>
      <c r="K28" s="143">
        <v>0</v>
      </c>
      <c r="L28" s="58"/>
      <c r="M28" s="58"/>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row>
    <row r="29" spans="1:42">
      <c r="A29" s="89">
        <v>28</v>
      </c>
      <c r="B29" s="90">
        <v>50148451</v>
      </c>
      <c r="C29" s="91" t="s">
        <v>87</v>
      </c>
      <c r="D29" s="58" t="s">
        <v>845</v>
      </c>
      <c r="E29" s="59">
        <v>34684</v>
      </c>
      <c r="F29" s="92">
        <f ca="1">(TODAY()-Data_Assessment[[#This Row],[BIRTH DATE]])/365.25</f>
        <v>27.260780287474333</v>
      </c>
      <c r="G29" s="62" t="s">
        <v>895</v>
      </c>
      <c r="H29" s="63" t="s">
        <v>899</v>
      </c>
      <c r="I29" s="106">
        <v>1</v>
      </c>
      <c r="J29" s="64" t="s">
        <v>938</v>
      </c>
      <c r="K29" s="143">
        <v>0</v>
      </c>
      <c r="L29" s="58"/>
      <c r="M29" s="58"/>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row>
    <row r="30" spans="1:42">
      <c r="A30" s="89">
        <v>29</v>
      </c>
      <c r="B30" s="90">
        <v>50143764</v>
      </c>
      <c r="C30" s="91" t="s">
        <v>868</v>
      </c>
      <c r="D30" s="58" t="s">
        <v>845</v>
      </c>
      <c r="E30" s="59">
        <v>34761</v>
      </c>
      <c r="F30" s="92">
        <f ca="1">(TODAY()-Data_Assessment[[#This Row],[BIRTH DATE]])/365.25</f>
        <v>27.049965776865161</v>
      </c>
      <c r="G30" s="62" t="s">
        <v>935</v>
      </c>
      <c r="H30" s="63" t="s">
        <v>936</v>
      </c>
      <c r="I30" s="106">
        <v>4</v>
      </c>
      <c r="J30" s="64" t="s">
        <v>939</v>
      </c>
      <c r="K30" s="143">
        <v>0</v>
      </c>
      <c r="L30" s="58"/>
      <c r="M30" s="58"/>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row>
    <row r="31" spans="1:42">
      <c r="A31" s="89">
        <v>30</v>
      </c>
      <c r="B31" s="90">
        <v>50148452</v>
      </c>
      <c r="C31" s="91" t="s">
        <v>88</v>
      </c>
      <c r="D31" s="58" t="s">
        <v>845</v>
      </c>
      <c r="E31" s="59">
        <v>35807</v>
      </c>
      <c r="F31" s="92">
        <f ca="1">(TODAY()-Data_Assessment[[#This Row],[BIRTH DATE]])/365.25</f>
        <v>24.186173853524984</v>
      </c>
      <c r="G31" s="62" t="s">
        <v>895</v>
      </c>
      <c r="H31" s="63" t="s">
        <v>899</v>
      </c>
      <c r="I31" s="106">
        <v>1</v>
      </c>
      <c r="J31" s="64" t="s">
        <v>940</v>
      </c>
      <c r="K31" s="143">
        <v>0</v>
      </c>
      <c r="L31" s="58"/>
      <c r="M31" s="58"/>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row>
    <row r="32" spans="1:42">
      <c r="A32" s="89">
        <v>31</v>
      </c>
      <c r="B32" s="90">
        <v>50142291</v>
      </c>
      <c r="C32" s="91" t="s">
        <v>528</v>
      </c>
      <c r="D32" s="58" t="s">
        <v>845</v>
      </c>
      <c r="E32" s="59">
        <v>34228</v>
      </c>
      <c r="F32" s="92">
        <f ca="1">(TODAY()-Data_Assessment[[#This Row],[BIRTH DATE]])/365.25</f>
        <v>28.50924024640657</v>
      </c>
      <c r="G32" s="62" t="s">
        <v>941</v>
      </c>
      <c r="H32" s="63" t="s">
        <v>942</v>
      </c>
      <c r="I32" s="106">
        <v>2</v>
      </c>
      <c r="J32" s="64" t="s">
        <v>943</v>
      </c>
      <c r="K32" s="143">
        <v>0</v>
      </c>
      <c r="L32" s="58"/>
      <c r="M32" s="58"/>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row>
    <row r="33" spans="1:42">
      <c r="A33" s="89">
        <v>32</v>
      </c>
      <c r="B33" s="90">
        <v>50148456</v>
      </c>
      <c r="C33" s="91" t="s">
        <v>89</v>
      </c>
      <c r="D33" s="58" t="s">
        <v>845</v>
      </c>
      <c r="E33" s="59">
        <v>35604</v>
      </c>
      <c r="F33" s="92">
        <f ca="1">(TODAY()-Data_Assessment[[#This Row],[BIRTH DATE]])/365.25</f>
        <v>24.741957563312798</v>
      </c>
      <c r="G33" s="62" t="s">
        <v>895</v>
      </c>
      <c r="H33" s="63" t="s">
        <v>899</v>
      </c>
      <c r="I33" s="106">
        <v>1</v>
      </c>
      <c r="J33" s="64" t="s">
        <v>944</v>
      </c>
      <c r="K33" s="143">
        <v>0</v>
      </c>
      <c r="L33" s="58"/>
      <c r="M33" s="58"/>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row>
    <row r="34" spans="1:42">
      <c r="A34" s="89">
        <v>33</v>
      </c>
      <c r="B34" s="90">
        <v>50144873</v>
      </c>
      <c r="C34" s="91" t="s">
        <v>552</v>
      </c>
      <c r="D34" s="58" t="s">
        <v>845</v>
      </c>
      <c r="E34" s="59">
        <v>35331</v>
      </c>
      <c r="F34" s="92">
        <f ca="1">(TODAY()-Data_Assessment[[#This Row],[BIRTH DATE]])/365.25</f>
        <v>25.489390828199863</v>
      </c>
      <c r="G34" s="62" t="s">
        <v>941</v>
      </c>
      <c r="H34" s="63" t="s">
        <v>945</v>
      </c>
      <c r="I34" s="106">
        <v>2</v>
      </c>
      <c r="J34" s="64" t="s">
        <v>946</v>
      </c>
      <c r="K34" s="143">
        <v>0</v>
      </c>
      <c r="L34" s="58"/>
      <c r="M34" s="58"/>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row>
    <row r="35" spans="1:42">
      <c r="A35" s="89">
        <v>34</v>
      </c>
      <c r="B35" s="90">
        <v>50148457</v>
      </c>
      <c r="C35" s="91" t="s">
        <v>90</v>
      </c>
      <c r="D35" s="58" t="s">
        <v>845</v>
      </c>
      <c r="E35" s="59">
        <v>34326</v>
      </c>
      <c r="F35" s="92">
        <f ca="1">(TODAY()-Data_Assessment[[#This Row],[BIRTH DATE]])/365.25</f>
        <v>28.240930869267626</v>
      </c>
      <c r="G35" s="62" t="s">
        <v>895</v>
      </c>
      <c r="H35" s="63" t="s">
        <v>899</v>
      </c>
      <c r="I35" s="106">
        <v>1</v>
      </c>
      <c r="J35" s="64" t="s">
        <v>940</v>
      </c>
      <c r="K35" s="143">
        <v>0</v>
      </c>
      <c r="L35" s="58"/>
      <c r="M35" s="58"/>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row>
    <row r="36" spans="1:42">
      <c r="A36" s="89">
        <v>35</v>
      </c>
      <c r="B36" s="90">
        <v>50142342</v>
      </c>
      <c r="C36" s="91" t="s">
        <v>779</v>
      </c>
      <c r="D36" s="58" t="s">
        <v>845</v>
      </c>
      <c r="E36" s="59">
        <v>35414</v>
      </c>
      <c r="F36" s="92">
        <f ca="1">(TODAY()-Data_Assessment[[#This Row],[BIRTH DATE]])/365.25</f>
        <v>25.2621492128679</v>
      </c>
      <c r="G36" s="62" t="s">
        <v>919</v>
      </c>
      <c r="H36" s="63" t="s">
        <v>947</v>
      </c>
      <c r="I36" s="106">
        <v>1</v>
      </c>
      <c r="J36" s="64" t="s">
        <v>948</v>
      </c>
      <c r="K36" s="143">
        <v>0</v>
      </c>
      <c r="L36" s="58"/>
      <c r="M36" s="58"/>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row>
    <row r="37" spans="1:42">
      <c r="A37" s="89">
        <v>36</v>
      </c>
      <c r="B37" s="90">
        <v>50148460</v>
      </c>
      <c r="C37" s="91" t="s">
        <v>91</v>
      </c>
      <c r="D37" s="58" t="s">
        <v>845</v>
      </c>
      <c r="E37" s="59">
        <v>34330</v>
      </c>
      <c r="F37" s="92">
        <f ca="1">(TODAY()-Data_Assessment[[#This Row],[BIRTH DATE]])/365.25</f>
        <v>28.229979466119097</v>
      </c>
      <c r="G37" s="62" t="s">
        <v>895</v>
      </c>
      <c r="H37" s="63" t="s">
        <v>899</v>
      </c>
      <c r="I37" s="106">
        <v>1</v>
      </c>
      <c r="J37" s="64" t="s">
        <v>949</v>
      </c>
      <c r="K37" s="143">
        <v>0</v>
      </c>
      <c r="L37" s="58"/>
      <c r="M37" s="58"/>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row>
    <row r="38" spans="1:42">
      <c r="A38" s="89">
        <v>37</v>
      </c>
      <c r="B38" s="90">
        <v>50142293</v>
      </c>
      <c r="C38" s="91" t="s">
        <v>674</v>
      </c>
      <c r="D38" s="58" t="s">
        <v>845</v>
      </c>
      <c r="E38" s="59">
        <v>35639</v>
      </c>
      <c r="F38" s="92">
        <f ca="1">(TODAY()-Data_Assessment[[#This Row],[BIRTH DATE]])/365.25</f>
        <v>24.646132785763175</v>
      </c>
      <c r="G38" s="62" t="s">
        <v>919</v>
      </c>
      <c r="H38" s="63" t="s">
        <v>950</v>
      </c>
      <c r="I38" s="106">
        <v>1</v>
      </c>
      <c r="J38" s="64" t="s">
        <v>951</v>
      </c>
      <c r="K38" s="143">
        <v>0</v>
      </c>
      <c r="L38" s="58"/>
      <c r="M38" s="58"/>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row>
    <row r="39" spans="1:42">
      <c r="A39" s="89">
        <v>38</v>
      </c>
      <c r="B39" s="90">
        <v>50148461</v>
      </c>
      <c r="C39" s="91" t="s">
        <v>92</v>
      </c>
      <c r="D39" s="58" t="s">
        <v>846</v>
      </c>
      <c r="E39" s="59">
        <v>35989</v>
      </c>
      <c r="F39" s="92">
        <f ca="1">(TODAY()-Data_Assessment[[#This Row],[BIRTH DATE]])/365.25</f>
        <v>23.687885010266939</v>
      </c>
      <c r="G39" s="62" t="s">
        <v>895</v>
      </c>
      <c r="H39" s="63" t="s">
        <v>899</v>
      </c>
      <c r="I39" s="106">
        <v>1</v>
      </c>
      <c r="J39" s="64" t="s">
        <v>952</v>
      </c>
      <c r="K39" s="143">
        <v>0</v>
      </c>
      <c r="L39" s="58"/>
      <c r="M39" s="58"/>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row>
    <row r="40" spans="1:42">
      <c r="A40" s="89">
        <v>39</v>
      </c>
      <c r="B40" s="90">
        <v>50144872</v>
      </c>
      <c r="C40" s="91" t="s">
        <v>677</v>
      </c>
      <c r="D40" s="58" t="s">
        <v>845</v>
      </c>
      <c r="E40" s="59">
        <v>34979</v>
      </c>
      <c r="F40" s="92">
        <f ca="1">(TODAY()-Data_Assessment[[#This Row],[BIRTH DATE]])/365.25</f>
        <v>26.453114305270361</v>
      </c>
      <c r="G40" s="62" t="s">
        <v>919</v>
      </c>
      <c r="H40" s="63" t="s">
        <v>950</v>
      </c>
      <c r="I40" s="106">
        <v>1</v>
      </c>
      <c r="J40" s="64" t="s">
        <v>951</v>
      </c>
      <c r="K40" s="143">
        <v>0</v>
      </c>
      <c r="L40" s="58"/>
      <c r="M40" s="58"/>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row>
    <row r="41" spans="1:42">
      <c r="A41" s="89">
        <v>40</v>
      </c>
      <c r="B41" s="90">
        <v>50148463</v>
      </c>
      <c r="C41" s="91" t="s">
        <v>93</v>
      </c>
      <c r="D41" s="58" t="s">
        <v>846</v>
      </c>
      <c r="E41" s="59">
        <v>35534</v>
      </c>
      <c r="F41" s="92">
        <f ca="1">(TODAY()-Data_Assessment[[#This Row],[BIRTH DATE]])/365.25</f>
        <v>24.933607118412045</v>
      </c>
      <c r="G41" s="62" t="s">
        <v>895</v>
      </c>
      <c r="H41" s="63" t="s">
        <v>899</v>
      </c>
      <c r="I41" s="106">
        <v>1</v>
      </c>
      <c r="J41" s="64" t="s">
        <v>953</v>
      </c>
      <c r="K41" s="143">
        <v>0</v>
      </c>
      <c r="L41" s="58"/>
      <c r="M41" s="58"/>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row>
    <row r="42" spans="1:42">
      <c r="A42" s="89">
        <v>41</v>
      </c>
      <c r="B42" s="90">
        <v>50142343</v>
      </c>
      <c r="C42" s="91" t="s">
        <v>740</v>
      </c>
      <c r="D42" s="58" t="s">
        <v>845</v>
      </c>
      <c r="E42" s="59">
        <v>34743</v>
      </c>
      <c r="F42" s="92">
        <f ca="1">(TODAY()-Data_Assessment[[#This Row],[BIRTH DATE]])/365.25</f>
        <v>27.09924709103354</v>
      </c>
      <c r="G42" s="62" t="s">
        <v>895</v>
      </c>
      <c r="H42" s="63" t="s">
        <v>954</v>
      </c>
      <c r="I42" s="106">
        <v>1</v>
      </c>
      <c r="J42" s="64" t="s">
        <v>955</v>
      </c>
      <c r="K42" s="143">
        <v>0</v>
      </c>
      <c r="L42" s="58"/>
      <c r="M42" s="58"/>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row>
    <row r="43" spans="1:42" ht="29.25">
      <c r="A43" s="89">
        <v>42</v>
      </c>
      <c r="B43" s="90">
        <v>50148609</v>
      </c>
      <c r="C43" s="91" t="s">
        <v>94</v>
      </c>
      <c r="D43" s="58" t="s">
        <v>845</v>
      </c>
      <c r="E43" s="59">
        <v>35916</v>
      </c>
      <c r="F43" s="92">
        <f ca="1">(TODAY()-Data_Assessment[[#This Row],[BIRTH DATE]])/365.25</f>
        <v>23.887748117727583</v>
      </c>
      <c r="G43" s="62" t="s">
        <v>895</v>
      </c>
      <c r="H43" s="63" t="s">
        <v>899</v>
      </c>
      <c r="I43" s="106">
        <v>1</v>
      </c>
      <c r="J43" s="64" t="s">
        <v>956</v>
      </c>
      <c r="K43" s="143">
        <v>0</v>
      </c>
      <c r="L43" s="58"/>
      <c r="M43" s="58"/>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row>
    <row r="44" spans="1:42">
      <c r="A44" s="89">
        <v>43</v>
      </c>
      <c r="B44" s="90">
        <v>50148363</v>
      </c>
      <c r="C44" s="91" t="s">
        <v>647</v>
      </c>
      <c r="D44" s="58" t="s">
        <v>845</v>
      </c>
      <c r="E44" s="59">
        <v>32145</v>
      </c>
      <c r="F44" s="92">
        <f ca="1">(TODAY()-Data_Assessment[[#This Row],[BIRTH DATE]])/365.25</f>
        <v>34.212183436002739</v>
      </c>
      <c r="G44" s="62" t="s">
        <v>919</v>
      </c>
      <c r="H44" s="63" t="s">
        <v>957</v>
      </c>
      <c r="I44" s="106">
        <v>1</v>
      </c>
      <c r="J44" s="64" t="s">
        <v>958</v>
      </c>
      <c r="K44" s="143">
        <v>0</v>
      </c>
      <c r="L44" s="58"/>
      <c r="M44" s="58"/>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row>
    <row r="45" spans="1:42">
      <c r="A45" s="89">
        <v>44</v>
      </c>
      <c r="B45" s="90">
        <v>50148616</v>
      </c>
      <c r="C45" s="91" t="s">
        <v>95</v>
      </c>
      <c r="D45" s="58" t="s">
        <v>845</v>
      </c>
      <c r="E45" s="59">
        <v>36016</v>
      </c>
      <c r="F45" s="92">
        <f ca="1">(TODAY()-Data_Assessment[[#This Row],[BIRTH DATE]])/365.25</f>
        <v>23.613963039014372</v>
      </c>
      <c r="G45" s="62" t="s">
        <v>895</v>
      </c>
      <c r="H45" s="63" t="s">
        <v>899</v>
      </c>
      <c r="I45" s="106">
        <v>1</v>
      </c>
      <c r="J45" s="64" t="s">
        <v>959</v>
      </c>
      <c r="K45" s="143">
        <v>0</v>
      </c>
      <c r="L45" s="58"/>
      <c r="M45" s="58"/>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row>
    <row r="46" spans="1:42">
      <c r="A46" s="89">
        <v>45</v>
      </c>
      <c r="B46" s="90">
        <v>50100564</v>
      </c>
      <c r="C46" s="91" t="s">
        <v>155</v>
      </c>
      <c r="D46" s="58" t="s">
        <v>845</v>
      </c>
      <c r="E46" s="59">
        <v>34209</v>
      </c>
      <c r="F46" s="92">
        <f ca="1">(TODAY()-Data_Assessment[[#This Row],[BIRTH DATE]])/365.25</f>
        <v>28.56125941136208</v>
      </c>
      <c r="G46" s="62" t="s">
        <v>898</v>
      </c>
      <c r="H46" s="63" t="s">
        <v>899</v>
      </c>
      <c r="I46" s="106">
        <v>1</v>
      </c>
      <c r="J46" s="64" t="s">
        <v>960</v>
      </c>
      <c r="K46" s="143">
        <v>2</v>
      </c>
      <c r="L46" s="58"/>
      <c r="M46" s="58"/>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row>
    <row r="47" spans="1:42">
      <c r="A47" s="89">
        <v>46</v>
      </c>
      <c r="B47" s="90">
        <v>50149080</v>
      </c>
      <c r="C47" s="91" t="s">
        <v>96</v>
      </c>
      <c r="D47" s="58" t="s">
        <v>846</v>
      </c>
      <c r="E47" s="59">
        <v>34478</v>
      </c>
      <c r="F47" s="92">
        <f ca="1">(TODAY()-Data_Assessment[[#This Row],[BIRTH DATE]])/365.25</f>
        <v>27.824777549623544</v>
      </c>
      <c r="G47" s="62" t="s">
        <v>895</v>
      </c>
      <c r="H47" s="63" t="s">
        <v>899</v>
      </c>
      <c r="I47" s="106">
        <v>1</v>
      </c>
      <c r="J47" s="64" t="s">
        <v>961</v>
      </c>
      <c r="K47" s="143">
        <v>0</v>
      </c>
      <c r="L47" s="58"/>
      <c r="M47" s="58"/>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row>
    <row r="48" spans="1:42">
      <c r="A48" s="89">
        <v>47</v>
      </c>
      <c r="B48" s="90">
        <v>50149081</v>
      </c>
      <c r="C48" s="91" t="s">
        <v>97</v>
      </c>
      <c r="D48" s="58" t="s">
        <v>845</v>
      </c>
      <c r="E48" s="59">
        <v>34768</v>
      </c>
      <c r="F48" s="92">
        <f ca="1">(TODAY()-Data_Assessment[[#This Row],[BIRTH DATE]])/365.25</f>
        <v>27.030800821355236</v>
      </c>
      <c r="G48" s="62" t="s">
        <v>895</v>
      </c>
      <c r="H48" s="63" t="s">
        <v>899</v>
      </c>
      <c r="I48" s="106">
        <v>1</v>
      </c>
      <c r="J48" s="64" t="s">
        <v>962</v>
      </c>
      <c r="K48" s="143">
        <v>0</v>
      </c>
      <c r="L48" s="58"/>
      <c r="M48" s="58"/>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row>
    <row r="49" spans="1:42">
      <c r="A49" s="89">
        <v>48</v>
      </c>
      <c r="B49" s="90">
        <v>50149083</v>
      </c>
      <c r="C49" s="91" t="s">
        <v>98</v>
      </c>
      <c r="D49" s="58" t="s">
        <v>845</v>
      </c>
      <c r="E49" s="59">
        <v>36386</v>
      </c>
      <c r="F49" s="92">
        <f ca="1">(TODAY()-Data_Assessment[[#This Row],[BIRTH DATE]])/365.25</f>
        <v>22.600958247775495</v>
      </c>
      <c r="G49" s="62" t="s">
        <v>895</v>
      </c>
      <c r="H49" s="63" t="s">
        <v>899</v>
      </c>
      <c r="I49" s="106">
        <v>1</v>
      </c>
      <c r="J49" s="64" t="s">
        <v>963</v>
      </c>
      <c r="K49" s="143">
        <v>0</v>
      </c>
      <c r="L49" s="58"/>
      <c r="M49" s="58"/>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row>
    <row r="50" spans="1:42">
      <c r="A50" s="89">
        <v>49</v>
      </c>
      <c r="B50" s="90">
        <v>50149084</v>
      </c>
      <c r="C50" s="91" t="s">
        <v>99</v>
      </c>
      <c r="D50" s="58" t="s">
        <v>845</v>
      </c>
      <c r="E50" s="59">
        <v>35320</v>
      </c>
      <c r="F50" s="92">
        <f ca="1">(TODAY()-Data_Assessment[[#This Row],[BIRTH DATE]])/365.25</f>
        <v>25.519507186858316</v>
      </c>
      <c r="G50" s="62" t="s">
        <v>895</v>
      </c>
      <c r="H50" s="63" t="s">
        <v>899</v>
      </c>
      <c r="I50" s="106">
        <v>1</v>
      </c>
      <c r="J50" s="64" t="s">
        <v>964</v>
      </c>
      <c r="K50" s="143">
        <v>0</v>
      </c>
      <c r="L50" s="58"/>
      <c r="M50" s="58"/>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row>
    <row r="51" spans="1:42">
      <c r="A51" s="89">
        <v>50</v>
      </c>
      <c r="B51" s="90">
        <v>50149085</v>
      </c>
      <c r="C51" s="91" t="s">
        <v>100</v>
      </c>
      <c r="D51" s="58" t="s">
        <v>845</v>
      </c>
      <c r="E51" s="59">
        <v>35952</v>
      </c>
      <c r="F51" s="92">
        <f ca="1">(TODAY()-Data_Assessment[[#This Row],[BIRTH DATE]])/365.25</f>
        <v>23.789185489390828</v>
      </c>
      <c r="G51" s="62" t="s">
        <v>895</v>
      </c>
      <c r="H51" s="63" t="s">
        <v>899</v>
      </c>
      <c r="I51" s="106">
        <v>1</v>
      </c>
      <c r="J51" s="64" t="s">
        <v>965</v>
      </c>
      <c r="K51" s="143">
        <v>0</v>
      </c>
      <c r="L51" s="58"/>
      <c r="M51" s="58"/>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row>
    <row r="52" spans="1:42" ht="29.25">
      <c r="A52" s="89">
        <v>51</v>
      </c>
      <c r="B52" s="90">
        <v>50149086</v>
      </c>
      <c r="C52" s="91" t="s">
        <v>101</v>
      </c>
      <c r="D52" s="58" t="s">
        <v>845</v>
      </c>
      <c r="E52" s="59">
        <v>35682</v>
      </c>
      <c r="F52" s="92">
        <f ca="1">(TODAY()-Data_Assessment[[#This Row],[BIRTH DATE]])/365.25</f>
        <v>24.528405201916495</v>
      </c>
      <c r="G52" s="62" t="s">
        <v>895</v>
      </c>
      <c r="H52" s="63" t="s">
        <v>899</v>
      </c>
      <c r="I52" s="106">
        <v>1</v>
      </c>
      <c r="J52" s="64" t="s">
        <v>966</v>
      </c>
      <c r="K52" s="143">
        <v>0</v>
      </c>
      <c r="L52" s="58"/>
      <c r="M52" s="58"/>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row>
    <row r="53" spans="1:42">
      <c r="A53" s="89">
        <v>52</v>
      </c>
      <c r="B53" s="90">
        <v>50149087</v>
      </c>
      <c r="C53" s="91" t="s">
        <v>102</v>
      </c>
      <c r="D53" s="58" t="s">
        <v>845</v>
      </c>
      <c r="E53" s="59">
        <v>35251</v>
      </c>
      <c r="F53" s="92">
        <f ca="1">(TODAY()-Data_Assessment[[#This Row],[BIRTH DATE]])/365.25</f>
        <v>25.708418891170432</v>
      </c>
      <c r="G53" s="62" t="s">
        <v>895</v>
      </c>
      <c r="H53" s="63" t="s">
        <v>899</v>
      </c>
      <c r="I53" s="106">
        <v>1</v>
      </c>
      <c r="J53" s="64" t="s">
        <v>967</v>
      </c>
      <c r="K53" s="143">
        <v>0</v>
      </c>
      <c r="L53" s="58"/>
      <c r="M53" s="58"/>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row>
    <row r="54" spans="1:42">
      <c r="A54" s="89">
        <v>53</v>
      </c>
      <c r="B54" s="90">
        <v>50149088</v>
      </c>
      <c r="C54" s="91" t="s">
        <v>103</v>
      </c>
      <c r="D54" s="58" t="s">
        <v>845</v>
      </c>
      <c r="E54" s="59">
        <v>35633</v>
      </c>
      <c r="F54" s="92">
        <f ca="1">(TODAY()-Data_Assessment[[#This Row],[BIRTH DATE]])/365.25</f>
        <v>24.662559890485969</v>
      </c>
      <c r="G54" s="62" t="s">
        <v>895</v>
      </c>
      <c r="H54" s="63" t="s">
        <v>899</v>
      </c>
      <c r="I54" s="106">
        <v>1</v>
      </c>
      <c r="J54" s="64" t="s">
        <v>965</v>
      </c>
      <c r="K54" s="143">
        <v>0</v>
      </c>
      <c r="L54" s="58"/>
      <c r="M54" s="58"/>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row>
    <row r="55" spans="1:42">
      <c r="A55" s="89">
        <v>54</v>
      </c>
      <c r="B55" s="90">
        <v>50149090</v>
      </c>
      <c r="C55" s="91" t="s">
        <v>104</v>
      </c>
      <c r="D55" s="58" t="s">
        <v>845</v>
      </c>
      <c r="E55" s="59">
        <v>35618</v>
      </c>
      <c r="F55" s="92">
        <f ca="1">(TODAY()-Data_Assessment[[#This Row],[BIRTH DATE]])/365.25</f>
        <v>24.703627652292951</v>
      </c>
      <c r="G55" s="62" t="s">
        <v>895</v>
      </c>
      <c r="H55" s="63" t="s">
        <v>899</v>
      </c>
      <c r="I55" s="106">
        <v>1</v>
      </c>
      <c r="J55" s="64" t="s">
        <v>968</v>
      </c>
      <c r="K55" s="143">
        <v>0</v>
      </c>
      <c r="L55" s="58"/>
      <c r="M55" s="58"/>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row>
    <row r="56" spans="1:42">
      <c r="A56" s="89">
        <v>55</v>
      </c>
      <c r="B56" s="90">
        <v>50149091</v>
      </c>
      <c r="C56" s="91" t="s">
        <v>105</v>
      </c>
      <c r="D56" s="58" t="s">
        <v>845</v>
      </c>
      <c r="E56" s="59">
        <v>35380</v>
      </c>
      <c r="F56" s="92">
        <f ca="1">(TODAY()-Data_Assessment[[#This Row],[BIRTH DATE]])/365.25</f>
        <v>25.355236139630389</v>
      </c>
      <c r="G56" s="62" t="s">
        <v>895</v>
      </c>
      <c r="H56" s="63" t="s">
        <v>899</v>
      </c>
      <c r="I56" s="106">
        <v>1</v>
      </c>
      <c r="J56" s="64" t="s">
        <v>969</v>
      </c>
      <c r="K56" s="143">
        <v>0</v>
      </c>
      <c r="L56" s="58"/>
      <c r="M56" s="58"/>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row>
    <row r="57" spans="1:42" ht="29.25">
      <c r="A57" s="89">
        <v>56</v>
      </c>
      <c r="B57" s="90">
        <v>50149714</v>
      </c>
      <c r="C57" s="91" t="s">
        <v>106</v>
      </c>
      <c r="D57" s="58" t="s">
        <v>845</v>
      </c>
      <c r="E57" s="59">
        <v>35518</v>
      </c>
      <c r="F57" s="92">
        <f ca="1">(TODAY()-Data_Assessment[[#This Row],[BIRTH DATE]])/365.25</f>
        <v>24.977412731006162</v>
      </c>
      <c r="G57" s="62" t="s">
        <v>895</v>
      </c>
      <c r="H57" s="63" t="s">
        <v>899</v>
      </c>
      <c r="I57" s="106">
        <v>1</v>
      </c>
      <c r="J57" s="64" t="s">
        <v>970</v>
      </c>
      <c r="K57" s="143">
        <v>0</v>
      </c>
      <c r="L57" s="58"/>
      <c r="M57" s="58"/>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row>
    <row r="58" spans="1:42" ht="29.25">
      <c r="A58" s="89">
        <v>57</v>
      </c>
      <c r="B58" s="90">
        <v>50149727</v>
      </c>
      <c r="C58" s="91" t="s">
        <v>107</v>
      </c>
      <c r="D58" s="58" t="s">
        <v>845</v>
      </c>
      <c r="E58" s="59">
        <v>35336</v>
      </c>
      <c r="F58" s="92">
        <f ca="1">(TODAY()-Data_Assessment[[#This Row],[BIRTH DATE]])/365.25</f>
        <v>25.475701574264203</v>
      </c>
      <c r="G58" s="62" t="s">
        <v>895</v>
      </c>
      <c r="H58" s="63" t="s">
        <v>899</v>
      </c>
      <c r="I58" s="106">
        <v>1</v>
      </c>
      <c r="J58" s="64" t="s">
        <v>970</v>
      </c>
      <c r="K58" s="143">
        <v>0</v>
      </c>
      <c r="L58" s="58"/>
      <c r="M58" s="58"/>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row>
    <row r="59" spans="1:42" ht="29.25">
      <c r="A59" s="89">
        <v>58</v>
      </c>
      <c r="B59" s="90">
        <v>50149728</v>
      </c>
      <c r="C59" s="91" t="s">
        <v>108</v>
      </c>
      <c r="D59" s="58" t="s">
        <v>845</v>
      </c>
      <c r="E59" s="59">
        <v>34999</v>
      </c>
      <c r="F59" s="92">
        <f ca="1">(TODAY()-Data_Assessment[[#This Row],[BIRTH DATE]])/365.25</f>
        <v>26.39835728952772</v>
      </c>
      <c r="G59" s="62" t="s">
        <v>895</v>
      </c>
      <c r="H59" s="63" t="s">
        <v>899</v>
      </c>
      <c r="I59" s="106">
        <v>1</v>
      </c>
      <c r="J59" s="64" t="s">
        <v>970</v>
      </c>
      <c r="K59" s="143">
        <v>0</v>
      </c>
      <c r="L59" s="58"/>
      <c r="M59" s="58"/>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row>
    <row r="60" spans="1:42" ht="29.25">
      <c r="A60" s="89">
        <v>59</v>
      </c>
      <c r="B60" s="90">
        <v>50149730</v>
      </c>
      <c r="C60" s="91" t="s">
        <v>109</v>
      </c>
      <c r="D60" s="58" t="s">
        <v>845</v>
      </c>
      <c r="E60" s="59">
        <v>34837</v>
      </c>
      <c r="F60" s="92">
        <f ca="1">(TODAY()-Data_Assessment[[#This Row],[BIRTH DATE]])/365.25</f>
        <v>26.84188911704312</v>
      </c>
      <c r="G60" s="62" t="s">
        <v>895</v>
      </c>
      <c r="H60" s="63" t="s">
        <v>899</v>
      </c>
      <c r="I60" s="106">
        <v>1</v>
      </c>
      <c r="J60" s="64" t="s">
        <v>970</v>
      </c>
      <c r="K60" s="143">
        <v>0</v>
      </c>
      <c r="L60" s="58"/>
      <c r="M60" s="58"/>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row>
    <row r="61" spans="1:42" ht="29.25">
      <c r="A61" s="89">
        <v>60</v>
      </c>
      <c r="B61" s="90">
        <v>50149739</v>
      </c>
      <c r="C61" s="91" t="s">
        <v>110</v>
      </c>
      <c r="D61" s="58" t="s">
        <v>845</v>
      </c>
      <c r="E61" s="59">
        <v>35134</v>
      </c>
      <c r="F61" s="92">
        <f ca="1">(TODAY()-Data_Assessment[[#This Row],[BIRTH DATE]])/365.25</f>
        <v>26.028747433264886</v>
      </c>
      <c r="G61" s="62" t="s">
        <v>895</v>
      </c>
      <c r="H61" s="63" t="s">
        <v>899</v>
      </c>
      <c r="I61" s="106">
        <v>1</v>
      </c>
      <c r="J61" s="64" t="s">
        <v>970</v>
      </c>
      <c r="K61" s="143">
        <v>0</v>
      </c>
      <c r="L61" s="58"/>
      <c r="M61" s="58"/>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row>
    <row r="62" spans="1:42">
      <c r="A62" s="89">
        <v>61</v>
      </c>
      <c r="B62" s="90">
        <v>50048304</v>
      </c>
      <c r="C62" s="91" t="s">
        <v>208</v>
      </c>
      <c r="D62" s="58" t="s">
        <v>845</v>
      </c>
      <c r="E62" s="59">
        <v>34301</v>
      </c>
      <c r="F62" s="92">
        <f ca="1">(TODAY()-Data_Assessment[[#This Row],[BIRTH DATE]])/365.25</f>
        <v>28.309377138945926</v>
      </c>
      <c r="G62" s="62" t="s">
        <v>971</v>
      </c>
      <c r="H62" s="63" t="s">
        <v>972</v>
      </c>
      <c r="I62" s="106">
        <v>1</v>
      </c>
      <c r="J62" s="64" t="s">
        <v>973</v>
      </c>
      <c r="K62" s="143">
        <v>3</v>
      </c>
      <c r="L62" s="58"/>
      <c r="M62" s="58"/>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row>
    <row r="63" spans="1:42" ht="29.25">
      <c r="A63" s="89">
        <v>62</v>
      </c>
      <c r="B63" s="90">
        <v>50030979</v>
      </c>
      <c r="C63" s="91" t="s">
        <v>111</v>
      </c>
      <c r="D63" s="58" t="s">
        <v>846</v>
      </c>
      <c r="E63" s="59">
        <v>26509</v>
      </c>
      <c r="F63" s="92">
        <f ca="1">(TODAY()-Data_Assessment[[#This Row],[BIRTH DATE]])/365.25</f>
        <v>49.642710472279262</v>
      </c>
      <c r="G63" s="62" t="s">
        <v>898</v>
      </c>
      <c r="H63" s="63" t="s">
        <v>899</v>
      </c>
      <c r="I63" s="106">
        <v>1</v>
      </c>
      <c r="J63" s="64" t="s">
        <v>974</v>
      </c>
      <c r="K63" s="143">
        <v>3</v>
      </c>
      <c r="L63" s="58"/>
      <c r="M63" s="58"/>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row>
    <row r="64" spans="1:42">
      <c r="A64" s="89">
        <v>63</v>
      </c>
      <c r="B64" s="90">
        <v>50030615</v>
      </c>
      <c r="C64" s="91" t="s">
        <v>112</v>
      </c>
      <c r="D64" s="58" t="s">
        <v>845</v>
      </c>
      <c r="E64" s="59">
        <v>27005</v>
      </c>
      <c r="F64" s="92">
        <f ca="1">(TODAY()-Data_Assessment[[#This Row],[BIRTH DATE]])/365.25</f>
        <v>48.284736481861735</v>
      </c>
      <c r="G64" s="62" t="s">
        <v>898</v>
      </c>
      <c r="H64" s="63" t="s">
        <v>899</v>
      </c>
      <c r="I64" s="106">
        <v>1</v>
      </c>
      <c r="J64" s="64" t="s">
        <v>975</v>
      </c>
      <c r="K64" s="143">
        <v>3</v>
      </c>
      <c r="L64" s="58"/>
      <c r="M64" s="58"/>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row>
    <row r="65" spans="1:42">
      <c r="A65" s="89">
        <v>64</v>
      </c>
      <c r="B65" s="90">
        <v>50030988</v>
      </c>
      <c r="C65" s="91" t="s">
        <v>113</v>
      </c>
      <c r="D65" s="58" t="s">
        <v>845</v>
      </c>
      <c r="E65" s="59">
        <v>24321</v>
      </c>
      <c r="F65" s="92">
        <f ca="1">(TODAY()-Data_Assessment[[#This Row],[BIRTH DATE]])/365.25</f>
        <v>55.633127994524301</v>
      </c>
      <c r="G65" s="62" t="s">
        <v>898</v>
      </c>
      <c r="H65" s="63" t="s">
        <v>899</v>
      </c>
      <c r="I65" s="106">
        <v>1</v>
      </c>
      <c r="J65" s="64" t="s">
        <v>976</v>
      </c>
      <c r="K65" s="143">
        <v>3</v>
      </c>
      <c r="L65" s="58"/>
      <c r="M65" s="58"/>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row>
    <row r="66" spans="1:42">
      <c r="A66" s="89">
        <v>65</v>
      </c>
      <c r="B66" s="90">
        <v>50031416</v>
      </c>
      <c r="C66" s="91" t="s">
        <v>114</v>
      </c>
      <c r="D66" s="58" t="s">
        <v>846</v>
      </c>
      <c r="E66" s="59">
        <v>26336</v>
      </c>
      <c r="F66" s="92">
        <f ca="1">(TODAY()-Data_Assessment[[#This Row],[BIRTH DATE]])/365.25</f>
        <v>50.116358658453116</v>
      </c>
      <c r="G66" s="62" t="s">
        <v>898</v>
      </c>
      <c r="H66" s="63" t="s">
        <v>899</v>
      </c>
      <c r="I66" s="106">
        <v>1</v>
      </c>
      <c r="J66" s="64" t="s">
        <v>975</v>
      </c>
      <c r="K66" s="143">
        <v>2</v>
      </c>
      <c r="L66" s="58"/>
      <c r="M66" s="58"/>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row>
    <row r="67" spans="1:42" ht="29.25">
      <c r="A67" s="89">
        <v>66</v>
      </c>
      <c r="B67" s="90">
        <v>50031492</v>
      </c>
      <c r="C67" s="91" t="s">
        <v>115</v>
      </c>
      <c r="D67" s="58" t="s">
        <v>846</v>
      </c>
      <c r="E67" s="59">
        <v>25021</v>
      </c>
      <c r="F67" s="92">
        <f ca="1">(TODAY()-Data_Assessment[[#This Row],[BIRTH DATE]])/365.25</f>
        <v>53.716632443531829</v>
      </c>
      <c r="G67" s="62" t="s">
        <v>898</v>
      </c>
      <c r="H67" s="63" t="s">
        <v>899</v>
      </c>
      <c r="I67" s="106">
        <v>1</v>
      </c>
      <c r="J67" s="64" t="s">
        <v>977</v>
      </c>
      <c r="K67" s="143">
        <v>4</v>
      </c>
      <c r="L67" s="58"/>
      <c r="M67" s="58"/>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row>
    <row r="68" spans="1:42" ht="29.25">
      <c r="A68" s="89">
        <v>67</v>
      </c>
      <c r="B68" s="90">
        <v>50030978</v>
      </c>
      <c r="C68" s="91" t="s">
        <v>116</v>
      </c>
      <c r="D68" s="58" t="s">
        <v>845</v>
      </c>
      <c r="E68" s="59">
        <v>25335</v>
      </c>
      <c r="F68" s="92">
        <f ca="1">(TODAY()-Data_Assessment[[#This Row],[BIRTH DATE]])/365.25</f>
        <v>52.856947296372347</v>
      </c>
      <c r="G68" s="62" t="s">
        <v>898</v>
      </c>
      <c r="H68" s="63" t="s">
        <v>899</v>
      </c>
      <c r="I68" s="106">
        <v>1</v>
      </c>
      <c r="J68" s="64" t="s">
        <v>978</v>
      </c>
      <c r="K68" s="143">
        <v>3</v>
      </c>
      <c r="L68" s="58"/>
      <c r="M68" s="58"/>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row>
    <row r="69" spans="1:42">
      <c r="A69" s="89">
        <v>68</v>
      </c>
      <c r="B69" s="90">
        <v>50030992</v>
      </c>
      <c r="C69" s="91" t="s">
        <v>117</v>
      </c>
      <c r="D69" s="58" t="s">
        <v>846</v>
      </c>
      <c r="E69" s="59">
        <v>29561</v>
      </c>
      <c r="F69" s="92">
        <f ca="1">(TODAY()-Data_Assessment[[#This Row],[BIRTH DATE]])/365.25</f>
        <v>41.286789869952088</v>
      </c>
      <c r="G69" s="62" t="s">
        <v>898</v>
      </c>
      <c r="H69" s="63" t="s">
        <v>899</v>
      </c>
      <c r="I69" s="106">
        <v>1</v>
      </c>
      <c r="J69" s="64" t="s">
        <v>979</v>
      </c>
      <c r="K69" s="143">
        <v>5</v>
      </c>
      <c r="L69" s="58"/>
      <c r="M69" s="58"/>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row>
    <row r="70" spans="1:42">
      <c r="A70" s="89">
        <v>69</v>
      </c>
      <c r="B70" s="90">
        <v>50030972</v>
      </c>
      <c r="C70" s="91" t="s">
        <v>118</v>
      </c>
      <c r="D70" s="58" t="s">
        <v>845</v>
      </c>
      <c r="E70" s="59">
        <v>30918</v>
      </c>
      <c r="F70" s="92">
        <f ca="1">(TODAY()-Data_Assessment[[#This Row],[BIRTH DATE]])/365.25</f>
        <v>37.571526351813823</v>
      </c>
      <c r="G70" s="62" t="s">
        <v>898</v>
      </c>
      <c r="H70" s="63" t="s">
        <v>899</v>
      </c>
      <c r="I70" s="106">
        <v>1</v>
      </c>
      <c r="J70" s="64" t="s">
        <v>979</v>
      </c>
      <c r="K70" s="143">
        <v>4</v>
      </c>
      <c r="L70" s="58"/>
      <c r="M70" s="58"/>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row>
    <row r="71" spans="1:42">
      <c r="A71" s="89">
        <v>70</v>
      </c>
      <c r="B71" s="90">
        <v>50031233</v>
      </c>
      <c r="C71" s="91" t="s">
        <v>119</v>
      </c>
      <c r="D71" s="58" t="s">
        <v>845</v>
      </c>
      <c r="E71" s="59">
        <v>29909</v>
      </c>
      <c r="F71" s="92">
        <f ca="1">(TODAY()-Data_Assessment[[#This Row],[BIRTH DATE]])/365.25</f>
        <v>40.334017796030118</v>
      </c>
      <c r="G71" s="62" t="s">
        <v>898</v>
      </c>
      <c r="H71" s="63" t="s">
        <v>899</v>
      </c>
      <c r="I71" s="106">
        <v>1</v>
      </c>
      <c r="J71" s="64" t="s">
        <v>975</v>
      </c>
      <c r="K71" s="143">
        <v>2</v>
      </c>
      <c r="L71" s="58"/>
      <c r="M71" s="58"/>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row>
    <row r="72" spans="1:42" ht="29.25">
      <c r="A72" s="89">
        <v>71</v>
      </c>
      <c r="B72" s="90">
        <v>50030982</v>
      </c>
      <c r="C72" s="91" t="s">
        <v>120</v>
      </c>
      <c r="D72" s="58" t="s">
        <v>845</v>
      </c>
      <c r="E72" s="59">
        <v>25530</v>
      </c>
      <c r="F72" s="92">
        <f ca="1">(TODAY()-Data_Assessment[[#This Row],[BIRTH DATE]])/365.25</f>
        <v>52.323066392881586</v>
      </c>
      <c r="G72" s="62" t="s">
        <v>898</v>
      </c>
      <c r="H72" s="63" t="s">
        <v>899</v>
      </c>
      <c r="I72" s="106">
        <v>1</v>
      </c>
      <c r="J72" s="64" t="s">
        <v>980</v>
      </c>
      <c r="K72" s="143">
        <v>2</v>
      </c>
      <c r="L72" s="58"/>
      <c r="M72" s="58"/>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row>
    <row r="73" spans="1:42">
      <c r="A73" s="89">
        <v>72</v>
      </c>
      <c r="B73" s="90">
        <v>50030986</v>
      </c>
      <c r="C73" s="91" t="s">
        <v>121</v>
      </c>
      <c r="D73" s="58" t="s">
        <v>845</v>
      </c>
      <c r="E73" s="59">
        <v>27260</v>
      </c>
      <c r="F73" s="92">
        <f ca="1">(TODAY()-Data_Assessment[[#This Row],[BIRTH DATE]])/365.25</f>
        <v>47.586584531143053</v>
      </c>
      <c r="G73" s="62" t="s">
        <v>898</v>
      </c>
      <c r="H73" s="63" t="s">
        <v>899</v>
      </c>
      <c r="I73" s="106">
        <v>1</v>
      </c>
      <c r="J73" s="64" t="s">
        <v>975</v>
      </c>
      <c r="K73" s="143">
        <v>3</v>
      </c>
      <c r="L73" s="58"/>
      <c r="M73" s="58"/>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row>
    <row r="74" spans="1:42">
      <c r="A74" s="89">
        <v>73</v>
      </c>
      <c r="B74" s="90">
        <v>50030991</v>
      </c>
      <c r="C74" s="91" t="s">
        <v>122</v>
      </c>
      <c r="D74" s="58" t="s">
        <v>846</v>
      </c>
      <c r="E74" s="59">
        <v>30850</v>
      </c>
      <c r="F74" s="92">
        <f ca="1">(TODAY()-Data_Assessment[[#This Row],[BIRTH DATE]])/365.25</f>
        <v>37.757700205338807</v>
      </c>
      <c r="G74" s="62" t="s">
        <v>898</v>
      </c>
      <c r="H74" s="63" t="s">
        <v>899</v>
      </c>
      <c r="I74" s="106">
        <v>1</v>
      </c>
      <c r="J74" s="64" t="s">
        <v>979</v>
      </c>
      <c r="K74" s="143">
        <v>3</v>
      </c>
      <c r="L74" s="58"/>
      <c r="M74" s="58"/>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row>
    <row r="75" spans="1:42">
      <c r="A75" s="89">
        <v>74</v>
      </c>
      <c r="B75" s="90">
        <v>50031489</v>
      </c>
      <c r="C75" s="91" t="s">
        <v>123</v>
      </c>
      <c r="D75" s="58" t="s">
        <v>845</v>
      </c>
      <c r="E75" s="59">
        <v>24535</v>
      </c>
      <c r="F75" s="92">
        <f ca="1">(TODAY()-Data_Assessment[[#This Row],[BIRTH DATE]])/365.25</f>
        <v>55.04722792607803</v>
      </c>
      <c r="G75" s="62" t="s">
        <v>898</v>
      </c>
      <c r="H75" s="63" t="s">
        <v>899</v>
      </c>
      <c r="I75" s="106">
        <v>1</v>
      </c>
      <c r="J75" s="64" t="s">
        <v>981</v>
      </c>
      <c r="K75" s="143">
        <v>4</v>
      </c>
      <c r="L75" s="58"/>
      <c r="M75" s="58"/>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row>
    <row r="76" spans="1:42" ht="29.25">
      <c r="A76" s="89">
        <v>75</v>
      </c>
      <c r="B76" s="90">
        <v>50030985</v>
      </c>
      <c r="C76" s="91" t="s">
        <v>124</v>
      </c>
      <c r="D76" s="58" t="s">
        <v>845</v>
      </c>
      <c r="E76" s="59">
        <v>28302</v>
      </c>
      <c r="F76" s="92">
        <f ca="1">(TODAY()-Data_Assessment[[#This Row],[BIRTH DATE]])/365.25</f>
        <v>44.733744010951405</v>
      </c>
      <c r="G76" s="62" t="s">
        <v>898</v>
      </c>
      <c r="H76" s="63" t="s">
        <v>899</v>
      </c>
      <c r="I76" s="106">
        <v>1</v>
      </c>
      <c r="J76" s="64" t="s">
        <v>982</v>
      </c>
      <c r="K76" s="143">
        <v>3</v>
      </c>
      <c r="L76" s="58"/>
      <c r="M76" s="58"/>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row>
    <row r="77" spans="1:42" ht="29.25">
      <c r="A77" s="89">
        <v>76</v>
      </c>
      <c r="B77" s="90">
        <v>50030969</v>
      </c>
      <c r="C77" s="91" t="s">
        <v>125</v>
      </c>
      <c r="D77" s="58" t="s">
        <v>845</v>
      </c>
      <c r="E77" s="59">
        <v>27099</v>
      </c>
      <c r="F77" s="92">
        <f ca="1">(TODAY()-Data_Assessment[[#This Row],[BIRTH DATE]])/365.25</f>
        <v>48.027378507871319</v>
      </c>
      <c r="G77" s="62" t="s">
        <v>898</v>
      </c>
      <c r="H77" s="63" t="s">
        <v>899</v>
      </c>
      <c r="I77" s="106">
        <v>1</v>
      </c>
      <c r="J77" s="64" t="s">
        <v>983</v>
      </c>
      <c r="K77" s="143">
        <v>3</v>
      </c>
      <c r="L77" s="58"/>
      <c r="M77" s="58"/>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row>
    <row r="78" spans="1:42" ht="29.25">
      <c r="A78" s="89">
        <v>77</v>
      </c>
      <c r="B78" s="90">
        <v>50031491</v>
      </c>
      <c r="C78" s="91" t="s">
        <v>126</v>
      </c>
      <c r="D78" s="58" t="s">
        <v>845</v>
      </c>
      <c r="E78" s="59">
        <v>24525</v>
      </c>
      <c r="F78" s="92">
        <f ca="1">(TODAY()-Data_Assessment[[#This Row],[BIRTH DATE]])/365.25</f>
        <v>55.074606433949349</v>
      </c>
      <c r="G78" s="62" t="s">
        <v>898</v>
      </c>
      <c r="H78" s="63" t="s">
        <v>899</v>
      </c>
      <c r="I78" s="106">
        <v>1</v>
      </c>
      <c r="J78" s="64" t="s">
        <v>984</v>
      </c>
      <c r="K78" s="143">
        <v>4</v>
      </c>
      <c r="L78" s="58"/>
      <c r="M78" s="58"/>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row>
    <row r="79" spans="1:42" ht="29.25">
      <c r="A79" s="89">
        <v>78</v>
      </c>
      <c r="B79" s="90">
        <v>50031414</v>
      </c>
      <c r="C79" s="91" t="s">
        <v>127</v>
      </c>
      <c r="D79" s="58" t="s">
        <v>845</v>
      </c>
      <c r="E79" s="59">
        <v>28773</v>
      </c>
      <c r="F79" s="92">
        <f ca="1">(TODAY()-Data_Assessment[[#This Row],[BIRTH DATE]])/365.25</f>
        <v>43.444216290212182</v>
      </c>
      <c r="G79" s="62" t="s">
        <v>898</v>
      </c>
      <c r="H79" s="63" t="s">
        <v>899</v>
      </c>
      <c r="I79" s="106">
        <v>1</v>
      </c>
      <c r="J79" s="64" t="s">
        <v>985</v>
      </c>
      <c r="K79" s="143">
        <v>3</v>
      </c>
      <c r="L79" s="58"/>
      <c r="M79" s="58"/>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row>
    <row r="80" spans="1:42">
      <c r="A80" s="89">
        <v>79</v>
      </c>
      <c r="B80" s="90">
        <v>50052926</v>
      </c>
      <c r="C80" s="91" t="s">
        <v>289</v>
      </c>
      <c r="D80" s="58" t="s">
        <v>845</v>
      </c>
      <c r="E80" s="59">
        <v>33562</v>
      </c>
      <c r="F80" s="92">
        <f ca="1">(TODAY()-Data_Assessment[[#This Row],[BIRTH DATE]])/365.25</f>
        <v>30.33264887063655</v>
      </c>
      <c r="G80" s="62" t="s">
        <v>986</v>
      </c>
      <c r="H80" s="63" t="s">
        <v>987</v>
      </c>
      <c r="I80" s="106">
        <v>4</v>
      </c>
      <c r="J80" s="64" t="s">
        <v>988</v>
      </c>
      <c r="K80" s="143">
        <v>2</v>
      </c>
      <c r="L80" s="58"/>
      <c r="M80" s="58"/>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row>
    <row r="81" spans="1:42" ht="29.25">
      <c r="A81" s="89">
        <v>80</v>
      </c>
      <c r="B81" s="90">
        <v>50031231</v>
      </c>
      <c r="C81" s="91" t="s">
        <v>128</v>
      </c>
      <c r="D81" s="58" t="s">
        <v>845</v>
      </c>
      <c r="E81" s="59">
        <v>29517</v>
      </c>
      <c r="F81" s="92">
        <f ca="1">(TODAY()-Data_Assessment[[#This Row],[BIRTH DATE]])/365.25</f>
        <v>41.407255304585902</v>
      </c>
      <c r="G81" s="62" t="s">
        <v>898</v>
      </c>
      <c r="H81" s="63" t="s">
        <v>899</v>
      </c>
      <c r="I81" s="106">
        <v>1</v>
      </c>
      <c r="J81" s="64" t="s">
        <v>985</v>
      </c>
      <c r="K81" s="143">
        <v>2</v>
      </c>
      <c r="L81" s="58"/>
      <c r="M81" s="58"/>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row>
    <row r="82" spans="1:42">
      <c r="A82" s="89">
        <v>81</v>
      </c>
      <c r="B82" s="90">
        <v>50145426</v>
      </c>
      <c r="C82" s="91" t="s">
        <v>989</v>
      </c>
      <c r="D82" s="58" t="s">
        <v>845</v>
      </c>
      <c r="E82" s="59">
        <v>35241</v>
      </c>
      <c r="F82" s="92">
        <f ca="1">(TODAY()-Data_Assessment[[#This Row],[BIRTH DATE]])/365.25</f>
        <v>25.735797399041751</v>
      </c>
      <c r="G82" s="62" t="s">
        <v>986</v>
      </c>
      <c r="H82" s="63" t="s">
        <v>987</v>
      </c>
      <c r="I82" s="106">
        <v>4</v>
      </c>
      <c r="J82" s="64" t="s">
        <v>990</v>
      </c>
      <c r="K82" s="143">
        <v>0</v>
      </c>
      <c r="L82" s="58"/>
      <c r="M82" s="58"/>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row>
    <row r="83" spans="1:42" ht="29.25">
      <c r="A83" s="89">
        <v>82</v>
      </c>
      <c r="B83" s="90">
        <v>50031488</v>
      </c>
      <c r="C83" s="91" t="s">
        <v>129</v>
      </c>
      <c r="D83" s="58" t="s">
        <v>845</v>
      </c>
      <c r="E83" s="59">
        <v>25584</v>
      </c>
      <c r="F83" s="92">
        <f ca="1">(TODAY()-Data_Assessment[[#This Row],[BIRTH DATE]])/365.25</f>
        <v>52.175222450376452</v>
      </c>
      <c r="G83" s="62" t="s">
        <v>898</v>
      </c>
      <c r="H83" s="63" t="s">
        <v>899</v>
      </c>
      <c r="I83" s="106">
        <v>1</v>
      </c>
      <c r="J83" s="64" t="s">
        <v>991</v>
      </c>
      <c r="K83" s="143">
        <v>3</v>
      </c>
      <c r="L83" s="58"/>
      <c r="M83" s="58"/>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row>
    <row r="84" spans="1:42" ht="29.25">
      <c r="A84" s="89">
        <v>83</v>
      </c>
      <c r="B84" s="90">
        <v>50132741</v>
      </c>
      <c r="C84" s="91" t="s">
        <v>297</v>
      </c>
      <c r="D84" s="58" t="s">
        <v>845</v>
      </c>
      <c r="E84" s="59">
        <v>35343</v>
      </c>
      <c r="F84" s="92">
        <f ca="1">(TODAY()-Data_Assessment[[#This Row],[BIRTH DATE]])/365.25</f>
        <v>25.456536618754278</v>
      </c>
      <c r="G84" s="62" t="s">
        <v>986</v>
      </c>
      <c r="H84" s="63" t="s">
        <v>987</v>
      </c>
      <c r="I84" s="106">
        <v>4</v>
      </c>
      <c r="J84" s="64" t="s">
        <v>992</v>
      </c>
      <c r="K84" s="143">
        <v>2</v>
      </c>
      <c r="L84" s="58"/>
      <c r="M84" s="58"/>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row>
    <row r="85" spans="1:42">
      <c r="A85" s="89">
        <v>84</v>
      </c>
      <c r="B85" s="90">
        <v>50030958</v>
      </c>
      <c r="C85" s="91" t="s">
        <v>130</v>
      </c>
      <c r="D85" s="58" t="s">
        <v>845</v>
      </c>
      <c r="E85" s="59">
        <v>27779</v>
      </c>
      <c r="F85" s="92">
        <f ca="1">(TODAY()-Data_Assessment[[#This Row],[BIRTH DATE]])/365.25</f>
        <v>46.165639972621491</v>
      </c>
      <c r="G85" s="62" t="s">
        <v>898</v>
      </c>
      <c r="H85" s="63" t="s">
        <v>899</v>
      </c>
      <c r="I85" s="106">
        <v>1</v>
      </c>
      <c r="J85" s="64" t="s">
        <v>993</v>
      </c>
      <c r="K85" s="143">
        <v>3</v>
      </c>
      <c r="L85" s="58"/>
      <c r="M85" s="58"/>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row>
    <row r="86" spans="1:42" ht="29.25">
      <c r="A86" s="89">
        <v>85</v>
      </c>
      <c r="B86" s="90">
        <v>50044023</v>
      </c>
      <c r="C86" s="91" t="s">
        <v>352</v>
      </c>
      <c r="D86" s="58" t="s">
        <v>845</v>
      </c>
      <c r="E86" s="59">
        <v>32760</v>
      </c>
      <c r="F86" s="92">
        <f ca="1">(TODAY()-Data_Assessment[[#This Row],[BIRTH DATE]])/365.25</f>
        <v>32.528405201916499</v>
      </c>
      <c r="G86" s="62" t="s">
        <v>986</v>
      </c>
      <c r="H86" s="63" t="s">
        <v>987</v>
      </c>
      <c r="I86" s="106">
        <v>4</v>
      </c>
      <c r="J86" s="64" t="s">
        <v>994</v>
      </c>
      <c r="K86" s="143">
        <v>2</v>
      </c>
      <c r="L86" s="58"/>
      <c r="M86" s="58"/>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row>
    <row r="87" spans="1:42">
      <c r="A87" s="89">
        <v>86</v>
      </c>
      <c r="B87" s="90">
        <v>50031260</v>
      </c>
      <c r="C87" s="91" t="s">
        <v>131</v>
      </c>
      <c r="D87" s="58" t="s">
        <v>845</v>
      </c>
      <c r="E87" s="59">
        <v>33063</v>
      </c>
      <c r="F87" s="92">
        <f ca="1">(TODAY()-Data_Assessment[[#This Row],[BIRTH DATE]])/365.25</f>
        <v>31.698836413415467</v>
      </c>
      <c r="G87" s="62" t="s">
        <v>898</v>
      </c>
      <c r="H87" s="63" t="s">
        <v>899</v>
      </c>
      <c r="I87" s="106">
        <v>1</v>
      </c>
      <c r="J87" s="64" t="s">
        <v>993</v>
      </c>
      <c r="K87" s="143">
        <v>4</v>
      </c>
      <c r="L87" s="58"/>
      <c r="M87" s="58"/>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row>
    <row r="88" spans="1:42">
      <c r="A88" s="89">
        <v>87</v>
      </c>
      <c r="B88" s="90">
        <v>50036784</v>
      </c>
      <c r="C88" s="91" t="s">
        <v>152</v>
      </c>
      <c r="D88" s="58" t="s">
        <v>845</v>
      </c>
      <c r="E88" s="59">
        <v>27508</v>
      </c>
      <c r="F88" s="92">
        <f ca="1">(TODAY()-Data_Assessment[[#This Row],[BIRTH DATE]])/365.25</f>
        <v>46.907597535934293</v>
      </c>
      <c r="G88" s="62" t="s">
        <v>898</v>
      </c>
      <c r="H88" s="63" t="s">
        <v>899</v>
      </c>
      <c r="I88" s="106">
        <v>1</v>
      </c>
      <c r="J88" s="64" t="s">
        <v>995</v>
      </c>
      <c r="K88" s="143">
        <v>3</v>
      </c>
      <c r="L88" s="58"/>
      <c r="M88" s="58"/>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row>
    <row r="89" spans="1:42">
      <c r="A89" s="89">
        <v>88</v>
      </c>
      <c r="B89" s="90">
        <v>50031415</v>
      </c>
      <c r="C89" s="91" t="s">
        <v>132</v>
      </c>
      <c r="D89" s="58" t="s">
        <v>845</v>
      </c>
      <c r="E89" s="59">
        <v>32301</v>
      </c>
      <c r="F89" s="92">
        <f ca="1">(TODAY()-Data_Assessment[[#This Row],[BIRTH DATE]])/365.25</f>
        <v>33.785078713210133</v>
      </c>
      <c r="G89" s="62" t="s">
        <v>898</v>
      </c>
      <c r="H89" s="63" t="s">
        <v>899</v>
      </c>
      <c r="I89" s="106">
        <v>1</v>
      </c>
      <c r="J89" s="64" t="s">
        <v>993</v>
      </c>
      <c r="K89" s="143">
        <v>3</v>
      </c>
      <c r="L89" s="58"/>
      <c r="M89" s="58"/>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row>
    <row r="90" spans="1:42">
      <c r="A90" s="89">
        <v>89</v>
      </c>
      <c r="B90" s="90">
        <v>50040810</v>
      </c>
      <c r="C90" s="91" t="s">
        <v>366</v>
      </c>
      <c r="D90" s="58" t="s">
        <v>846</v>
      </c>
      <c r="E90" s="59">
        <v>33666</v>
      </c>
      <c r="F90" s="92">
        <f ca="1">(TODAY()-Data_Assessment[[#This Row],[BIRTH DATE]])/365.25</f>
        <v>30.047912388774812</v>
      </c>
      <c r="G90" s="62" t="s">
        <v>986</v>
      </c>
      <c r="H90" s="63" t="s">
        <v>987</v>
      </c>
      <c r="I90" s="106">
        <v>4</v>
      </c>
      <c r="J90" s="64" t="s">
        <v>996</v>
      </c>
      <c r="K90" s="143">
        <v>3</v>
      </c>
      <c r="L90" s="58"/>
      <c r="M90" s="58"/>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row>
    <row r="91" spans="1:42">
      <c r="A91" s="89">
        <v>90</v>
      </c>
      <c r="B91" s="90">
        <v>50030520</v>
      </c>
      <c r="C91" s="91" t="s">
        <v>133</v>
      </c>
      <c r="D91" s="58" t="s">
        <v>845</v>
      </c>
      <c r="E91" s="59">
        <v>31768</v>
      </c>
      <c r="F91" s="92">
        <f ca="1">(TODAY()-Data_Assessment[[#This Row],[BIRTH DATE]])/365.25</f>
        <v>35.244353182751539</v>
      </c>
      <c r="G91" s="62" t="s">
        <v>898</v>
      </c>
      <c r="H91" s="63" t="s">
        <v>899</v>
      </c>
      <c r="I91" s="106">
        <v>1</v>
      </c>
      <c r="J91" s="64" t="s">
        <v>993</v>
      </c>
      <c r="K91" s="143">
        <v>4</v>
      </c>
      <c r="L91" s="58"/>
      <c r="M91" s="58"/>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row>
    <row r="92" spans="1:42" ht="29.25">
      <c r="A92" s="89">
        <v>91</v>
      </c>
      <c r="B92" s="90">
        <v>50146172</v>
      </c>
      <c r="C92" s="91" t="s">
        <v>168</v>
      </c>
      <c r="D92" s="58" t="s">
        <v>845</v>
      </c>
      <c r="E92" s="59">
        <v>22589</v>
      </c>
      <c r="F92" s="92">
        <f ca="1">(TODAY()-Data_Assessment[[#This Row],[BIRTH DATE]])/365.25</f>
        <v>60.375085557837096</v>
      </c>
      <c r="G92" s="62" t="s">
        <v>898</v>
      </c>
      <c r="H92" s="63" t="s">
        <v>899</v>
      </c>
      <c r="I92" s="106">
        <v>1</v>
      </c>
      <c r="J92" s="64" t="s">
        <v>997</v>
      </c>
      <c r="K92" s="143">
        <v>0</v>
      </c>
      <c r="L92" s="58"/>
      <c r="M92" s="58"/>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row>
    <row r="93" spans="1:42" ht="29.25">
      <c r="A93" s="89">
        <v>92</v>
      </c>
      <c r="B93" s="90">
        <v>50030965</v>
      </c>
      <c r="C93" s="91" t="s">
        <v>134</v>
      </c>
      <c r="D93" s="58" t="s">
        <v>846</v>
      </c>
      <c r="E93" s="59">
        <v>26227</v>
      </c>
      <c r="F93" s="92">
        <f ca="1">(TODAY()-Data_Assessment[[#This Row],[BIRTH DATE]])/365.25</f>
        <v>50.414784394250511</v>
      </c>
      <c r="G93" s="62" t="s">
        <v>898</v>
      </c>
      <c r="H93" s="63" t="s">
        <v>899</v>
      </c>
      <c r="I93" s="106">
        <v>1</v>
      </c>
      <c r="J93" s="64" t="s">
        <v>998</v>
      </c>
      <c r="K93" s="143">
        <v>4</v>
      </c>
      <c r="L93" s="58"/>
      <c r="M93" s="58"/>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row>
    <row r="94" spans="1:42">
      <c r="A94" s="89">
        <v>93</v>
      </c>
      <c r="B94" s="90">
        <v>50147257</v>
      </c>
      <c r="C94" s="91" t="s">
        <v>169</v>
      </c>
      <c r="D94" s="58" t="s">
        <v>845</v>
      </c>
      <c r="E94" s="59">
        <v>26353</v>
      </c>
      <c r="F94" s="92">
        <f ca="1">(TODAY()-Data_Assessment[[#This Row],[BIRTH DATE]])/365.25</f>
        <v>50.069815195071868</v>
      </c>
      <c r="G94" s="62" t="s">
        <v>895</v>
      </c>
      <c r="H94" s="63" t="s">
        <v>899</v>
      </c>
      <c r="I94" s="106">
        <v>1</v>
      </c>
      <c r="J94" s="64" t="s">
        <v>999</v>
      </c>
      <c r="K94" s="143">
        <v>0</v>
      </c>
      <c r="L94" s="58"/>
      <c r="M94" s="58"/>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row>
    <row r="95" spans="1:42">
      <c r="A95" s="89">
        <v>94</v>
      </c>
      <c r="B95" s="90">
        <v>50032416</v>
      </c>
      <c r="C95" s="91" t="s">
        <v>135</v>
      </c>
      <c r="D95" s="58" t="s">
        <v>846</v>
      </c>
      <c r="E95" s="59">
        <v>31277</v>
      </c>
      <c r="F95" s="92">
        <f ca="1">(TODAY()-Data_Assessment[[#This Row],[BIRTH DATE]])/365.25</f>
        <v>36.588637919233399</v>
      </c>
      <c r="G95" s="62" t="s">
        <v>898</v>
      </c>
      <c r="H95" s="63" t="s">
        <v>899</v>
      </c>
      <c r="I95" s="106">
        <v>1</v>
      </c>
      <c r="J95" s="64" t="s">
        <v>1000</v>
      </c>
      <c r="K95" s="143">
        <v>2</v>
      </c>
      <c r="L95" s="58"/>
      <c r="M95" s="58"/>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row>
    <row r="96" spans="1:42" ht="29.25">
      <c r="A96" s="89">
        <v>95</v>
      </c>
      <c r="B96" s="90">
        <v>50099403</v>
      </c>
      <c r="C96" s="91" t="s">
        <v>217</v>
      </c>
      <c r="D96" s="58" t="s">
        <v>845</v>
      </c>
      <c r="E96" s="59">
        <v>26161</v>
      </c>
      <c r="F96" s="92">
        <f ca="1">(TODAY()-Data_Assessment[[#This Row],[BIRTH DATE]])/365.25</f>
        <v>50.595482546201232</v>
      </c>
      <c r="G96" s="62" t="s">
        <v>971</v>
      </c>
      <c r="H96" s="63" t="s">
        <v>972</v>
      </c>
      <c r="I96" s="106">
        <v>1</v>
      </c>
      <c r="J96" s="64" t="s">
        <v>1001</v>
      </c>
      <c r="K96" s="143">
        <v>4</v>
      </c>
      <c r="L96" s="58"/>
      <c r="M96" s="58"/>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row>
    <row r="97" spans="1:42">
      <c r="A97" s="89">
        <v>96</v>
      </c>
      <c r="B97" s="90">
        <v>50030967</v>
      </c>
      <c r="C97" s="91" t="s">
        <v>136</v>
      </c>
      <c r="D97" s="58" t="s">
        <v>845</v>
      </c>
      <c r="E97" s="59">
        <v>26840</v>
      </c>
      <c r="F97" s="92">
        <f ca="1">(TODAY()-Data_Assessment[[#This Row],[BIRTH DATE]])/365.25</f>
        <v>48.736481861738532</v>
      </c>
      <c r="G97" s="62" t="s">
        <v>898</v>
      </c>
      <c r="H97" s="63" t="s">
        <v>899</v>
      </c>
      <c r="I97" s="106">
        <v>1</v>
      </c>
      <c r="J97" s="64" t="s">
        <v>1002</v>
      </c>
      <c r="K97" s="143">
        <v>3</v>
      </c>
      <c r="L97" s="58"/>
      <c r="M97" s="58"/>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row>
    <row r="98" spans="1:42" ht="29.25">
      <c r="A98" s="89">
        <v>97</v>
      </c>
      <c r="B98" s="90">
        <v>50139133</v>
      </c>
      <c r="C98" s="91" t="s">
        <v>224</v>
      </c>
      <c r="D98" s="58" t="s">
        <v>845</v>
      </c>
      <c r="E98" s="59">
        <v>30203</v>
      </c>
      <c r="F98" s="92">
        <f ca="1">(TODAY()-Data_Assessment[[#This Row],[BIRTH DATE]])/365.25</f>
        <v>39.529089664613281</v>
      </c>
      <c r="G98" s="62" t="s">
        <v>919</v>
      </c>
      <c r="H98" s="63" t="s">
        <v>972</v>
      </c>
      <c r="I98" s="106">
        <v>1</v>
      </c>
      <c r="J98" s="64" t="s">
        <v>1003</v>
      </c>
      <c r="K98" s="143">
        <v>0</v>
      </c>
      <c r="L98" s="58"/>
      <c r="M98" s="58"/>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row>
    <row r="99" spans="1:42">
      <c r="A99" s="89">
        <v>98</v>
      </c>
      <c r="B99" s="90">
        <v>50030968</v>
      </c>
      <c r="C99" s="91" t="s">
        <v>137</v>
      </c>
      <c r="D99" s="58" t="s">
        <v>845</v>
      </c>
      <c r="E99" s="59">
        <v>29653</v>
      </c>
      <c r="F99" s="92">
        <f ca="1">(TODAY()-Data_Assessment[[#This Row],[BIRTH DATE]])/365.25</f>
        <v>41.034907597535934</v>
      </c>
      <c r="G99" s="62" t="s">
        <v>898</v>
      </c>
      <c r="H99" s="63" t="s">
        <v>899</v>
      </c>
      <c r="I99" s="106">
        <v>1</v>
      </c>
      <c r="J99" s="64" t="s">
        <v>1002</v>
      </c>
      <c r="K99" s="143">
        <v>3</v>
      </c>
      <c r="L99" s="58"/>
      <c r="M99" s="58"/>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row>
    <row r="100" spans="1:42" ht="29.25">
      <c r="A100" s="89">
        <v>99</v>
      </c>
      <c r="B100" s="90">
        <v>50139139</v>
      </c>
      <c r="C100" s="91" t="s">
        <v>225</v>
      </c>
      <c r="D100" s="58" t="s">
        <v>845</v>
      </c>
      <c r="E100" s="59">
        <v>31039</v>
      </c>
      <c r="F100" s="92">
        <f ca="1">(TODAY()-Data_Assessment[[#This Row],[BIRTH DATE]])/365.25</f>
        <v>37.24024640657084</v>
      </c>
      <c r="G100" s="62" t="s">
        <v>919</v>
      </c>
      <c r="H100" s="63" t="s">
        <v>972</v>
      </c>
      <c r="I100" s="106">
        <v>1</v>
      </c>
      <c r="J100" s="64" t="s">
        <v>1004</v>
      </c>
      <c r="K100" s="143">
        <v>0</v>
      </c>
      <c r="L100" s="58"/>
      <c r="M100" s="58"/>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c r="AL100" s="102"/>
      <c r="AM100" s="102"/>
      <c r="AN100" s="102"/>
      <c r="AO100" s="102"/>
      <c r="AP100" s="102"/>
    </row>
    <row r="101" spans="1:42">
      <c r="A101" s="89">
        <v>100</v>
      </c>
      <c r="B101" s="90">
        <v>50030974</v>
      </c>
      <c r="C101" s="91" t="s">
        <v>138</v>
      </c>
      <c r="D101" s="58" t="s">
        <v>845</v>
      </c>
      <c r="E101" s="59">
        <v>28006</v>
      </c>
      <c r="F101" s="92">
        <f ca="1">(TODAY()-Data_Assessment[[#This Row],[BIRTH DATE]])/365.25</f>
        <v>45.544147843942504</v>
      </c>
      <c r="G101" s="62" t="s">
        <v>898</v>
      </c>
      <c r="H101" s="63" t="s">
        <v>899</v>
      </c>
      <c r="I101" s="106">
        <v>1</v>
      </c>
      <c r="J101" s="64" t="s">
        <v>1002</v>
      </c>
      <c r="K101" s="143">
        <v>3</v>
      </c>
      <c r="L101" s="58"/>
      <c r="M101" s="58"/>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102"/>
      <c r="AP101" s="102"/>
    </row>
    <row r="102" spans="1:42" ht="29.25">
      <c r="A102" s="89">
        <v>101</v>
      </c>
      <c r="B102" s="90">
        <v>50144458</v>
      </c>
      <c r="C102" s="91" t="s">
        <v>226</v>
      </c>
      <c r="D102" s="58" t="s">
        <v>845</v>
      </c>
      <c r="E102" s="59">
        <v>28627</v>
      </c>
      <c r="F102" s="92">
        <f ca="1">(TODAY()-Data_Assessment[[#This Row],[BIRTH DATE]])/365.25</f>
        <v>43.843942505133469</v>
      </c>
      <c r="G102" s="62" t="s">
        <v>919</v>
      </c>
      <c r="H102" s="63" t="s">
        <v>972</v>
      </c>
      <c r="I102" s="106">
        <v>1</v>
      </c>
      <c r="J102" s="64" t="s">
        <v>1005</v>
      </c>
      <c r="K102" s="143">
        <v>0</v>
      </c>
      <c r="L102" s="58"/>
      <c r="M102" s="58"/>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102"/>
      <c r="AP102" s="102"/>
    </row>
    <row r="103" spans="1:42" ht="29.25">
      <c r="A103" s="89">
        <v>102</v>
      </c>
      <c r="B103" s="90">
        <v>50030956</v>
      </c>
      <c r="C103" s="91" t="s">
        <v>889</v>
      </c>
      <c r="D103" s="58" t="s">
        <v>845</v>
      </c>
      <c r="E103" s="59">
        <v>28669</v>
      </c>
      <c r="F103" s="92">
        <f ca="1">(TODAY()-Data_Assessment[[#This Row],[BIRTH DATE]])/365.25</f>
        <v>43.728952772073924</v>
      </c>
      <c r="G103" s="62" t="s">
        <v>898</v>
      </c>
      <c r="H103" s="63" t="s">
        <v>899</v>
      </c>
      <c r="I103" s="106">
        <v>1</v>
      </c>
      <c r="J103" s="64" t="s">
        <v>1006</v>
      </c>
      <c r="K103" s="143">
        <v>2</v>
      </c>
      <c r="L103" s="58"/>
      <c r="M103" s="58"/>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c r="AL103" s="102"/>
      <c r="AM103" s="102"/>
      <c r="AN103" s="102"/>
      <c r="AO103" s="102"/>
      <c r="AP103" s="102"/>
    </row>
    <row r="104" spans="1:42" ht="29.25">
      <c r="A104" s="89">
        <v>103</v>
      </c>
      <c r="B104" s="90">
        <v>50106705</v>
      </c>
      <c r="C104" s="91" t="s">
        <v>227</v>
      </c>
      <c r="D104" s="58" t="s">
        <v>845</v>
      </c>
      <c r="E104" s="59">
        <v>20641</v>
      </c>
      <c r="F104" s="92">
        <f ca="1">(TODAY()-Data_Assessment[[#This Row],[BIRTH DATE]])/365.25</f>
        <v>65.708418891170425</v>
      </c>
      <c r="G104" s="62" t="s">
        <v>971</v>
      </c>
      <c r="H104" s="63" t="s">
        <v>972</v>
      </c>
      <c r="I104" s="106">
        <v>1</v>
      </c>
      <c r="J104" s="64" t="s">
        <v>1007</v>
      </c>
      <c r="K104" s="143">
        <v>0</v>
      </c>
      <c r="L104" s="58"/>
      <c r="M104" s="58"/>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c r="AL104" s="102"/>
      <c r="AM104" s="102"/>
      <c r="AN104" s="102"/>
      <c r="AO104" s="102"/>
      <c r="AP104" s="102"/>
    </row>
    <row r="105" spans="1:42" ht="29.25">
      <c r="A105" s="89">
        <v>104</v>
      </c>
      <c r="B105" s="90">
        <v>50031259</v>
      </c>
      <c r="C105" s="91" t="s">
        <v>139</v>
      </c>
      <c r="D105" s="58" t="s">
        <v>845</v>
      </c>
      <c r="E105" s="59">
        <v>31104</v>
      </c>
      <c r="F105" s="92">
        <f ca="1">(TODAY()-Data_Assessment[[#This Row],[BIRTH DATE]])/365.25</f>
        <v>37.062286105407253</v>
      </c>
      <c r="G105" s="62" t="s">
        <v>898</v>
      </c>
      <c r="H105" s="63" t="s">
        <v>899</v>
      </c>
      <c r="I105" s="106">
        <v>1</v>
      </c>
      <c r="J105" s="64" t="s">
        <v>1006</v>
      </c>
      <c r="K105" s="143">
        <v>3</v>
      </c>
      <c r="L105" s="58"/>
      <c r="M105" s="58"/>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c r="AL105" s="102"/>
      <c r="AM105" s="102"/>
      <c r="AN105" s="102"/>
      <c r="AO105" s="102"/>
      <c r="AP105" s="102"/>
    </row>
    <row r="106" spans="1:42" ht="29.25">
      <c r="A106" s="89">
        <v>105</v>
      </c>
      <c r="B106" s="90">
        <v>50148530</v>
      </c>
      <c r="C106" s="91" t="s">
        <v>228</v>
      </c>
      <c r="D106" s="58" t="s">
        <v>845</v>
      </c>
      <c r="E106" s="59">
        <v>26556</v>
      </c>
      <c r="F106" s="92">
        <f ca="1">(TODAY()-Data_Assessment[[#This Row],[BIRTH DATE]])/365.25</f>
        <v>49.51403148528405</v>
      </c>
      <c r="G106" s="62" t="s">
        <v>919</v>
      </c>
      <c r="H106" s="63" t="s">
        <v>972</v>
      </c>
      <c r="I106" s="106">
        <v>1</v>
      </c>
      <c r="J106" s="64" t="s">
        <v>1008</v>
      </c>
      <c r="K106" s="143">
        <v>0</v>
      </c>
      <c r="L106" s="58"/>
      <c r="M106" s="58"/>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c r="AL106" s="102"/>
      <c r="AM106" s="102"/>
      <c r="AN106" s="102"/>
      <c r="AO106" s="102"/>
      <c r="AP106" s="102"/>
    </row>
    <row r="107" spans="1:42">
      <c r="A107" s="89">
        <v>106</v>
      </c>
      <c r="B107" s="90">
        <v>50031232</v>
      </c>
      <c r="C107" s="91" t="s">
        <v>140</v>
      </c>
      <c r="D107" s="58" t="s">
        <v>845</v>
      </c>
      <c r="E107" s="59">
        <v>27675</v>
      </c>
      <c r="F107" s="92">
        <f ca="1">(TODAY()-Data_Assessment[[#This Row],[BIRTH DATE]])/365.25</f>
        <v>46.450376454483234</v>
      </c>
      <c r="G107" s="62" t="s">
        <v>898</v>
      </c>
      <c r="H107" s="63" t="s">
        <v>899</v>
      </c>
      <c r="I107" s="106">
        <v>1</v>
      </c>
      <c r="J107" s="64" t="s">
        <v>1002</v>
      </c>
      <c r="K107" s="143">
        <v>3</v>
      </c>
      <c r="L107" s="58"/>
      <c r="M107" s="58"/>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c r="AL107" s="102"/>
      <c r="AM107" s="102"/>
      <c r="AN107" s="102"/>
      <c r="AO107" s="102"/>
      <c r="AP107" s="102"/>
    </row>
    <row r="108" spans="1:42" ht="29.25">
      <c r="A108" s="89">
        <v>107</v>
      </c>
      <c r="B108" s="90">
        <v>50089121</v>
      </c>
      <c r="C108" s="91" t="s">
        <v>476</v>
      </c>
      <c r="D108" s="58" t="s">
        <v>845</v>
      </c>
      <c r="E108" s="59">
        <v>29798</v>
      </c>
      <c r="F108" s="92">
        <f ca="1">(TODAY()-Data_Assessment[[#This Row],[BIRTH DATE]])/365.25</f>
        <v>40.637919233401782</v>
      </c>
      <c r="G108" s="62" t="s">
        <v>1009</v>
      </c>
      <c r="H108" s="63" t="s">
        <v>987</v>
      </c>
      <c r="I108" s="106">
        <v>2</v>
      </c>
      <c r="J108" s="64" t="s">
        <v>1010</v>
      </c>
      <c r="K108" s="143">
        <v>2</v>
      </c>
      <c r="L108" s="58"/>
      <c r="M108" s="58"/>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102"/>
      <c r="AP108" s="102"/>
    </row>
    <row r="109" spans="1:42">
      <c r="A109" s="89">
        <v>108</v>
      </c>
      <c r="B109" s="90">
        <v>50116049</v>
      </c>
      <c r="C109" s="91" t="s">
        <v>141</v>
      </c>
      <c r="D109" s="58" t="s">
        <v>845</v>
      </c>
      <c r="E109" s="59">
        <v>31829</v>
      </c>
      <c r="F109" s="92">
        <f ca="1">(TODAY()-Data_Assessment[[#This Row],[BIRTH DATE]])/365.25</f>
        <v>35.077344284736483</v>
      </c>
      <c r="G109" s="62" t="s">
        <v>898</v>
      </c>
      <c r="H109" s="63" t="s">
        <v>899</v>
      </c>
      <c r="I109" s="106">
        <v>1</v>
      </c>
      <c r="J109" s="64" t="s">
        <v>1011</v>
      </c>
      <c r="K109" s="143">
        <v>4</v>
      </c>
      <c r="L109" s="58"/>
      <c r="M109" s="58"/>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102"/>
      <c r="AP109" s="102"/>
    </row>
    <row r="110" spans="1:42" ht="29.25">
      <c r="A110" s="89">
        <v>109</v>
      </c>
      <c r="B110" s="90">
        <v>50148528</v>
      </c>
      <c r="C110" s="91" t="s">
        <v>229</v>
      </c>
      <c r="D110" s="58" t="s">
        <v>845</v>
      </c>
      <c r="E110" s="59">
        <v>25089</v>
      </c>
      <c r="F110" s="92">
        <f ca="1">(TODAY()-Data_Assessment[[#This Row],[BIRTH DATE]])/365.25</f>
        <v>53.530458590006845</v>
      </c>
      <c r="G110" s="62" t="s">
        <v>919</v>
      </c>
      <c r="H110" s="63" t="s">
        <v>972</v>
      </c>
      <c r="I110" s="106">
        <v>1</v>
      </c>
      <c r="J110" s="64" t="s">
        <v>1012</v>
      </c>
      <c r="K110" s="143">
        <v>0</v>
      </c>
      <c r="L110" s="58"/>
      <c r="M110" s="58"/>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c r="AL110" s="102"/>
      <c r="AM110" s="102"/>
      <c r="AN110" s="102"/>
      <c r="AO110" s="102"/>
      <c r="AP110" s="102"/>
    </row>
    <row r="111" spans="1:42">
      <c r="A111" s="89">
        <v>110</v>
      </c>
      <c r="B111" s="90">
        <v>50030940</v>
      </c>
      <c r="C111" s="91" t="s">
        <v>142</v>
      </c>
      <c r="D111" s="58" t="s">
        <v>846</v>
      </c>
      <c r="E111" s="59">
        <v>28900</v>
      </c>
      <c r="F111" s="92">
        <f ca="1">(TODAY()-Data_Assessment[[#This Row],[BIRTH DATE]])/365.25</f>
        <v>43.096509240246405</v>
      </c>
      <c r="G111" s="62" t="s">
        <v>898</v>
      </c>
      <c r="H111" s="63" t="s">
        <v>899</v>
      </c>
      <c r="I111" s="106">
        <v>1</v>
      </c>
      <c r="J111" s="64" t="s">
        <v>1013</v>
      </c>
      <c r="K111" s="143">
        <v>4</v>
      </c>
      <c r="L111" s="58"/>
      <c r="M111" s="58"/>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c r="AL111" s="102"/>
      <c r="AM111" s="102"/>
      <c r="AN111" s="102"/>
      <c r="AO111" s="102"/>
      <c r="AP111" s="102"/>
    </row>
    <row r="112" spans="1:42" ht="29.25">
      <c r="A112" s="89">
        <v>111</v>
      </c>
      <c r="B112" s="90">
        <v>50148057</v>
      </c>
      <c r="C112" s="91" t="s">
        <v>230</v>
      </c>
      <c r="D112" s="58" t="s">
        <v>845</v>
      </c>
      <c r="E112" s="59">
        <v>29830</v>
      </c>
      <c r="F112" s="92">
        <f ca="1">(TODAY()-Data_Assessment[[#This Row],[BIRTH DATE]])/365.25</f>
        <v>40.550308008213555</v>
      </c>
      <c r="G112" s="62" t="s">
        <v>919</v>
      </c>
      <c r="H112" s="63" t="s">
        <v>972</v>
      </c>
      <c r="I112" s="106">
        <v>1</v>
      </c>
      <c r="J112" s="64" t="s">
        <v>1014</v>
      </c>
      <c r="K112" s="143">
        <v>0</v>
      </c>
      <c r="L112" s="58"/>
      <c r="M112" s="58"/>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102"/>
      <c r="AP112" s="102"/>
    </row>
    <row r="113" spans="1:42">
      <c r="A113" s="89">
        <v>112</v>
      </c>
      <c r="B113" s="90">
        <v>50030937</v>
      </c>
      <c r="C113" s="91" t="s">
        <v>143</v>
      </c>
      <c r="D113" s="58" t="s">
        <v>845</v>
      </c>
      <c r="E113" s="59">
        <v>25655</v>
      </c>
      <c r="F113" s="92">
        <f ca="1">(TODAY()-Data_Assessment[[#This Row],[BIRTH DATE]])/365.25</f>
        <v>51.980835044490078</v>
      </c>
      <c r="G113" s="62" t="s">
        <v>898</v>
      </c>
      <c r="H113" s="63" t="s">
        <v>899</v>
      </c>
      <c r="I113" s="106">
        <v>1</v>
      </c>
      <c r="J113" s="64" t="s">
        <v>1013</v>
      </c>
      <c r="K113" s="143">
        <v>3</v>
      </c>
      <c r="L113" s="58"/>
      <c r="M113" s="58"/>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102"/>
      <c r="AP113" s="102"/>
    </row>
    <row r="114" spans="1:42" ht="29.25">
      <c r="A114" s="89">
        <v>113</v>
      </c>
      <c r="B114" s="90">
        <v>50139981</v>
      </c>
      <c r="C114" s="91" t="s">
        <v>231</v>
      </c>
      <c r="D114" s="58" t="s">
        <v>845</v>
      </c>
      <c r="E114" s="59">
        <v>26401</v>
      </c>
      <c r="F114" s="92">
        <f ca="1">(TODAY()-Data_Assessment[[#This Row],[BIRTH DATE]])/365.25</f>
        <v>49.938398357289529</v>
      </c>
      <c r="G114" s="62" t="s">
        <v>919</v>
      </c>
      <c r="H114" s="63" t="s">
        <v>972</v>
      </c>
      <c r="I114" s="106">
        <v>1</v>
      </c>
      <c r="J114" s="64" t="s">
        <v>1015</v>
      </c>
      <c r="K114" s="143">
        <v>0</v>
      </c>
      <c r="L114" s="58"/>
      <c r="M114" s="58"/>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c r="AL114" s="102"/>
      <c r="AM114" s="102"/>
      <c r="AN114" s="102"/>
      <c r="AO114" s="102"/>
      <c r="AP114" s="102"/>
    </row>
    <row r="115" spans="1:42">
      <c r="A115" s="89">
        <v>114</v>
      </c>
      <c r="B115" s="90">
        <v>50030938</v>
      </c>
      <c r="C115" s="91" t="s">
        <v>144</v>
      </c>
      <c r="D115" s="58" t="s">
        <v>846</v>
      </c>
      <c r="E115" s="59">
        <v>27947</v>
      </c>
      <c r="F115" s="92">
        <f ca="1">(TODAY()-Data_Assessment[[#This Row],[BIRTH DATE]])/365.25</f>
        <v>45.705681040383297</v>
      </c>
      <c r="G115" s="62" t="s">
        <v>898</v>
      </c>
      <c r="H115" s="63" t="s">
        <v>899</v>
      </c>
      <c r="I115" s="106">
        <v>1</v>
      </c>
      <c r="J115" s="64" t="s">
        <v>1016</v>
      </c>
      <c r="K115" s="143">
        <v>2</v>
      </c>
      <c r="L115" s="58"/>
      <c r="M115" s="58"/>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2"/>
      <c r="AP115" s="102"/>
    </row>
    <row r="116" spans="1:42" ht="29.25">
      <c r="A116" s="89">
        <v>115</v>
      </c>
      <c r="B116" s="90">
        <v>50147405</v>
      </c>
      <c r="C116" s="91" t="s">
        <v>232</v>
      </c>
      <c r="D116" s="58" t="s">
        <v>845</v>
      </c>
      <c r="E116" s="59">
        <v>30592</v>
      </c>
      <c r="F116" s="92">
        <f ca="1">(TODAY()-Data_Assessment[[#This Row],[BIRTH DATE]])/365.25</f>
        <v>38.464065708418893</v>
      </c>
      <c r="G116" s="62" t="s">
        <v>919</v>
      </c>
      <c r="H116" s="63" t="s">
        <v>972</v>
      </c>
      <c r="I116" s="106">
        <v>1</v>
      </c>
      <c r="J116" s="64" t="s">
        <v>1017</v>
      </c>
      <c r="K116" s="143">
        <v>0</v>
      </c>
      <c r="L116" s="58"/>
      <c r="M116" s="58"/>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c r="AL116" s="102"/>
      <c r="AM116" s="102"/>
      <c r="AN116" s="102"/>
      <c r="AO116" s="102"/>
      <c r="AP116" s="102"/>
    </row>
    <row r="117" spans="1:42">
      <c r="A117" s="89">
        <v>116</v>
      </c>
      <c r="B117" s="90">
        <v>50030939</v>
      </c>
      <c r="C117" s="91" t="s">
        <v>145</v>
      </c>
      <c r="D117" s="58" t="s">
        <v>845</v>
      </c>
      <c r="E117" s="59">
        <v>26160</v>
      </c>
      <c r="F117" s="92">
        <f ca="1">(TODAY()-Data_Assessment[[#This Row],[BIRTH DATE]])/365.25</f>
        <v>50.598220396988367</v>
      </c>
      <c r="G117" s="62" t="s">
        <v>898</v>
      </c>
      <c r="H117" s="63" t="s">
        <v>899</v>
      </c>
      <c r="I117" s="106">
        <v>1</v>
      </c>
      <c r="J117" s="64" t="s">
        <v>1016</v>
      </c>
      <c r="K117" s="143">
        <v>2</v>
      </c>
      <c r="L117" s="58"/>
      <c r="M117" s="58"/>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c r="AK117" s="102"/>
      <c r="AL117" s="102"/>
      <c r="AM117" s="102"/>
      <c r="AN117" s="102"/>
      <c r="AO117" s="102"/>
      <c r="AP117" s="102"/>
    </row>
    <row r="118" spans="1:42" ht="29.25">
      <c r="A118" s="89">
        <v>117</v>
      </c>
      <c r="B118" s="90">
        <v>50147407</v>
      </c>
      <c r="C118" s="91" t="s">
        <v>233</v>
      </c>
      <c r="D118" s="58" t="s">
        <v>845</v>
      </c>
      <c r="E118" s="59">
        <v>30042</v>
      </c>
      <c r="F118" s="92">
        <f ca="1">(TODAY()-Data_Assessment[[#This Row],[BIRTH DATE]])/365.25</f>
        <v>39.969883641341546</v>
      </c>
      <c r="G118" s="62" t="s">
        <v>919</v>
      </c>
      <c r="H118" s="63" t="s">
        <v>972</v>
      </c>
      <c r="I118" s="106">
        <v>1</v>
      </c>
      <c r="J118" s="64" t="s">
        <v>1018</v>
      </c>
      <c r="K118" s="143">
        <v>0</v>
      </c>
      <c r="L118" s="58"/>
      <c r="M118" s="58"/>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c r="AK118" s="102"/>
      <c r="AL118" s="102"/>
      <c r="AM118" s="102"/>
      <c r="AN118" s="102"/>
      <c r="AO118" s="102"/>
      <c r="AP118" s="102"/>
    </row>
    <row r="119" spans="1:42">
      <c r="A119" s="89">
        <v>118</v>
      </c>
      <c r="B119" s="90">
        <v>50030888</v>
      </c>
      <c r="C119" s="91" t="s">
        <v>146</v>
      </c>
      <c r="D119" s="58" t="s">
        <v>845</v>
      </c>
      <c r="E119" s="59">
        <v>25614</v>
      </c>
      <c r="F119" s="92">
        <f ca="1">(TODAY()-Data_Assessment[[#This Row],[BIRTH DATE]])/365.25</f>
        <v>52.093086926762489</v>
      </c>
      <c r="G119" s="62" t="s">
        <v>898</v>
      </c>
      <c r="H119" s="63" t="s">
        <v>899</v>
      </c>
      <c r="I119" s="106">
        <v>1</v>
      </c>
      <c r="J119" s="64" t="s">
        <v>1019</v>
      </c>
      <c r="K119" s="143">
        <v>3</v>
      </c>
      <c r="L119" s="58"/>
      <c r="M119" s="58"/>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c r="AK119" s="102"/>
      <c r="AL119" s="102"/>
      <c r="AM119" s="102"/>
      <c r="AN119" s="102"/>
      <c r="AO119" s="102"/>
      <c r="AP119" s="102"/>
    </row>
    <row r="120" spans="1:42" ht="29.25">
      <c r="A120" s="89">
        <v>119</v>
      </c>
      <c r="B120" s="90">
        <v>50146153</v>
      </c>
      <c r="C120" s="91" t="s">
        <v>234</v>
      </c>
      <c r="D120" s="58" t="s">
        <v>845</v>
      </c>
      <c r="E120" s="59">
        <v>29830</v>
      </c>
      <c r="F120" s="92">
        <f ca="1">(TODAY()-Data_Assessment[[#This Row],[BIRTH DATE]])/365.25</f>
        <v>40.550308008213555</v>
      </c>
      <c r="G120" s="62" t="s">
        <v>919</v>
      </c>
      <c r="H120" s="63" t="s">
        <v>972</v>
      </c>
      <c r="I120" s="106">
        <v>1</v>
      </c>
      <c r="J120" s="64" t="s">
        <v>1020</v>
      </c>
      <c r="K120" s="143">
        <v>0</v>
      </c>
      <c r="L120" s="58"/>
      <c r="M120" s="58"/>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c r="AL120" s="102"/>
      <c r="AM120" s="102"/>
      <c r="AN120" s="102"/>
      <c r="AO120" s="102"/>
      <c r="AP120" s="102"/>
    </row>
    <row r="121" spans="1:42">
      <c r="A121" s="89">
        <v>120</v>
      </c>
      <c r="B121" s="90">
        <v>50030892</v>
      </c>
      <c r="C121" s="91" t="s">
        <v>147</v>
      </c>
      <c r="D121" s="58" t="s">
        <v>845</v>
      </c>
      <c r="E121" s="59">
        <v>26959</v>
      </c>
      <c r="F121" s="92">
        <f ca="1">(TODAY()-Data_Assessment[[#This Row],[BIRTH DATE]])/365.25</f>
        <v>48.410677618069812</v>
      </c>
      <c r="G121" s="62" t="s">
        <v>898</v>
      </c>
      <c r="H121" s="63" t="s">
        <v>899</v>
      </c>
      <c r="I121" s="106">
        <v>1</v>
      </c>
      <c r="J121" s="64" t="s">
        <v>1021</v>
      </c>
      <c r="K121" s="143">
        <v>2</v>
      </c>
      <c r="L121" s="58"/>
      <c r="M121" s="58"/>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c r="AK121" s="102"/>
      <c r="AL121" s="102"/>
      <c r="AM121" s="102"/>
      <c r="AN121" s="102"/>
      <c r="AO121" s="102"/>
      <c r="AP121" s="102"/>
    </row>
    <row r="122" spans="1:42">
      <c r="A122" s="89">
        <v>121</v>
      </c>
      <c r="B122" s="90">
        <v>50112878</v>
      </c>
      <c r="C122" s="91" t="s">
        <v>525</v>
      </c>
      <c r="D122" s="58" t="s">
        <v>845</v>
      </c>
      <c r="E122" s="59">
        <v>34787</v>
      </c>
      <c r="F122" s="92">
        <f ca="1">(TODAY()-Data_Assessment[[#This Row],[BIRTH DATE]])/365.25</f>
        <v>26.978781656399725</v>
      </c>
      <c r="G122" s="62" t="s">
        <v>941</v>
      </c>
      <c r="H122" s="63" t="s">
        <v>942</v>
      </c>
      <c r="I122" s="106">
        <v>2</v>
      </c>
      <c r="J122" s="64" t="s">
        <v>943</v>
      </c>
      <c r="K122" s="143">
        <v>3</v>
      </c>
      <c r="L122" s="58"/>
      <c r="M122" s="58"/>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c r="AK122" s="102"/>
      <c r="AL122" s="102"/>
      <c r="AM122" s="102"/>
      <c r="AN122" s="102"/>
      <c r="AO122" s="102"/>
      <c r="AP122" s="102"/>
    </row>
    <row r="123" spans="1:42">
      <c r="A123" s="89">
        <v>122</v>
      </c>
      <c r="B123" s="90">
        <v>50030595</v>
      </c>
      <c r="C123" s="91" t="s">
        <v>148</v>
      </c>
      <c r="D123" s="58" t="s">
        <v>845</v>
      </c>
      <c r="E123" s="59">
        <v>28985</v>
      </c>
      <c r="F123" s="92">
        <f ca="1">(TODAY()-Data_Assessment[[#This Row],[BIRTH DATE]])/365.25</f>
        <v>42.86379192334018</v>
      </c>
      <c r="G123" s="62" t="s">
        <v>898</v>
      </c>
      <c r="H123" s="63" t="s">
        <v>899</v>
      </c>
      <c r="I123" s="106">
        <v>1</v>
      </c>
      <c r="J123" s="64" t="s">
        <v>1021</v>
      </c>
      <c r="K123" s="143">
        <v>4</v>
      </c>
      <c r="L123" s="58"/>
      <c r="M123" s="58"/>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102"/>
      <c r="AP123" s="102"/>
    </row>
    <row r="124" spans="1:42" ht="29.25">
      <c r="A124" s="89">
        <v>123</v>
      </c>
      <c r="B124" s="90">
        <v>50146157</v>
      </c>
      <c r="C124" s="91" t="s">
        <v>235</v>
      </c>
      <c r="D124" s="58" t="s">
        <v>845</v>
      </c>
      <c r="E124" s="59">
        <v>29645</v>
      </c>
      <c r="F124" s="92">
        <f ca="1">(TODAY()-Data_Assessment[[#This Row],[BIRTH DATE]])/365.25</f>
        <v>41.056810403832991</v>
      </c>
      <c r="G124" s="62" t="s">
        <v>919</v>
      </c>
      <c r="H124" s="63" t="s">
        <v>972</v>
      </c>
      <c r="I124" s="106">
        <v>1</v>
      </c>
      <c r="J124" s="64" t="s">
        <v>1017</v>
      </c>
      <c r="K124" s="143">
        <v>0</v>
      </c>
      <c r="L124" s="58"/>
      <c r="M124" s="58"/>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102"/>
      <c r="AP124" s="102"/>
    </row>
    <row r="125" spans="1:42">
      <c r="A125" s="89">
        <v>124</v>
      </c>
      <c r="B125" s="90">
        <v>50142023</v>
      </c>
      <c r="C125" s="91" t="s">
        <v>149</v>
      </c>
      <c r="D125" s="58" t="s">
        <v>845</v>
      </c>
      <c r="E125" s="59">
        <v>26043</v>
      </c>
      <c r="F125" s="92">
        <f ca="1">(TODAY()-Data_Assessment[[#This Row],[BIRTH DATE]])/365.25</f>
        <v>50.918548939082818</v>
      </c>
      <c r="G125" s="62" t="s">
        <v>898</v>
      </c>
      <c r="H125" s="63" t="s">
        <v>899</v>
      </c>
      <c r="I125" s="106">
        <v>1</v>
      </c>
      <c r="J125" s="64" t="s">
        <v>1021</v>
      </c>
      <c r="K125" s="143">
        <v>3</v>
      </c>
      <c r="L125" s="58"/>
      <c r="M125" s="58"/>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c r="AK125" s="102"/>
      <c r="AL125" s="102"/>
      <c r="AM125" s="102"/>
      <c r="AN125" s="102"/>
      <c r="AO125" s="102"/>
      <c r="AP125" s="102"/>
    </row>
    <row r="126" spans="1:42" ht="29.25">
      <c r="A126" s="89">
        <v>125</v>
      </c>
      <c r="B126" s="90">
        <v>50146158</v>
      </c>
      <c r="C126" s="91" t="s">
        <v>236</v>
      </c>
      <c r="D126" s="58" t="s">
        <v>845</v>
      </c>
      <c r="E126" s="59">
        <v>32364</v>
      </c>
      <c r="F126" s="92">
        <f ca="1">(TODAY()-Data_Assessment[[#This Row],[BIRTH DATE]])/365.25</f>
        <v>33.612594113620808</v>
      </c>
      <c r="G126" s="62" t="s">
        <v>919</v>
      </c>
      <c r="H126" s="63" t="s">
        <v>972</v>
      </c>
      <c r="I126" s="106">
        <v>1</v>
      </c>
      <c r="J126" s="64" t="s">
        <v>1022</v>
      </c>
      <c r="K126" s="143">
        <v>0</v>
      </c>
      <c r="L126" s="58"/>
      <c r="M126" s="58"/>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102"/>
      <c r="AP126" s="102"/>
    </row>
    <row r="127" spans="1:42">
      <c r="A127" s="89">
        <v>126</v>
      </c>
      <c r="B127" s="90">
        <v>50142002</v>
      </c>
      <c r="C127" s="91" t="s">
        <v>150</v>
      </c>
      <c r="D127" s="58" t="s">
        <v>845</v>
      </c>
      <c r="E127" s="59">
        <v>34275</v>
      </c>
      <c r="F127" s="92">
        <f ca="1">(TODAY()-Data_Assessment[[#This Row],[BIRTH DATE]])/365.25</f>
        <v>28.380561259411362</v>
      </c>
      <c r="G127" s="62" t="s">
        <v>898</v>
      </c>
      <c r="H127" s="63" t="s">
        <v>899</v>
      </c>
      <c r="I127" s="106">
        <v>1</v>
      </c>
      <c r="J127" s="64" t="s">
        <v>1021</v>
      </c>
      <c r="K127" s="143">
        <v>2</v>
      </c>
      <c r="L127" s="58"/>
      <c r="M127" s="58"/>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102"/>
      <c r="AP127" s="102"/>
    </row>
    <row r="128" spans="1:42" ht="29.25">
      <c r="A128" s="89">
        <v>127</v>
      </c>
      <c r="B128" s="90">
        <v>50146159</v>
      </c>
      <c r="C128" s="91" t="s">
        <v>237</v>
      </c>
      <c r="D128" s="58" t="s">
        <v>845</v>
      </c>
      <c r="E128" s="59">
        <v>33112</v>
      </c>
      <c r="F128" s="92">
        <f ca="1">(TODAY()-Data_Assessment[[#This Row],[BIRTH DATE]])/365.25</f>
        <v>31.564681724845997</v>
      </c>
      <c r="G128" s="62" t="s">
        <v>919</v>
      </c>
      <c r="H128" s="63" t="s">
        <v>972</v>
      </c>
      <c r="I128" s="106">
        <v>1</v>
      </c>
      <c r="J128" s="64" t="s">
        <v>1023</v>
      </c>
      <c r="K128" s="143">
        <v>0</v>
      </c>
      <c r="L128" s="58"/>
      <c r="M128" s="58"/>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c r="AK128" s="102"/>
      <c r="AL128" s="102"/>
      <c r="AM128" s="102"/>
      <c r="AN128" s="102"/>
      <c r="AO128" s="102"/>
      <c r="AP128" s="102"/>
    </row>
    <row r="129" spans="1:42">
      <c r="A129" s="89">
        <v>128</v>
      </c>
      <c r="B129" s="90">
        <v>50032394</v>
      </c>
      <c r="C129" s="91" t="s">
        <v>151</v>
      </c>
      <c r="D129" s="58" t="s">
        <v>845</v>
      </c>
      <c r="E129" s="59">
        <v>29746</v>
      </c>
      <c r="F129" s="92">
        <f ca="1">(TODAY()-Data_Assessment[[#This Row],[BIRTH DATE]])/365.25</f>
        <v>40.780287474332646</v>
      </c>
      <c r="G129" s="62" t="s">
        <v>898</v>
      </c>
      <c r="H129" s="63" t="s">
        <v>899</v>
      </c>
      <c r="I129" s="106">
        <v>1</v>
      </c>
      <c r="J129" s="64" t="s">
        <v>1024</v>
      </c>
      <c r="K129" s="143">
        <v>3</v>
      </c>
      <c r="L129" s="58"/>
      <c r="M129" s="58"/>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102"/>
      <c r="AP129" s="102"/>
    </row>
    <row r="130" spans="1:42">
      <c r="A130" s="89">
        <v>129</v>
      </c>
      <c r="B130" s="90">
        <v>50144871</v>
      </c>
      <c r="C130" s="91" t="s">
        <v>529</v>
      </c>
      <c r="D130" s="58" t="s">
        <v>845</v>
      </c>
      <c r="E130" s="59">
        <v>35626</v>
      </c>
      <c r="F130" s="92">
        <f ca="1">(TODAY()-Data_Assessment[[#This Row],[BIRTH DATE]])/365.25</f>
        <v>24.681724845995895</v>
      </c>
      <c r="G130" s="62" t="s">
        <v>895</v>
      </c>
      <c r="H130" s="63" t="s">
        <v>942</v>
      </c>
      <c r="I130" s="106">
        <v>1</v>
      </c>
      <c r="J130" s="64" t="s">
        <v>943</v>
      </c>
      <c r="K130" s="143">
        <v>0</v>
      </c>
      <c r="L130" s="58"/>
      <c r="M130" s="58"/>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102"/>
      <c r="AP130" s="102"/>
    </row>
    <row r="131" spans="1:42" ht="29.25">
      <c r="A131" s="89">
        <v>130</v>
      </c>
      <c r="B131" s="90">
        <v>50044099</v>
      </c>
      <c r="C131" s="91" t="s">
        <v>255</v>
      </c>
      <c r="D131" s="58" t="s">
        <v>846</v>
      </c>
      <c r="E131" s="59">
        <v>27649</v>
      </c>
      <c r="F131" s="92">
        <f ca="1">(TODAY()-Data_Assessment[[#This Row],[BIRTH DATE]])/365.25</f>
        <v>46.521560574948666</v>
      </c>
      <c r="G131" s="62" t="s">
        <v>986</v>
      </c>
      <c r="H131" s="63" t="s">
        <v>987</v>
      </c>
      <c r="I131" s="106">
        <v>4</v>
      </c>
      <c r="J131" s="64" t="s">
        <v>1025</v>
      </c>
      <c r="K131" s="143">
        <v>3</v>
      </c>
      <c r="L131" s="58"/>
      <c r="M131" s="58"/>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c r="AL131" s="102"/>
      <c r="AM131" s="102"/>
      <c r="AN131" s="102"/>
      <c r="AO131" s="102"/>
      <c r="AP131" s="102"/>
    </row>
    <row r="132" spans="1:42" ht="29.25">
      <c r="A132" s="89">
        <v>131</v>
      </c>
      <c r="B132" s="90">
        <v>50041841</v>
      </c>
      <c r="C132" s="91" t="s">
        <v>153</v>
      </c>
      <c r="D132" s="58" t="s">
        <v>845</v>
      </c>
      <c r="E132" s="59">
        <v>31242</v>
      </c>
      <c r="F132" s="92">
        <f ca="1">(TODAY()-Data_Assessment[[#This Row],[BIRTH DATE]])/365.25</f>
        <v>36.684462696783022</v>
      </c>
      <c r="G132" s="62" t="s">
        <v>898</v>
      </c>
      <c r="H132" s="63" t="s">
        <v>899</v>
      </c>
      <c r="I132" s="106">
        <v>1</v>
      </c>
      <c r="J132" s="64" t="s">
        <v>1026</v>
      </c>
      <c r="K132" s="143">
        <v>4</v>
      </c>
      <c r="L132" s="58"/>
      <c r="M132" s="58"/>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c r="AL132" s="102"/>
      <c r="AM132" s="102"/>
      <c r="AN132" s="102"/>
      <c r="AO132" s="102"/>
      <c r="AP132" s="102"/>
    </row>
    <row r="133" spans="1:42">
      <c r="A133" s="89">
        <v>132</v>
      </c>
      <c r="B133" s="90">
        <v>50108643</v>
      </c>
      <c r="C133" s="91" t="s">
        <v>258</v>
      </c>
      <c r="D133" s="58" t="s">
        <v>845</v>
      </c>
      <c r="E133" s="59">
        <v>29194</v>
      </c>
      <c r="F133" s="92">
        <f ca="1">(TODAY()-Data_Assessment[[#This Row],[BIRTH DATE]])/365.25</f>
        <v>42.291581108829568</v>
      </c>
      <c r="G133" s="62" t="s">
        <v>986</v>
      </c>
      <c r="H133" s="63" t="s">
        <v>987</v>
      </c>
      <c r="I133" s="106">
        <v>4</v>
      </c>
      <c r="J133" s="64" t="s">
        <v>1027</v>
      </c>
      <c r="K133" s="143">
        <v>4</v>
      </c>
      <c r="L133" s="58"/>
      <c r="M133" s="58"/>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c r="AK133" s="102"/>
      <c r="AL133" s="102"/>
      <c r="AM133" s="102"/>
      <c r="AN133" s="102"/>
      <c r="AO133" s="102"/>
      <c r="AP133" s="102"/>
    </row>
    <row r="134" spans="1:42" ht="29.25">
      <c r="A134" s="89">
        <v>133</v>
      </c>
      <c r="B134" s="90">
        <v>50030995</v>
      </c>
      <c r="C134" s="91" t="s">
        <v>154</v>
      </c>
      <c r="D134" s="58" t="s">
        <v>845</v>
      </c>
      <c r="E134" s="59">
        <v>30448</v>
      </c>
      <c r="F134" s="92">
        <f ca="1">(TODAY()-Data_Assessment[[#This Row],[BIRTH DATE]])/365.25</f>
        <v>38.858316221765911</v>
      </c>
      <c r="G134" s="62" t="s">
        <v>898</v>
      </c>
      <c r="H134" s="63" t="s">
        <v>899</v>
      </c>
      <c r="I134" s="106">
        <v>1</v>
      </c>
      <c r="J134" s="64" t="s">
        <v>1028</v>
      </c>
      <c r="K134" s="143">
        <v>4</v>
      </c>
      <c r="L134" s="58"/>
      <c r="M134" s="58"/>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c r="AK134" s="102"/>
      <c r="AL134" s="102"/>
      <c r="AM134" s="102"/>
      <c r="AN134" s="102"/>
      <c r="AO134" s="102"/>
      <c r="AP134" s="102"/>
    </row>
    <row r="135" spans="1:42">
      <c r="A135" s="89">
        <v>134</v>
      </c>
      <c r="B135" s="90">
        <v>50125371</v>
      </c>
      <c r="C135" s="91" t="s">
        <v>264</v>
      </c>
      <c r="D135" s="58" t="s">
        <v>845</v>
      </c>
      <c r="E135" s="59">
        <v>26861</v>
      </c>
      <c r="F135" s="92">
        <f ca="1">(TODAY()-Data_Assessment[[#This Row],[BIRTH DATE]])/365.25</f>
        <v>48.67898699520876</v>
      </c>
      <c r="G135" s="62" t="s">
        <v>986</v>
      </c>
      <c r="H135" s="63" t="s">
        <v>987</v>
      </c>
      <c r="I135" s="106">
        <v>4</v>
      </c>
      <c r="J135" s="64" t="s">
        <v>1029</v>
      </c>
      <c r="K135" s="143">
        <v>3</v>
      </c>
      <c r="L135" s="58"/>
      <c r="M135" s="58"/>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c r="AL135" s="102"/>
      <c r="AM135" s="102"/>
      <c r="AN135" s="102"/>
      <c r="AO135" s="102"/>
      <c r="AP135" s="102"/>
    </row>
    <row r="136" spans="1:42" ht="29.25">
      <c r="A136" s="89">
        <v>135</v>
      </c>
      <c r="B136" s="90">
        <v>50140225</v>
      </c>
      <c r="C136" s="91" t="s">
        <v>579</v>
      </c>
      <c r="D136" s="58" t="s">
        <v>845</v>
      </c>
      <c r="E136" s="59">
        <v>29446</v>
      </c>
      <c r="F136" s="92">
        <f ca="1">(TODAY()-Data_Assessment[[#This Row],[BIRTH DATE]])/365.25</f>
        <v>41.601642710472277</v>
      </c>
      <c r="G136" s="62" t="s">
        <v>919</v>
      </c>
      <c r="H136" s="63" t="s">
        <v>972</v>
      </c>
      <c r="I136" s="106">
        <v>1</v>
      </c>
      <c r="J136" s="64" t="s">
        <v>1030</v>
      </c>
      <c r="K136" s="143">
        <v>2</v>
      </c>
      <c r="L136" s="58"/>
      <c r="M136" s="58"/>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c r="AK136" s="102"/>
      <c r="AL136" s="102"/>
      <c r="AM136" s="102"/>
      <c r="AN136" s="102"/>
      <c r="AO136" s="102"/>
      <c r="AP136" s="102"/>
    </row>
    <row r="137" spans="1:42">
      <c r="A137" s="89">
        <v>136</v>
      </c>
      <c r="B137" s="90">
        <v>50040466</v>
      </c>
      <c r="C137" s="91" t="s">
        <v>156</v>
      </c>
      <c r="D137" s="58" t="s">
        <v>845</v>
      </c>
      <c r="E137" s="59">
        <v>33053</v>
      </c>
      <c r="F137" s="92">
        <f ca="1">(TODAY()-Data_Assessment[[#This Row],[BIRTH DATE]])/365.25</f>
        <v>31.72621492128679</v>
      </c>
      <c r="G137" s="62" t="s">
        <v>898</v>
      </c>
      <c r="H137" s="63" t="s">
        <v>899</v>
      </c>
      <c r="I137" s="106">
        <v>1</v>
      </c>
      <c r="J137" s="64" t="s">
        <v>960</v>
      </c>
      <c r="K137" s="143">
        <v>3</v>
      </c>
      <c r="L137" s="58"/>
      <c r="M137" s="58"/>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c r="AK137" s="102"/>
      <c r="AL137" s="102"/>
      <c r="AM137" s="102"/>
      <c r="AN137" s="102"/>
      <c r="AO137" s="102"/>
      <c r="AP137" s="102"/>
    </row>
    <row r="138" spans="1:42" ht="29.25">
      <c r="A138" s="89">
        <v>137</v>
      </c>
      <c r="B138" s="90">
        <v>50140224</v>
      </c>
      <c r="C138" s="91" t="s">
        <v>592</v>
      </c>
      <c r="D138" s="58" t="s">
        <v>845</v>
      </c>
      <c r="E138" s="59">
        <v>28355</v>
      </c>
      <c r="F138" s="92">
        <f ca="1">(TODAY()-Data_Assessment[[#This Row],[BIRTH DATE]])/365.25</f>
        <v>44.588637919233399</v>
      </c>
      <c r="G138" s="62" t="s">
        <v>919</v>
      </c>
      <c r="H138" s="63" t="s">
        <v>972</v>
      </c>
      <c r="I138" s="106">
        <v>1</v>
      </c>
      <c r="J138" s="64" t="s">
        <v>1031</v>
      </c>
      <c r="K138" s="143">
        <v>3</v>
      </c>
      <c r="L138" s="58"/>
      <c r="M138" s="58"/>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c r="AL138" s="102"/>
      <c r="AM138" s="102"/>
      <c r="AN138" s="102"/>
      <c r="AO138" s="102"/>
      <c r="AP138" s="102"/>
    </row>
    <row r="139" spans="1:42" ht="29.25">
      <c r="A139" s="89">
        <v>138</v>
      </c>
      <c r="B139" s="90">
        <v>50031263</v>
      </c>
      <c r="C139" s="91" t="s">
        <v>157</v>
      </c>
      <c r="D139" s="58" t="s">
        <v>846</v>
      </c>
      <c r="E139" s="59">
        <v>32767</v>
      </c>
      <c r="F139" s="92">
        <f ca="1">(TODAY()-Data_Assessment[[#This Row],[BIRTH DATE]])/365.25</f>
        <v>32.50924024640657</v>
      </c>
      <c r="G139" s="62" t="s">
        <v>898</v>
      </c>
      <c r="H139" s="63" t="s">
        <v>899</v>
      </c>
      <c r="I139" s="106">
        <v>1</v>
      </c>
      <c r="J139" s="64" t="s">
        <v>1032</v>
      </c>
      <c r="K139" s="143">
        <v>2</v>
      </c>
      <c r="L139" s="58"/>
      <c r="M139" s="58"/>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c r="AK139" s="102"/>
      <c r="AL139" s="102"/>
      <c r="AM139" s="102"/>
      <c r="AN139" s="102"/>
      <c r="AO139" s="102"/>
      <c r="AP139" s="102"/>
    </row>
    <row r="140" spans="1:42" ht="29.25">
      <c r="A140" s="89">
        <v>139</v>
      </c>
      <c r="B140" s="90">
        <v>50149191</v>
      </c>
      <c r="C140" s="91" t="s">
        <v>269</v>
      </c>
      <c r="D140" s="58" t="s">
        <v>845</v>
      </c>
      <c r="E140" s="59">
        <v>27565</v>
      </c>
      <c r="F140" s="92">
        <f ca="1">(TODAY()-Data_Assessment[[#This Row],[BIRTH DATE]])/365.25</f>
        <v>46.751540041067763</v>
      </c>
      <c r="G140" s="62" t="s">
        <v>935</v>
      </c>
      <c r="H140" s="63" t="s">
        <v>1033</v>
      </c>
      <c r="I140" s="106">
        <v>4</v>
      </c>
      <c r="J140" s="64" t="s">
        <v>1034</v>
      </c>
      <c r="K140" s="143">
        <v>0</v>
      </c>
      <c r="L140" s="58"/>
      <c r="M140" s="58"/>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c r="AK140" s="102"/>
      <c r="AL140" s="102"/>
      <c r="AM140" s="102"/>
      <c r="AN140" s="102"/>
      <c r="AO140" s="102"/>
      <c r="AP140" s="102"/>
    </row>
    <row r="141" spans="1:42">
      <c r="A141" s="89">
        <v>140</v>
      </c>
      <c r="B141" s="90">
        <v>50030947</v>
      </c>
      <c r="C141" s="91" t="s">
        <v>158</v>
      </c>
      <c r="D141" s="58" t="s">
        <v>845</v>
      </c>
      <c r="E141" s="59">
        <v>29653</v>
      </c>
      <c r="F141" s="92">
        <f ca="1">(TODAY()-Data_Assessment[[#This Row],[BIRTH DATE]])/365.25</f>
        <v>41.034907597535934</v>
      </c>
      <c r="G141" s="62" t="s">
        <v>898</v>
      </c>
      <c r="H141" s="63" t="s">
        <v>899</v>
      </c>
      <c r="I141" s="106">
        <v>1</v>
      </c>
      <c r="J141" s="64" t="s">
        <v>1035</v>
      </c>
      <c r="K141" s="143">
        <v>3</v>
      </c>
      <c r="L141" s="58"/>
      <c r="M141" s="58"/>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c r="AK141" s="102"/>
      <c r="AL141" s="102"/>
      <c r="AM141" s="102"/>
      <c r="AN141" s="102"/>
      <c r="AO141" s="102"/>
      <c r="AP141" s="102"/>
    </row>
    <row r="142" spans="1:42" ht="29.25">
      <c r="A142" s="89">
        <v>141</v>
      </c>
      <c r="B142" s="90">
        <v>50140562</v>
      </c>
      <c r="C142" s="91" t="s">
        <v>270</v>
      </c>
      <c r="D142" s="58" t="s">
        <v>845</v>
      </c>
      <c r="E142" s="59">
        <v>31253</v>
      </c>
      <c r="F142" s="92">
        <f ca="1">(TODAY()-Data_Assessment[[#This Row],[BIRTH DATE]])/365.25</f>
        <v>36.654346338124569</v>
      </c>
      <c r="G142" s="62" t="s">
        <v>935</v>
      </c>
      <c r="H142" s="63" t="s">
        <v>1033</v>
      </c>
      <c r="I142" s="106">
        <v>4</v>
      </c>
      <c r="J142" s="64" t="s">
        <v>1036</v>
      </c>
      <c r="K142" s="143">
        <v>2</v>
      </c>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102"/>
    </row>
    <row r="143" spans="1:42">
      <c r="A143" s="89">
        <v>142</v>
      </c>
      <c r="B143" s="90">
        <v>50030951</v>
      </c>
      <c r="C143" s="91" t="s">
        <v>159</v>
      </c>
      <c r="D143" s="58" t="s">
        <v>845</v>
      </c>
      <c r="E143" s="59">
        <v>30181</v>
      </c>
      <c r="F143" s="92">
        <f ca="1">(TODAY()-Data_Assessment[[#This Row],[BIRTH DATE]])/365.25</f>
        <v>39.589322381930188</v>
      </c>
      <c r="G143" s="62" t="s">
        <v>898</v>
      </c>
      <c r="H143" s="63" t="s">
        <v>899</v>
      </c>
      <c r="I143" s="106">
        <v>1</v>
      </c>
      <c r="J143" s="64" t="s">
        <v>1037</v>
      </c>
      <c r="K143" s="143">
        <v>3</v>
      </c>
      <c r="L143" s="58"/>
      <c r="M143" s="58"/>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c r="AK143" s="102"/>
      <c r="AL143" s="102"/>
      <c r="AM143" s="102"/>
      <c r="AN143" s="102"/>
      <c r="AO143" s="102"/>
      <c r="AP143" s="102"/>
    </row>
    <row r="144" spans="1:42" ht="29.25">
      <c r="A144" s="89">
        <v>143</v>
      </c>
      <c r="B144" s="90">
        <v>50148907</v>
      </c>
      <c r="C144" s="91" t="s">
        <v>272</v>
      </c>
      <c r="D144" s="58" t="s">
        <v>845</v>
      </c>
      <c r="E144" s="59">
        <v>30142</v>
      </c>
      <c r="F144" s="92">
        <f ca="1">(TODAY()-Data_Assessment[[#This Row],[BIRTH DATE]])/365.25</f>
        <v>39.696098562628336</v>
      </c>
      <c r="G144" s="62" t="s">
        <v>935</v>
      </c>
      <c r="H144" s="63" t="s">
        <v>1033</v>
      </c>
      <c r="I144" s="106">
        <v>4</v>
      </c>
      <c r="J144" s="64" t="s">
        <v>1038</v>
      </c>
      <c r="K144" s="143">
        <v>0</v>
      </c>
      <c r="L144" s="58"/>
      <c r="M144" s="58"/>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102"/>
      <c r="AP144" s="102"/>
    </row>
    <row r="145" spans="1:42">
      <c r="A145" s="89">
        <v>144</v>
      </c>
      <c r="B145" s="90">
        <v>50030950</v>
      </c>
      <c r="C145" s="91" t="s">
        <v>160</v>
      </c>
      <c r="D145" s="58" t="s">
        <v>845</v>
      </c>
      <c r="E145" s="59">
        <v>32662</v>
      </c>
      <c r="F145" s="92">
        <f ca="1">(TODAY()-Data_Assessment[[#This Row],[BIRTH DATE]])/365.25</f>
        <v>32.79671457905544</v>
      </c>
      <c r="G145" s="62" t="s">
        <v>898</v>
      </c>
      <c r="H145" s="63" t="s">
        <v>899</v>
      </c>
      <c r="I145" s="106">
        <v>1</v>
      </c>
      <c r="J145" s="64" t="s">
        <v>1035</v>
      </c>
      <c r="K145" s="143">
        <v>4</v>
      </c>
      <c r="L145" s="58"/>
      <c r="M145" s="58"/>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102"/>
      <c r="AP145" s="102"/>
    </row>
    <row r="146" spans="1:42" ht="29.25">
      <c r="A146" s="89">
        <v>145</v>
      </c>
      <c r="B146" s="90">
        <v>50148835</v>
      </c>
      <c r="C146" s="91" t="s">
        <v>283</v>
      </c>
      <c r="D146" s="58" t="s">
        <v>846</v>
      </c>
      <c r="E146" s="59">
        <v>30128</v>
      </c>
      <c r="F146" s="92">
        <f ca="1">(TODAY()-Data_Assessment[[#This Row],[BIRTH DATE]])/365.25</f>
        <v>39.734428473648187</v>
      </c>
      <c r="G146" s="62" t="s">
        <v>986</v>
      </c>
      <c r="H146" s="63" t="s">
        <v>987</v>
      </c>
      <c r="I146" s="106">
        <v>4</v>
      </c>
      <c r="J146" s="64" t="s">
        <v>1039</v>
      </c>
      <c r="K146" s="143">
        <v>0</v>
      </c>
      <c r="L146" s="58"/>
      <c r="M146" s="58"/>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c r="AK146" s="102"/>
      <c r="AL146" s="102"/>
      <c r="AM146" s="102"/>
      <c r="AN146" s="102"/>
      <c r="AO146" s="102"/>
      <c r="AP146" s="102"/>
    </row>
    <row r="147" spans="1:42">
      <c r="A147" s="89">
        <v>146</v>
      </c>
      <c r="B147" s="90">
        <v>50038917</v>
      </c>
      <c r="C147" s="91" t="s">
        <v>161</v>
      </c>
      <c r="D147" s="58" t="s">
        <v>845</v>
      </c>
      <c r="E147" s="59">
        <v>33591</v>
      </c>
      <c r="F147" s="92">
        <f ca="1">(TODAY()-Data_Assessment[[#This Row],[BIRTH DATE]])/365.25</f>
        <v>30.253251197809718</v>
      </c>
      <c r="G147" s="62" t="s">
        <v>898</v>
      </c>
      <c r="H147" s="63" t="s">
        <v>899</v>
      </c>
      <c r="I147" s="106">
        <v>1</v>
      </c>
      <c r="J147" s="64" t="s">
        <v>1037</v>
      </c>
      <c r="K147" s="143">
        <v>3</v>
      </c>
      <c r="L147" s="58"/>
      <c r="M147" s="58"/>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102"/>
      <c r="AP147" s="102"/>
    </row>
    <row r="148" spans="1:42">
      <c r="A148" s="89">
        <v>147</v>
      </c>
      <c r="B148" s="90">
        <v>50115180</v>
      </c>
      <c r="C148" s="91" t="s">
        <v>643</v>
      </c>
      <c r="D148" s="58" t="s">
        <v>845</v>
      </c>
      <c r="E148" s="59">
        <v>34201</v>
      </c>
      <c r="F148" s="92">
        <f ca="1">(TODAY()-Data_Assessment[[#This Row],[BIRTH DATE]])/365.25</f>
        <v>28.583162217659137</v>
      </c>
      <c r="G148" s="62" t="s">
        <v>919</v>
      </c>
      <c r="H148" s="63" t="s">
        <v>972</v>
      </c>
      <c r="I148" s="106">
        <v>1</v>
      </c>
      <c r="J148" s="64" t="s">
        <v>1040</v>
      </c>
      <c r="K148" s="143">
        <v>3</v>
      </c>
      <c r="L148" s="58"/>
      <c r="M148" s="58"/>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102"/>
      <c r="AP148" s="102"/>
    </row>
    <row r="149" spans="1:42" ht="29.25">
      <c r="A149" s="89">
        <v>148</v>
      </c>
      <c r="B149" s="90">
        <v>50030933</v>
      </c>
      <c r="C149" s="91" t="s">
        <v>162</v>
      </c>
      <c r="D149" s="58" t="s">
        <v>845</v>
      </c>
      <c r="E149" s="59">
        <v>30728</v>
      </c>
      <c r="F149" s="92">
        <f ca="1">(TODAY()-Data_Assessment[[#This Row],[BIRTH DATE]])/365.25</f>
        <v>38.091718001368925</v>
      </c>
      <c r="G149" s="62" t="s">
        <v>898</v>
      </c>
      <c r="H149" s="63" t="s">
        <v>899</v>
      </c>
      <c r="I149" s="106">
        <v>1</v>
      </c>
      <c r="J149" s="64" t="s">
        <v>1041</v>
      </c>
      <c r="K149" s="143">
        <v>4</v>
      </c>
      <c r="L149" s="58"/>
      <c r="M149" s="58"/>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c r="AK149" s="102"/>
      <c r="AL149" s="102"/>
      <c r="AM149" s="102"/>
      <c r="AN149" s="102"/>
      <c r="AO149" s="102"/>
      <c r="AP149" s="102"/>
    </row>
    <row r="150" spans="1:42">
      <c r="A150" s="89">
        <v>149</v>
      </c>
      <c r="B150" s="90">
        <v>50144828</v>
      </c>
      <c r="C150" s="91" t="s">
        <v>294</v>
      </c>
      <c r="D150" s="58" t="s">
        <v>845</v>
      </c>
      <c r="E150" s="59">
        <v>34537</v>
      </c>
      <c r="F150" s="92">
        <f ca="1">(TODAY()-Data_Assessment[[#This Row],[BIRTH DATE]])/365.25</f>
        <v>27.663244353182751</v>
      </c>
      <c r="G150" s="62" t="s">
        <v>986</v>
      </c>
      <c r="H150" s="63" t="s">
        <v>987</v>
      </c>
      <c r="I150" s="106">
        <v>4</v>
      </c>
      <c r="J150" s="64" t="s">
        <v>1042</v>
      </c>
      <c r="K150" s="143">
        <v>0</v>
      </c>
      <c r="L150" s="58"/>
      <c r="M150" s="58"/>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c r="AK150" s="102"/>
      <c r="AL150" s="102"/>
      <c r="AM150" s="102"/>
      <c r="AN150" s="102"/>
      <c r="AO150" s="102"/>
      <c r="AP150" s="102"/>
    </row>
    <row r="151" spans="1:42">
      <c r="A151" s="89">
        <v>150</v>
      </c>
      <c r="B151" s="90">
        <v>50030936</v>
      </c>
      <c r="C151" s="91" t="s">
        <v>163</v>
      </c>
      <c r="D151" s="58" t="s">
        <v>845</v>
      </c>
      <c r="E151" s="59">
        <v>28373</v>
      </c>
      <c r="F151" s="92">
        <f ca="1">(TODAY()-Data_Assessment[[#This Row],[BIRTH DATE]])/365.25</f>
        <v>44.539356605065024</v>
      </c>
      <c r="G151" s="62" t="s">
        <v>898</v>
      </c>
      <c r="H151" s="63" t="s">
        <v>899</v>
      </c>
      <c r="I151" s="106">
        <v>1</v>
      </c>
      <c r="J151" s="64" t="s">
        <v>1043</v>
      </c>
      <c r="K151" s="143">
        <v>3</v>
      </c>
      <c r="L151" s="58"/>
      <c r="M151" s="58"/>
      <c r="N151" s="102"/>
      <c r="O151" s="102"/>
      <c r="P151" s="102"/>
      <c r="Q151" s="102"/>
      <c r="R151" s="102"/>
      <c r="S151" s="102"/>
      <c r="T151" s="102"/>
      <c r="U151" s="102"/>
      <c r="V151" s="102"/>
      <c r="W151" s="102"/>
      <c r="X151" s="102"/>
      <c r="Y151" s="102"/>
      <c r="Z151" s="102"/>
      <c r="AA151" s="102"/>
      <c r="AB151" s="102"/>
      <c r="AC151" s="102"/>
      <c r="AD151" s="102"/>
      <c r="AE151" s="102"/>
      <c r="AF151" s="102"/>
      <c r="AG151" s="102"/>
      <c r="AH151" s="102"/>
      <c r="AI151" s="102"/>
      <c r="AJ151" s="102"/>
      <c r="AK151" s="102"/>
      <c r="AL151" s="102"/>
      <c r="AM151" s="102"/>
      <c r="AN151" s="102"/>
      <c r="AO151" s="102"/>
      <c r="AP151" s="102"/>
    </row>
    <row r="152" spans="1:42" ht="29.25">
      <c r="A152" s="89">
        <v>151</v>
      </c>
      <c r="B152" s="90">
        <v>50141702</v>
      </c>
      <c r="C152" s="91" t="s">
        <v>310</v>
      </c>
      <c r="D152" s="58" t="s">
        <v>845</v>
      </c>
      <c r="E152" s="59">
        <v>30966</v>
      </c>
      <c r="F152" s="92">
        <f ca="1">(TODAY()-Data_Assessment[[#This Row],[BIRTH DATE]])/365.25</f>
        <v>37.440109514031484</v>
      </c>
      <c r="G152" s="62" t="s">
        <v>986</v>
      </c>
      <c r="H152" s="63" t="s">
        <v>987</v>
      </c>
      <c r="I152" s="106">
        <v>4</v>
      </c>
      <c r="J152" s="64" t="s">
        <v>1044</v>
      </c>
      <c r="K152" s="143">
        <v>2</v>
      </c>
      <c r="L152" s="58"/>
      <c r="M152" s="58"/>
      <c r="N152" s="102"/>
      <c r="O152" s="102"/>
      <c r="P152" s="102"/>
      <c r="Q152" s="102"/>
      <c r="R152" s="102"/>
      <c r="S152" s="102"/>
      <c r="T152" s="102"/>
      <c r="U152" s="102"/>
      <c r="V152" s="102"/>
      <c r="W152" s="102"/>
      <c r="X152" s="102"/>
      <c r="Y152" s="102"/>
      <c r="Z152" s="102"/>
      <c r="AA152" s="102"/>
      <c r="AB152" s="102"/>
      <c r="AC152" s="102"/>
      <c r="AD152" s="102"/>
      <c r="AE152" s="102"/>
      <c r="AF152" s="102"/>
      <c r="AG152" s="102"/>
      <c r="AH152" s="102"/>
      <c r="AI152" s="102"/>
      <c r="AJ152" s="102"/>
      <c r="AK152" s="102"/>
      <c r="AL152" s="102"/>
      <c r="AM152" s="102"/>
      <c r="AN152" s="102"/>
      <c r="AO152" s="102"/>
      <c r="AP152" s="102"/>
    </row>
    <row r="153" spans="1:42">
      <c r="A153" s="89">
        <v>152</v>
      </c>
      <c r="B153" s="90">
        <v>50030935</v>
      </c>
      <c r="C153" s="91" t="s">
        <v>164</v>
      </c>
      <c r="D153" s="58" t="s">
        <v>845</v>
      </c>
      <c r="E153" s="59">
        <v>27726</v>
      </c>
      <c r="F153" s="92">
        <f ca="1">(TODAY()-Data_Assessment[[#This Row],[BIRTH DATE]])/365.25</f>
        <v>46.31074606433949</v>
      </c>
      <c r="G153" s="62" t="s">
        <v>898</v>
      </c>
      <c r="H153" s="63" t="s">
        <v>899</v>
      </c>
      <c r="I153" s="106">
        <v>1</v>
      </c>
      <c r="J153" s="64" t="s">
        <v>1045</v>
      </c>
      <c r="K153" s="143">
        <v>3</v>
      </c>
      <c r="L153" s="58"/>
      <c r="M153" s="58"/>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102"/>
      <c r="AP153" s="102"/>
    </row>
    <row r="154" spans="1:42">
      <c r="A154" s="89">
        <v>153</v>
      </c>
      <c r="B154" s="90">
        <v>50144438</v>
      </c>
      <c r="C154" s="91" t="s">
        <v>314</v>
      </c>
      <c r="D154" s="58" t="s">
        <v>845</v>
      </c>
      <c r="E154" s="59">
        <v>35764</v>
      </c>
      <c r="F154" s="92">
        <f ca="1">(TODAY()-Data_Assessment[[#This Row],[BIRTH DATE]])/365.25</f>
        <v>24.303901437371664</v>
      </c>
      <c r="G154" s="62" t="s">
        <v>986</v>
      </c>
      <c r="H154" s="63" t="s">
        <v>987</v>
      </c>
      <c r="I154" s="106">
        <v>4</v>
      </c>
      <c r="J154" s="64" t="s">
        <v>1046</v>
      </c>
      <c r="K154" s="143">
        <v>0</v>
      </c>
      <c r="L154" s="58"/>
      <c r="M154" s="58"/>
      <c r="N154" s="102"/>
      <c r="O154" s="102"/>
      <c r="P154" s="102"/>
      <c r="Q154" s="102"/>
      <c r="R154" s="102"/>
      <c r="S154" s="102"/>
      <c r="T154" s="102"/>
      <c r="U154" s="102"/>
      <c r="V154" s="102"/>
      <c r="W154" s="102"/>
      <c r="X154" s="102"/>
      <c r="Y154" s="102"/>
      <c r="Z154" s="102"/>
      <c r="AA154" s="102"/>
      <c r="AB154" s="102"/>
      <c r="AC154" s="102"/>
      <c r="AD154" s="102"/>
      <c r="AE154" s="102"/>
      <c r="AF154" s="102"/>
      <c r="AG154" s="102"/>
      <c r="AH154" s="102"/>
      <c r="AI154" s="102"/>
      <c r="AJ154" s="102"/>
      <c r="AK154" s="102"/>
      <c r="AL154" s="102"/>
      <c r="AM154" s="102"/>
      <c r="AN154" s="102"/>
      <c r="AO154" s="102"/>
      <c r="AP154" s="102"/>
    </row>
    <row r="155" spans="1:42">
      <c r="A155" s="89">
        <v>154</v>
      </c>
      <c r="B155" s="90">
        <v>50030896</v>
      </c>
      <c r="C155" s="91" t="s">
        <v>165</v>
      </c>
      <c r="D155" s="58" t="s">
        <v>846</v>
      </c>
      <c r="E155" s="59">
        <v>27144</v>
      </c>
      <c r="F155" s="92">
        <f ca="1">(TODAY()-Data_Assessment[[#This Row],[BIRTH DATE]])/365.25</f>
        <v>47.904175222450377</v>
      </c>
      <c r="G155" s="62" t="s">
        <v>898</v>
      </c>
      <c r="H155" s="63" t="s">
        <v>899</v>
      </c>
      <c r="I155" s="106">
        <v>1</v>
      </c>
      <c r="J155" s="64" t="s">
        <v>1047</v>
      </c>
      <c r="K155" s="143">
        <v>3</v>
      </c>
      <c r="L155" s="58"/>
      <c r="M155" s="58"/>
      <c r="N155" s="102"/>
      <c r="O155" s="102"/>
      <c r="P155" s="102"/>
      <c r="Q155" s="102"/>
      <c r="R155" s="102"/>
      <c r="S155" s="102"/>
      <c r="T155" s="102"/>
      <c r="U155" s="102"/>
      <c r="V155" s="102"/>
      <c r="W155" s="102"/>
      <c r="X155" s="102"/>
      <c r="Y155" s="102"/>
      <c r="Z155" s="102"/>
      <c r="AA155" s="102"/>
      <c r="AB155" s="102"/>
      <c r="AC155" s="102"/>
      <c r="AD155" s="102"/>
      <c r="AE155" s="102"/>
      <c r="AF155" s="102"/>
      <c r="AG155" s="102"/>
      <c r="AH155" s="102"/>
      <c r="AI155" s="102"/>
      <c r="AJ155" s="102"/>
      <c r="AK155" s="102"/>
      <c r="AL155" s="102"/>
      <c r="AM155" s="102"/>
      <c r="AN155" s="102"/>
      <c r="AO155" s="102"/>
      <c r="AP155" s="102"/>
    </row>
    <row r="156" spans="1:42">
      <c r="A156" s="89">
        <v>155</v>
      </c>
      <c r="B156" s="90">
        <v>50143575</v>
      </c>
      <c r="C156" s="91" t="s">
        <v>315</v>
      </c>
      <c r="D156" s="58" t="s">
        <v>845</v>
      </c>
      <c r="E156" s="59">
        <v>33213</v>
      </c>
      <c r="F156" s="92">
        <f ca="1">(TODAY()-Data_Assessment[[#This Row],[BIRTH DATE]])/365.25</f>
        <v>31.288158795345655</v>
      </c>
      <c r="G156" s="62" t="s">
        <v>986</v>
      </c>
      <c r="H156" s="63" t="s">
        <v>987</v>
      </c>
      <c r="I156" s="106">
        <v>4</v>
      </c>
      <c r="J156" s="64" t="s">
        <v>1046</v>
      </c>
      <c r="K156" s="143">
        <v>0</v>
      </c>
      <c r="L156" s="58"/>
      <c r="M156" s="58"/>
      <c r="N156" s="102"/>
      <c r="O156" s="102"/>
      <c r="P156" s="102"/>
      <c r="Q156" s="102"/>
      <c r="R156" s="102"/>
      <c r="S156" s="102"/>
      <c r="T156" s="102"/>
      <c r="U156" s="102"/>
      <c r="V156" s="102"/>
      <c r="W156" s="102"/>
      <c r="X156" s="102"/>
      <c r="Y156" s="102"/>
      <c r="Z156" s="102"/>
      <c r="AA156" s="102"/>
      <c r="AB156" s="102"/>
      <c r="AC156" s="102"/>
      <c r="AD156" s="102"/>
      <c r="AE156" s="102"/>
      <c r="AF156" s="102"/>
      <c r="AG156" s="102"/>
      <c r="AH156" s="102"/>
      <c r="AI156" s="102"/>
      <c r="AJ156" s="102"/>
      <c r="AK156" s="102"/>
      <c r="AL156" s="102"/>
      <c r="AM156" s="102"/>
      <c r="AN156" s="102"/>
      <c r="AO156" s="102"/>
      <c r="AP156" s="102"/>
    </row>
    <row r="157" spans="1:42">
      <c r="A157" s="89">
        <v>156</v>
      </c>
      <c r="B157" s="90">
        <v>50030899</v>
      </c>
      <c r="C157" s="91" t="s">
        <v>166</v>
      </c>
      <c r="D157" s="58" t="s">
        <v>846</v>
      </c>
      <c r="E157" s="59">
        <v>25543</v>
      </c>
      <c r="F157" s="92">
        <f ca="1">(TODAY()-Data_Assessment[[#This Row],[BIRTH DATE]])/365.25</f>
        <v>52.28747433264887</v>
      </c>
      <c r="G157" s="62" t="s">
        <v>898</v>
      </c>
      <c r="H157" s="63" t="s">
        <v>899</v>
      </c>
      <c r="I157" s="106">
        <v>1</v>
      </c>
      <c r="J157" s="64" t="s">
        <v>1047</v>
      </c>
      <c r="K157" s="143">
        <v>3</v>
      </c>
      <c r="L157" s="58"/>
      <c r="M157" s="58"/>
      <c r="N157" s="102"/>
      <c r="O157" s="102"/>
      <c r="P157" s="102"/>
      <c r="Q157" s="102"/>
      <c r="R157" s="102"/>
      <c r="S157" s="102"/>
      <c r="T157" s="102"/>
      <c r="U157" s="102"/>
      <c r="V157" s="102"/>
      <c r="W157" s="102"/>
      <c r="X157" s="102"/>
      <c r="Y157" s="102"/>
      <c r="Z157" s="102"/>
      <c r="AA157" s="102"/>
      <c r="AB157" s="102"/>
      <c r="AC157" s="102"/>
      <c r="AD157" s="102"/>
      <c r="AE157" s="102"/>
      <c r="AF157" s="102"/>
      <c r="AG157" s="102"/>
      <c r="AH157" s="102"/>
      <c r="AI157" s="102"/>
      <c r="AJ157" s="102"/>
      <c r="AK157" s="102"/>
      <c r="AL157" s="102"/>
      <c r="AM157" s="102"/>
      <c r="AN157" s="102"/>
      <c r="AO157" s="102"/>
      <c r="AP157" s="102"/>
    </row>
    <row r="158" spans="1:42">
      <c r="A158" s="89">
        <v>157</v>
      </c>
      <c r="B158" s="90">
        <v>50148837</v>
      </c>
      <c r="C158" s="91" t="s">
        <v>316</v>
      </c>
      <c r="D158" s="58" t="s">
        <v>845</v>
      </c>
      <c r="E158" s="59">
        <v>33447</v>
      </c>
      <c r="F158" s="92">
        <f ca="1">(TODAY()-Data_Assessment[[#This Row],[BIRTH DATE]])/365.25</f>
        <v>30.647501711156742</v>
      </c>
      <c r="G158" s="62" t="s">
        <v>986</v>
      </c>
      <c r="H158" s="63" t="s">
        <v>987</v>
      </c>
      <c r="I158" s="106">
        <v>4</v>
      </c>
      <c r="J158" s="64" t="s">
        <v>1048</v>
      </c>
      <c r="K158" s="143">
        <v>0</v>
      </c>
      <c r="L158" s="58"/>
      <c r="M158" s="58"/>
      <c r="N158" s="102"/>
      <c r="O158" s="102"/>
      <c r="P158" s="102"/>
      <c r="Q158" s="102"/>
      <c r="R158" s="102"/>
      <c r="S158" s="102"/>
      <c r="T158" s="102"/>
      <c r="U158" s="102"/>
      <c r="V158" s="102"/>
      <c r="W158" s="102"/>
      <c r="X158" s="102"/>
      <c r="Y158" s="102"/>
      <c r="Z158" s="102"/>
      <c r="AA158" s="102"/>
      <c r="AB158" s="102"/>
      <c r="AC158" s="102"/>
      <c r="AD158" s="102"/>
      <c r="AE158" s="102"/>
      <c r="AF158" s="102"/>
      <c r="AG158" s="102"/>
      <c r="AH158" s="102"/>
      <c r="AI158" s="102"/>
      <c r="AJ158" s="102"/>
      <c r="AK158" s="102"/>
      <c r="AL158" s="102"/>
      <c r="AM158" s="102"/>
      <c r="AN158" s="102"/>
      <c r="AO158" s="102"/>
      <c r="AP158" s="102"/>
    </row>
    <row r="159" spans="1:42">
      <c r="A159" s="89">
        <v>158</v>
      </c>
      <c r="B159" s="90">
        <v>50030977</v>
      </c>
      <c r="C159" s="91" t="s">
        <v>167</v>
      </c>
      <c r="D159" s="58" t="s">
        <v>845</v>
      </c>
      <c r="E159" s="59">
        <v>27822</v>
      </c>
      <c r="F159" s="92">
        <f ca="1">(TODAY()-Data_Assessment[[#This Row],[BIRTH DATE]])/365.25</f>
        <v>46.047912388774812</v>
      </c>
      <c r="G159" s="62" t="s">
        <v>898</v>
      </c>
      <c r="H159" s="63" t="s">
        <v>899</v>
      </c>
      <c r="I159" s="106">
        <v>1</v>
      </c>
      <c r="J159" s="64" t="s">
        <v>1049</v>
      </c>
      <c r="K159" s="143">
        <v>2</v>
      </c>
      <c r="L159" s="58"/>
      <c r="M159" s="58"/>
      <c r="N159" s="102"/>
      <c r="O159" s="102"/>
      <c r="P159" s="102"/>
      <c r="Q159" s="102"/>
      <c r="R159" s="102"/>
      <c r="S159" s="102"/>
      <c r="T159" s="102"/>
      <c r="U159" s="102"/>
      <c r="V159" s="102"/>
      <c r="W159" s="102"/>
      <c r="X159" s="102"/>
      <c r="Y159" s="102"/>
      <c r="Z159" s="102"/>
      <c r="AA159" s="102"/>
      <c r="AB159" s="102"/>
      <c r="AC159" s="102"/>
      <c r="AD159" s="102"/>
      <c r="AE159" s="102"/>
      <c r="AF159" s="102"/>
      <c r="AG159" s="102"/>
      <c r="AH159" s="102"/>
      <c r="AI159" s="102"/>
      <c r="AJ159" s="102"/>
      <c r="AK159" s="102"/>
      <c r="AL159" s="102"/>
      <c r="AM159" s="102"/>
      <c r="AN159" s="102"/>
      <c r="AO159" s="102"/>
      <c r="AP159" s="102"/>
    </row>
    <row r="160" spans="1:42">
      <c r="A160" s="89">
        <v>159</v>
      </c>
      <c r="B160" s="90">
        <v>50135187</v>
      </c>
      <c r="C160" s="91" t="s">
        <v>775</v>
      </c>
      <c r="D160" s="58" t="s">
        <v>845</v>
      </c>
      <c r="E160" s="59">
        <v>35012</v>
      </c>
      <c r="F160" s="92">
        <f ca="1">(TODAY()-Data_Assessment[[#This Row],[BIRTH DATE]])/365.25</f>
        <v>26.362765229295004</v>
      </c>
      <c r="G160" s="62" t="s">
        <v>919</v>
      </c>
      <c r="H160" s="63" t="s">
        <v>1050</v>
      </c>
      <c r="I160" s="106">
        <v>1</v>
      </c>
      <c r="J160" s="64" t="s">
        <v>1051</v>
      </c>
      <c r="K160" s="143">
        <v>2</v>
      </c>
      <c r="L160" s="58"/>
      <c r="M160" s="58"/>
      <c r="N160" s="102"/>
      <c r="O160" s="102"/>
      <c r="P160" s="102"/>
      <c r="Q160" s="102"/>
      <c r="R160" s="102"/>
      <c r="S160" s="102"/>
      <c r="T160" s="102"/>
      <c r="U160" s="102"/>
      <c r="V160" s="102"/>
      <c r="W160" s="102"/>
      <c r="X160" s="102"/>
      <c r="Y160" s="102"/>
      <c r="Z160" s="102"/>
      <c r="AA160" s="102"/>
      <c r="AB160" s="102"/>
      <c r="AC160" s="102"/>
      <c r="AD160" s="102"/>
      <c r="AE160" s="102"/>
      <c r="AF160" s="102"/>
      <c r="AG160" s="102"/>
      <c r="AH160" s="102"/>
      <c r="AI160" s="102"/>
      <c r="AJ160" s="102"/>
      <c r="AK160" s="102"/>
      <c r="AL160" s="102"/>
      <c r="AM160" s="102"/>
      <c r="AN160" s="102"/>
      <c r="AO160" s="102"/>
      <c r="AP160" s="102"/>
    </row>
    <row r="161" spans="1:42">
      <c r="A161" s="89">
        <v>160</v>
      </c>
      <c r="B161" s="90">
        <v>50031143</v>
      </c>
      <c r="C161" s="91" t="s">
        <v>816</v>
      </c>
      <c r="D161" s="58" t="s">
        <v>846</v>
      </c>
      <c r="E161" s="59">
        <v>32974</v>
      </c>
      <c r="F161" s="92">
        <f ca="1">(TODAY()-Data_Assessment[[#This Row],[BIRTH DATE]])/365.25</f>
        <v>31.942505133470227</v>
      </c>
      <c r="G161" s="62" t="s">
        <v>895</v>
      </c>
      <c r="H161" s="63" t="s">
        <v>1052</v>
      </c>
      <c r="I161" s="106">
        <v>1</v>
      </c>
      <c r="J161" s="64" t="s">
        <v>1053</v>
      </c>
      <c r="K161" s="143">
        <v>3</v>
      </c>
      <c r="L161" s="58"/>
      <c r="M161" s="58"/>
      <c r="N161" s="102"/>
      <c r="O161" s="102"/>
      <c r="P161" s="102"/>
      <c r="Q161" s="102"/>
      <c r="R161" s="102"/>
      <c r="S161" s="102"/>
      <c r="T161" s="102"/>
      <c r="U161" s="102"/>
      <c r="V161" s="102"/>
      <c r="W161" s="102"/>
      <c r="X161" s="102"/>
      <c r="Y161" s="102"/>
      <c r="Z161" s="102"/>
      <c r="AA161" s="102"/>
      <c r="AB161" s="102"/>
      <c r="AC161" s="102"/>
      <c r="AD161" s="102"/>
      <c r="AE161" s="102"/>
      <c r="AF161" s="102"/>
      <c r="AG161" s="102"/>
      <c r="AH161" s="102"/>
      <c r="AI161" s="102"/>
      <c r="AJ161" s="102"/>
      <c r="AK161" s="102"/>
      <c r="AL161" s="102"/>
      <c r="AM161" s="102"/>
      <c r="AN161" s="102"/>
      <c r="AO161" s="102"/>
      <c r="AP161" s="102"/>
    </row>
    <row r="162" spans="1:42">
      <c r="A162" s="89">
        <v>161</v>
      </c>
      <c r="B162" s="90">
        <v>50031142</v>
      </c>
      <c r="C162" s="91" t="s">
        <v>825</v>
      </c>
      <c r="D162" s="58" t="s">
        <v>846</v>
      </c>
      <c r="E162" s="59">
        <v>32993</v>
      </c>
      <c r="F162" s="92">
        <f ca="1">(TODAY()-Data_Assessment[[#This Row],[BIRTH DATE]])/365.25</f>
        <v>31.890485968514717</v>
      </c>
      <c r="G162" s="62" t="s">
        <v>895</v>
      </c>
      <c r="H162" s="63" t="s">
        <v>1052</v>
      </c>
      <c r="I162" s="106">
        <v>1</v>
      </c>
      <c r="J162" s="64" t="s">
        <v>1054</v>
      </c>
      <c r="K162" s="143">
        <v>2</v>
      </c>
      <c r="L162" s="58"/>
      <c r="M162" s="58"/>
      <c r="N162" s="102"/>
      <c r="O162" s="102"/>
      <c r="P162" s="102"/>
      <c r="Q162" s="102"/>
      <c r="R162" s="102"/>
      <c r="S162" s="102"/>
      <c r="T162" s="102"/>
      <c r="U162" s="102"/>
      <c r="V162" s="102"/>
      <c r="W162" s="102"/>
      <c r="X162" s="102"/>
      <c r="Y162" s="102"/>
      <c r="Z162" s="102"/>
      <c r="AA162" s="102"/>
      <c r="AB162" s="102"/>
      <c r="AC162" s="102"/>
      <c r="AD162" s="102"/>
      <c r="AE162" s="102"/>
      <c r="AF162" s="102"/>
      <c r="AG162" s="102"/>
      <c r="AH162" s="102"/>
      <c r="AI162" s="102"/>
      <c r="AJ162" s="102"/>
      <c r="AK162" s="102"/>
      <c r="AL162" s="102"/>
      <c r="AM162" s="102"/>
      <c r="AN162" s="102"/>
      <c r="AO162" s="102"/>
      <c r="AP162" s="102"/>
    </row>
    <row r="163" spans="1:42">
      <c r="A163" s="89">
        <v>162</v>
      </c>
      <c r="B163" s="90">
        <v>50030895</v>
      </c>
      <c r="C163" s="91" t="s">
        <v>170</v>
      </c>
      <c r="D163" s="58" t="s">
        <v>846</v>
      </c>
      <c r="E163" s="59">
        <v>28820</v>
      </c>
      <c r="F163" s="92">
        <f ca="1">(TODAY()-Data_Assessment[[#This Row],[BIRTH DATE]])/365.25</f>
        <v>43.315537303216978</v>
      </c>
      <c r="G163" s="62" t="s">
        <v>898</v>
      </c>
      <c r="H163" s="63" t="s">
        <v>899</v>
      </c>
      <c r="I163" s="106">
        <v>1</v>
      </c>
      <c r="J163" s="64" t="s">
        <v>1055</v>
      </c>
      <c r="K163" s="143">
        <v>3</v>
      </c>
      <c r="L163" s="58"/>
      <c r="M163" s="58"/>
      <c r="N163" s="102"/>
      <c r="O163" s="102"/>
      <c r="P163" s="102"/>
      <c r="Q163" s="102"/>
      <c r="R163" s="102"/>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102"/>
      <c r="AP163" s="102"/>
    </row>
    <row r="164" spans="1:42">
      <c r="A164" s="89">
        <v>163</v>
      </c>
      <c r="B164" s="90">
        <v>50132742</v>
      </c>
      <c r="C164" s="91" t="s">
        <v>338</v>
      </c>
      <c r="D164" s="58" t="s">
        <v>846</v>
      </c>
      <c r="E164" s="59">
        <v>33821</v>
      </c>
      <c r="F164" s="92">
        <f ca="1">(TODAY()-Data_Assessment[[#This Row],[BIRTH DATE]])/365.25</f>
        <v>29.623545516769337</v>
      </c>
      <c r="G164" s="62" t="s">
        <v>986</v>
      </c>
      <c r="H164" s="63" t="s">
        <v>987</v>
      </c>
      <c r="I164" s="106">
        <v>4</v>
      </c>
      <c r="J164" s="64" t="s">
        <v>1056</v>
      </c>
      <c r="K164" s="143">
        <v>2</v>
      </c>
      <c r="L164" s="58"/>
      <c r="M164" s="58"/>
      <c r="N164" s="102"/>
      <c r="O164" s="102"/>
      <c r="P164" s="102"/>
      <c r="Q164" s="102"/>
      <c r="R164" s="102"/>
      <c r="S164" s="102"/>
      <c r="T164" s="102"/>
      <c r="U164" s="102"/>
      <c r="V164" s="102"/>
      <c r="W164" s="102"/>
      <c r="X164" s="102"/>
      <c r="Y164" s="102"/>
      <c r="Z164" s="102"/>
      <c r="AA164" s="102"/>
      <c r="AB164" s="102"/>
      <c r="AC164" s="102"/>
      <c r="AD164" s="102"/>
      <c r="AE164" s="102"/>
      <c r="AF164" s="102"/>
      <c r="AG164" s="102"/>
      <c r="AH164" s="102"/>
      <c r="AI164" s="102"/>
      <c r="AJ164" s="102"/>
      <c r="AK164" s="102"/>
      <c r="AL164" s="102"/>
      <c r="AM164" s="102"/>
      <c r="AN164" s="102"/>
      <c r="AO164" s="102"/>
      <c r="AP164" s="102"/>
    </row>
    <row r="165" spans="1:42">
      <c r="A165" s="89">
        <v>164</v>
      </c>
      <c r="B165" s="90">
        <v>50031497</v>
      </c>
      <c r="C165" s="91" t="s">
        <v>171</v>
      </c>
      <c r="D165" s="58" t="s">
        <v>846</v>
      </c>
      <c r="E165" s="59">
        <v>25187</v>
      </c>
      <c r="F165" s="92">
        <f ca="1">(TODAY()-Data_Assessment[[#This Row],[BIRTH DATE]])/365.25</f>
        <v>53.262149212867897</v>
      </c>
      <c r="G165" s="62" t="s">
        <v>898</v>
      </c>
      <c r="H165" s="63" t="s">
        <v>899</v>
      </c>
      <c r="I165" s="106">
        <v>1</v>
      </c>
      <c r="J165" s="64" t="s">
        <v>1057</v>
      </c>
      <c r="K165" s="143">
        <v>3</v>
      </c>
      <c r="L165" s="58"/>
      <c r="M165" s="58"/>
      <c r="N165" s="102"/>
      <c r="O165" s="102"/>
      <c r="P165" s="102"/>
      <c r="Q165" s="102"/>
      <c r="R165" s="102"/>
      <c r="S165" s="102"/>
      <c r="T165" s="102"/>
      <c r="U165" s="102"/>
      <c r="V165" s="102"/>
      <c r="W165" s="102"/>
      <c r="X165" s="102"/>
      <c r="Y165" s="102"/>
      <c r="Z165" s="102"/>
      <c r="AA165" s="102"/>
      <c r="AB165" s="102"/>
      <c r="AC165" s="102"/>
      <c r="AD165" s="102"/>
      <c r="AE165" s="102"/>
      <c r="AF165" s="102"/>
      <c r="AG165" s="102"/>
      <c r="AH165" s="102"/>
      <c r="AI165" s="102"/>
      <c r="AJ165" s="102"/>
      <c r="AK165" s="102"/>
      <c r="AL165" s="102"/>
      <c r="AM165" s="102"/>
      <c r="AN165" s="102"/>
      <c r="AO165" s="102"/>
      <c r="AP165" s="102"/>
    </row>
    <row r="166" spans="1:42" ht="29.25">
      <c r="A166" s="89">
        <v>165</v>
      </c>
      <c r="B166" s="90">
        <v>50131680</v>
      </c>
      <c r="C166" s="91" t="s">
        <v>345</v>
      </c>
      <c r="D166" s="58" t="s">
        <v>845</v>
      </c>
      <c r="E166" s="59">
        <v>32355</v>
      </c>
      <c r="F166" s="92">
        <f ca="1">(TODAY()-Data_Assessment[[#This Row],[BIRTH DATE]])/365.25</f>
        <v>33.637234770705</v>
      </c>
      <c r="G166" s="62" t="s">
        <v>986</v>
      </c>
      <c r="H166" s="63" t="s">
        <v>987</v>
      </c>
      <c r="I166" s="106">
        <v>4</v>
      </c>
      <c r="J166" s="64" t="s">
        <v>1058</v>
      </c>
      <c r="K166" s="143">
        <v>3</v>
      </c>
      <c r="L166" s="58"/>
      <c r="M166" s="58"/>
      <c r="N166" s="102"/>
      <c r="O166" s="102"/>
      <c r="P166" s="102"/>
      <c r="Q166" s="102"/>
      <c r="R166" s="102"/>
      <c r="S166" s="102"/>
      <c r="T166" s="102"/>
      <c r="U166" s="102"/>
      <c r="V166" s="102"/>
      <c r="W166" s="102"/>
      <c r="X166" s="102"/>
      <c r="Y166" s="102"/>
      <c r="Z166" s="102"/>
      <c r="AA166" s="102"/>
      <c r="AB166" s="102"/>
      <c r="AC166" s="102"/>
      <c r="AD166" s="102"/>
      <c r="AE166" s="102"/>
      <c r="AF166" s="102"/>
      <c r="AG166" s="102"/>
      <c r="AH166" s="102"/>
      <c r="AI166" s="102"/>
      <c r="AJ166" s="102"/>
      <c r="AK166" s="102"/>
      <c r="AL166" s="102"/>
      <c r="AM166" s="102"/>
      <c r="AN166" s="102"/>
      <c r="AO166" s="102"/>
      <c r="AP166" s="102"/>
    </row>
    <row r="167" spans="1:42">
      <c r="A167" s="89">
        <v>166</v>
      </c>
      <c r="B167" s="90">
        <v>50030894</v>
      </c>
      <c r="C167" s="91" t="s">
        <v>172</v>
      </c>
      <c r="D167" s="58" t="s">
        <v>846</v>
      </c>
      <c r="E167" s="59">
        <v>26705</v>
      </c>
      <c r="F167" s="92">
        <f ca="1">(TODAY()-Data_Assessment[[#This Row],[BIRTH DATE]])/365.25</f>
        <v>49.106091718001366</v>
      </c>
      <c r="G167" s="62" t="s">
        <v>898</v>
      </c>
      <c r="H167" s="63" t="s">
        <v>899</v>
      </c>
      <c r="I167" s="106">
        <v>1</v>
      </c>
      <c r="J167" s="64" t="s">
        <v>1055</v>
      </c>
      <c r="K167" s="143">
        <v>3</v>
      </c>
      <c r="L167" s="58"/>
      <c r="M167" s="58"/>
      <c r="N167" s="102"/>
      <c r="O167" s="102"/>
      <c r="P167" s="102"/>
      <c r="Q167" s="102"/>
      <c r="R167" s="102"/>
      <c r="S167" s="102"/>
      <c r="T167" s="102"/>
      <c r="U167" s="102"/>
      <c r="V167" s="102"/>
      <c r="W167" s="102"/>
      <c r="X167" s="102"/>
      <c r="Y167" s="102"/>
      <c r="Z167" s="102"/>
      <c r="AA167" s="102"/>
      <c r="AB167" s="102"/>
      <c r="AC167" s="102"/>
      <c r="AD167" s="102"/>
      <c r="AE167" s="102"/>
      <c r="AF167" s="102"/>
      <c r="AG167" s="102"/>
      <c r="AH167" s="102"/>
      <c r="AI167" s="102"/>
      <c r="AJ167" s="102"/>
      <c r="AK167" s="102"/>
      <c r="AL167" s="102"/>
      <c r="AM167" s="102"/>
      <c r="AN167" s="102"/>
      <c r="AO167" s="102"/>
      <c r="AP167" s="102"/>
    </row>
    <row r="168" spans="1:42">
      <c r="A168" s="89">
        <v>167</v>
      </c>
      <c r="B168" s="90">
        <v>50045444</v>
      </c>
      <c r="C168" s="91" t="s">
        <v>353</v>
      </c>
      <c r="D168" s="58" t="s">
        <v>846</v>
      </c>
      <c r="E168" s="59">
        <v>31921</v>
      </c>
      <c r="F168" s="92">
        <f ca="1">(TODAY()-Data_Assessment[[#This Row],[BIRTH DATE]])/365.25</f>
        <v>34.82546201232033</v>
      </c>
      <c r="G168" s="62" t="s">
        <v>986</v>
      </c>
      <c r="H168" s="63" t="s">
        <v>987</v>
      </c>
      <c r="I168" s="106">
        <v>4</v>
      </c>
      <c r="J168" s="64" t="s">
        <v>1059</v>
      </c>
      <c r="K168" s="143">
        <v>2</v>
      </c>
      <c r="L168" s="58"/>
      <c r="M168" s="58"/>
      <c r="N168" s="102"/>
      <c r="O168" s="102"/>
      <c r="P168" s="102"/>
      <c r="Q168" s="102"/>
      <c r="R168" s="102"/>
      <c r="S168" s="102"/>
      <c r="T168" s="102"/>
      <c r="U168" s="102"/>
      <c r="V168" s="102"/>
      <c r="W168" s="102"/>
      <c r="X168" s="102"/>
      <c r="Y168" s="102"/>
      <c r="Z168" s="102"/>
      <c r="AA168" s="102"/>
      <c r="AB168" s="102"/>
      <c r="AC168" s="102"/>
      <c r="AD168" s="102"/>
      <c r="AE168" s="102"/>
      <c r="AF168" s="102"/>
      <c r="AG168" s="102"/>
      <c r="AH168" s="102"/>
      <c r="AI168" s="102"/>
      <c r="AJ168" s="102"/>
      <c r="AK168" s="102"/>
      <c r="AL168" s="102"/>
      <c r="AM168" s="102"/>
      <c r="AN168" s="102"/>
      <c r="AO168" s="102"/>
      <c r="AP168" s="102"/>
    </row>
    <row r="169" spans="1:42" ht="29.25">
      <c r="A169" s="89">
        <v>168</v>
      </c>
      <c r="B169" s="90">
        <v>50031158</v>
      </c>
      <c r="C169" s="91" t="s">
        <v>173</v>
      </c>
      <c r="D169" s="58" t="s">
        <v>846</v>
      </c>
      <c r="E169" s="59">
        <v>27808</v>
      </c>
      <c r="F169" s="92">
        <f ca="1">(TODAY()-Data_Assessment[[#This Row],[BIRTH DATE]])/365.25</f>
        <v>46.086242299794662</v>
      </c>
      <c r="G169" s="62" t="s">
        <v>898</v>
      </c>
      <c r="H169" s="63" t="s">
        <v>899</v>
      </c>
      <c r="I169" s="106">
        <v>1</v>
      </c>
      <c r="J169" s="64" t="s">
        <v>1060</v>
      </c>
      <c r="K169" s="143">
        <v>3</v>
      </c>
      <c r="L169" s="58"/>
      <c r="M169" s="58"/>
      <c r="N169" s="102"/>
      <c r="O169" s="102"/>
      <c r="P169" s="102"/>
      <c r="Q169" s="102"/>
      <c r="R169" s="102"/>
      <c r="S169" s="102"/>
      <c r="T169" s="102"/>
      <c r="U169" s="102"/>
      <c r="V169" s="102"/>
      <c r="W169" s="102"/>
      <c r="X169" s="102"/>
      <c r="Y169" s="102"/>
      <c r="Z169" s="102"/>
      <c r="AA169" s="102"/>
      <c r="AB169" s="102"/>
      <c r="AC169" s="102"/>
      <c r="AD169" s="102"/>
      <c r="AE169" s="102"/>
      <c r="AF169" s="102"/>
      <c r="AG169" s="102"/>
      <c r="AH169" s="102"/>
      <c r="AI169" s="102"/>
      <c r="AJ169" s="102"/>
      <c r="AK169" s="102"/>
      <c r="AL169" s="102"/>
      <c r="AM169" s="102"/>
      <c r="AN169" s="102"/>
      <c r="AO169" s="102"/>
      <c r="AP169" s="102"/>
    </row>
    <row r="170" spans="1:42" ht="29.25">
      <c r="A170" s="89">
        <v>169</v>
      </c>
      <c r="B170" s="90">
        <v>50148381</v>
      </c>
      <c r="C170" s="91" t="s">
        <v>369</v>
      </c>
      <c r="D170" s="58" t="s">
        <v>846</v>
      </c>
      <c r="E170" s="59">
        <v>35242</v>
      </c>
      <c r="F170" s="92">
        <f ca="1">(TODAY()-Data_Assessment[[#This Row],[BIRTH DATE]])/365.25</f>
        <v>25.733059548254619</v>
      </c>
      <c r="G170" s="62" t="s">
        <v>986</v>
      </c>
      <c r="H170" s="63" t="s">
        <v>987</v>
      </c>
      <c r="I170" s="106">
        <v>4</v>
      </c>
      <c r="J170" s="64" t="s">
        <v>1061</v>
      </c>
      <c r="K170" s="143">
        <v>0</v>
      </c>
      <c r="L170" s="58"/>
      <c r="M170" s="58"/>
      <c r="N170" s="102"/>
      <c r="O170" s="102"/>
      <c r="P170" s="102"/>
      <c r="Q170" s="102"/>
      <c r="R170" s="102"/>
      <c r="S170" s="102"/>
      <c r="T170" s="102"/>
      <c r="U170" s="102"/>
      <c r="V170" s="102"/>
      <c r="W170" s="102"/>
      <c r="X170" s="102"/>
      <c r="Y170" s="102"/>
      <c r="Z170" s="102"/>
      <c r="AA170" s="102"/>
      <c r="AB170" s="102"/>
      <c r="AC170" s="102"/>
      <c r="AD170" s="102"/>
      <c r="AE170" s="102"/>
      <c r="AF170" s="102"/>
      <c r="AG170" s="102"/>
      <c r="AH170" s="102"/>
      <c r="AI170" s="102"/>
      <c r="AJ170" s="102"/>
      <c r="AK170" s="102"/>
      <c r="AL170" s="102"/>
      <c r="AM170" s="102"/>
      <c r="AN170" s="102"/>
      <c r="AO170" s="102"/>
      <c r="AP170" s="102"/>
    </row>
    <row r="171" spans="1:42">
      <c r="A171" s="89">
        <v>170</v>
      </c>
      <c r="B171" s="90">
        <v>50031521</v>
      </c>
      <c r="C171" s="91" t="s">
        <v>174</v>
      </c>
      <c r="D171" s="58" t="s">
        <v>845</v>
      </c>
      <c r="E171" s="59">
        <v>25766</v>
      </c>
      <c r="F171" s="92">
        <f ca="1">(TODAY()-Data_Assessment[[#This Row],[BIRTH DATE]])/365.25</f>
        <v>51.676933607118414</v>
      </c>
      <c r="G171" s="62" t="s">
        <v>898</v>
      </c>
      <c r="H171" s="63" t="s">
        <v>899</v>
      </c>
      <c r="I171" s="106">
        <v>1</v>
      </c>
      <c r="J171" s="64" t="s">
        <v>1062</v>
      </c>
      <c r="K171" s="143">
        <v>4</v>
      </c>
      <c r="L171" s="58"/>
      <c r="M171" s="58"/>
      <c r="N171" s="102"/>
      <c r="O171" s="102"/>
      <c r="P171" s="102"/>
      <c r="Q171" s="102"/>
      <c r="R171" s="102"/>
      <c r="S171" s="102"/>
      <c r="T171" s="102"/>
      <c r="U171" s="102"/>
      <c r="V171" s="102"/>
      <c r="W171" s="102"/>
      <c r="X171" s="102"/>
      <c r="Y171" s="102"/>
      <c r="Z171" s="102"/>
      <c r="AA171" s="102"/>
      <c r="AB171" s="102"/>
      <c r="AC171" s="102"/>
      <c r="AD171" s="102"/>
      <c r="AE171" s="102"/>
      <c r="AF171" s="102"/>
      <c r="AG171" s="102"/>
      <c r="AH171" s="102"/>
      <c r="AI171" s="102"/>
      <c r="AJ171" s="102"/>
      <c r="AK171" s="102"/>
      <c r="AL171" s="102"/>
      <c r="AM171" s="102"/>
      <c r="AN171" s="102"/>
      <c r="AO171" s="102"/>
      <c r="AP171" s="102"/>
    </row>
    <row r="172" spans="1:42" ht="29.25">
      <c r="A172" s="89">
        <v>171</v>
      </c>
      <c r="B172" s="90">
        <v>50145385</v>
      </c>
      <c r="C172" s="91" t="s">
        <v>418</v>
      </c>
      <c r="D172" s="58" t="s">
        <v>845</v>
      </c>
      <c r="E172" s="59">
        <v>32454</v>
      </c>
      <c r="F172" s="92">
        <f ca="1">(TODAY()-Data_Assessment[[#This Row],[BIRTH DATE]])/365.25</f>
        <v>33.366187542778917</v>
      </c>
      <c r="G172" s="62" t="s">
        <v>895</v>
      </c>
      <c r="H172" s="63" t="s">
        <v>899</v>
      </c>
      <c r="I172" s="106">
        <v>1</v>
      </c>
      <c r="J172" s="64" t="s">
        <v>1063</v>
      </c>
      <c r="K172" s="143">
        <v>0</v>
      </c>
      <c r="L172" s="58"/>
      <c r="M172" s="58"/>
      <c r="N172" s="102"/>
      <c r="O172" s="102"/>
      <c r="P172" s="102"/>
      <c r="Q172" s="102"/>
      <c r="R172" s="102"/>
      <c r="S172" s="102"/>
      <c r="T172" s="102"/>
      <c r="U172" s="102"/>
      <c r="V172" s="102"/>
      <c r="W172" s="102"/>
      <c r="X172" s="102"/>
      <c r="Y172" s="102"/>
      <c r="Z172" s="102"/>
      <c r="AA172" s="102"/>
      <c r="AB172" s="102"/>
      <c r="AC172" s="102"/>
      <c r="AD172" s="102"/>
      <c r="AE172" s="102"/>
      <c r="AF172" s="102"/>
      <c r="AG172" s="102"/>
      <c r="AH172" s="102"/>
      <c r="AI172" s="102"/>
      <c r="AJ172" s="102"/>
      <c r="AK172" s="102"/>
      <c r="AL172" s="102"/>
      <c r="AM172" s="102"/>
      <c r="AN172" s="102"/>
      <c r="AO172" s="102"/>
      <c r="AP172" s="102"/>
    </row>
    <row r="173" spans="1:42">
      <c r="A173" s="89">
        <v>172</v>
      </c>
      <c r="B173" s="90">
        <v>50142344</v>
      </c>
      <c r="C173" s="91" t="s">
        <v>175</v>
      </c>
      <c r="D173" s="58" t="s">
        <v>845</v>
      </c>
      <c r="E173" s="59">
        <v>35868</v>
      </c>
      <c r="F173" s="92">
        <f ca="1">(TODAY()-Data_Assessment[[#This Row],[BIRTH DATE]])/365.25</f>
        <v>24.019164955509925</v>
      </c>
      <c r="G173" s="62" t="s">
        <v>895</v>
      </c>
      <c r="H173" s="63" t="s">
        <v>899</v>
      </c>
      <c r="I173" s="106">
        <v>1</v>
      </c>
      <c r="J173" s="64" t="s">
        <v>1043</v>
      </c>
      <c r="K173" s="143">
        <v>0</v>
      </c>
      <c r="L173" s="58"/>
      <c r="M173" s="58"/>
      <c r="N173" s="102"/>
      <c r="O173" s="102"/>
      <c r="P173" s="102"/>
      <c r="Q173" s="102"/>
      <c r="R173" s="102"/>
      <c r="S173" s="102"/>
      <c r="T173" s="102"/>
      <c r="U173" s="102"/>
      <c r="V173" s="102"/>
      <c r="W173" s="102"/>
      <c r="X173" s="102"/>
      <c r="Y173" s="102"/>
      <c r="Z173" s="102"/>
      <c r="AA173" s="102"/>
      <c r="AB173" s="102"/>
      <c r="AC173" s="102"/>
      <c r="AD173" s="102"/>
      <c r="AE173" s="102"/>
      <c r="AF173" s="102"/>
      <c r="AG173" s="102"/>
      <c r="AH173" s="102"/>
      <c r="AI173" s="102"/>
      <c r="AJ173" s="102"/>
      <c r="AK173" s="102"/>
      <c r="AL173" s="102"/>
      <c r="AM173" s="102"/>
      <c r="AN173" s="102"/>
      <c r="AO173" s="102"/>
      <c r="AP173" s="102"/>
    </row>
    <row r="174" spans="1:42" ht="29.25">
      <c r="A174" s="89">
        <v>173</v>
      </c>
      <c r="B174" s="90">
        <v>50146682</v>
      </c>
      <c r="C174" s="91" t="s">
        <v>516</v>
      </c>
      <c r="D174" s="58" t="s">
        <v>845</v>
      </c>
      <c r="E174" s="59">
        <v>22912</v>
      </c>
      <c r="F174" s="92">
        <f ca="1">(TODAY()-Data_Assessment[[#This Row],[BIRTH DATE]])/365.25</f>
        <v>59.49075975359343</v>
      </c>
      <c r="G174" s="62" t="s">
        <v>941</v>
      </c>
      <c r="H174" s="63" t="s">
        <v>1064</v>
      </c>
      <c r="I174" s="106">
        <v>2</v>
      </c>
      <c r="J174" s="64" t="s">
        <v>1065</v>
      </c>
      <c r="K174" s="143">
        <v>0</v>
      </c>
      <c r="L174" s="58"/>
      <c r="M174" s="58"/>
      <c r="N174" s="102"/>
      <c r="O174" s="102"/>
      <c r="P174" s="102"/>
      <c r="Q174" s="102"/>
      <c r="R174" s="102"/>
      <c r="S174" s="102"/>
      <c r="T174" s="102"/>
      <c r="U174" s="102"/>
      <c r="V174" s="102"/>
      <c r="W174" s="102"/>
      <c r="X174" s="102"/>
      <c r="Y174" s="102"/>
      <c r="Z174" s="102"/>
      <c r="AA174" s="102"/>
      <c r="AB174" s="102"/>
      <c r="AC174" s="102"/>
      <c r="AD174" s="102"/>
      <c r="AE174" s="102"/>
      <c r="AF174" s="102"/>
      <c r="AG174" s="102"/>
      <c r="AH174" s="102"/>
      <c r="AI174" s="102"/>
      <c r="AJ174" s="102"/>
      <c r="AK174" s="102"/>
      <c r="AL174" s="102"/>
      <c r="AM174" s="102"/>
      <c r="AN174" s="102"/>
      <c r="AO174" s="102"/>
      <c r="AP174" s="102"/>
    </row>
    <row r="175" spans="1:42">
      <c r="A175" s="89">
        <v>174</v>
      </c>
      <c r="B175" s="90">
        <v>50030905</v>
      </c>
      <c r="C175" s="91" t="s">
        <v>176</v>
      </c>
      <c r="D175" s="58" t="s">
        <v>845</v>
      </c>
      <c r="E175" s="59">
        <v>32338</v>
      </c>
      <c r="F175" s="92">
        <f ca="1">(TODAY()-Data_Assessment[[#This Row],[BIRTH DATE]])/365.25</f>
        <v>33.68377823408624</v>
      </c>
      <c r="G175" s="62" t="s">
        <v>971</v>
      </c>
      <c r="H175" s="63" t="s">
        <v>972</v>
      </c>
      <c r="I175" s="106">
        <v>1</v>
      </c>
      <c r="J175" s="64" t="s">
        <v>1066</v>
      </c>
      <c r="K175" s="143">
        <v>4</v>
      </c>
      <c r="L175" s="58"/>
      <c r="M175" s="58"/>
      <c r="N175" s="102"/>
      <c r="O175" s="102"/>
      <c r="P175" s="102"/>
      <c r="Q175" s="102"/>
      <c r="R175" s="102"/>
      <c r="S175" s="102"/>
      <c r="T175" s="102"/>
      <c r="U175" s="102"/>
      <c r="V175" s="102"/>
      <c r="W175" s="102"/>
      <c r="X175" s="102"/>
      <c r="Y175" s="102"/>
      <c r="Z175" s="102"/>
      <c r="AA175" s="102"/>
      <c r="AB175" s="102"/>
      <c r="AC175" s="102"/>
      <c r="AD175" s="102"/>
      <c r="AE175" s="102"/>
      <c r="AF175" s="102"/>
      <c r="AG175" s="102"/>
      <c r="AH175" s="102"/>
      <c r="AI175" s="102"/>
      <c r="AJ175" s="102"/>
      <c r="AK175" s="102"/>
      <c r="AL175" s="102"/>
      <c r="AM175" s="102"/>
      <c r="AN175" s="102"/>
      <c r="AO175" s="102"/>
      <c r="AP175" s="102"/>
    </row>
    <row r="176" spans="1:42" ht="29.25">
      <c r="A176" s="89">
        <v>175</v>
      </c>
      <c r="B176" s="90">
        <v>2000040</v>
      </c>
      <c r="C176" s="91" t="s">
        <v>840</v>
      </c>
      <c r="D176" s="58" t="s">
        <v>845</v>
      </c>
      <c r="E176" s="59">
        <v>23093</v>
      </c>
      <c r="F176" s="92">
        <f ca="1">(TODAY()-Data_Assessment[[#This Row],[BIRTH DATE]])/365.25</f>
        <v>58.99520876112252</v>
      </c>
      <c r="G176" s="62" t="s">
        <v>986</v>
      </c>
      <c r="H176" s="63" t="s">
        <v>987</v>
      </c>
      <c r="I176" s="106">
        <v>4</v>
      </c>
      <c r="J176" s="64" t="s">
        <v>1067</v>
      </c>
      <c r="K176" s="143">
        <v>0</v>
      </c>
      <c r="L176" s="58"/>
      <c r="M176" s="58"/>
      <c r="N176" s="102"/>
      <c r="O176" s="102"/>
      <c r="P176" s="102"/>
      <c r="Q176" s="102"/>
      <c r="R176" s="102"/>
      <c r="S176" s="102"/>
      <c r="T176" s="102"/>
      <c r="U176" s="102"/>
      <c r="V176" s="102"/>
      <c r="W176" s="102"/>
      <c r="X176" s="102"/>
      <c r="Y176" s="102"/>
      <c r="Z176" s="102"/>
      <c r="AA176" s="102"/>
      <c r="AB176" s="102"/>
      <c r="AC176" s="102"/>
      <c r="AD176" s="102"/>
      <c r="AE176" s="102"/>
      <c r="AF176" s="102"/>
      <c r="AG176" s="102"/>
      <c r="AH176" s="102"/>
      <c r="AI176" s="102"/>
      <c r="AJ176" s="102"/>
      <c r="AK176" s="102"/>
      <c r="AL176" s="102"/>
      <c r="AM176" s="102"/>
      <c r="AN176" s="102"/>
      <c r="AO176" s="102"/>
      <c r="AP176" s="102"/>
    </row>
    <row r="177" spans="1:42" ht="29.25">
      <c r="A177" s="89">
        <v>176</v>
      </c>
      <c r="B177" s="90">
        <v>50030904</v>
      </c>
      <c r="C177" s="91" t="s">
        <v>177</v>
      </c>
      <c r="D177" s="58" t="s">
        <v>846</v>
      </c>
      <c r="E177" s="59">
        <v>26663</v>
      </c>
      <c r="F177" s="92">
        <f ca="1">(TODAY()-Data_Assessment[[#This Row],[BIRTH DATE]])/365.25</f>
        <v>49.221081451060918</v>
      </c>
      <c r="G177" s="62" t="s">
        <v>971</v>
      </c>
      <c r="H177" s="63" t="s">
        <v>972</v>
      </c>
      <c r="I177" s="106">
        <v>1</v>
      </c>
      <c r="J177" s="64" t="s">
        <v>1068</v>
      </c>
      <c r="K177" s="143">
        <v>3</v>
      </c>
      <c r="L177" s="58"/>
      <c r="M177" s="58"/>
      <c r="N177" s="102"/>
      <c r="O177" s="102"/>
      <c r="P177" s="102"/>
      <c r="Q177" s="102"/>
      <c r="R177" s="102"/>
      <c r="S177" s="102"/>
      <c r="T177" s="102"/>
      <c r="U177" s="102"/>
      <c r="V177" s="102"/>
      <c r="W177" s="102"/>
      <c r="X177" s="102"/>
      <c r="Y177" s="102"/>
      <c r="Z177" s="102"/>
      <c r="AA177" s="102"/>
      <c r="AB177" s="102"/>
      <c r="AC177" s="102"/>
      <c r="AD177" s="102"/>
      <c r="AE177" s="102"/>
      <c r="AF177" s="102"/>
      <c r="AG177" s="102"/>
      <c r="AH177" s="102"/>
      <c r="AI177" s="102"/>
      <c r="AJ177" s="102"/>
      <c r="AK177" s="102"/>
      <c r="AL177" s="102"/>
      <c r="AM177" s="102"/>
      <c r="AN177" s="102"/>
      <c r="AO177" s="102"/>
      <c r="AP177" s="102"/>
    </row>
    <row r="178" spans="1:42">
      <c r="A178" s="89">
        <v>177</v>
      </c>
      <c r="B178" s="90">
        <v>999</v>
      </c>
      <c r="C178" s="91" t="s">
        <v>841</v>
      </c>
      <c r="D178" s="58" t="s">
        <v>845</v>
      </c>
      <c r="E178" s="59">
        <v>24230</v>
      </c>
      <c r="F178" s="92">
        <f ca="1">(TODAY()-Data_Assessment[[#This Row],[BIRTH DATE]])/365.25</f>
        <v>55.88227241615332</v>
      </c>
      <c r="G178" s="62" t="s">
        <v>986</v>
      </c>
      <c r="H178" s="63" t="s">
        <v>987</v>
      </c>
      <c r="I178" s="106">
        <v>4</v>
      </c>
      <c r="J178" s="64" t="s">
        <v>1069</v>
      </c>
      <c r="K178" s="143">
        <v>0</v>
      </c>
      <c r="L178" s="58"/>
      <c r="M178" s="58"/>
      <c r="N178" s="102"/>
      <c r="O178" s="102"/>
      <c r="P178" s="102"/>
      <c r="Q178" s="102"/>
      <c r="R178" s="102"/>
      <c r="S178" s="102"/>
      <c r="T178" s="102"/>
      <c r="U178" s="102"/>
      <c r="V178" s="102"/>
      <c r="W178" s="102"/>
      <c r="X178" s="102"/>
      <c r="Y178" s="102"/>
      <c r="Z178" s="102"/>
      <c r="AA178" s="102"/>
      <c r="AB178" s="102"/>
      <c r="AC178" s="102"/>
      <c r="AD178" s="102"/>
      <c r="AE178" s="102"/>
      <c r="AF178" s="102"/>
      <c r="AG178" s="102"/>
      <c r="AH178" s="102"/>
      <c r="AI178" s="102"/>
      <c r="AJ178" s="102"/>
      <c r="AK178" s="102"/>
      <c r="AL178" s="102"/>
      <c r="AM178" s="102"/>
      <c r="AN178" s="102"/>
      <c r="AO178" s="102"/>
      <c r="AP178" s="102"/>
    </row>
    <row r="179" spans="1:42" ht="29.25">
      <c r="A179" s="89">
        <v>178</v>
      </c>
      <c r="B179" s="90">
        <v>50047137</v>
      </c>
      <c r="C179" s="91" t="s">
        <v>178</v>
      </c>
      <c r="D179" s="58" t="s">
        <v>846</v>
      </c>
      <c r="E179" s="59">
        <v>28741</v>
      </c>
      <c r="F179" s="92">
        <f ca="1">(TODAY()-Data_Assessment[[#This Row],[BIRTH DATE]])/365.25</f>
        <v>43.531827515400408</v>
      </c>
      <c r="G179" s="62" t="s">
        <v>971</v>
      </c>
      <c r="H179" s="63" t="s">
        <v>972</v>
      </c>
      <c r="I179" s="106">
        <v>1</v>
      </c>
      <c r="J179" s="64" t="s">
        <v>1070</v>
      </c>
      <c r="K179" s="143">
        <v>3</v>
      </c>
      <c r="L179" s="58"/>
      <c r="M179" s="58"/>
      <c r="N179" s="102"/>
      <c r="O179" s="102"/>
      <c r="P179" s="102"/>
      <c r="Q179" s="102"/>
      <c r="R179" s="102"/>
      <c r="S179" s="102"/>
      <c r="T179" s="102"/>
      <c r="U179" s="102"/>
      <c r="V179" s="102"/>
      <c r="W179" s="102"/>
      <c r="X179" s="102"/>
      <c r="Y179" s="102"/>
      <c r="Z179" s="102"/>
      <c r="AA179" s="102"/>
      <c r="AB179" s="102"/>
      <c r="AC179" s="102"/>
      <c r="AD179" s="102"/>
      <c r="AE179" s="102"/>
      <c r="AF179" s="102"/>
      <c r="AG179" s="102"/>
      <c r="AH179" s="102"/>
      <c r="AI179" s="102"/>
      <c r="AJ179" s="102"/>
      <c r="AK179" s="102"/>
      <c r="AL179" s="102"/>
      <c r="AM179" s="102"/>
      <c r="AN179" s="102"/>
      <c r="AO179" s="102"/>
      <c r="AP179" s="102"/>
    </row>
    <row r="180" spans="1:42">
      <c r="A180" s="89">
        <v>179</v>
      </c>
      <c r="B180" s="90">
        <v>20002027</v>
      </c>
      <c r="C180" s="91" t="s">
        <v>842</v>
      </c>
      <c r="D180" s="58" t="s">
        <v>845</v>
      </c>
      <c r="E180" s="59">
        <v>27404</v>
      </c>
      <c r="F180" s="92">
        <f ca="1">(TODAY()-Data_Assessment[[#This Row],[BIRTH DATE]])/365.25</f>
        <v>47.192334017796028</v>
      </c>
      <c r="G180" s="62" t="s">
        <v>986</v>
      </c>
      <c r="H180" s="63" t="s">
        <v>987</v>
      </c>
      <c r="I180" s="106">
        <v>4</v>
      </c>
      <c r="J180" s="64" t="s">
        <v>1069</v>
      </c>
      <c r="K180" s="143">
        <v>3</v>
      </c>
      <c r="L180" s="58"/>
      <c r="M180" s="58"/>
      <c r="N180" s="102"/>
      <c r="O180" s="102"/>
      <c r="P180" s="102"/>
      <c r="Q180" s="102"/>
      <c r="R180" s="102"/>
      <c r="S180" s="102"/>
      <c r="T180" s="102"/>
      <c r="U180" s="102"/>
      <c r="V180" s="102"/>
      <c r="W180" s="102"/>
      <c r="X180" s="102"/>
      <c r="Y180" s="102"/>
      <c r="Z180" s="102"/>
      <c r="AA180" s="102"/>
      <c r="AB180" s="102"/>
      <c r="AC180" s="102"/>
      <c r="AD180" s="102"/>
      <c r="AE180" s="102"/>
      <c r="AF180" s="102"/>
      <c r="AG180" s="102"/>
      <c r="AH180" s="102"/>
      <c r="AI180" s="102"/>
      <c r="AJ180" s="102"/>
      <c r="AK180" s="102"/>
      <c r="AL180" s="102"/>
      <c r="AM180" s="102"/>
      <c r="AN180" s="102"/>
      <c r="AO180" s="102"/>
      <c r="AP180" s="102"/>
    </row>
    <row r="181" spans="1:42">
      <c r="A181" s="89">
        <v>180</v>
      </c>
      <c r="B181" s="90">
        <v>50047195</v>
      </c>
      <c r="C181" s="91" t="s">
        <v>179</v>
      </c>
      <c r="D181" s="58" t="s">
        <v>845</v>
      </c>
      <c r="E181" s="59">
        <v>28116</v>
      </c>
      <c r="F181" s="92">
        <f ca="1">(TODAY()-Data_Assessment[[#This Row],[BIRTH DATE]])/365.25</f>
        <v>45.242984257357975</v>
      </c>
      <c r="G181" s="62" t="s">
        <v>971</v>
      </c>
      <c r="H181" s="63" t="s">
        <v>972</v>
      </c>
      <c r="I181" s="106">
        <v>1</v>
      </c>
      <c r="J181" s="64" t="s">
        <v>1071</v>
      </c>
      <c r="K181" s="143">
        <v>2</v>
      </c>
      <c r="L181" s="58"/>
      <c r="M181" s="58"/>
      <c r="N181" s="102"/>
      <c r="O181" s="102"/>
      <c r="P181" s="102"/>
      <c r="Q181" s="102"/>
      <c r="R181" s="102"/>
      <c r="S181" s="102"/>
      <c r="T181" s="102"/>
      <c r="U181" s="102"/>
      <c r="V181" s="102"/>
      <c r="W181" s="102"/>
      <c r="X181" s="102"/>
      <c r="Y181" s="102"/>
      <c r="Z181" s="102"/>
      <c r="AA181" s="102"/>
      <c r="AB181" s="102"/>
      <c r="AC181" s="102"/>
      <c r="AD181" s="102"/>
      <c r="AE181" s="102"/>
      <c r="AF181" s="102"/>
      <c r="AG181" s="102"/>
      <c r="AH181" s="102"/>
      <c r="AI181" s="102"/>
      <c r="AJ181" s="102"/>
      <c r="AK181" s="102"/>
      <c r="AL181" s="102"/>
      <c r="AM181" s="102"/>
      <c r="AN181" s="102"/>
      <c r="AO181" s="102"/>
      <c r="AP181" s="102"/>
    </row>
    <row r="182" spans="1:42">
      <c r="A182" s="89">
        <v>181</v>
      </c>
      <c r="B182" s="90">
        <v>2100379</v>
      </c>
      <c r="C182" s="91" t="s">
        <v>843</v>
      </c>
      <c r="D182" s="58" t="s">
        <v>845</v>
      </c>
      <c r="E182" s="59">
        <v>27595</v>
      </c>
      <c r="F182" s="92">
        <f ca="1">(TODAY()-Data_Assessment[[#This Row],[BIRTH DATE]])/365.25</f>
        <v>46.669404517453799</v>
      </c>
      <c r="G182" s="62" t="s">
        <v>986</v>
      </c>
      <c r="H182" s="63" t="s">
        <v>987</v>
      </c>
      <c r="I182" s="106">
        <v>4</v>
      </c>
      <c r="J182" s="64" t="s">
        <v>1072</v>
      </c>
      <c r="K182" s="143">
        <v>3</v>
      </c>
      <c r="L182" s="58"/>
      <c r="M182" s="58"/>
      <c r="N182" s="102"/>
      <c r="O182" s="102"/>
      <c r="P182" s="102"/>
      <c r="Q182" s="102"/>
      <c r="R182" s="102"/>
      <c r="S182" s="102"/>
      <c r="T182" s="102"/>
      <c r="U182" s="102"/>
      <c r="V182" s="102"/>
      <c r="W182" s="102"/>
      <c r="X182" s="102"/>
      <c r="Y182" s="102"/>
      <c r="Z182" s="102"/>
      <c r="AA182" s="102"/>
      <c r="AB182" s="102"/>
      <c r="AC182" s="102"/>
      <c r="AD182" s="102"/>
      <c r="AE182" s="102"/>
      <c r="AF182" s="102"/>
      <c r="AG182" s="102"/>
      <c r="AH182" s="102"/>
      <c r="AI182" s="102"/>
      <c r="AJ182" s="102"/>
      <c r="AK182" s="102"/>
      <c r="AL182" s="102"/>
      <c r="AM182" s="102"/>
      <c r="AN182" s="102"/>
      <c r="AO182" s="102"/>
      <c r="AP182" s="102"/>
    </row>
    <row r="183" spans="1:42" ht="29.25">
      <c r="A183" s="89">
        <v>182</v>
      </c>
      <c r="B183" s="90">
        <v>50030614</v>
      </c>
      <c r="C183" s="91" t="s">
        <v>180</v>
      </c>
      <c r="D183" s="58" t="s">
        <v>845</v>
      </c>
      <c r="E183" s="59">
        <v>25934</v>
      </c>
      <c r="F183" s="92">
        <f ca="1">(TODAY()-Data_Assessment[[#This Row],[BIRTH DATE]])/365.25</f>
        <v>51.21697467488022</v>
      </c>
      <c r="G183" s="62" t="s">
        <v>971</v>
      </c>
      <c r="H183" s="63" t="s">
        <v>972</v>
      </c>
      <c r="I183" s="106">
        <v>1</v>
      </c>
      <c r="J183" s="64" t="s">
        <v>1073</v>
      </c>
      <c r="K183" s="143">
        <v>4</v>
      </c>
      <c r="L183" s="58"/>
      <c r="M183" s="58"/>
      <c r="N183" s="102"/>
      <c r="O183" s="102"/>
      <c r="P183" s="102"/>
      <c r="Q183" s="102"/>
      <c r="R183" s="102"/>
      <c r="S183" s="102"/>
      <c r="T183" s="102"/>
      <c r="U183" s="102"/>
      <c r="V183" s="102"/>
      <c r="W183" s="102"/>
      <c r="X183" s="102"/>
      <c r="Y183" s="102"/>
      <c r="Z183" s="102"/>
      <c r="AA183" s="102"/>
      <c r="AB183" s="102"/>
      <c r="AC183" s="102"/>
      <c r="AD183" s="102"/>
      <c r="AE183" s="102"/>
      <c r="AF183" s="102"/>
      <c r="AG183" s="102"/>
      <c r="AH183" s="102"/>
      <c r="AI183" s="102"/>
      <c r="AJ183" s="102"/>
      <c r="AK183" s="102"/>
      <c r="AL183" s="102"/>
      <c r="AM183" s="102"/>
      <c r="AN183" s="102"/>
      <c r="AO183" s="102"/>
      <c r="AP183" s="102"/>
    </row>
    <row r="184" spans="1:42">
      <c r="A184" s="89">
        <v>183</v>
      </c>
      <c r="B184" s="90">
        <v>201000510</v>
      </c>
      <c r="C184" s="91" t="s">
        <v>844</v>
      </c>
      <c r="D184" s="58" t="s">
        <v>845</v>
      </c>
      <c r="E184" s="59">
        <v>25875</v>
      </c>
      <c r="F184" s="92">
        <f ca="1">(TODAY()-Data_Assessment[[#This Row],[BIRTH DATE]])/365.25</f>
        <v>51.378507871321013</v>
      </c>
      <c r="G184" s="62" t="s">
        <v>986</v>
      </c>
      <c r="H184" s="63" t="s">
        <v>987</v>
      </c>
      <c r="I184" s="106">
        <v>4</v>
      </c>
      <c r="J184" s="64" t="s">
        <v>1074</v>
      </c>
      <c r="K184" s="143">
        <v>0</v>
      </c>
      <c r="L184" s="58"/>
      <c r="M184" s="58"/>
      <c r="N184" s="102"/>
      <c r="O184" s="102"/>
      <c r="P184" s="102"/>
      <c r="Q184" s="102"/>
      <c r="R184" s="102"/>
      <c r="S184" s="102"/>
      <c r="T184" s="102"/>
      <c r="U184" s="102"/>
      <c r="V184" s="102"/>
      <c r="W184" s="102"/>
      <c r="X184" s="102"/>
      <c r="Y184" s="102"/>
      <c r="Z184" s="102"/>
      <c r="AA184" s="102"/>
      <c r="AB184" s="102"/>
      <c r="AC184" s="102"/>
      <c r="AD184" s="102"/>
      <c r="AE184" s="102"/>
      <c r="AF184" s="102"/>
      <c r="AG184" s="102"/>
      <c r="AH184" s="102"/>
      <c r="AI184" s="102"/>
      <c r="AJ184" s="102"/>
      <c r="AK184" s="102"/>
      <c r="AL184" s="102"/>
      <c r="AM184" s="102"/>
      <c r="AN184" s="102"/>
      <c r="AO184" s="102"/>
      <c r="AP184" s="102"/>
    </row>
    <row r="185" spans="1:42">
      <c r="A185" s="89">
        <v>184</v>
      </c>
      <c r="B185" s="90">
        <v>50030619</v>
      </c>
      <c r="C185" s="91" t="s">
        <v>181</v>
      </c>
      <c r="D185" s="58" t="s">
        <v>845</v>
      </c>
      <c r="E185" s="59">
        <v>26862</v>
      </c>
      <c r="F185" s="92">
        <f ca="1">(TODAY()-Data_Assessment[[#This Row],[BIRTH DATE]])/365.25</f>
        <v>48.676249144421632</v>
      </c>
      <c r="G185" s="62" t="s">
        <v>971</v>
      </c>
      <c r="H185" s="63" t="s">
        <v>972</v>
      </c>
      <c r="I185" s="106">
        <v>1</v>
      </c>
      <c r="J185" s="64" t="s">
        <v>1075</v>
      </c>
      <c r="K185" s="143">
        <v>3</v>
      </c>
      <c r="L185" s="58"/>
      <c r="M185" s="58"/>
      <c r="N185" s="102"/>
      <c r="O185" s="102"/>
      <c r="P185" s="102"/>
      <c r="Q185" s="102"/>
      <c r="R185" s="102"/>
      <c r="S185" s="102"/>
      <c r="T185" s="102"/>
      <c r="U185" s="102"/>
      <c r="V185" s="102"/>
      <c r="W185" s="102"/>
      <c r="X185" s="102"/>
      <c r="Y185" s="102"/>
      <c r="Z185" s="102"/>
      <c r="AA185" s="102"/>
      <c r="AB185" s="102"/>
      <c r="AC185" s="102"/>
      <c r="AD185" s="102"/>
      <c r="AE185" s="102"/>
      <c r="AF185" s="102"/>
      <c r="AG185" s="102"/>
      <c r="AH185" s="102"/>
      <c r="AI185" s="102"/>
      <c r="AJ185" s="102"/>
      <c r="AK185" s="102"/>
      <c r="AL185" s="102"/>
      <c r="AM185" s="102"/>
      <c r="AN185" s="102"/>
      <c r="AO185" s="102"/>
      <c r="AP185" s="102"/>
    </row>
    <row r="186" spans="1:42" ht="29.25">
      <c r="A186" s="89">
        <v>185</v>
      </c>
      <c r="B186" s="90">
        <v>50021479</v>
      </c>
      <c r="C186" s="91" t="s">
        <v>1076</v>
      </c>
      <c r="D186" s="58" t="s">
        <v>846</v>
      </c>
      <c r="E186" s="59">
        <v>26675</v>
      </c>
      <c r="F186" s="92">
        <f ca="1">(TODAY()-Data_Assessment[[#This Row],[BIRTH DATE]])/365.25</f>
        <v>49.18822724161533</v>
      </c>
      <c r="G186" s="62" t="s">
        <v>986</v>
      </c>
      <c r="H186" s="63" t="s">
        <v>987</v>
      </c>
      <c r="I186" s="106">
        <v>4</v>
      </c>
      <c r="J186" s="64" t="s">
        <v>1077</v>
      </c>
      <c r="K186" s="143">
        <v>0</v>
      </c>
      <c r="L186" s="58"/>
      <c r="M186" s="58"/>
      <c r="N186" s="102"/>
      <c r="O186" s="102"/>
      <c r="P186" s="102"/>
      <c r="Q186" s="102"/>
      <c r="R186" s="102"/>
      <c r="S186" s="102"/>
      <c r="T186" s="102"/>
      <c r="U186" s="102"/>
      <c r="V186" s="102"/>
      <c r="W186" s="102"/>
      <c r="X186" s="102"/>
      <c r="Y186" s="102"/>
      <c r="Z186" s="102"/>
      <c r="AA186" s="102"/>
      <c r="AB186" s="102"/>
      <c r="AC186" s="102"/>
      <c r="AD186" s="102"/>
      <c r="AE186" s="102"/>
      <c r="AF186" s="102"/>
      <c r="AG186" s="102"/>
      <c r="AH186" s="102"/>
      <c r="AI186" s="102"/>
      <c r="AJ186" s="102"/>
      <c r="AK186" s="102"/>
      <c r="AL186" s="102"/>
      <c r="AM186" s="102"/>
      <c r="AN186" s="102"/>
      <c r="AO186" s="102"/>
      <c r="AP186" s="102"/>
    </row>
    <row r="187" spans="1:42">
      <c r="A187" s="89">
        <v>186</v>
      </c>
      <c r="B187" s="90">
        <v>50030613</v>
      </c>
      <c r="C187" s="91" t="s">
        <v>182</v>
      </c>
      <c r="D187" s="58" t="s">
        <v>845</v>
      </c>
      <c r="E187" s="59">
        <v>26864</v>
      </c>
      <c r="F187" s="92">
        <f ca="1">(TODAY()-Data_Assessment[[#This Row],[BIRTH DATE]])/365.25</f>
        <v>48.670773442847363</v>
      </c>
      <c r="G187" s="62" t="s">
        <v>971</v>
      </c>
      <c r="H187" s="63" t="s">
        <v>972</v>
      </c>
      <c r="I187" s="106">
        <v>1</v>
      </c>
      <c r="J187" s="64" t="s">
        <v>1075</v>
      </c>
      <c r="K187" s="143">
        <v>3</v>
      </c>
      <c r="L187" s="58"/>
      <c r="M187" s="58"/>
      <c r="N187" s="102"/>
      <c r="O187" s="102"/>
      <c r="P187" s="102"/>
      <c r="Q187" s="102"/>
      <c r="R187" s="102"/>
      <c r="S187" s="102"/>
      <c r="T187" s="102"/>
      <c r="U187" s="102"/>
      <c r="V187" s="102"/>
      <c r="W187" s="102"/>
      <c r="X187" s="102"/>
      <c r="Y187" s="102"/>
      <c r="Z187" s="102"/>
      <c r="AA187" s="102"/>
      <c r="AB187" s="102"/>
      <c r="AC187" s="102"/>
      <c r="AD187" s="102"/>
      <c r="AE187" s="102"/>
      <c r="AF187" s="102"/>
      <c r="AG187" s="102"/>
      <c r="AH187" s="102"/>
      <c r="AI187" s="102"/>
      <c r="AJ187" s="102"/>
      <c r="AK187" s="102"/>
      <c r="AL187" s="102"/>
      <c r="AM187" s="102"/>
      <c r="AN187" s="102"/>
      <c r="AO187" s="102"/>
      <c r="AP187" s="102"/>
    </row>
    <row r="188" spans="1:42">
      <c r="A188" s="89">
        <v>187</v>
      </c>
      <c r="B188" s="90">
        <v>50030858</v>
      </c>
      <c r="C188" s="91" t="s">
        <v>183</v>
      </c>
      <c r="D188" s="58" t="s">
        <v>846</v>
      </c>
      <c r="E188" s="59">
        <v>24910</v>
      </c>
      <c r="F188" s="92">
        <f ca="1">(TODAY()-Data_Assessment[[#This Row],[BIRTH DATE]])/365.25</f>
        <v>54.020533880903493</v>
      </c>
      <c r="G188" s="62" t="s">
        <v>971</v>
      </c>
      <c r="H188" s="63" t="s">
        <v>972</v>
      </c>
      <c r="I188" s="106">
        <v>1</v>
      </c>
      <c r="J188" s="64" t="s">
        <v>1075</v>
      </c>
      <c r="K188" s="143">
        <v>3</v>
      </c>
      <c r="L188" s="58"/>
      <c r="M188" s="58"/>
      <c r="N188" s="102"/>
      <c r="O188" s="102"/>
      <c r="P188" s="102"/>
      <c r="Q188" s="102"/>
      <c r="R188" s="102"/>
      <c r="S188" s="102"/>
      <c r="T188" s="102"/>
      <c r="U188" s="102"/>
      <c r="V188" s="102"/>
      <c r="W188" s="102"/>
      <c r="X188" s="102"/>
      <c r="Y188" s="102"/>
      <c r="Z188" s="102"/>
      <c r="AA188" s="102"/>
      <c r="AB188" s="102"/>
      <c r="AC188" s="102"/>
      <c r="AD188" s="102"/>
      <c r="AE188" s="102"/>
      <c r="AF188" s="102"/>
      <c r="AG188" s="102"/>
      <c r="AH188" s="102"/>
      <c r="AI188" s="102"/>
      <c r="AJ188" s="102"/>
      <c r="AK188" s="102"/>
      <c r="AL188" s="102"/>
      <c r="AM188" s="102"/>
      <c r="AN188" s="102"/>
      <c r="AO188" s="102"/>
      <c r="AP188" s="102"/>
    </row>
    <row r="189" spans="1:42" ht="29.25">
      <c r="A189" s="89">
        <v>188</v>
      </c>
      <c r="B189" s="90">
        <v>50030617</v>
      </c>
      <c r="C189" s="91" t="s">
        <v>1078</v>
      </c>
      <c r="D189" s="58" t="s">
        <v>846</v>
      </c>
      <c r="E189" s="59">
        <v>24525</v>
      </c>
      <c r="F189" s="92">
        <f ca="1">(TODAY()-Data_Assessment[[#This Row],[BIRTH DATE]])/365.25</f>
        <v>55.074606433949349</v>
      </c>
      <c r="G189" s="62" t="s">
        <v>971</v>
      </c>
      <c r="H189" s="63" t="s">
        <v>972</v>
      </c>
      <c r="I189" s="106">
        <v>1</v>
      </c>
      <c r="J189" s="64" t="s">
        <v>1079</v>
      </c>
      <c r="K189" s="143">
        <v>3</v>
      </c>
      <c r="L189" s="58"/>
      <c r="M189" s="58"/>
      <c r="N189" s="102"/>
      <c r="O189" s="102"/>
      <c r="P189" s="102"/>
      <c r="Q189" s="102"/>
      <c r="R189" s="102"/>
      <c r="S189" s="102"/>
      <c r="T189" s="102"/>
      <c r="U189" s="102"/>
      <c r="V189" s="102"/>
      <c r="W189" s="102"/>
      <c r="X189" s="102"/>
      <c r="Y189" s="102"/>
      <c r="Z189" s="102"/>
      <c r="AA189" s="102"/>
      <c r="AB189" s="102"/>
      <c r="AC189" s="102"/>
      <c r="AD189" s="102"/>
      <c r="AE189" s="102"/>
      <c r="AF189" s="102"/>
      <c r="AG189" s="102"/>
      <c r="AH189" s="102"/>
      <c r="AI189" s="102"/>
      <c r="AJ189" s="102"/>
      <c r="AK189" s="102"/>
      <c r="AL189" s="102"/>
      <c r="AM189" s="102"/>
      <c r="AN189" s="102"/>
      <c r="AO189" s="102"/>
      <c r="AP189" s="102"/>
    </row>
    <row r="190" spans="1:42">
      <c r="A190" s="89">
        <v>189</v>
      </c>
      <c r="B190" s="90">
        <v>50148017</v>
      </c>
      <c r="C190" s="91" t="s">
        <v>747</v>
      </c>
      <c r="D190" s="58" t="s">
        <v>845</v>
      </c>
      <c r="E190" s="59">
        <v>27915</v>
      </c>
      <c r="F190" s="92">
        <f ca="1">(TODAY()-Data_Assessment[[#This Row],[BIRTH DATE]])/365.25</f>
        <v>45.793292265571523</v>
      </c>
      <c r="G190" s="62" t="s">
        <v>919</v>
      </c>
      <c r="H190" s="63" t="s">
        <v>923</v>
      </c>
      <c r="I190" s="106">
        <v>1</v>
      </c>
      <c r="J190" s="64" t="s">
        <v>924</v>
      </c>
      <c r="K190" s="143">
        <v>0</v>
      </c>
      <c r="L190" s="58"/>
      <c r="M190" s="58"/>
      <c r="N190" s="102"/>
      <c r="O190" s="102"/>
      <c r="P190" s="102"/>
      <c r="Q190" s="102"/>
      <c r="R190" s="102"/>
      <c r="S190" s="102"/>
      <c r="T190" s="102"/>
      <c r="U190" s="102"/>
      <c r="V190" s="102"/>
      <c r="W190" s="102"/>
      <c r="X190" s="102"/>
      <c r="Y190" s="102"/>
      <c r="Z190" s="102"/>
      <c r="AA190" s="102"/>
      <c r="AB190" s="102"/>
      <c r="AC190" s="102"/>
      <c r="AD190" s="102"/>
      <c r="AE190" s="102"/>
      <c r="AF190" s="102"/>
      <c r="AG190" s="102"/>
      <c r="AH190" s="102"/>
      <c r="AI190" s="102"/>
      <c r="AJ190" s="102"/>
      <c r="AK190" s="102"/>
      <c r="AL190" s="102"/>
      <c r="AM190" s="102"/>
      <c r="AN190" s="102"/>
      <c r="AO190" s="102"/>
      <c r="AP190" s="102"/>
    </row>
    <row r="191" spans="1:42" ht="29.25">
      <c r="A191" s="89">
        <v>190</v>
      </c>
      <c r="B191" s="90">
        <v>50030658</v>
      </c>
      <c r="C191" s="91" t="s">
        <v>184</v>
      </c>
      <c r="D191" s="58" t="s">
        <v>845</v>
      </c>
      <c r="E191" s="59">
        <v>26072</v>
      </c>
      <c r="F191" s="92">
        <f ca="1">(TODAY()-Data_Assessment[[#This Row],[BIRTH DATE]])/365.25</f>
        <v>50.839151266255989</v>
      </c>
      <c r="G191" s="62" t="s">
        <v>971</v>
      </c>
      <c r="H191" s="63" t="s">
        <v>972</v>
      </c>
      <c r="I191" s="106">
        <v>1</v>
      </c>
      <c r="J191" s="64" t="s">
        <v>1080</v>
      </c>
      <c r="K191" s="143">
        <v>3</v>
      </c>
      <c r="L191" s="58"/>
      <c r="M191" s="58"/>
      <c r="N191" s="102"/>
      <c r="O191" s="102"/>
      <c r="P191" s="102"/>
      <c r="Q191" s="102"/>
      <c r="R191" s="102"/>
      <c r="S191" s="102"/>
      <c r="T191" s="102"/>
      <c r="U191" s="102"/>
      <c r="V191" s="102"/>
      <c r="W191" s="102"/>
      <c r="X191" s="102"/>
      <c r="Y191" s="102"/>
      <c r="Z191" s="102"/>
      <c r="AA191" s="102"/>
      <c r="AB191" s="102"/>
      <c r="AC191" s="102"/>
      <c r="AD191" s="102"/>
      <c r="AE191" s="102"/>
      <c r="AF191" s="102"/>
      <c r="AG191" s="102"/>
      <c r="AH191" s="102"/>
      <c r="AI191" s="102"/>
      <c r="AJ191" s="102"/>
      <c r="AK191" s="102"/>
      <c r="AL191" s="102"/>
      <c r="AM191" s="102"/>
      <c r="AN191" s="102"/>
      <c r="AO191" s="102"/>
      <c r="AP191" s="102"/>
    </row>
    <row r="192" spans="1:42">
      <c r="A192" s="89">
        <v>191</v>
      </c>
      <c r="B192" s="90">
        <v>50146760</v>
      </c>
      <c r="C192" s="91" t="s">
        <v>380</v>
      </c>
      <c r="D192" s="58" t="s">
        <v>845</v>
      </c>
      <c r="E192" s="59">
        <v>33608</v>
      </c>
      <c r="F192" s="92">
        <f ca="1">(TODAY()-Data_Assessment[[#This Row],[BIRTH DATE]])/365.25</f>
        <v>30.206707734428473</v>
      </c>
      <c r="G192" s="62" t="s">
        <v>895</v>
      </c>
      <c r="H192" s="63" t="s">
        <v>896</v>
      </c>
      <c r="I192" s="106">
        <v>1</v>
      </c>
      <c r="J192" s="64" t="s">
        <v>1081</v>
      </c>
      <c r="K192" s="143">
        <v>0</v>
      </c>
      <c r="L192" s="58"/>
      <c r="M192" s="58"/>
      <c r="N192" s="102"/>
      <c r="O192" s="102"/>
      <c r="P192" s="102"/>
      <c r="Q192" s="102"/>
      <c r="R192" s="102"/>
      <c r="S192" s="102"/>
      <c r="T192" s="102"/>
      <c r="U192" s="102"/>
      <c r="V192" s="102"/>
      <c r="W192" s="102"/>
      <c r="X192" s="102"/>
      <c r="Y192" s="102"/>
      <c r="Z192" s="102"/>
      <c r="AA192" s="102"/>
      <c r="AB192" s="102"/>
      <c r="AC192" s="102"/>
      <c r="AD192" s="102"/>
      <c r="AE192" s="102"/>
      <c r="AF192" s="102"/>
      <c r="AG192" s="102"/>
      <c r="AH192" s="102"/>
      <c r="AI192" s="102"/>
      <c r="AJ192" s="102"/>
      <c r="AK192" s="102"/>
      <c r="AL192" s="102"/>
      <c r="AM192" s="102"/>
      <c r="AN192" s="102"/>
      <c r="AO192" s="102"/>
      <c r="AP192" s="102"/>
    </row>
    <row r="193" spans="1:42">
      <c r="A193" s="89">
        <v>192</v>
      </c>
      <c r="B193" s="90">
        <v>50147634</v>
      </c>
      <c r="C193" s="91" t="s">
        <v>503</v>
      </c>
      <c r="D193" s="58" t="s">
        <v>845</v>
      </c>
      <c r="E193" s="59">
        <v>28628</v>
      </c>
      <c r="F193" s="92">
        <f ca="1">(TODAY()-Data_Assessment[[#This Row],[BIRTH DATE]])/365.25</f>
        <v>43.841204654346335</v>
      </c>
      <c r="G193" s="62" t="s">
        <v>1082</v>
      </c>
      <c r="H193" s="63" t="s">
        <v>1083</v>
      </c>
      <c r="I193" s="106">
        <v>4</v>
      </c>
      <c r="J193" s="64" t="s">
        <v>1084</v>
      </c>
      <c r="K193" s="143">
        <v>0</v>
      </c>
      <c r="L193" s="58"/>
      <c r="M193" s="58"/>
      <c r="N193" s="102"/>
      <c r="O193" s="102"/>
      <c r="P193" s="102"/>
      <c r="Q193" s="102"/>
      <c r="R193" s="102"/>
      <c r="S193" s="102"/>
      <c r="T193" s="102"/>
      <c r="U193" s="102"/>
      <c r="V193" s="102"/>
      <c r="W193" s="102"/>
      <c r="X193" s="102"/>
      <c r="Y193" s="102"/>
      <c r="Z193" s="102"/>
      <c r="AA193" s="102"/>
      <c r="AB193" s="102"/>
      <c r="AC193" s="102"/>
      <c r="AD193" s="102"/>
      <c r="AE193" s="102"/>
      <c r="AF193" s="102"/>
      <c r="AG193" s="102"/>
      <c r="AH193" s="102"/>
      <c r="AI193" s="102"/>
      <c r="AJ193" s="102"/>
      <c r="AK193" s="102"/>
      <c r="AL193" s="102"/>
      <c r="AM193" s="102"/>
      <c r="AN193" s="102"/>
      <c r="AO193" s="102"/>
      <c r="AP193" s="102"/>
    </row>
    <row r="194" spans="1:42" ht="29.25">
      <c r="A194" s="89">
        <v>193</v>
      </c>
      <c r="B194" s="90">
        <v>50031408</v>
      </c>
      <c r="C194" s="91" t="s">
        <v>185</v>
      </c>
      <c r="D194" s="58" t="s">
        <v>846</v>
      </c>
      <c r="E194" s="59">
        <v>26031</v>
      </c>
      <c r="F194" s="92">
        <f ca="1">(TODAY()-Data_Assessment[[#This Row],[BIRTH DATE]])/365.25</f>
        <v>50.951403148528406</v>
      </c>
      <c r="G194" s="62" t="s">
        <v>971</v>
      </c>
      <c r="H194" s="63" t="s">
        <v>972</v>
      </c>
      <c r="I194" s="106">
        <v>1</v>
      </c>
      <c r="J194" s="64" t="s">
        <v>1085</v>
      </c>
      <c r="K194" s="143">
        <v>2</v>
      </c>
      <c r="L194" s="58"/>
      <c r="M194" s="58"/>
      <c r="N194" s="102"/>
      <c r="O194" s="102"/>
      <c r="P194" s="102"/>
      <c r="Q194" s="102"/>
      <c r="R194" s="102"/>
      <c r="S194" s="102"/>
      <c r="T194" s="102"/>
      <c r="U194" s="102"/>
      <c r="V194" s="102"/>
      <c r="W194" s="102"/>
      <c r="X194" s="102"/>
      <c r="Y194" s="102"/>
      <c r="Z194" s="102"/>
      <c r="AA194" s="102"/>
      <c r="AB194" s="102"/>
      <c r="AC194" s="102"/>
      <c r="AD194" s="102"/>
      <c r="AE194" s="102"/>
      <c r="AF194" s="102"/>
      <c r="AG194" s="102"/>
      <c r="AH194" s="102"/>
      <c r="AI194" s="102"/>
      <c r="AJ194" s="102"/>
      <c r="AK194" s="102"/>
      <c r="AL194" s="102"/>
      <c r="AM194" s="102"/>
      <c r="AN194" s="102"/>
      <c r="AO194" s="102"/>
      <c r="AP194" s="102"/>
    </row>
    <row r="195" spans="1:42">
      <c r="A195" s="89">
        <v>194</v>
      </c>
      <c r="B195" s="90">
        <v>50147180</v>
      </c>
      <c r="C195" s="91" t="s">
        <v>560</v>
      </c>
      <c r="D195" s="58" t="s">
        <v>846</v>
      </c>
      <c r="E195" s="59">
        <v>24989</v>
      </c>
      <c r="F195" s="92">
        <f ca="1">(TODAY()-Data_Assessment[[#This Row],[BIRTH DATE]])/365.25</f>
        <v>53.804243668720055</v>
      </c>
      <c r="G195" s="62" t="s">
        <v>919</v>
      </c>
      <c r="H195" s="63" t="s">
        <v>1086</v>
      </c>
      <c r="I195" s="106">
        <v>1</v>
      </c>
      <c r="J195" s="64" t="s">
        <v>1087</v>
      </c>
      <c r="K195" s="143">
        <v>0</v>
      </c>
      <c r="L195" s="58"/>
      <c r="M195" s="58"/>
      <c r="N195" s="102"/>
      <c r="O195" s="102"/>
      <c r="P195" s="102"/>
      <c r="Q195" s="102"/>
      <c r="R195" s="102"/>
      <c r="S195" s="102"/>
      <c r="T195" s="102"/>
      <c r="U195" s="102"/>
      <c r="V195" s="102"/>
      <c r="W195" s="102"/>
      <c r="X195" s="102"/>
      <c r="Y195" s="102"/>
      <c r="Z195" s="102"/>
      <c r="AA195" s="102"/>
      <c r="AB195" s="102"/>
      <c r="AC195" s="102"/>
      <c r="AD195" s="102"/>
      <c r="AE195" s="102"/>
      <c r="AF195" s="102"/>
      <c r="AG195" s="102"/>
      <c r="AH195" s="102"/>
      <c r="AI195" s="102"/>
      <c r="AJ195" s="102"/>
      <c r="AK195" s="102"/>
      <c r="AL195" s="102"/>
      <c r="AM195" s="102"/>
      <c r="AN195" s="102"/>
      <c r="AO195" s="102"/>
      <c r="AP195" s="102"/>
    </row>
    <row r="196" spans="1:42" ht="29.25">
      <c r="A196" s="89">
        <v>195</v>
      </c>
      <c r="B196" s="90">
        <v>50031503</v>
      </c>
      <c r="C196" s="91" t="s">
        <v>186</v>
      </c>
      <c r="D196" s="58" t="s">
        <v>845</v>
      </c>
      <c r="E196" s="59">
        <v>26550</v>
      </c>
      <c r="F196" s="92">
        <f ca="1">(TODAY()-Data_Assessment[[#This Row],[BIRTH DATE]])/365.25</f>
        <v>49.530458590006845</v>
      </c>
      <c r="G196" s="62" t="s">
        <v>971</v>
      </c>
      <c r="H196" s="63" t="s">
        <v>972</v>
      </c>
      <c r="I196" s="106">
        <v>1</v>
      </c>
      <c r="J196" s="64" t="s">
        <v>1088</v>
      </c>
      <c r="K196" s="143">
        <v>4</v>
      </c>
      <c r="L196" s="58"/>
      <c r="M196" s="58"/>
      <c r="N196" s="102"/>
      <c r="O196" s="102"/>
      <c r="P196" s="102"/>
      <c r="Q196" s="102"/>
      <c r="R196" s="102"/>
      <c r="S196" s="102"/>
      <c r="T196" s="102"/>
      <c r="U196" s="102"/>
      <c r="V196" s="102"/>
      <c r="W196" s="102"/>
      <c r="X196" s="102"/>
      <c r="Y196" s="102"/>
      <c r="Z196" s="102"/>
      <c r="AA196" s="102"/>
      <c r="AB196" s="102"/>
      <c r="AC196" s="102"/>
      <c r="AD196" s="102"/>
      <c r="AE196" s="102"/>
      <c r="AF196" s="102"/>
      <c r="AG196" s="102"/>
      <c r="AH196" s="102"/>
      <c r="AI196" s="102"/>
      <c r="AJ196" s="102"/>
      <c r="AK196" s="102"/>
      <c r="AL196" s="102"/>
      <c r="AM196" s="102"/>
      <c r="AN196" s="102"/>
      <c r="AO196" s="102"/>
      <c r="AP196" s="102"/>
    </row>
    <row r="197" spans="1:42">
      <c r="A197" s="89">
        <v>196</v>
      </c>
      <c r="B197" s="90">
        <v>50148009</v>
      </c>
      <c r="C197" s="91" t="s">
        <v>577</v>
      </c>
      <c r="D197" s="58" t="s">
        <v>845</v>
      </c>
      <c r="E197" s="59">
        <v>35079</v>
      </c>
      <c r="F197" s="92">
        <f ca="1">(TODAY()-Data_Assessment[[#This Row],[BIRTH DATE]])/365.25</f>
        <v>26.179329226557151</v>
      </c>
      <c r="G197" s="62" t="s">
        <v>919</v>
      </c>
      <c r="H197" s="63" t="s">
        <v>1086</v>
      </c>
      <c r="I197" s="106">
        <v>1</v>
      </c>
      <c r="J197" s="64" t="s">
        <v>1089</v>
      </c>
      <c r="K197" s="143">
        <v>0</v>
      </c>
      <c r="L197" s="58"/>
      <c r="M197" s="58"/>
      <c r="N197" s="102"/>
      <c r="O197" s="102"/>
      <c r="P197" s="102"/>
      <c r="Q197" s="102"/>
      <c r="R197" s="102"/>
      <c r="S197" s="102"/>
      <c r="T197" s="102"/>
      <c r="U197" s="102"/>
      <c r="V197" s="102"/>
      <c r="W197" s="102"/>
      <c r="X197" s="102"/>
      <c r="Y197" s="102"/>
      <c r="Z197" s="102"/>
      <c r="AA197" s="102"/>
      <c r="AB197" s="102"/>
      <c r="AC197" s="102"/>
      <c r="AD197" s="102"/>
      <c r="AE197" s="102"/>
      <c r="AF197" s="102"/>
      <c r="AG197" s="102"/>
      <c r="AH197" s="102"/>
      <c r="AI197" s="102"/>
      <c r="AJ197" s="102"/>
      <c r="AK197" s="102"/>
      <c r="AL197" s="102"/>
      <c r="AM197" s="102"/>
      <c r="AN197" s="102"/>
      <c r="AO197" s="102"/>
      <c r="AP197" s="102"/>
    </row>
    <row r="198" spans="1:42" ht="29.25">
      <c r="A198" s="89">
        <v>197</v>
      </c>
      <c r="B198" s="90">
        <v>50030620</v>
      </c>
      <c r="C198" s="91" t="s">
        <v>187</v>
      </c>
      <c r="D198" s="58" t="s">
        <v>845</v>
      </c>
      <c r="E198" s="59">
        <v>26110</v>
      </c>
      <c r="F198" s="92">
        <f ca="1">(TODAY()-Data_Assessment[[#This Row],[BIRTH DATE]])/365.25</f>
        <v>50.735112936344969</v>
      </c>
      <c r="G198" s="62" t="s">
        <v>971</v>
      </c>
      <c r="H198" s="63" t="s">
        <v>972</v>
      </c>
      <c r="I198" s="106">
        <v>1</v>
      </c>
      <c r="J198" s="64" t="s">
        <v>1090</v>
      </c>
      <c r="K198" s="143">
        <v>3</v>
      </c>
      <c r="L198" s="58"/>
      <c r="M198" s="58"/>
      <c r="N198" s="102"/>
      <c r="O198" s="102"/>
      <c r="P198" s="102"/>
      <c r="Q198" s="102"/>
      <c r="R198" s="102"/>
      <c r="S198" s="102"/>
      <c r="T198" s="102"/>
      <c r="U198" s="102"/>
      <c r="V198" s="102"/>
      <c r="W198" s="102"/>
      <c r="X198" s="102"/>
      <c r="Y198" s="102"/>
      <c r="Z198" s="102"/>
      <c r="AA198" s="102"/>
      <c r="AB198" s="102"/>
      <c r="AC198" s="102"/>
      <c r="AD198" s="102"/>
      <c r="AE198" s="102"/>
      <c r="AF198" s="102"/>
      <c r="AG198" s="102"/>
      <c r="AH198" s="102"/>
      <c r="AI198" s="102"/>
      <c r="AJ198" s="102"/>
      <c r="AK198" s="102"/>
      <c r="AL198" s="102"/>
      <c r="AM198" s="102"/>
      <c r="AN198" s="102"/>
      <c r="AO198" s="102"/>
      <c r="AP198" s="102"/>
    </row>
    <row r="199" spans="1:42">
      <c r="A199" s="89">
        <v>198</v>
      </c>
      <c r="B199" s="90">
        <v>50146759</v>
      </c>
      <c r="C199" s="91" t="s">
        <v>780</v>
      </c>
      <c r="D199" s="58" t="s">
        <v>845</v>
      </c>
      <c r="E199" s="59">
        <v>32607</v>
      </c>
      <c r="F199" s="92">
        <f ca="1">(TODAY()-Data_Assessment[[#This Row],[BIRTH DATE]])/365.25</f>
        <v>32.947296372347708</v>
      </c>
      <c r="G199" s="62" t="s">
        <v>919</v>
      </c>
      <c r="H199" s="63" t="s">
        <v>947</v>
      </c>
      <c r="I199" s="106">
        <v>1</v>
      </c>
      <c r="J199" s="64" t="s">
        <v>1091</v>
      </c>
      <c r="K199" s="143">
        <v>0</v>
      </c>
      <c r="L199" s="58"/>
      <c r="M199" s="58"/>
      <c r="N199" s="102"/>
      <c r="O199" s="102"/>
      <c r="P199" s="102"/>
      <c r="Q199" s="102"/>
      <c r="R199" s="102"/>
      <c r="S199" s="102"/>
      <c r="T199" s="102"/>
      <c r="U199" s="102"/>
      <c r="V199" s="102"/>
      <c r="W199" s="102"/>
      <c r="X199" s="102"/>
      <c r="Y199" s="102"/>
      <c r="Z199" s="102"/>
      <c r="AA199" s="102"/>
      <c r="AB199" s="102"/>
      <c r="AC199" s="102"/>
      <c r="AD199" s="102"/>
      <c r="AE199" s="102"/>
      <c r="AF199" s="102"/>
      <c r="AG199" s="102"/>
      <c r="AH199" s="102"/>
      <c r="AI199" s="102"/>
      <c r="AJ199" s="102"/>
      <c r="AK199" s="102"/>
      <c r="AL199" s="102"/>
      <c r="AM199" s="102"/>
      <c r="AN199" s="102"/>
      <c r="AO199" s="102"/>
      <c r="AP199" s="102"/>
    </row>
    <row r="200" spans="1:42" ht="29.25">
      <c r="A200" s="89">
        <v>199</v>
      </c>
      <c r="B200" s="90">
        <v>50030621</v>
      </c>
      <c r="C200" s="91" t="s">
        <v>188</v>
      </c>
      <c r="D200" s="58" t="s">
        <v>845</v>
      </c>
      <c r="E200" s="59">
        <v>25214</v>
      </c>
      <c r="F200" s="92">
        <f ca="1">(TODAY()-Data_Assessment[[#This Row],[BIRTH DATE]])/365.25</f>
        <v>53.18822724161533</v>
      </c>
      <c r="G200" s="62" t="s">
        <v>971</v>
      </c>
      <c r="H200" s="63" t="s">
        <v>972</v>
      </c>
      <c r="I200" s="106">
        <v>1</v>
      </c>
      <c r="J200" s="64" t="s">
        <v>1092</v>
      </c>
      <c r="K200" s="143">
        <v>2</v>
      </c>
      <c r="L200" s="58"/>
      <c r="M200" s="58"/>
      <c r="N200" s="102"/>
      <c r="O200" s="102"/>
      <c r="P200" s="102"/>
      <c r="Q200" s="102"/>
      <c r="R200" s="102"/>
      <c r="S200" s="102"/>
      <c r="T200" s="102"/>
      <c r="U200" s="102"/>
      <c r="V200" s="102"/>
      <c r="W200" s="102"/>
      <c r="X200" s="102"/>
      <c r="Y200" s="102"/>
      <c r="Z200" s="102"/>
      <c r="AA200" s="102"/>
      <c r="AB200" s="102"/>
      <c r="AC200" s="102"/>
      <c r="AD200" s="102"/>
      <c r="AE200" s="102"/>
      <c r="AF200" s="102"/>
      <c r="AG200" s="102"/>
      <c r="AH200" s="102"/>
      <c r="AI200" s="102"/>
      <c r="AJ200" s="102"/>
      <c r="AK200" s="102"/>
      <c r="AL200" s="102"/>
      <c r="AM200" s="102"/>
      <c r="AN200" s="102"/>
      <c r="AO200" s="102"/>
      <c r="AP200" s="102"/>
    </row>
    <row r="201" spans="1:42" ht="29.25">
      <c r="A201" s="89">
        <v>200</v>
      </c>
      <c r="B201" s="90">
        <v>50030622</v>
      </c>
      <c r="C201" s="91" t="s">
        <v>189</v>
      </c>
      <c r="D201" s="58" t="s">
        <v>846</v>
      </c>
      <c r="E201" s="59">
        <v>25963</v>
      </c>
      <c r="F201" s="92">
        <f ca="1">(TODAY()-Data_Assessment[[#This Row],[BIRTH DATE]])/365.25</f>
        <v>51.137577002053391</v>
      </c>
      <c r="G201" s="62" t="s">
        <v>971</v>
      </c>
      <c r="H201" s="63" t="s">
        <v>972</v>
      </c>
      <c r="I201" s="106">
        <v>1</v>
      </c>
      <c r="J201" s="64" t="s">
        <v>1092</v>
      </c>
      <c r="K201" s="143">
        <v>3</v>
      </c>
      <c r="L201" s="58"/>
      <c r="M201" s="58"/>
      <c r="N201" s="102"/>
      <c r="O201" s="102"/>
      <c r="P201" s="102"/>
      <c r="Q201" s="102"/>
      <c r="R201" s="102"/>
      <c r="S201" s="102"/>
      <c r="T201" s="102"/>
      <c r="U201" s="102"/>
      <c r="V201" s="102"/>
      <c r="W201" s="102"/>
      <c r="X201" s="102"/>
      <c r="Y201" s="102"/>
      <c r="Z201" s="102"/>
      <c r="AA201" s="102"/>
      <c r="AB201" s="102"/>
      <c r="AC201" s="102"/>
      <c r="AD201" s="102"/>
      <c r="AE201" s="102"/>
      <c r="AF201" s="102"/>
      <c r="AG201" s="102"/>
      <c r="AH201" s="102"/>
      <c r="AI201" s="102"/>
      <c r="AJ201" s="102"/>
      <c r="AK201" s="102"/>
      <c r="AL201" s="102"/>
      <c r="AM201" s="102"/>
      <c r="AN201" s="102"/>
      <c r="AO201" s="102"/>
      <c r="AP201" s="102"/>
    </row>
    <row r="202" spans="1:42" ht="29.25">
      <c r="A202" s="89">
        <v>201</v>
      </c>
      <c r="B202" s="90">
        <v>50030625</v>
      </c>
      <c r="C202" s="91" t="s">
        <v>190</v>
      </c>
      <c r="D202" s="58" t="s">
        <v>846</v>
      </c>
      <c r="E202" s="59">
        <v>26744</v>
      </c>
      <c r="F202" s="92">
        <f ca="1">(TODAY()-Data_Assessment[[#This Row],[BIRTH DATE]])/365.25</f>
        <v>48.999315537303218</v>
      </c>
      <c r="G202" s="62" t="s">
        <v>971</v>
      </c>
      <c r="H202" s="63" t="s">
        <v>972</v>
      </c>
      <c r="I202" s="106">
        <v>1</v>
      </c>
      <c r="J202" s="64" t="s">
        <v>1092</v>
      </c>
      <c r="K202" s="143">
        <v>2</v>
      </c>
      <c r="L202" s="58"/>
      <c r="M202" s="58"/>
      <c r="N202" s="102"/>
      <c r="O202" s="102"/>
      <c r="P202" s="102"/>
      <c r="Q202" s="102"/>
      <c r="R202" s="102"/>
      <c r="S202" s="102"/>
      <c r="T202" s="102"/>
      <c r="U202" s="102"/>
      <c r="V202" s="102"/>
      <c r="W202" s="102"/>
      <c r="X202" s="102"/>
      <c r="Y202" s="102"/>
      <c r="Z202" s="102"/>
      <c r="AA202" s="102"/>
      <c r="AB202" s="102"/>
      <c r="AC202" s="102"/>
      <c r="AD202" s="102"/>
      <c r="AE202" s="102"/>
      <c r="AF202" s="102"/>
      <c r="AG202" s="102"/>
      <c r="AH202" s="102"/>
      <c r="AI202" s="102"/>
      <c r="AJ202" s="102"/>
      <c r="AK202" s="102"/>
      <c r="AL202" s="102"/>
      <c r="AM202" s="102"/>
      <c r="AN202" s="102"/>
      <c r="AO202" s="102"/>
      <c r="AP202" s="102"/>
    </row>
    <row r="203" spans="1:42">
      <c r="A203" s="89">
        <v>202</v>
      </c>
      <c r="B203" s="90">
        <v>50030609</v>
      </c>
      <c r="C203" s="91" t="s">
        <v>191</v>
      </c>
      <c r="D203" s="58" t="s">
        <v>845</v>
      </c>
      <c r="E203" s="59">
        <v>26271</v>
      </c>
      <c r="F203" s="92">
        <f ca="1">(TODAY()-Data_Assessment[[#This Row],[BIRTH DATE]])/365.25</f>
        <v>50.294318959616703</v>
      </c>
      <c r="G203" s="62" t="s">
        <v>971</v>
      </c>
      <c r="H203" s="63" t="s">
        <v>972</v>
      </c>
      <c r="I203" s="106">
        <v>1</v>
      </c>
      <c r="J203" s="64" t="s">
        <v>1093</v>
      </c>
      <c r="K203" s="143">
        <v>3</v>
      </c>
      <c r="L203" s="58"/>
      <c r="M203" s="58"/>
      <c r="N203" s="102"/>
      <c r="O203" s="102"/>
      <c r="P203" s="102"/>
      <c r="Q203" s="102"/>
      <c r="R203" s="102"/>
      <c r="S203" s="102"/>
      <c r="T203" s="102"/>
      <c r="U203" s="102"/>
      <c r="V203" s="102"/>
      <c r="W203" s="102"/>
      <c r="X203" s="102"/>
      <c r="Y203" s="102"/>
      <c r="Z203" s="102"/>
      <c r="AA203" s="102"/>
      <c r="AB203" s="102"/>
      <c r="AC203" s="102"/>
      <c r="AD203" s="102"/>
      <c r="AE203" s="102"/>
      <c r="AF203" s="102"/>
      <c r="AG203" s="102"/>
      <c r="AH203" s="102"/>
      <c r="AI203" s="102"/>
      <c r="AJ203" s="102"/>
      <c r="AK203" s="102"/>
      <c r="AL203" s="102"/>
      <c r="AM203" s="102"/>
      <c r="AN203" s="102"/>
      <c r="AO203" s="102"/>
      <c r="AP203" s="102"/>
    </row>
    <row r="204" spans="1:42" ht="29.25">
      <c r="A204" s="89">
        <v>203</v>
      </c>
      <c r="B204" s="90">
        <v>50030606</v>
      </c>
      <c r="C204" s="91" t="s">
        <v>192</v>
      </c>
      <c r="D204" s="58" t="s">
        <v>845</v>
      </c>
      <c r="E204" s="59">
        <v>27120</v>
      </c>
      <c r="F204" s="92">
        <f ca="1">(TODAY()-Data_Assessment[[#This Row],[BIRTH DATE]])/365.25</f>
        <v>47.969883641341546</v>
      </c>
      <c r="G204" s="62" t="s">
        <v>971</v>
      </c>
      <c r="H204" s="63" t="s">
        <v>972</v>
      </c>
      <c r="I204" s="106">
        <v>1</v>
      </c>
      <c r="J204" s="64" t="s">
        <v>1094</v>
      </c>
      <c r="K204" s="143">
        <v>3</v>
      </c>
      <c r="L204" s="58"/>
      <c r="M204" s="58"/>
      <c r="N204" s="102"/>
      <c r="O204" s="102"/>
      <c r="P204" s="102"/>
      <c r="Q204" s="102"/>
      <c r="R204" s="102"/>
      <c r="S204" s="102"/>
      <c r="T204" s="102"/>
      <c r="U204" s="102"/>
      <c r="V204" s="102"/>
      <c r="W204" s="102"/>
      <c r="X204" s="102"/>
      <c r="Y204" s="102"/>
      <c r="Z204" s="102"/>
      <c r="AA204" s="102"/>
      <c r="AB204" s="102"/>
      <c r="AC204" s="102"/>
      <c r="AD204" s="102"/>
      <c r="AE204" s="102"/>
      <c r="AF204" s="102"/>
      <c r="AG204" s="102"/>
      <c r="AH204" s="102"/>
      <c r="AI204" s="102"/>
      <c r="AJ204" s="102"/>
      <c r="AK204" s="102"/>
      <c r="AL204" s="102"/>
      <c r="AM204" s="102"/>
      <c r="AN204" s="102"/>
      <c r="AO204" s="102"/>
      <c r="AP204" s="102"/>
    </row>
    <row r="205" spans="1:42" ht="29.25">
      <c r="A205" s="89">
        <v>204</v>
      </c>
      <c r="B205" s="90">
        <v>50030607</v>
      </c>
      <c r="C205" s="91" t="s">
        <v>193</v>
      </c>
      <c r="D205" s="58" t="s">
        <v>845</v>
      </c>
      <c r="E205" s="59">
        <v>24687</v>
      </c>
      <c r="F205" s="92">
        <f ca="1">(TODAY()-Data_Assessment[[#This Row],[BIRTH DATE]])/365.25</f>
        <v>54.631074606433948</v>
      </c>
      <c r="G205" s="62" t="s">
        <v>971</v>
      </c>
      <c r="H205" s="63" t="s">
        <v>972</v>
      </c>
      <c r="I205" s="106">
        <v>1</v>
      </c>
      <c r="J205" s="64" t="s">
        <v>1095</v>
      </c>
      <c r="K205" s="143">
        <v>4</v>
      </c>
      <c r="L205" s="58"/>
      <c r="M205" s="58"/>
      <c r="N205" s="102"/>
      <c r="O205" s="102"/>
      <c r="P205" s="102"/>
      <c r="Q205" s="102"/>
      <c r="R205" s="102"/>
      <c r="S205" s="102"/>
      <c r="T205" s="102"/>
      <c r="U205" s="102"/>
      <c r="V205" s="102"/>
      <c r="W205" s="102"/>
      <c r="X205" s="102"/>
      <c r="Y205" s="102"/>
      <c r="Z205" s="102"/>
      <c r="AA205" s="102"/>
      <c r="AB205" s="102"/>
      <c r="AC205" s="102"/>
      <c r="AD205" s="102"/>
      <c r="AE205" s="102"/>
      <c r="AF205" s="102"/>
      <c r="AG205" s="102"/>
      <c r="AH205" s="102"/>
      <c r="AI205" s="102"/>
      <c r="AJ205" s="102"/>
      <c r="AK205" s="102"/>
      <c r="AL205" s="102"/>
      <c r="AM205" s="102"/>
      <c r="AN205" s="102"/>
      <c r="AO205" s="102"/>
      <c r="AP205" s="102"/>
    </row>
    <row r="206" spans="1:42">
      <c r="A206" s="89">
        <v>205</v>
      </c>
      <c r="B206" s="90">
        <v>50030608</v>
      </c>
      <c r="C206" s="91" t="s">
        <v>194</v>
      </c>
      <c r="D206" s="58" t="s">
        <v>846</v>
      </c>
      <c r="E206" s="59">
        <v>28220</v>
      </c>
      <c r="F206" s="92">
        <f ca="1">(TODAY()-Data_Assessment[[#This Row],[BIRTH DATE]])/365.25</f>
        <v>44.958247775496233</v>
      </c>
      <c r="G206" s="62" t="s">
        <v>971</v>
      </c>
      <c r="H206" s="63" t="s">
        <v>972</v>
      </c>
      <c r="I206" s="106">
        <v>1</v>
      </c>
      <c r="J206" s="64" t="s">
        <v>1096</v>
      </c>
      <c r="K206" s="143">
        <v>3</v>
      </c>
      <c r="L206" s="58"/>
      <c r="M206" s="58"/>
      <c r="N206" s="102"/>
      <c r="O206" s="102"/>
      <c r="P206" s="102"/>
      <c r="Q206" s="102"/>
      <c r="R206" s="102"/>
      <c r="S206" s="102"/>
      <c r="T206" s="102"/>
      <c r="U206" s="102"/>
      <c r="V206" s="102"/>
      <c r="W206" s="102"/>
      <c r="X206" s="102"/>
      <c r="Y206" s="102"/>
      <c r="Z206" s="102"/>
      <c r="AA206" s="102"/>
      <c r="AB206" s="102"/>
      <c r="AC206" s="102"/>
      <c r="AD206" s="102"/>
      <c r="AE206" s="102"/>
      <c r="AF206" s="102"/>
      <c r="AG206" s="102"/>
      <c r="AH206" s="102"/>
      <c r="AI206" s="102"/>
      <c r="AJ206" s="102"/>
      <c r="AK206" s="102"/>
      <c r="AL206" s="102"/>
      <c r="AM206" s="102"/>
      <c r="AN206" s="102"/>
      <c r="AO206" s="102"/>
      <c r="AP206" s="102"/>
    </row>
    <row r="207" spans="1:42">
      <c r="A207" s="89">
        <v>206</v>
      </c>
      <c r="B207" s="90">
        <v>50031431</v>
      </c>
      <c r="C207" s="91" t="s">
        <v>195</v>
      </c>
      <c r="D207" s="58" t="s">
        <v>845</v>
      </c>
      <c r="E207" s="59">
        <v>30846</v>
      </c>
      <c r="F207" s="92">
        <f ca="1">(TODAY()-Data_Assessment[[#This Row],[BIRTH DATE]])/365.25</f>
        <v>37.768651608487339</v>
      </c>
      <c r="G207" s="62" t="s">
        <v>971</v>
      </c>
      <c r="H207" s="63" t="s">
        <v>972</v>
      </c>
      <c r="I207" s="106">
        <v>1</v>
      </c>
      <c r="J207" s="64" t="s">
        <v>1097</v>
      </c>
      <c r="K207" s="143">
        <v>3</v>
      </c>
      <c r="L207" s="58"/>
      <c r="M207" s="58"/>
      <c r="N207" s="102"/>
      <c r="O207" s="102"/>
      <c r="P207" s="102"/>
      <c r="Q207" s="102"/>
      <c r="R207" s="102"/>
      <c r="S207" s="102"/>
      <c r="T207" s="102"/>
      <c r="U207" s="102"/>
      <c r="V207" s="102"/>
      <c r="W207" s="102"/>
      <c r="X207" s="102"/>
      <c r="Y207" s="102"/>
      <c r="Z207" s="102"/>
      <c r="AA207" s="102"/>
      <c r="AB207" s="102"/>
      <c r="AC207" s="102"/>
      <c r="AD207" s="102"/>
      <c r="AE207" s="102"/>
      <c r="AF207" s="102"/>
      <c r="AG207" s="102"/>
      <c r="AH207" s="102"/>
      <c r="AI207" s="102"/>
      <c r="AJ207" s="102"/>
      <c r="AK207" s="102"/>
      <c r="AL207" s="102"/>
      <c r="AM207" s="102"/>
      <c r="AN207" s="102"/>
      <c r="AO207" s="102"/>
      <c r="AP207" s="102"/>
    </row>
    <row r="208" spans="1:42">
      <c r="A208" s="89">
        <v>207</v>
      </c>
      <c r="B208" s="90">
        <v>50030871</v>
      </c>
      <c r="C208" s="91" t="s">
        <v>204</v>
      </c>
      <c r="D208" s="58" t="s">
        <v>846</v>
      </c>
      <c r="E208" s="59">
        <v>33408</v>
      </c>
      <c r="F208" s="92">
        <f ca="1">(TODAY()-Data_Assessment[[#This Row],[BIRTH DATE]])/365.25</f>
        <v>30.754277891854894</v>
      </c>
      <c r="G208" s="62" t="s">
        <v>971</v>
      </c>
      <c r="H208" s="63" t="s">
        <v>972</v>
      </c>
      <c r="I208" s="106">
        <v>1</v>
      </c>
      <c r="J208" s="64" t="s">
        <v>1098</v>
      </c>
      <c r="K208" s="143">
        <v>3</v>
      </c>
      <c r="L208" s="58"/>
      <c r="M208" s="58"/>
      <c r="N208" s="102"/>
      <c r="O208" s="102"/>
      <c r="P208" s="102"/>
      <c r="Q208" s="102"/>
      <c r="R208" s="102"/>
      <c r="S208" s="102"/>
      <c r="T208" s="102"/>
      <c r="U208" s="102"/>
      <c r="V208" s="102"/>
      <c r="W208" s="102"/>
      <c r="X208" s="102"/>
      <c r="Y208" s="102"/>
      <c r="Z208" s="102"/>
      <c r="AA208" s="102"/>
      <c r="AB208" s="102"/>
      <c r="AC208" s="102"/>
      <c r="AD208" s="102"/>
      <c r="AE208" s="102"/>
      <c r="AF208" s="102"/>
      <c r="AG208" s="102"/>
      <c r="AH208" s="102"/>
      <c r="AI208" s="102"/>
      <c r="AJ208" s="102"/>
      <c r="AK208" s="102"/>
      <c r="AL208" s="102"/>
      <c r="AM208" s="102"/>
      <c r="AN208" s="102"/>
      <c r="AO208" s="102"/>
      <c r="AP208" s="102"/>
    </row>
    <row r="209" spans="1:42">
      <c r="A209" s="89">
        <v>208</v>
      </c>
      <c r="B209" s="90">
        <v>50049440</v>
      </c>
      <c r="C209" s="91" t="s">
        <v>196</v>
      </c>
      <c r="D209" s="58" t="s">
        <v>845</v>
      </c>
      <c r="E209" s="59">
        <v>32950</v>
      </c>
      <c r="F209" s="92">
        <f ca="1">(TODAY()-Data_Assessment[[#This Row],[BIRTH DATE]])/365.25</f>
        <v>32.008213552361397</v>
      </c>
      <c r="G209" s="64" t="s">
        <v>971</v>
      </c>
      <c r="H209" s="65" t="s">
        <v>972</v>
      </c>
      <c r="I209" s="106">
        <v>1</v>
      </c>
      <c r="J209" s="64" t="s">
        <v>1099</v>
      </c>
      <c r="K209" s="143">
        <v>3</v>
      </c>
      <c r="L209" s="58"/>
      <c r="M209" s="58"/>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c r="AM209" s="103"/>
      <c r="AN209" s="103"/>
      <c r="AO209" s="103"/>
      <c r="AP209" s="102"/>
    </row>
    <row r="210" spans="1:42">
      <c r="A210" s="89">
        <v>209</v>
      </c>
      <c r="B210" s="90">
        <v>50030860</v>
      </c>
      <c r="C210" s="91" t="s">
        <v>209</v>
      </c>
      <c r="D210" s="58" t="s">
        <v>845</v>
      </c>
      <c r="E210" s="59">
        <v>31307</v>
      </c>
      <c r="F210" s="92">
        <f ca="1">(TODAY()-Data_Assessment[[#This Row],[BIRTH DATE]])/365.25</f>
        <v>36.506502395619435</v>
      </c>
      <c r="G210" s="62" t="s">
        <v>971</v>
      </c>
      <c r="H210" s="63" t="s">
        <v>972</v>
      </c>
      <c r="I210" s="106">
        <v>1</v>
      </c>
      <c r="J210" s="104" t="s">
        <v>1100</v>
      </c>
      <c r="K210" s="143">
        <v>3</v>
      </c>
      <c r="L210" s="58"/>
      <c r="M210" s="58"/>
      <c r="N210" s="102"/>
      <c r="O210" s="102"/>
      <c r="P210" s="102"/>
      <c r="Q210" s="102"/>
      <c r="R210" s="102"/>
      <c r="S210" s="102"/>
      <c r="T210" s="102"/>
      <c r="U210" s="102"/>
      <c r="V210" s="102"/>
      <c r="W210" s="102"/>
      <c r="X210" s="102"/>
      <c r="Y210" s="102"/>
      <c r="Z210" s="102"/>
      <c r="AA210" s="102"/>
      <c r="AB210" s="102"/>
      <c r="AC210" s="102"/>
      <c r="AD210" s="102"/>
      <c r="AE210" s="102"/>
      <c r="AF210" s="102"/>
      <c r="AG210" s="102"/>
      <c r="AH210" s="102"/>
      <c r="AI210" s="102"/>
      <c r="AJ210" s="102"/>
      <c r="AK210" s="102"/>
      <c r="AL210" s="102"/>
      <c r="AM210" s="102"/>
      <c r="AN210" s="102"/>
      <c r="AO210" s="102"/>
      <c r="AP210" s="102"/>
    </row>
    <row r="211" spans="1:42">
      <c r="A211" s="89">
        <v>210</v>
      </c>
      <c r="B211" s="90">
        <v>50030592</v>
      </c>
      <c r="C211" s="91" t="s">
        <v>197</v>
      </c>
      <c r="D211" s="58" t="s">
        <v>845</v>
      </c>
      <c r="E211" s="59">
        <v>27197</v>
      </c>
      <c r="F211" s="92">
        <f ca="1">(TODAY()-Data_Assessment[[#This Row],[BIRTH DATE]])/365.25</f>
        <v>47.759069130732378</v>
      </c>
      <c r="G211" s="62" t="s">
        <v>971</v>
      </c>
      <c r="H211" s="63" t="s">
        <v>972</v>
      </c>
      <c r="I211" s="106">
        <v>1</v>
      </c>
      <c r="J211" s="104" t="s">
        <v>1101</v>
      </c>
      <c r="K211" s="143">
        <v>3</v>
      </c>
      <c r="L211" s="58"/>
      <c r="M211" s="58"/>
      <c r="N211" s="101"/>
      <c r="O211" s="101"/>
      <c r="P211" s="101"/>
      <c r="Q211" s="101"/>
      <c r="R211" s="101"/>
      <c r="S211" s="101"/>
      <c r="T211" s="101"/>
      <c r="U211" s="101"/>
      <c r="V211" s="101"/>
      <c r="W211" s="101"/>
      <c r="X211" s="101"/>
      <c r="Y211" s="101"/>
      <c r="Z211" s="101"/>
      <c r="AA211" s="101"/>
      <c r="AB211" s="101"/>
      <c r="AC211" s="101"/>
      <c r="AD211" s="101"/>
      <c r="AE211" s="101"/>
      <c r="AF211" s="101"/>
      <c r="AG211" s="101"/>
      <c r="AH211" s="101"/>
      <c r="AI211" s="101"/>
      <c r="AJ211" s="101"/>
      <c r="AK211" s="101"/>
      <c r="AL211" s="101"/>
      <c r="AM211" s="101"/>
      <c r="AN211" s="101"/>
      <c r="AO211" s="101"/>
      <c r="AP211" s="102"/>
    </row>
    <row r="212" spans="1:42" ht="29.25">
      <c r="A212" s="89">
        <v>211</v>
      </c>
      <c r="B212" s="90">
        <v>50030836</v>
      </c>
      <c r="C212" s="91" t="s">
        <v>218</v>
      </c>
      <c r="D212" s="58" t="s">
        <v>845</v>
      </c>
      <c r="E212" s="59">
        <v>30042</v>
      </c>
      <c r="F212" s="92">
        <f ca="1">(TODAY()-Data_Assessment[[#This Row],[BIRTH DATE]])/365.25</f>
        <v>39.969883641341546</v>
      </c>
      <c r="G212" s="62" t="s">
        <v>971</v>
      </c>
      <c r="H212" s="63" t="s">
        <v>972</v>
      </c>
      <c r="I212" s="106">
        <v>1</v>
      </c>
      <c r="J212" s="104" t="s">
        <v>1102</v>
      </c>
      <c r="K212" s="143">
        <v>4</v>
      </c>
      <c r="L212" s="58"/>
      <c r="M212" s="58"/>
      <c r="N212" s="102"/>
      <c r="O212" s="102"/>
      <c r="P212" s="102"/>
      <c r="Q212" s="102"/>
      <c r="R212" s="102"/>
      <c r="S212" s="102"/>
      <c r="T212" s="102"/>
      <c r="U212" s="102"/>
      <c r="V212" s="102"/>
      <c r="W212" s="102"/>
      <c r="X212" s="102"/>
      <c r="Y212" s="102"/>
      <c r="Z212" s="102"/>
      <c r="AA212" s="102"/>
      <c r="AB212" s="102"/>
      <c r="AC212" s="102"/>
      <c r="AD212" s="102"/>
      <c r="AE212" s="102"/>
      <c r="AF212" s="102"/>
      <c r="AG212" s="102"/>
      <c r="AH212" s="102"/>
      <c r="AI212" s="102"/>
      <c r="AJ212" s="102"/>
      <c r="AK212" s="102"/>
      <c r="AL212" s="102"/>
      <c r="AM212" s="102"/>
      <c r="AN212" s="102"/>
      <c r="AO212" s="102"/>
      <c r="AP212" s="102"/>
    </row>
    <row r="213" spans="1:42">
      <c r="A213" s="89">
        <v>212</v>
      </c>
      <c r="B213" s="90">
        <v>50030594</v>
      </c>
      <c r="C213" s="91" t="s">
        <v>198</v>
      </c>
      <c r="D213" s="58" t="s">
        <v>845</v>
      </c>
      <c r="E213" s="59">
        <v>27308</v>
      </c>
      <c r="F213" s="92">
        <f ca="1">(TODAY()-Data_Assessment[[#This Row],[BIRTH DATE]])/365.25</f>
        <v>47.455167693360714</v>
      </c>
      <c r="G213" s="62" t="s">
        <v>971</v>
      </c>
      <c r="H213" s="63" t="s">
        <v>972</v>
      </c>
      <c r="I213" s="106">
        <v>1</v>
      </c>
      <c r="J213" s="104" t="s">
        <v>1101</v>
      </c>
      <c r="K213" s="143">
        <v>2</v>
      </c>
      <c r="L213" s="58"/>
      <c r="M213" s="58"/>
      <c r="N213" s="102"/>
      <c r="O213" s="102"/>
      <c r="P213" s="102"/>
      <c r="Q213" s="102"/>
      <c r="R213" s="102"/>
      <c r="S213" s="102"/>
      <c r="T213" s="102"/>
      <c r="U213" s="102"/>
      <c r="V213" s="102"/>
      <c r="W213" s="102"/>
      <c r="X213" s="102"/>
      <c r="Y213" s="102"/>
      <c r="Z213" s="102"/>
      <c r="AA213" s="102"/>
      <c r="AB213" s="102"/>
      <c r="AC213" s="102"/>
      <c r="AD213" s="102"/>
      <c r="AE213" s="102"/>
      <c r="AF213" s="102"/>
      <c r="AG213" s="102"/>
      <c r="AH213" s="102"/>
      <c r="AI213" s="102"/>
      <c r="AJ213" s="102"/>
      <c r="AK213" s="102"/>
      <c r="AL213" s="102"/>
      <c r="AM213" s="102"/>
      <c r="AN213" s="102"/>
      <c r="AO213" s="102"/>
      <c r="AP213" s="102"/>
    </row>
    <row r="214" spans="1:42" ht="29.25">
      <c r="A214" s="89">
        <v>213</v>
      </c>
      <c r="B214" s="90">
        <v>50089130</v>
      </c>
      <c r="C214" s="91" t="s">
        <v>223</v>
      </c>
      <c r="D214" s="58" t="s">
        <v>845</v>
      </c>
      <c r="E214" s="59">
        <v>27596</v>
      </c>
      <c r="F214" s="92">
        <f ca="1">(TODAY()-Data_Assessment[[#This Row],[BIRTH DATE]])/365.25</f>
        <v>46.666666666666664</v>
      </c>
      <c r="G214" s="62" t="s">
        <v>919</v>
      </c>
      <c r="H214" s="63" t="s">
        <v>972</v>
      </c>
      <c r="I214" s="106">
        <v>1</v>
      </c>
      <c r="J214" s="104" t="s">
        <v>1103</v>
      </c>
      <c r="K214" s="143">
        <v>2</v>
      </c>
      <c r="L214" s="58"/>
      <c r="M214" s="58"/>
      <c r="N214" s="102"/>
      <c r="O214" s="102"/>
      <c r="P214" s="102"/>
      <c r="Q214" s="102"/>
      <c r="R214" s="102"/>
      <c r="S214" s="102"/>
      <c r="T214" s="102"/>
      <c r="U214" s="102"/>
      <c r="V214" s="102"/>
      <c r="W214" s="102"/>
      <c r="X214" s="102"/>
      <c r="Y214" s="102"/>
      <c r="Z214" s="102"/>
      <c r="AA214" s="102"/>
      <c r="AB214" s="102"/>
      <c r="AC214" s="102"/>
      <c r="AD214" s="102"/>
      <c r="AE214" s="102"/>
      <c r="AF214" s="102"/>
      <c r="AG214" s="102"/>
      <c r="AH214" s="102"/>
      <c r="AI214" s="102"/>
      <c r="AJ214" s="102"/>
      <c r="AK214" s="102"/>
      <c r="AL214" s="102"/>
      <c r="AM214" s="102"/>
      <c r="AN214" s="102"/>
      <c r="AO214" s="102"/>
      <c r="AP214" s="102"/>
    </row>
    <row r="215" spans="1:42">
      <c r="A215" s="89">
        <v>214</v>
      </c>
      <c r="B215" s="90">
        <v>50141987</v>
      </c>
      <c r="C215" s="91" t="s">
        <v>199</v>
      </c>
      <c r="D215" s="58" t="s">
        <v>845</v>
      </c>
      <c r="E215" s="59">
        <v>33244</v>
      </c>
      <c r="F215" s="92">
        <f ca="1">(TODAY()-Data_Assessment[[#This Row],[BIRTH DATE]])/365.25</f>
        <v>31.20328542094456</v>
      </c>
      <c r="G215" s="62" t="s">
        <v>971</v>
      </c>
      <c r="H215" s="63" t="s">
        <v>972</v>
      </c>
      <c r="I215" s="106">
        <v>1</v>
      </c>
      <c r="J215" s="104" t="s">
        <v>1101</v>
      </c>
      <c r="K215" s="143">
        <v>4</v>
      </c>
      <c r="L215" s="58"/>
      <c r="M215" s="58"/>
      <c r="N215" s="102"/>
      <c r="O215" s="102"/>
      <c r="P215" s="102"/>
      <c r="Q215" s="102"/>
      <c r="R215" s="102"/>
      <c r="S215" s="102"/>
      <c r="T215" s="102"/>
      <c r="U215" s="102"/>
      <c r="V215" s="102"/>
      <c r="W215" s="102"/>
      <c r="X215" s="102"/>
      <c r="Y215" s="102"/>
      <c r="Z215" s="102"/>
      <c r="AA215" s="102"/>
      <c r="AB215" s="102"/>
      <c r="AC215" s="102"/>
      <c r="AD215" s="102"/>
      <c r="AE215" s="102"/>
      <c r="AF215" s="102"/>
      <c r="AG215" s="102"/>
      <c r="AH215" s="102"/>
      <c r="AI215" s="102"/>
      <c r="AJ215" s="102"/>
      <c r="AK215" s="102"/>
      <c r="AL215" s="102"/>
      <c r="AM215" s="102"/>
      <c r="AN215" s="102"/>
      <c r="AO215" s="102"/>
      <c r="AP215" s="102"/>
    </row>
    <row r="216" spans="1:42">
      <c r="A216" s="89">
        <v>215</v>
      </c>
      <c r="B216" s="90">
        <v>50031369</v>
      </c>
      <c r="C216" s="91" t="s">
        <v>245</v>
      </c>
      <c r="D216" s="58" t="s">
        <v>845</v>
      </c>
      <c r="E216" s="59">
        <v>26668</v>
      </c>
      <c r="F216" s="92">
        <f ca="1">(TODAY()-Data_Assessment[[#This Row],[BIRTH DATE]])/365.25</f>
        <v>49.207392197125259</v>
      </c>
      <c r="G216" s="62" t="s">
        <v>1104</v>
      </c>
      <c r="H216" s="63" t="s">
        <v>1064</v>
      </c>
      <c r="I216" s="106">
        <v>2</v>
      </c>
      <c r="J216" s="104" t="s">
        <v>1105</v>
      </c>
      <c r="K216" s="143">
        <v>3</v>
      </c>
      <c r="L216" s="58"/>
      <c r="M216" s="58"/>
      <c r="N216" s="102"/>
      <c r="O216" s="102"/>
      <c r="P216" s="102"/>
      <c r="Q216" s="102"/>
      <c r="R216" s="102"/>
      <c r="S216" s="102"/>
      <c r="T216" s="102"/>
      <c r="U216" s="102"/>
      <c r="V216" s="102"/>
      <c r="W216" s="102"/>
      <c r="X216" s="102"/>
      <c r="Y216" s="102"/>
      <c r="Z216" s="102"/>
      <c r="AA216" s="102"/>
      <c r="AB216" s="102"/>
      <c r="AC216" s="102"/>
      <c r="AD216" s="102"/>
      <c r="AE216" s="102"/>
      <c r="AF216" s="102"/>
      <c r="AG216" s="102"/>
      <c r="AH216" s="102"/>
      <c r="AI216" s="102"/>
      <c r="AJ216" s="102"/>
      <c r="AK216" s="102"/>
      <c r="AL216" s="102"/>
      <c r="AM216" s="102"/>
      <c r="AN216" s="102"/>
      <c r="AO216" s="102"/>
      <c r="AP216" s="102"/>
    </row>
    <row r="217" spans="1:42" ht="29.25">
      <c r="A217" s="89">
        <v>216</v>
      </c>
      <c r="B217" s="90">
        <v>50125211</v>
      </c>
      <c r="C217" s="91" t="s">
        <v>245</v>
      </c>
      <c r="D217" s="58" t="s">
        <v>845</v>
      </c>
      <c r="E217" s="59">
        <v>29265</v>
      </c>
      <c r="F217" s="92">
        <f ca="1">(TODAY()-Data_Assessment[[#This Row],[BIRTH DATE]])/365.25</f>
        <v>42.097193702943187</v>
      </c>
      <c r="G217" s="62" t="s">
        <v>986</v>
      </c>
      <c r="H217" s="63" t="s">
        <v>987</v>
      </c>
      <c r="I217" s="106">
        <v>4</v>
      </c>
      <c r="J217" s="104" t="s">
        <v>1106</v>
      </c>
      <c r="K217" s="143">
        <v>4</v>
      </c>
      <c r="L217" s="58"/>
      <c r="M217" s="58"/>
      <c r="N217" s="102"/>
      <c r="O217" s="102"/>
      <c r="P217" s="102"/>
      <c r="Q217" s="102"/>
      <c r="R217" s="102"/>
      <c r="S217" s="102"/>
      <c r="T217" s="102"/>
      <c r="U217" s="102"/>
      <c r="V217" s="102"/>
      <c r="W217" s="102"/>
      <c r="X217" s="102"/>
      <c r="Y217" s="102"/>
      <c r="Z217" s="102"/>
      <c r="AA217" s="102"/>
      <c r="AB217" s="102"/>
      <c r="AC217" s="102"/>
      <c r="AD217" s="102"/>
      <c r="AE217" s="102"/>
      <c r="AF217" s="102"/>
      <c r="AG217" s="102"/>
      <c r="AH217" s="102"/>
      <c r="AI217" s="102"/>
      <c r="AJ217" s="102"/>
      <c r="AK217" s="102"/>
      <c r="AL217" s="102"/>
      <c r="AM217" s="102"/>
      <c r="AN217" s="102"/>
      <c r="AO217" s="102"/>
      <c r="AP217" s="102"/>
    </row>
    <row r="218" spans="1:42">
      <c r="A218" s="89">
        <v>217</v>
      </c>
      <c r="B218" s="90">
        <v>50141978</v>
      </c>
      <c r="C218" s="91" t="s">
        <v>200</v>
      </c>
      <c r="D218" s="58" t="s">
        <v>845</v>
      </c>
      <c r="E218" s="59">
        <v>33811</v>
      </c>
      <c r="F218" s="92">
        <f ca="1">(TODAY()-Data_Assessment[[#This Row],[BIRTH DATE]])/365.25</f>
        <v>29.650924024640656</v>
      </c>
      <c r="G218" s="62" t="s">
        <v>971</v>
      </c>
      <c r="H218" s="63" t="s">
        <v>972</v>
      </c>
      <c r="I218" s="106">
        <v>1</v>
      </c>
      <c r="J218" s="104" t="s">
        <v>1101</v>
      </c>
      <c r="K218" s="143">
        <v>3</v>
      </c>
      <c r="L218" s="58"/>
      <c r="M218" s="58"/>
      <c r="N218" s="102"/>
      <c r="O218" s="102"/>
      <c r="P218" s="102"/>
      <c r="Q218" s="102"/>
      <c r="R218" s="102"/>
      <c r="S218" s="102"/>
      <c r="T218" s="102"/>
      <c r="U218" s="102"/>
      <c r="V218" s="102"/>
      <c r="W218" s="102"/>
      <c r="X218" s="102"/>
      <c r="Y218" s="102"/>
      <c r="Z218" s="102"/>
      <c r="AA218" s="102"/>
      <c r="AB218" s="102"/>
      <c r="AC218" s="102"/>
      <c r="AD218" s="102"/>
      <c r="AE218" s="102"/>
      <c r="AF218" s="102"/>
      <c r="AG218" s="102"/>
      <c r="AH218" s="102"/>
      <c r="AI218" s="102"/>
      <c r="AJ218" s="102"/>
      <c r="AK218" s="102"/>
      <c r="AL218" s="102"/>
      <c r="AM218" s="102"/>
      <c r="AN218" s="102"/>
      <c r="AO218" s="102"/>
      <c r="AP218" s="102"/>
    </row>
    <row r="219" spans="1:42" ht="29.25">
      <c r="A219" s="89">
        <v>218</v>
      </c>
      <c r="B219" s="90">
        <v>50031367</v>
      </c>
      <c r="C219" s="91" t="s">
        <v>251</v>
      </c>
      <c r="D219" s="58" t="s">
        <v>845</v>
      </c>
      <c r="E219" s="59">
        <v>25913</v>
      </c>
      <c r="F219" s="92">
        <f ca="1">(TODAY()-Data_Assessment[[#This Row],[BIRTH DATE]])/365.25</f>
        <v>51.274469541409992</v>
      </c>
      <c r="G219" s="62" t="s">
        <v>1104</v>
      </c>
      <c r="H219" s="63" t="s">
        <v>1064</v>
      </c>
      <c r="I219" s="106">
        <v>2</v>
      </c>
      <c r="J219" s="104" t="s">
        <v>1107</v>
      </c>
      <c r="K219" s="143">
        <v>3</v>
      </c>
      <c r="L219" s="58"/>
      <c r="M219" s="58"/>
      <c r="N219" s="102"/>
      <c r="O219" s="102"/>
      <c r="P219" s="102"/>
      <c r="Q219" s="102"/>
      <c r="R219" s="102"/>
      <c r="S219" s="102"/>
      <c r="T219" s="102"/>
      <c r="U219" s="102"/>
      <c r="V219" s="102"/>
      <c r="W219" s="102"/>
      <c r="X219" s="102"/>
      <c r="Y219" s="102"/>
      <c r="Z219" s="102"/>
      <c r="AA219" s="102"/>
      <c r="AB219" s="102"/>
      <c r="AC219" s="102"/>
      <c r="AD219" s="102"/>
      <c r="AE219" s="102"/>
      <c r="AF219" s="102"/>
      <c r="AG219" s="102"/>
      <c r="AH219" s="102"/>
      <c r="AI219" s="102"/>
      <c r="AJ219" s="102"/>
      <c r="AK219" s="102"/>
      <c r="AL219" s="102"/>
      <c r="AM219" s="102"/>
      <c r="AN219" s="102"/>
      <c r="AO219" s="102"/>
      <c r="AP219" s="102"/>
    </row>
    <row r="220" spans="1:42" ht="29.25">
      <c r="A220" s="89">
        <v>219</v>
      </c>
      <c r="B220" s="90">
        <v>50030587</v>
      </c>
      <c r="C220" s="91" t="s">
        <v>201</v>
      </c>
      <c r="D220" s="58" t="s">
        <v>845</v>
      </c>
      <c r="E220" s="59">
        <v>25395</v>
      </c>
      <c r="F220" s="92">
        <f ca="1">(TODAY()-Data_Assessment[[#This Row],[BIRTH DATE]])/365.25</f>
        <v>52.692676249144419</v>
      </c>
      <c r="G220" s="62" t="s">
        <v>971</v>
      </c>
      <c r="H220" s="63" t="s">
        <v>972</v>
      </c>
      <c r="I220" s="106">
        <v>1</v>
      </c>
      <c r="J220" s="104" t="s">
        <v>1108</v>
      </c>
      <c r="K220" s="143">
        <v>4</v>
      </c>
      <c r="L220" s="58"/>
      <c r="M220" s="58"/>
      <c r="N220" s="102"/>
      <c r="O220" s="102"/>
      <c r="P220" s="102"/>
      <c r="Q220" s="102"/>
      <c r="R220" s="102"/>
      <c r="S220" s="102"/>
      <c r="T220" s="102"/>
      <c r="U220" s="102"/>
      <c r="V220" s="102"/>
      <c r="W220" s="102"/>
      <c r="X220" s="102"/>
      <c r="Y220" s="102"/>
      <c r="Z220" s="102"/>
      <c r="AA220" s="102"/>
      <c r="AB220" s="102"/>
      <c r="AC220" s="102"/>
      <c r="AD220" s="102"/>
      <c r="AE220" s="102"/>
      <c r="AF220" s="102"/>
      <c r="AG220" s="102"/>
      <c r="AH220" s="102"/>
      <c r="AI220" s="102"/>
      <c r="AJ220" s="102"/>
      <c r="AK220" s="102"/>
      <c r="AL220" s="102"/>
      <c r="AM220" s="102"/>
      <c r="AN220" s="102"/>
      <c r="AO220" s="102"/>
      <c r="AP220" s="102"/>
    </row>
    <row r="221" spans="1:42" ht="29.25">
      <c r="A221" s="89">
        <v>220</v>
      </c>
      <c r="B221" s="90">
        <v>50031315</v>
      </c>
      <c r="C221" s="91" t="s">
        <v>253</v>
      </c>
      <c r="D221" s="58" t="s">
        <v>845</v>
      </c>
      <c r="E221" s="59">
        <v>26582</v>
      </c>
      <c r="F221" s="92">
        <f ca="1">(TODAY()-Data_Assessment[[#This Row],[BIRTH DATE]])/365.25</f>
        <v>49.442847364818618</v>
      </c>
      <c r="G221" s="62" t="s">
        <v>1109</v>
      </c>
      <c r="H221" s="63" t="s">
        <v>1033</v>
      </c>
      <c r="I221" s="106">
        <v>4</v>
      </c>
      <c r="J221" s="104" t="s">
        <v>1110</v>
      </c>
      <c r="K221" s="143">
        <v>3</v>
      </c>
      <c r="L221" s="58"/>
      <c r="M221" s="58"/>
      <c r="N221" s="102"/>
      <c r="O221" s="102"/>
      <c r="P221" s="102"/>
      <c r="Q221" s="102"/>
      <c r="R221" s="102"/>
      <c r="S221" s="102"/>
      <c r="T221" s="102"/>
      <c r="U221" s="102"/>
      <c r="V221" s="102"/>
      <c r="W221" s="102"/>
      <c r="X221" s="102"/>
      <c r="Y221" s="102"/>
      <c r="Z221" s="102"/>
      <c r="AA221" s="102"/>
      <c r="AB221" s="102"/>
      <c r="AC221" s="102"/>
      <c r="AD221" s="102"/>
      <c r="AE221" s="102"/>
      <c r="AF221" s="102"/>
      <c r="AG221" s="102"/>
      <c r="AH221" s="102"/>
      <c r="AI221" s="102"/>
      <c r="AJ221" s="102"/>
      <c r="AK221" s="102"/>
      <c r="AL221" s="102"/>
      <c r="AM221" s="102"/>
      <c r="AN221" s="102"/>
      <c r="AO221" s="102"/>
      <c r="AP221" s="102"/>
    </row>
    <row r="222" spans="1:42">
      <c r="A222" s="89">
        <v>221</v>
      </c>
      <c r="B222" s="90">
        <v>50030589</v>
      </c>
      <c r="C222" s="91" t="s">
        <v>202</v>
      </c>
      <c r="D222" s="58" t="s">
        <v>846</v>
      </c>
      <c r="E222" s="59">
        <v>25838</v>
      </c>
      <c r="F222" s="92">
        <f ca="1">(TODAY()-Data_Assessment[[#This Row],[BIRTH DATE]])/365.25</f>
        <v>51.479808350444898</v>
      </c>
      <c r="G222" s="62" t="s">
        <v>971</v>
      </c>
      <c r="H222" s="63" t="s">
        <v>972</v>
      </c>
      <c r="I222" s="106">
        <v>1</v>
      </c>
      <c r="J222" s="104" t="s">
        <v>1111</v>
      </c>
      <c r="K222" s="143">
        <v>3</v>
      </c>
      <c r="L222" s="58"/>
      <c r="M222" s="58"/>
      <c r="N222" s="102"/>
      <c r="O222" s="102"/>
      <c r="P222" s="102"/>
      <c r="Q222" s="102"/>
      <c r="R222" s="102"/>
      <c r="S222" s="102"/>
      <c r="T222" s="102"/>
      <c r="U222" s="102"/>
      <c r="V222" s="102"/>
      <c r="W222" s="102"/>
      <c r="X222" s="102"/>
      <c r="Y222" s="102"/>
      <c r="Z222" s="102"/>
      <c r="AA222" s="102"/>
      <c r="AB222" s="102"/>
      <c r="AC222" s="102"/>
      <c r="AD222" s="102"/>
      <c r="AE222" s="102"/>
      <c r="AF222" s="102"/>
      <c r="AG222" s="102"/>
      <c r="AH222" s="102"/>
      <c r="AI222" s="102"/>
      <c r="AJ222" s="102"/>
      <c r="AK222" s="102"/>
      <c r="AL222" s="102"/>
      <c r="AM222" s="102"/>
      <c r="AN222" s="102"/>
      <c r="AO222" s="102"/>
      <c r="AP222" s="102"/>
    </row>
    <row r="223" spans="1:42" ht="29.25">
      <c r="A223" s="89">
        <v>222</v>
      </c>
      <c r="B223" s="90">
        <v>50030588</v>
      </c>
      <c r="C223" s="91" t="s">
        <v>203</v>
      </c>
      <c r="D223" s="58" t="s">
        <v>845</v>
      </c>
      <c r="E223" s="59">
        <v>30806</v>
      </c>
      <c r="F223" s="92">
        <f ca="1">(TODAY()-Data_Assessment[[#This Row],[BIRTH DATE]])/365.25</f>
        <v>37.878165639972622</v>
      </c>
      <c r="G223" s="62" t="s">
        <v>971</v>
      </c>
      <c r="H223" s="63" t="s">
        <v>972</v>
      </c>
      <c r="I223" s="106">
        <v>1</v>
      </c>
      <c r="J223" s="64" t="s">
        <v>1112</v>
      </c>
      <c r="K223" s="143">
        <v>2</v>
      </c>
      <c r="L223" s="58"/>
      <c r="M223" s="58"/>
      <c r="N223" s="102"/>
      <c r="O223" s="102"/>
      <c r="P223" s="102"/>
      <c r="Q223" s="102"/>
      <c r="R223" s="102"/>
      <c r="S223" s="102"/>
      <c r="T223" s="102"/>
      <c r="U223" s="102"/>
      <c r="V223" s="102"/>
      <c r="W223" s="102"/>
      <c r="X223" s="102"/>
      <c r="Y223" s="102"/>
      <c r="Z223" s="102"/>
      <c r="AA223" s="102"/>
      <c r="AB223" s="102"/>
      <c r="AC223" s="102"/>
      <c r="AD223" s="102"/>
      <c r="AE223" s="102"/>
      <c r="AF223" s="102"/>
      <c r="AG223" s="102"/>
      <c r="AH223" s="102"/>
      <c r="AI223" s="102"/>
      <c r="AJ223" s="102"/>
      <c r="AK223" s="102"/>
      <c r="AL223" s="102"/>
      <c r="AM223" s="102"/>
      <c r="AN223" s="102"/>
      <c r="AO223" s="102"/>
      <c r="AP223" s="102"/>
    </row>
    <row r="224" spans="1:42">
      <c r="A224" s="89">
        <v>223</v>
      </c>
      <c r="B224" s="90">
        <v>50030572</v>
      </c>
      <c r="C224" s="91" t="s">
        <v>276</v>
      </c>
      <c r="D224" s="58" t="s">
        <v>846</v>
      </c>
      <c r="E224" s="59">
        <v>33222</v>
      </c>
      <c r="F224" s="92">
        <f ca="1">(TODAY()-Data_Assessment[[#This Row],[BIRTH DATE]])/365.25</f>
        <v>31.263518138261464</v>
      </c>
      <c r="G224" s="62" t="s">
        <v>986</v>
      </c>
      <c r="H224" s="63" t="s">
        <v>987</v>
      </c>
      <c r="I224" s="106">
        <v>4</v>
      </c>
      <c r="J224" s="64" t="s">
        <v>1113</v>
      </c>
      <c r="K224" s="143">
        <v>3</v>
      </c>
      <c r="L224" s="58"/>
      <c r="M224" s="58"/>
      <c r="N224" s="102"/>
      <c r="O224" s="102"/>
      <c r="P224" s="102"/>
      <c r="Q224" s="102"/>
      <c r="R224" s="102"/>
      <c r="S224" s="102"/>
      <c r="T224" s="102"/>
      <c r="U224" s="102"/>
      <c r="V224" s="102"/>
      <c r="W224" s="102"/>
      <c r="X224" s="102"/>
      <c r="Y224" s="102"/>
      <c r="Z224" s="102"/>
      <c r="AA224" s="102"/>
      <c r="AB224" s="102"/>
      <c r="AC224" s="102"/>
      <c r="AD224" s="102"/>
      <c r="AE224" s="102"/>
      <c r="AF224" s="102"/>
      <c r="AG224" s="102"/>
      <c r="AH224" s="102"/>
      <c r="AI224" s="102"/>
      <c r="AJ224" s="102"/>
      <c r="AK224" s="102"/>
      <c r="AL224" s="102"/>
      <c r="AM224" s="102"/>
      <c r="AN224" s="102"/>
      <c r="AO224" s="102"/>
      <c r="AP224" s="102"/>
    </row>
    <row r="225" spans="1:42">
      <c r="A225" s="89">
        <v>224</v>
      </c>
      <c r="B225" s="90">
        <v>50031502</v>
      </c>
      <c r="C225" s="91" t="s">
        <v>205</v>
      </c>
      <c r="D225" s="58" t="s">
        <v>845</v>
      </c>
      <c r="E225" s="59">
        <v>25285</v>
      </c>
      <c r="F225" s="92">
        <f ca="1">(TODAY()-Data_Assessment[[#This Row],[BIRTH DATE]])/365.25</f>
        <v>52.993839835728956</v>
      </c>
      <c r="G225" s="62" t="s">
        <v>971</v>
      </c>
      <c r="H225" s="63" t="s">
        <v>972</v>
      </c>
      <c r="I225" s="106">
        <v>1</v>
      </c>
      <c r="J225" s="64" t="s">
        <v>1114</v>
      </c>
      <c r="K225" s="143">
        <v>3</v>
      </c>
      <c r="L225" s="58"/>
      <c r="M225" s="58"/>
      <c r="N225" s="101"/>
      <c r="O225" s="101"/>
      <c r="P225" s="101"/>
      <c r="Q225" s="101"/>
      <c r="R225" s="101"/>
      <c r="S225" s="101"/>
      <c r="T225" s="101"/>
      <c r="U225" s="101"/>
      <c r="V225" s="101"/>
      <c r="W225" s="101"/>
      <c r="X225" s="101"/>
      <c r="Y225" s="101"/>
      <c r="Z225" s="101"/>
      <c r="AA225" s="101"/>
      <c r="AB225" s="101"/>
      <c r="AC225" s="101"/>
      <c r="AD225" s="101"/>
      <c r="AE225" s="101"/>
      <c r="AF225" s="101"/>
      <c r="AG225" s="101"/>
      <c r="AH225" s="101"/>
      <c r="AI225" s="101"/>
      <c r="AJ225" s="101"/>
      <c r="AK225" s="101"/>
      <c r="AL225" s="101"/>
      <c r="AM225" s="101"/>
      <c r="AN225" s="101"/>
      <c r="AO225" s="101"/>
      <c r="AP225" s="102"/>
    </row>
    <row r="226" spans="1:42" ht="29.25">
      <c r="A226" s="89">
        <v>225</v>
      </c>
      <c r="B226" s="90">
        <v>50141216</v>
      </c>
      <c r="C226" s="91" t="s">
        <v>279</v>
      </c>
      <c r="D226" s="58" t="s">
        <v>845</v>
      </c>
      <c r="E226" s="59">
        <v>35437</v>
      </c>
      <c r="F226" s="92">
        <f ca="1">(TODAY()-Data_Assessment[[#This Row],[BIRTH DATE]])/365.25</f>
        <v>25.199178644763862</v>
      </c>
      <c r="G226" s="62" t="s">
        <v>986</v>
      </c>
      <c r="H226" s="63" t="s">
        <v>987</v>
      </c>
      <c r="I226" s="106">
        <v>4</v>
      </c>
      <c r="J226" s="104" t="s">
        <v>1115</v>
      </c>
      <c r="K226" s="143">
        <v>0</v>
      </c>
      <c r="L226" s="58"/>
      <c r="M226" s="58"/>
      <c r="N226" s="102"/>
      <c r="O226" s="102"/>
      <c r="P226" s="102"/>
      <c r="Q226" s="102"/>
      <c r="R226" s="102"/>
      <c r="S226" s="102"/>
      <c r="T226" s="102"/>
      <c r="U226" s="102"/>
      <c r="V226" s="102"/>
      <c r="W226" s="102"/>
      <c r="X226" s="102"/>
      <c r="Y226" s="102"/>
      <c r="Z226" s="102"/>
      <c r="AA226" s="102"/>
      <c r="AB226" s="102"/>
      <c r="AC226" s="102"/>
      <c r="AD226" s="102"/>
      <c r="AE226" s="102"/>
      <c r="AF226" s="102"/>
      <c r="AG226" s="102"/>
      <c r="AH226" s="102"/>
      <c r="AI226" s="102"/>
      <c r="AJ226" s="102"/>
      <c r="AK226" s="102"/>
      <c r="AL226" s="102"/>
      <c r="AM226" s="102"/>
      <c r="AN226" s="102"/>
      <c r="AO226" s="102"/>
      <c r="AP226" s="102"/>
    </row>
    <row r="227" spans="1:42">
      <c r="A227" s="89">
        <v>226</v>
      </c>
      <c r="B227" s="90">
        <v>50031591</v>
      </c>
      <c r="C227" s="91" t="s">
        <v>206</v>
      </c>
      <c r="D227" s="58" t="s">
        <v>845</v>
      </c>
      <c r="E227" s="59">
        <v>30863</v>
      </c>
      <c r="F227" s="92">
        <f ca="1">(TODAY()-Data_Assessment[[#This Row],[BIRTH DATE]])/365.25</f>
        <v>37.722108145106091</v>
      </c>
      <c r="G227" s="62" t="s">
        <v>971</v>
      </c>
      <c r="H227" s="63" t="s">
        <v>972</v>
      </c>
      <c r="I227" s="106">
        <v>1</v>
      </c>
      <c r="J227" s="64" t="s">
        <v>973</v>
      </c>
      <c r="K227" s="143">
        <v>3</v>
      </c>
      <c r="L227" s="58"/>
      <c r="M227" s="58"/>
      <c r="N227" s="102"/>
      <c r="O227" s="102"/>
      <c r="P227" s="102"/>
      <c r="Q227" s="102"/>
      <c r="R227" s="102"/>
      <c r="S227" s="102"/>
      <c r="T227" s="102"/>
      <c r="U227" s="102"/>
      <c r="V227" s="102"/>
      <c r="W227" s="102"/>
      <c r="X227" s="102"/>
      <c r="Y227" s="102"/>
      <c r="Z227" s="102"/>
      <c r="AA227" s="102"/>
      <c r="AB227" s="102"/>
      <c r="AC227" s="102"/>
      <c r="AD227" s="102"/>
      <c r="AE227" s="102"/>
      <c r="AF227" s="102"/>
      <c r="AG227" s="102"/>
      <c r="AH227" s="102"/>
      <c r="AI227" s="102"/>
      <c r="AJ227" s="102"/>
      <c r="AK227" s="102"/>
      <c r="AL227" s="102"/>
      <c r="AM227" s="102"/>
      <c r="AN227" s="102"/>
      <c r="AO227" s="102"/>
      <c r="AP227" s="102"/>
    </row>
    <row r="228" spans="1:42" ht="29.25">
      <c r="A228" s="89">
        <v>227</v>
      </c>
      <c r="B228" s="90">
        <v>50030630</v>
      </c>
      <c r="C228" s="91" t="s">
        <v>207</v>
      </c>
      <c r="D228" s="58" t="s">
        <v>845</v>
      </c>
      <c r="E228" s="59">
        <v>28344</v>
      </c>
      <c r="F228" s="92">
        <f ca="1">(TODAY()-Data_Assessment[[#This Row],[BIRTH DATE]])/365.25</f>
        <v>44.618754277891853</v>
      </c>
      <c r="G228" s="62" t="s">
        <v>971</v>
      </c>
      <c r="H228" s="63" t="s">
        <v>972</v>
      </c>
      <c r="I228" s="106">
        <v>1</v>
      </c>
      <c r="J228" s="64" t="s">
        <v>1116</v>
      </c>
      <c r="K228" s="143">
        <v>4</v>
      </c>
      <c r="L228" s="58"/>
      <c r="M228" s="58"/>
      <c r="N228" s="102"/>
      <c r="O228" s="102"/>
      <c r="P228" s="102"/>
      <c r="Q228" s="102"/>
      <c r="R228" s="102"/>
      <c r="S228" s="102"/>
      <c r="T228" s="102"/>
      <c r="U228" s="102"/>
      <c r="V228" s="102"/>
      <c r="W228" s="102"/>
      <c r="X228" s="102"/>
      <c r="Y228" s="102"/>
      <c r="Z228" s="102"/>
      <c r="AA228" s="102"/>
      <c r="AB228" s="102"/>
      <c r="AC228" s="102"/>
      <c r="AD228" s="102"/>
      <c r="AE228" s="102"/>
      <c r="AF228" s="102"/>
      <c r="AG228" s="102"/>
      <c r="AH228" s="102"/>
      <c r="AI228" s="102"/>
      <c r="AJ228" s="102"/>
      <c r="AK228" s="102"/>
      <c r="AL228" s="102"/>
      <c r="AM228" s="102"/>
      <c r="AN228" s="102"/>
      <c r="AO228" s="102"/>
      <c r="AP228" s="102"/>
    </row>
    <row r="229" spans="1:42">
      <c r="A229" s="89">
        <v>228</v>
      </c>
      <c r="B229" s="90">
        <v>50030575</v>
      </c>
      <c r="C229" s="91" t="s">
        <v>291</v>
      </c>
      <c r="D229" s="58" t="s">
        <v>846</v>
      </c>
      <c r="E229" s="59">
        <v>32766</v>
      </c>
      <c r="F229" s="92">
        <f ca="1">(TODAY()-Data_Assessment[[#This Row],[BIRTH DATE]])/365.25</f>
        <v>32.511978097193705</v>
      </c>
      <c r="G229" s="62" t="s">
        <v>986</v>
      </c>
      <c r="H229" s="63" t="s">
        <v>987</v>
      </c>
      <c r="I229" s="106">
        <v>4</v>
      </c>
      <c r="J229" s="64" t="s">
        <v>1117</v>
      </c>
      <c r="K229" s="143">
        <v>3</v>
      </c>
      <c r="L229" s="58"/>
      <c r="M229" s="58"/>
      <c r="N229" s="102"/>
      <c r="O229" s="102"/>
      <c r="P229" s="102"/>
      <c r="Q229" s="102"/>
      <c r="R229" s="102"/>
      <c r="S229" s="102"/>
      <c r="T229" s="102"/>
      <c r="U229" s="102"/>
      <c r="V229" s="102"/>
      <c r="W229" s="102"/>
      <c r="X229" s="102"/>
      <c r="Y229" s="102"/>
      <c r="Z229" s="102"/>
      <c r="AA229" s="102"/>
      <c r="AB229" s="102"/>
      <c r="AC229" s="102"/>
      <c r="AD229" s="102"/>
      <c r="AE229" s="102"/>
      <c r="AF229" s="102"/>
      <c r="AG229" s="102"/>
      <c r="AH229" s="102"/>
      <c r="AI229" s="102"/>
      <c r="AJ229" s="102"/>
      <c r="AK229" s="102"/>
      <c r="AL229" s="102"/>
      <c r="AM229" s="102"/>
      <c r="AN229" s="102"/>
      <c r="AO229" s="102"/>
      <c r="AP229" s="102"/>
    </row>
    <row r="230" spans="1:42" ht="29.25">
      <c r="A230" s="89">
        <v>229</v>
      </c>
      <c r="B230" s="90">
        <v>50030632</v>
      </c>
      <c r="C230" s="91" t="s">
        <v>210</v>
      </c>
      <c r="D230" s="58" t="s">
        <v>846</v>
      </c>
      <c r="E230" s="59">
        <v>26039</v>
      </c>
      <c r="F230" s="92">
        <f ca="1">(TODAY()-Data_Assessment[[#This Row],[BIRTH DATE]])/365.25</f>
        <v>50.92950034223135</v>
      </c>
      <c r="G230" s="62" t="s">
        <v>971</v>
      </c>
      <c r="H230" s="63" t="s">
        <v>972</v>
      </c>
      <c r="I230" s="106">
        <v>1</v>
      </c>
      <c r="J230" s="104" t="s">
        <v>1118</v>
      </c>
      <c r="K230" s="143">
        <v>3</v>
      </c>
      <c r="L230" s="58"/>
      <c r="M230" s="58"/>
      <c r="N230" s="102"/>
      <c r="O230" s="102"/>
      <c r="P230" s="102"/>
      <c r="Q230" s="102"/>
      <c r="R230" s="102"/>
      <c r="S230" s="102"/>
      <c r="T230" s="102"/>
      <c r="U230" s="102"/>
      <c r="V230" s="102"/>
      <c r="W230" s="102"/>
      <c r="X230" s="102"/>
      <c r="Y230" s="102"/>
      <c r="Z230" s="102"/>
      <c r="AA230" s="102"/>
      <c r="AB230" s="102"/>
      <c r="AC230" s="102"/>
      <c r="AD230" s="102"/>
      <c r="AE230" s="102"/>
      <c r="AF230" s="102"/>
      <c r="AG230" s="102"/>
      <c r="AH230" s="102"/>
      <c r="AI230" s="102"/>
      <c r="AJ230" s="102"/>
      <c r="AK230" s="102"/>
      <c r="AL230" s="102"/>
      <c r="AM230" s="102"/>
      <c r="AN230" s="102"/>
      <c r="AO230" s="102"/>
      <c r="AP230" s="102"/>
    </row>
    <row r="231" spans="1:42">
      <c r="A231" s="89">
        <v>230</v>
      </c>
      <c r="B231" s="90">
        <v>50030564</v>
      </c>
      <c r="C231" s="91" t="s">
        <v>292</v>
      </c>
      <c r="D231" s="58" t="s">
        <v>845</v>
      </c>
      <c r="E231" s="59">
        <v>34185</v>
      </c>
      <c r="F231" s="92">
        <f ca="1">(TODAY()-Data_Assessment[[#This Row],[BIRTH DATE]])/365.25</f>
        <v>28.62696783025325</v>
      </c>
      <c r="G231" s="62" t="s">
        <v>986</v>
      </c>
      <c r="H231" s="63" t="s">
        <v>987</v>
      </c>
      <c r="I231" s="106">
        <v>4</v>
      </c>
      <c r="J231" s="64" t="s">
        <v>1117</v>
      </c>
      <c r="K231" s="143">
        <v>2</v>
      </c>
      <c r="L231" s="58"/>
      <c r="M231" s="58"/>
      <c r="N231" s="102"/>
      <c r="O231" s="102"/>
      <c r="P231" s="102"/>
      <c r="Q231" s="102"/>
      <c r="R231" s="102"/>
      <c r="S231" s="102"/>
      <c r="T231" s="102"/>
      <c r="U231" s="102"/>
      <c r="V231" s="102"/>
      <c r="W231" s="102"/>
      <c r="X231" s="102"/>
      <c r="Y231" s="102"/>
      <c r="Z231" s="102"/>
      <c r="AA231" s="102"/>
      <c r="AB231" s="102"/>
      <c r="AC231" s="102"/>
      <c r="AD231" s="102"/>
      <c r="AE231" s="102"/>
      <c r="AF231" s="102"/>
      <c r="AG231" s="102"/>
      <c r="AH231" s="102"/>
      <c r="AI231" s="102"/>
      <c r="AJ231" s="102"/>
      <c r="AK231" s="102"/>
      <c r="AL231" s="102"/>
      <c r="AM231" s="102"/>
      <c r="AN231" s="102"/>
      <c r="AO231" s="102"/>
      <c r="AP231" s="102"/>
    </row>
    <row r="232" spans="1:42" ht="29.25">
      <c r="A232" s="89">
        <v>231</v>
      </c>
      <c r="B232" s="90">
        <v>50031269</v>
      </c>
      <c r="C232" s="91" t="s">
        <v>890</v>
      </c>
      <c r="D232" s="58" t="s">
        <v>845</v>
      </c>
      <c r="E232" s="59">
        <v>33435</v>
      </c>
      <c r="F232" s="92">
        <f ca="1">(TODAY()-Data_Assessment[[#This Row],[BIRTH DATE]])/365.25</f>
        <v>30.680355920602327</v>
      </c>
      <c r="G232" s="62" t="s">
        <v>971</v>
      </c>
      <c r="H232" s="63" t="s">
        <v>972</v>
      </c>
      <c r="I232" s="106">
        <v>1</v>
      </c>
      <c r="J232" s="64" t="s">
        <v>1119</v>
      </c>
      <c r="K232" s="143">
        <v>2</v>
      </c>
      <c r="L232" s="58"/>
      <c r="M232" s="58"/>
      <c r="N232" s="101"/>
      <c r="O232" s="101"/>
      <c r="P232" s="101"/>
      <c r="Q232" s="101"/>
      <c r="R232" s="101"/>
      <c r="S232" s="101"/>
      <c r="T232" s="101"/>
      <c r="U232" s="101"/>
      <c r="V232" s="101"/>
      <c r="W232" s="101"/>
      <c r="X232" s="101"/>
      <c r="Y232" s="101"/>
      <c r="Z232" s="101"/>
      <c r="AA232" s="101"/>
      <c r="AB232" s="101"/>
      <c r="AC232" s="101"/>
      <c r="AD232" s="101"/>
      <c r="AE232" s="101"/>
      <c r="AF232" s="101"/>
      <c r="AG232" s="101"/>
      <c r="AH232" s="101"/>
      <c r="AI232" s="101"/>
      <c r="AJ232" s="101"/>
      <c r="AK232" s="101"/>
      <c r="AL232" s="101"/>
      <c r="AM232" s="101"/>
      <c r="AN232" s="101"/>
      <c r="AO232" s="101"/>
      <c r="AP232" s="102"/>
    </row>
    <row r="233" spans="1:42">
      <c r="A233" s="89">
        <v>232</v>
      </c>
      <c r="B233" s="90">
        <v>50035686</v>
      </c>
      <c r="C233" s="91" t="s">
        <v>293</v>
      </c>
      <c r="D233" s="58" t="s">
        <v>845</v>
      </c>
      <c r="E233" s="59">
        <v>33716</v>
      </c>
      <c r="F233" s="92">
        <f ca="1">(TODAY()-Data_Assessment[[#This Row],[BIRTH DATE]])/365.25</f>
        <v>29.911019849418206</v>
      </c>
      <c r="G233" s="62" t="s">
        <v>986</v>
      </c>
      <c r="H233" s="63" t="s">
        <v>987</v>
      </c>
      <c r="I233" s="106">
        <v>4</v>
      </c>
      <c r="J233" s="64" t="s">
        <v>1117</v>
      </c>
      <c r="K233" s="143">
        <v>0</v>
      </c>
      <c r="L233" s="58"/>
      <c r="M233" s="58"/>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01"/>
      <c r="AL233" s="101"/>
      <c r="AM233" s="101"/>
      <c r="AN233" s="101"/>
      <c r="AO233" s="101"/>
      <c r="AP233" s="102"/>
    </row>
    <row r="234" spans="1:42" ht="29.25">
      <c r="A234" s="89">
        <v>233</v>
      </c>
      <c r="B234" s="90">
        <v>50030634</v>
      </c>
      <c r="C234" s="91" t="s">
        <v>211</v>
      </c>
      <c r="D234" s="58" t="s">
        <v>846</v>
      </c>
      <c r="E234" s="59">
        <v>26131</v>
      </c>
      <c r="F234" s="92">
        <f ca="1">(TODAY()-Data_Assessment[[#This Row],[BIRTH DATE]])/365.25</f>
        <v>50.677618069815196</v>
      </c>
      <c r="G234" s="62" t="s">
        <v>971</v>
      </c>
      <c r="H234" s="63" t="s">
        <v>972</v>
      </c>
      <c r="I234" s="106">
        <v>1</v>
      </c>
      <c r="J234" s="64" t="s">
        <v>1120</v>
      </c>
      <c r="K234" s="143">
        <v>3</v>
      </c>
      <c r="L234" s="58"/>
      <c r="M234" s="58"/>
      <c r="N234" s="101"/>
      <c r="O234" s="101"/>
      <c r="P234" s="101"/>
      <c r="Q234" s="101"/>
      <c r="R234" s="101"/>
      <c r="S234" s="101"/>
      <c r="T234" s="101"/>
      <c r="U234" s="101"/>
      <c r="V234" s="101"/>
      <c r="W234" s="101"/>
      <c r="X234" s="101"/>
      <c r="Y234" s="101"/>
      <c r="Z234" s="101"/>
      <c r="AA234" s="101"/>
      <c r="AB234" s="101"/>
      <c r="AC234" s="101"/>
      <c r="AD234" s="101"/>
      <c r="AE234" s="101"/>
      <c r="AF234" s="101"/>
      <c r="AG234" s="101"/>
      <c r="AH234" s="101"/>
      <c r="AI234" s="101"/>
      <c r="AJ234" s="101"/>
      <c r="AK234" s="101"/>
      <c r="AL234" s="101"/>
      <c r="AM234" s="101"/>
      <c r="AN234" s="101"/>
      <c r="AO234" s="101"/>
      <c r="AP234" s="102"/>
    </row>
    <row r="235" spans="1:42" ht="29.25">
      <c r="A235" s="89">
        <v>234</v>
      </c>
      <c r="B235" s="90">
        <v>50030637</v>
      </c>
      <c r="C235" s="91" t="s">
        <v>212</v>
      </c>
      <c r="D235" s="58" t="s">
        <v>845</v>
      </c>
      <c r="E235" s="59">
        <v>24921</v>
      </c>
      <c r="F235" s="92">
        <f ca="1">(TODAY()-Data_Assessment[[#This Row],[BIRTH DATE]])/365.25</f>
        <v>53.990417522245039</v>
      </c>
      <c r="G235" s="62" t="s">
        <v>971</v>
      </c>
      <c r="H235" s="63" t="s">
        <v>972</v>
      </c>
      <c r="I235" s="106">
        <v>1</v>
      </c>
      <c r="J235" s="64" t="s">
        <v>1121</v>
      </c>
      <c r="K235" s="143">
        <v>2</v>
      </c>
      <c r="L235" s="58"/>
      <c r="M235" s="58"/>
      <c r="N235" s="101"/>
      <c r="O235" s="101"/>
      <c r="P235" s="101"/>
      <c r="Q235" s="101"/>
      <c r="R235" s="101"/>
      <c r="S235" s="101"/>
      <c r="T235" s="101"/>
      <c r="U235" s="101"/>
      <c r="V235" s="101"/>
      <c r="W235" s="101"/>
      <c r="X235" s="101"/>
      <c r="Y235" s="101"/>
      <c r="Z235" s="101"/>
      <c r="AA235" s="101"/>
      <c r="AB235" s="101"/>
      <c r="AC235" s="101"/>
      <c r="AD235" s="101"/>
      <c r="AE235" s="101"/>
      <c r="AF235" s="101"/>
      <c r="AG235" s="101"/>
      <c r="AH235" s="101"/>
      <c r="AI235" s="101"/>
      <c r="AJ235" s="101"/>
      <c r="AK235" s="101"/>
      <c r="AL235" s="101"/>
      <c r="AM235" s="101"/>
      <c r="AN235" s="101"/>
      <c r="AO235" s="101"/>
      <c r="AP235" s="102"/>
    </row>
    <row r="236" spans="1:42">
      <c r="A236" s="89">
        <v>235</v>
      </c>
      <c r="B236" s="90">
        <v>50030635</v>
      </c>
      <c r="C236" s="91" t="s">
        <v>213</v>
      </c>
      <c r="D236" s="58" t="s">
        <v>845</v>
      </c>
      <c r="E236" s="59">
        <v>32426</v>
      </c>
      <c r="F236" s="92">
        <f ca="1">(TODAY()-Data_Assessment[[#This Row],[BIRTH DATE]])/365.25</f>
        <v>33.442847364818618</v>
      </c>
      <c r="G236" s="62" t="s">
        <v>971</v>
      </c>
      <c r="H236" s="63" t="s">
        <v>972</v>
      </c>
      <c r="I236" s="106">
        <v>1</v>
      </c>
      <c r="J236" s="64" t="s">
        <v>1122</v>
      </c>
      <c r="K236" s="143">
        <v>4</v>
      </c>
      <c r="L236" s="58"/>
      <c r="M236" s="58"/>
      <c r="N236" s="102"/>
      <c r="O236" s="102"/>
      <c r="P236" s="102"/>
      <c r="Q236" s="102"/>
      <c r="R236" s="102"/>
      <c r="S236" s="102"/>
      <c r="T236" s="102"/>
      <c r="U236" s="102"/>
      <c r="V236" s="102"/>
      <c r="W236" s="102"/>
      <c r="X236" s="102"/>
      <c r="Y236" s="102"/>
      <c r="Z236" s="102"/>
      <c r="AA236" s="102"/>
      <c r="AB236" s="102"/>
      <c r="AC236" s="102"/>
      <c r="AD236" s="102"/>
      <c r="AE236" s="102"/>
      <c r="AF236" s="102"/>
      <c r="AG236" s="102"/>
      <c r="AH236" s="102"/>
      <c r="AI236" s="102"/>
      <c r="AJ236" s="102"/>
      <c r="AK236" s="102"/>
      <c r="AL236" s="102"/>
      <c r="AM236" s="102"/>
      <c r="AN236" s="102"/>
      <c r="AO236" s="102"/>
      <c r="AP236" s="102"/>
    </row>
    <row r="237" spans="1:42" ht="29.25">
      <c r="A237" s="89">
        <v>236</v>
      </c>
      <c r="B237" s="90">
        <v>50048007</v>
      </c>
      <c r="C237" s="91" t="s">
        <v>299</v>
      </c>
      <c r="D237" s="58" t="s">
        <v>845</v>
      </c>
      <c r="E237" s="59">
        <v>33264</v>
      </c>
      <c r="F237" s="92">
        <f ca="1">(TODAY()-Data_Assessment[[#This Row],[BIRTH DATE]])/365.25</f>
        <v>31.148528405201915</v>
      </c>
      <c r="G237" s="62" t="s">
        <v>986</v>
      </c>
      <c r="H237" s="63" t="s">
        <v>987</v>
      </c>
      <c r="I237" s="106">
        <v>4</v>
      </c>
      <c r="J237" s="64" t="s">
        <v>1123</v>
      </c>
      <c r="K237" s="143">
        <v>3</v>
      </c>
      <c r="L237" s="58"/>
      <c r="M237" s="58"/>
      <c r="N237" s="102"/>
      <c r="O237" s="102"/>
      <c r="P237" s="102"/>
      <c r="Q237" s="102"/>
      <c r="R237" s="102"/>
      <c r="S237" s="102"/>
      <c r="T237" s="102"/>
      <c r="U237" s="102"/>
      <c r="V237" s="102"/>
      <c r="W237" s="102"/>
      <c r="X237" s="102"/>
      <c r="Y237" s="102"/>
      <c r="Z237" s="102"/>
      <c r="AA237" s="102"/>
      <c r="AB237" s="102"/>
      <c r="AC237" s="102"/>
      <c r="AD237" s="102"/>
      <c r="AE237" s="102"/>
      <c r="AF237" s="102"/>
      <c r="AG237" s="102"/>
      <c r="AH237" s="102"/>
      <c r="AI237" s="102"/>
      <c r="AJ237" s="102"/>
      <c r="AK237" s="102"/>
      <c r="AL237" s="102"/>
      <c r="AM237" s="102"/>
      <c r="AN237" s="102"/>
      <c r="AO237" s="102"/>
      <c r="AP237" s="102"/>
    </row>
    <row r="238" spans="1:42">
      <c r="A238" s="89">
        <v>237</v>
      </c>
      <c r="B238" s="90">
        <v>50030624</v>
      </c>
      <c r="C238" s="91" t="s">
        <v>214</v>
      </c>
      <c r="D238" s="58" t="s">
        <v>845</v>
      </c>
      <c r="E238" s="59">
        <v>25949</v>
      </c>
      <c r="F238" s="92">
        <f ca="1">(TODAY()-Data_Assessment[[#This Row],[BIRTH DATE]])/365.25</f>
        <v>51.175906913073234</v>
      </c>
      <c r="G238" s="62" t="s">
        <v>971</v>
      </c>
      <c r="H238" s="63" t="s">
        <v>972</v>
      </c>
      <c r="I238" s="106">
        <v>1</v>
      </c>
      <c r="J238" s="64" t="s">
        <v>1124</v>
      </c>
      <c r="K238" s="143">
        <v>3</v>
      </c>
      <c r="L238" s="58"/>
      <c r="M238" s="58"/>
      <c r="N238" s="102"/>
      <c r="O238" s="102"/>
      <c r="P238" s="102"/>
      <c r="Q238" s="102"/>
      <c r="R238" s="102"/>
      <c r="S238" s="102"/>
      <c r="T238" s="102"/>
      <c r="U238" s="102"/>
      <c r="V238" s="102"/>
      <c r="W238" s="102"/>
      <c r="X238" s="102"/>
      <c r="Y238" s="102"/>
      <c r="Z238" s="102"/>
      <c r="AA238" s="102"/>
      <c r="AB238" s="102"/>
      <c r="AC238" s="102"/>
      <c r="AD238" s="102"/>
      <c r="AE238" s="102"/>
      <c r="AF238" s="102"/>
      <c r="AG238" s="102"/>
      <c r="AH238" s="102"/>
      <c r="AI238" s="102"/>
      <c r="AJ238" s="102"/>
      <c r="AK238" s="102"/>
      <c r="AL238" s="102"/>
      <c r="AM238" s="102"/>
      <c r="AN238" s="102"/>
      <c r="AO238" s="102"/>
      <c r="AP238" s="102"/>
    </row>
    <row r="239" spans="1:42">
      <c r="A239" s="89">
        <v>238</v>
      </c>
      <c r="B239" s="90">
        <v>50031612</v>
      </c>
      <c r="C239" s="91" t="s">
        <v>215</v>
      </c>
      <c r="D239" s="58" t="s">
        <v>845</v>
      </c>
      <c r="E239" s="59">
        <v>31118</v>
      </c>
      <c r="F239" s="92">
        <f ca="1">(TODAY()-Data_Assessment[[#This Row],[BIRTH DATE]])/365.25</f>
        <v>37.023956194387409</v>
      </c>
      <c r="G239" s="62" t="s">
        <v>971</v>
      </c>
      <c r="H239" s="63" t="s">
        <v>972</v>
      </c>
      <c r="I239" s="106">
        <v>1</v>
      </c>
      <c r="J239" s="64" t="s">
        <v>1122</v>
      </c>
      <c r="K239" s="143">
        <v>3</v>
      </c>
      <c r="L239" s="58"/>
      <c r="M239" s="58"/>
      <c r="N239" s="102"/>
      <c r="O239" s="102"/>
      <c r="P239" s="102"/>
      <c r="Q239" s="102"/>
      <c r="R239" s="102"/>
      <c r="S239" s="102"/>
      <c r="T239" s="102"/>
      <c r="U239" s="102"/>
      <c r="V239" s="102"/>
      <c r="W239" s="102"/>
      <c r="X239" s="102"/>
      <c r="Y239" s="102"/>
      <c r="Z239" s="102"/>
      <c r="AA239" s="102"/>
      <c r="AB239" s="102"/>
      <c r="AC239" s="102"/>
      <c r="AD239" s="102"/>
      <c r="AE239" s="102"/>
      <c r="AF239" s="102"/>
      <c r="AG239" s="102"/>
      <c r="AH239" s="102"/>
      <c r="AI239" s="102"/>
      <c r="AJ239" s="102"/>
      <c r="AK239" s="102"/>
      <c r="AL239" s="102"/>
      <c r="AM239" s="102"/>
      <c r="AN239" s="102"/>
      <c r="AO239" s="102"/>
      <c r="AP239" s="102"/>
    </row>
    <row r="240" spans="1:42">
      <c r="A240" s="89">
        <v>239</v>
      </c>
      <c r="B240" s="90">
        <v>50035661</v>
      </c>
      <c r="C240" s="91" t="s">
        <v>342</v>
      </c>
      <c r="D240" s="58" t="s">
        <v>845</v>
      </c>
      <c r="E240" s="59">
        <v>31830</v>
      </c>
      <c r="F240" s="92">
        <f ca="1">(TODAY()-Data_Assessment[[#This Row],[BIRTH DATE]])/365.25</f>
        <v>35.074606433949349</v>
      </c>
      <c r="G240" s="62" t="s">
        <v>986</v>
      </c>
      <c r="H240" s="63" t="s">
        <v>987</v>
      </c>
      <c r="I240" s="106">
        <v>4</v>
      </c>
      <c r="J240" s="64" t="s">
        <v>1125</v>
      </c>
      <c r="K240" s="143">
        <v>3</v>
      </c>
      <c r="L240" s="58"/>
      <c r="M240" s="58"/>
      <c r="N240" s="102"/>
      <c r="O240" s="102"/>
      <c r="P240" s="102"/>
      <c r="Q240" s="102"/>
      <c r="R240" s="102"/>
      <c r="S240" s="102"/>
      <c r="T240" s="102"/>
      <c r="U240" s="102"/>
      <c r="V240" s="102"/>
      <c r="W240" s="102"/>
      <c r="X240" s="102"/>
      <c r="Y240" s="102"/>
      <c r="Z240" s="102"/>
      <c r="AA240" s="102"/>
      <c r="AB240" s="102"/>
      <c r="AC240" s="102"/>
      <c r="AD240" s="102"/>
      <c r="AE240" s="102"/>
      <c r="AF240" s="102"/>
      <c r="AG240" s="102"/>
      <c r="AH240" s="102"/>
      <c r="AI240" s="102"/>
      <c r="AJ240" s="102"/>
      <c r="AK240" s="102"/>
      <c r="AL240" s="102"/>
      <c r="AM240" s="102"/>
      <c r="AN240" s="102"/>
      <c r="AO240" s="102"/>
      <c r="AP240" s="102"/>
    </row>
    <row r="241" spans="1:42" ht="29.25">
      <c r="A241" s="89">
        <v>240</v>
      </c>
      <c r="B241" s="90">
        <v>50031450</v>
      </c>
      <c r="C241" s="91" t="s">
        <v>216</v>
      </c>
      <c r="D241" s="58" t="s">
        <v>845</v>
      </c>
      <c r="E241" s="59">
        <v>25961</v>
      </c>
      <c r="F241" s="92">
        <f ca="1">(TODAY()-Data_Assessment[[#This Row],[BIRTH DATE]])/365.25</f>
        <v>51.143052703627653</v>
      </c>
      <c r="G241" s="62" t="s">
        <v>971</v>
      </c>
      <c r="H241" s="63" t="s">
        <v>972</v>
      </c>
      <c r="I241" s="106">
        <v>1</v>
      </c>
      <c r="J241" s="64" t="s">
        <v>1126</v>
      </c>
      <c r="K241" s="143">
        <v>4</v>
      </c>
      <c r="L241" s="58"/>
      <c r="M241" s="58"/>
      <c r="N241" s="102"/>
      <c r="O241" s="102"/>
      <c r="P241" s="102"/>
      <c r="Q241" s="102"/>
      <c r="R241" s="102"/>
      <c r="S241" s="102"/>
      <c r="T241" s="102"/>
      <c r="U241" s="102"/>
      <c r="V241" s="102"/>
      <c r="W241" s="102"/>
      <c r="X241" s="102"/>
      <c r="Y241" s="102"/>
      <c r="Z241" s="102"/>
      <c r="AA241" s="102"/>
      <c r="AB241" s="102"/>
      <c r="AC241" s="102"/>
      <c r="AD241" s="102"/>
      <c r="AE241" s="102"/>
      <c r="AF241" s="102"/>
      <c r="AG241" s="102"/>
      <c r="AH241" s="102"/>
      <c r="AI241" s="102"/>
      <c r="AJ241" s="102"/>
      <c r="AK241" s="102"/>
      <c r="AL241" s="102"/>
      <c r="AM241" s="102"/>
      <c r="AN241" s="102"/>
      <c r="AO241" s="102"/>
      <c r="AP241" s="102"/>
    </row>
    <row r="242" spans="1:42">
      <c r="A242" s="89">
        <v>241</v>
      </c>
      <c r="B242" s="90">
        <v>50030549</v>
      </c>
      <c r="C242" s="91" t="s">
        <v>343</v>
      </c>
      <c r="D242" s="58" t="s">
        <v>846</v>
      </c>
      <c r="E242" s="59">
        <v>34545</v>
      </c>
      <c r="F242" s="92">
        <f ca="1">(TODAY()-Data_Assessment[[#This Row],[BIRTH DATE]])/365.25</f>
        <v>27.641341546885695</v>
      </c>
      <c r="G242" s="62" t="s">
        <v>986</v>
      </c>
      <c r="H242" s="63" t="s">
        <v>987</v>
      </c>
      <c r="I242" s="106">
        <v>4</v>
      </c>
      <c r="J242" s="64" t="s">
        <v>1125</v>
      </c>
      <c r="K242" s="143">
        <v>3</v>
      </c>
      <c r="L242" s="58"/>
      <c r="M242" s="58"/>
      <c r="N242" s="102"/>
      <c r="O242" s="102"/>
      <c r="P242" s="102"/>
      <c r="Q242" s="102"/>
      <c r="R242" s="102"/>
      <c r="S242" s="102"/>
      <c r="T242" s="102"/>
      <c r="U242" s="102"/>
      <c r="V242" s="102"/>
      <c r="W242" s="102"/>
      <c r="X242" s="102"/>
      <c r="Y242" s="102"/>
      <c r="Z242" s="102"/>
      <c r="AA242" s="102"/>
      <c r="AB242" s="102"/>
      <c r="AC242" s="102"/>
      <c r="AD242" s="102"/>
      <c r="AE242" s="102"/>
      <c r="AF242" s="102"/>
      <c r="AG242" s="102"/>
      <c r="AH242" s="102"/>
      <c r="AI242" s="102"/>
      <c r="AJ242" s="102"/>
      <c r="AK242" s="102"/>
      <c r="AL242" s="102"/>
      <c r="AM242" s="102"/>
      <c r="AN242" s="102"/>
      <c r="AO242" s="102"/>
      <c r="AP242" s="102"/>
    </row>
    <row r="243" spans="1:42" ht="29.25">
      <c r="A243" s="89">
        <v>242</v>
      </c>
      <c r="B243" s="90">
        <v>50030563</v>
      </c>
      <c r="C243" s="91" t="s">
        <v>360</v>
      </c>
      <c r="D243" s="58" t="s">
        <v>845</v>
      </c>
      <c r="E243" s="59">
        <v>33346</v>
      </c>
      <c r="F243" s="92">
        <f ca="1">(TODAY()-Data_Assessment[[#This Row],[BIRTH DATE]])/365.25</f>
        <v>30.924024640657084</v>
      </c>
      <c r="G243" s="62" t="s">
        <v>986</v>
      </c>
      <c r="H243" s="63" t="s">
        <v>987</v>
      </c>
      <c r="I243" s="106">
        <v>4</v>
      </c>
      <c r="J243" s="64" t="s">
        <v>1127</v>
      </c>
      <c r="K243" s="143">
        <v>4</v>
      </c>
      <c r="L243" s="58"/>
      <c r="M243" s="58"/>
      <c r="N243" s="102"/>
      <c r="O243" s="102"/>
      <c r="P243" s="102"/>
      <c r="Q243" s="102"/>
      <c r="R243" s="102"/>
      <c r="S243" s="102"/>
      <c r="T243" s="102"/>
      <c r="U243" s="102"/>
      <c r="V243" s="102"/>
      <c r="W243" s="102"/>
      <c r="X243" s="102"/>
      <c r="Y243" s="102"/>
      <c r="Z243" s="102"/>
      <c r="AA243" s="102"/>
      <c r="AB243" s="102"/>
      <c r="AC243" s="102"/>
      <c r="AD243" s="102"/>
      <c r="AE243" s="102"/>
      <c r="AF243" s="102"/>
      <c r="AG243" s="102"/>
      <c r="AH243" s="102"/>
      <c r="AI243" s="102"/>
      <c r="AJ243" s="102"/>
      <c r="AK243" s="102"/>
      <c r="AL243" s="102"/>
      <c r="AM243" s="102"/>
      <c r="AN243" s="102"/>
      <c r="AO243" s="102"/>
      <c r="AP243" s="102"/>
    </row>
    <row r="244" spans="1:42">
      <c r="A244" s="89">
        <v>243</v>
      </c>
      <c r="B244" s="90">
        <v>50030603</v>
      </c>
      <c r="C244" s="91" t="s">
        <v>219</v>
      </c>
      <c r="D244" s="58" t="s">
        <v>846</v>
      </c>
      <c r="E244" s="59">
        <v>25704</v>
      </c>
      <c r="F244" s="92">
        <f ca="1">(TODAY()-Data_Assessment[[#This Row],[BIRTH DATE]])/365.25</f>
        <v>51.846680355920604</v>
      </c>
      <c r="G244" s="62" t="s">
        <v>971</v>
      </c>
      <c r="H244" s="63" t="s">
        <v>972</v>
      </c>
      <c r="I244" s="106">
        <v>1</v>
      </c>
      <c r="J244" s="64" t="s">
        <v>1128</v>
      </c>
      <c r="K244" s="143">
        <v>3</v>
      </c>
      <c r="L244" s="58"/>
      <c r="M244" s="58"/>
      <c r="N244" s="102"/>
      <c r="O244" s="102"/>
      <c r="P244" s="102"/>
      <c r="Q244" s="102"/>
      <c r="R244" s="102"/>
      <c r="S244" s="102"/>
      <c r="T244" s="102"/>
      <c r="U244" s="102"/>
      <c r="V244" s="102"/>
      <c r="W244" s="102"/>
      <c r="X244" s="102"/>
      <c r="Y244" s="102"/>
      <c r="Z244" s="102"/>
      <c r="AA244" s="102"/>
      <c r="AB244" s="102"/>
      <c r="AC244" s="102"/>
      <c r="AD244" s="102"/>
      <c r="AE244" s="102"/>
      <c r="AF244" s="102"/>
      <c r="AG244" s="102"/>
      <c r="AH244" s="102"/>
      <c r="AI244" s="102"/>
      <c r="AJ244" s="102"/>
      <c r="AK244" s="102"/>
      <c r="AL244" s="102"/>
      <c r="AM244" s="102"/>
      <c r="AN244" s="102"/>
      <c r="AO244" s="102"/>
      <c r="AP244" s="102"/>
    </row>
    <row r="245" spans="1:42" ht="29.25">
      <c r="A245" s="89">
        <v>244</v>
      </c>
      <c r="B245" s="90">
        <v>50031545</v>
      </c>
      <c r="C245" s="91" t="s">
        <v>361</v>
      </c>
      <c r="D245" s="58" t="s">
        <v>845</v>
      </c>
      <c r="E245" s="59">
        <v>33544</v>
      </c>
      <c r="F245" s="92">
        <f ca="1">(TODAY()-Data_Assessment[[#This Row],[BIRTH DATE]])/365.25</f>
        <v>30.381930184804929</v>
      </c>
      <c r="G245" s="62" t="s">
        <v>986</v>
      </c>
      <c r="H245" s="63" t="s">
        <v>987</v>
      </c>
      <c r="I245" s="106">
        <v>4</v>
      </c>
      <c r="J245" s="64" t="s">
        <v>1127</v>
      </c>
      <c r="K245" s="143">
        <v>0</v>
      </c>
      <c r="L245" s="58"/>
      <c r="M245" s="58"/>
      <c r="N245" s="102"/>
      <c r="O245" s="102"/>
      <c r="P245" s="102"/>
      <c r="Q245" s="102"/>
      <c r="R245" s="102"/>
      <c r="S245" s="102"/>
      <c r="T245" s="102"/>
      <c r="U245" s="102"/>
      <c r="V245" s="102"/>
      <c r="W245" s="102"/>
      <c r="X245" s="102"/>
      <c r="Y245" s="102"/>
      <c r="Z245" s="102"/>
      <c r="AA245" s="102"/>
      <c r="AB245" s="102"/>
      <c r="AC245" s="102"/>
      <c r="AD245" s="102"/>
      <c r="AE245" s="102"/>
      <c r="AF245" s="102"/>
      <c r="AG245" s="102"/>
      <c r="AH245" s="102"/>
      <c r="AI245" s="102"/>
      <c r="AJ245" s="102"/>
      <c r="AK245" s="102"/>
      <c r="AL245" s="102"/>
      <c r="AM245" s="102"/>
      <c r="AN245" s="102"/>
      <c r="AO245" s="102"/>
      <c r="AP245" s="102"/>
    </row>
    <row r="246" spans="1:42">
      <c r="A246" s="89">
        <v>245</v>
      </c>
      <c r="B246" s="90">
        <v>50030604</v>
      </c>
      <c r="C246" s="91" t="s">
        <v>220</v>
      </c>
      <c r="D246" s="58" t="s">
        <v>846</v>
      </c>
      <c r="E246" s="59">
        <v>26333</v>
      </c>
      <c r="F246" s="92">
        <f ca="1">(TODAY()-Data_Assessment[[#This Row],[BIRTH DATE]])/365.25</f>
        <v>50.124572210814513</v>
      </c>
      <c r="G246" s="62" t="s">
        <v>971</v>
      </c>
      <c r="H246" s="63" t="s">
        <v>972</v>
      </c>
      <c r="I246" s="106">
        <v>1</v>
      </c>
      <c r="J246" s="64" t="s">
        <v>1128</v>
      </c>
      <c r="K246" s="143">
        <v>3</v>
      </c>
      <c r="L246" s="58"/>
      <c r="M246" s="58"/>
      <c r="N246" s="102"/>
      <c r="O246" s="102"/>
      <c r="P246" s="102"/>
      <c r="Q246" s="102"/>
      <c r="R246" s="102"/>
      <c r="S246" s="102"/>
      <c r="T246" s="102"/>
      <c r="U246" s="102"/>
      <c r="V246" s="102"/>
      <c r="W246" s="102"/>
      <c r="X246" s="102"/>
      <c r="Y246" s="102"/>
      <c r="Z246" s="102"/>
      <c r="AA246" s="102"/>
      <c r="AB246" s="102"/>
      <c r="AC246" s="102"/>
      <c r="AD246" s="102"/>
      <c r="AE246" s="102"/>
      <c r="AF246" s="102"/>
      <c r="AG246" s="102"/>
      <c r="AH246" s="102"/>
      <c r="AI246" s="102"/>
      <c r="AJ246" s="102"/>
      <c r="AK246" s="102"/>
      <c r="AL246" s="102"/>
      <c r="AM246" s="102"/>
      <c r="AN246" s="102"/>
      <c r="AO246" s="102"/>
      <c r="AP246" s="102"/>
    </row>
    <row r="247" spans="1:42">
      <c r="A247" s="89">
        <v>246</v>
      </c>
      <c r="B247" s="90">
        <v>50036390</v>
      </c>
      <c r="C247" s="91" t="s">
        <v>365</v>
      </c>
      <c r="D247" s="58" t="s">
        <v>845</v>
      </c>
      <c r="E247" s="59">
        <v>34801</v>
      </c>
      <c r="F247" s="92">
        <f ca="1">(TODAY()-Data_Assessment[[#This Row],[BIRTH DATE]])/365.25</f>
        <v>26.940451745379878</v>
      </c>
      <c r="G247" s="62" t="s">
        <v>986</v>
      </c>
      <c r="H247" s="63" t="s">
        <v>987</v>
      </c>
      <c r="I247" s="106">
        <v>4</v>
      </c>
      <c r="J247" s="64" t="s">
        <v>1129</v>
      </c>
      <c r="K247" s="143">
        <v>0</v>
      </c>
      <c r="L247" s="58"/>
      <c r="M247" s="58"/>
      <c r="N247" s="102"/>
      <c r="O247" s="102"/>
      <c r="P247" s="102"/>
      <c r="Q247" s="102"/>
      <c r="R247" s="102"/>
      <c r="S247" s="102"/>
      <c r="T247" s="102"/>
      <c r="U247" s="102"/>
      <c r="V247" s="102"/>
      <c r="W247" s="102"/>
      <c r="X247" s="102"/>
      <c r="Y247" s="102"/>
      <c r="Z247" s="102"/>
      <c r="AA247" s="102"/>
      <c r="AB247" s="102"/>
      <c r="AC247" s="102"/>
      <c r="AD247" s="102"/>
      <c r="AE247" s="102"/>
      <c r="AF247" s="102"/>
      <c r="AG247" s="102"/>
      <c r="AH247" s="102"/>
      <c r="AI247" s="102"/>
      <c r="AJ247" s="102"/>
      <c r="AK247" s="102"/>
      <c r="AL247" s="102"/>
      <c r="AM247" s="102"/>
      <c r="AN247" s="102"/>
      <c r="AO247" s="102"/>
      <c r="AP247" s="102"/>
    </row>
    <row r="248" spans="1:42" ht="29.25">
      <c r="A248" s="89">
        <v>247</v>
      </c>
      <c r="B248" s="90">
        <v>50030605</v>
      </c>
      <c r="C248" s="91" t="s">
        <v>221</v>
      </c>
      <c r="D248" s="58" t="s">
        <v>846</v>
      </c>
      <c r="E248" s="59">
        <v>28403</v>
      </c>
      <c r="F248" s="92">
        <f ca="1">(TODAY()-Data_Assessment[[#This Row],[BIRTH DATE]])/365.25</f>
        <v>44.45722108145106</v>
      </c>
      <c r="G248" s="62" t="s">
        <v>971</v>
      </c>
      <c r="H248" s="63" t="s">
        <v>972</v>
      </c>
      <c r="I248" s="106">
        <v>1</v>
      </c>
      <c r="J248" s="64" t="s">
        <v>1130</v>
      </c>
      <c r="K248" s="143">
        <v>3</v>
      </c>
      <c r="L248" s="58"/>
      <c r="M248" s="58"/>
      <c r="N248" s="102"/>
      <c r="O248" s="102"/>
      <c r="P248" s="102"/>
      <c r="Q248" s="102"/>
      <c r="R248" s="102"/>
      <c r="S248" s="102"/>
      <c r="T248" s="102"/>
      <c r="U248" s="102"/>
      <c r="V248" s="102"/>
      <c r="W248" s="102"/>
      <c r="X248" s="102"/>
      <c r="Y248" s="102"/>
      <c r="Z248" s="102"/>
      <c r="AA248" s="102"/>
      <c r="AB248" s="102"/>
      <c r="AC248" s="102"/>
      <c r="AD248" s="102"/>
      <c r="AE248" s="102"/>
      <c r="AF248" s="102"/>
      <c r="AG248" s="102"/>
      <c r="AH248" s="102"/>
      <c r="AI248" s="102"/>
      <c r="AJ248" s="102"/>
      <c r="AK248" s="102"/>
      <c r="AL248" s="102"/>
      <c r="AM248" s="102"/>
      <c r="AN248" s="102"/>
      <c r="AO248" s="102"/>
      <c r="AP248" s="102"/>
    </row>
    <row r="249" spans="1:42">
      <c r="A249" s="89">
        <v>248</v>
      </c>
      <c r="B249" s="90">
        <v>50030636</v>
      </c>
      <c r="C249" s="91" t="s">
        <v>222</v>
      </c>
      <c r="D249" s="58" t="s">
        <v>845</v>
      </c>
      <c r="E249" s="59">
        <v>28988</v>
      </c>
      <c r="F249" s="92">
        <f ca="1">(TODAY()-Data_Assessment[[#This Row],[BIRTH DATE]])/365.25</f>
        <v>42.855578370978783</v>
      </c>
      <c r="G249" s="62" t="s">
        <v>971</v>
      </c>
      <c r="H249" s="63" t="s">
        <v>972</v>
      </c>
      <c r="I249" s="106">
        <v>1</v>
      </c>
      <c r="J249" s="64" t="s">
        <v>1131</v>
      </c>
      <c r="K249" s="143">
        <v>3</v>
      </c>
      <c r="L249" s="58"/>
      <c r="M249" s="58"/>
      <c r="N249" s="102"/>
      <c r="O249" s="102"/>
      <c r="P249" s="102"/>
      <c r="Q249" s="102"/>
      <c r="R249" s="102"/>
      <c r="S249" s="102"/>
      <c r="T249" s="102"/>
      <c r="U249" s="102"/>
      <c r="V249" s="102"/>
      <c r="W249" s="102"/>
      <c r="X249" s="102"/>
      <c r="Y249" s="102"/>
      <c r="Z249" s="102"/>
      <c r="AA249" s="102"/>
      <c r="AB249" s="102"/>
      <c r="AC249" s="102"/>
      <c r="AD249" s="102"/>
      <c r="AE249" s="102"/>
      <c r="AF249" s="102"/>
      <c r="AG249" s="102"/>
      <c r="AH249" s="102"/>
      <c r="AI249" s="102"/>
      <c r="AJ249" s="102"/>
      <c r="AK249" s="102"/>
      <c r="AL249" s="102"/>
      <c r="AM249" s="102"/>
      <c r="AN249" s="102"/>
      <c r="AO249" s="102"/>
      <c r="AP249" s="102"/>
    </row>
    <row r="250" spans="1:42">
      <c r="A250" s="89">
        <v>249</v>
      </c>
      <c r="B250" s="90">
        <v>50142612</v>
      </c>
      <c r="C250" s="91" t="s">
        <v>441</v>
      </c>
      <c r="D250" s="58" t="s">
        <v>845</v>
      </c>
      <c r="E250" s="59">
        <v>30593</v>
      </c>
      <c r="F250" s="92">
        <f ca="1">(TODAY()-Data_Assessment[[#This Row],[BIRTH DATE]])/365.25</f>
        <v>38.461327857631758</v>
      </c>
      <c r="G250" s="62" t="s">
        <v>895</v>
      </c>
      <c r="H250" s="63" t="s">
        <v>987</v>
      </c>
      <c r="I250" s="106">
        <v>1</v>
      </c>
      <c r="J250" s="64" t="s">
        <v>1132</v>
      </c>
      <c r="K250" s="143">
        <v>3</v>
      </c>
      <c r="L250" s="58"/>
      <c r="M250" s="58"/>
      <c r="N250" s="102"/>
      <c r="O250" s="102"/>
      <c r="P250" s="102"/>
      <c r="Q250" s="102"/>
      <c r="R250" s="102"/>
      <c r="S250" s="102"/>
      <c r="T250" s="102"/>
      <c r="U250" s="102"/>
      <c r="V250" s="102"/>
      <c r="W250" s="102"/>
      <c r="X250" s="102"/>
      <c r="Y250" s="102"/>
      <c r="Z250" s="102"/>
      <c r="AA250" s="102"/>
      <c r="AB250" s="102"/>
      <c r="AC250" s="102"/>
      <c r="AD250" s="102"/>
      <c r="AE250" s="102"/>
      <c r="AF250" s="102"/>
      <c r="AG250" s="102"/>
      <c r="AH250" s="102"/>
      <c r="AI250" s="102"/>
      <c r="AJ250" s="102"/>
      <c r="AK250" s="102"/>
      <c r="AL250" s="102"/>
      <c r="AM250" s="102"/>
      <c r="AN250" s="102"/>
      <c r="AO250" s="102"/>
      <c r="AP250" s="102"/>
    </row>
    <row r="251" spans="1:42" ht="29.25">
      <c r="A251" s="89">
        <v>250</v>
      </c>
      <c r="B251" s="90">
        <v>50030809</v>
      </c>
      <c r="C251" s="91" t="s">
        <v>238</v>
      </c>
      <c r="D251" s="58" t="s">
        <v>845</v>
      </c>
      <c r="E251" s="59">
        <v>28456</v>
      </c>
      <c r="F251" s="92">
        <f ca="1">(TODAY()-Data_Assessment[[#This Row],[BIRTH DATE]])/365.25</f>
        <v>44.312114989733061</v>
      </c>
      <c r="G251" s="62" t="s">
        <v>971</v>
      </c>
      <c r="H251" s="63" t="s">
        <v>972</v>
      </c>
      <c r="I251" s="106">
        <v>1</v>
      </c>
      <c r="J251" s="64" t="s">
        <v>1133</v>
      </c>
      <c r="K251" s="143">
        <v>4</v>
      </c>
      <c r="L251" s="58"/>
      <c r="M251" s="58"/>
      <c r="N251" s="102"/>
      <c r="O251" s="102"/>
      <c r="P251" s="102"/>
      <c r="Q251" s="102"/>
      <c r="R251" s="102"/>
      <c r="S251" s="102"/>
      <c r="T251" s="102"/>
      <c r="U251" s="102"/>
      <c r="V251" s="102"/>
      <c r="W251" s="102"/>
      <c r="X251" s="102"/>
      <c r="Y251" s="102"/>
      <c r="Z251" s="102"/>
      <c r="AA251" s="102"/>
      <c r="AB251" s="102"/>
      <c r="AC251" s="102"/>
      <c r="AD251" s="102"/>
      <c r="AE251" s="102"/>
      <c r="AF251" s="102"/>
      <c r="AG251" s="102"/>
      <c r="AH251" s="102"/>
      <c r="AI251" s="102"/>
      <c r="AJ251" s="102"/>
      <c r="AK251" s="102"/>
      <c r="AL251" s="102"/>
      <c r="AM251" s="102"/>
      <c r="AN251" s="102"/>
      <c r="AO251" s="102"/>
      <c r="AP251" s="102"/>
    </row>
    <row r="252" spans="1:42" ht="29.25">
      <c r="A252" s="89">
        <v>251</v>
      </c>
      <c r="B252" s="90">
        <v>50030599</v>
      </c>
      <c r="C252" s="91" t="s">
        <v>239</v>
      </c>
      <c r="D252" s="58" t="s">
        <v>845</v>
      </c>
      <c r="E252" s="59">
        <v>24760</v>
      </c>
      <c r="F252" s="92">
        <f ca="1">(TODAY()-Data_Assessment[[#This Row],[BIRTH DATE]])/365.25</f>
        <v>54.431211498973305</v>
      </c>
      <c r="G252" s="62" t="s">
        <v>971</v>
      </c>
      <c r="H252" s="63" t="s">
        <v>972</v>
      </c>
      <c r="I252" s="106">
        <v>1</v>
      </c>
      <c r="J252" s="64" t="s">
        <v>1134</v>
      </c>
      <c r="K252" s="143">
        <v>3</v>
      </c>
      <c r="L252" s="58"/>
      <c r="M252" s="58"/>
      <c r="N252" s="102"/>
      <c r="O252" s="102"/>
      <c r="P252" s="102"/>
      <c r="Q252" s="102"/>
      <c r="R252" s="102"/>
      <c r="S252" s="102"/>
      <c r="T252" s="102"/>
      <c r="U252" s="102"/>
      <c r="V252" s="102"/>
      <c r="W252" s="102"/>
      <c r="X252" s="102"/>
      <c r="Y252" s="102"/>
      <c r="Z252" s="102"/>
      <c r="AA252" s="102"/>
      <c r="AB252" s="102"/>
      <c r="AC252" s="102"/>
      <c r="AD252" s="102"/>
      <c r="AE252" s="102"/>
      <c r="AF252" s="102"/>
      <c r="AG252" s="102"/>
      <c r="AH252" s="102"/>
      <c r="AI252" s="102"/>
      <c r="AJ252" s="102"/>
      <c r="AK252" s="102"/>
      <c r="AL252" s="102"/>
      <c r="AM252" s="102"/>
      <c r="AN252" s="102"/>
      <c r="AO252" s="102"/>
      <c r="AP252" s="102"/>
    </row>
    <row r="253" spans="1:42" ht="29.25">
      <c r="A253" s="89">
        <v>252</v>
      </c>
      <c r="B253" s="90">
        <v>50030602</v>
      </c>
      <c r="C253" s="91" t="s">
        <v>240</v>
      </c>
      <c r="D253" s="58" t="s">
        <v>846</v>
      </c>
      <c r="E253" s="59">
        <v>27570</v>
      </c>
      <c r="F253" s="92">
        <f ca="1">(TODAY()-Data_Assessment[[#This Row],[BIRTH DATE]])/365.25</f>
        <v>46.737850787132103</v>
      </c>
      <c r="G253" s="62" t="s">
        <v>971</v>
      </c>
      <c r="H253" s="63" t="s">
        <v>972</v>
      </c>
      <c r="I253" s="106">
        <v>1</v>
      </c>
      <c r="J253" s="64" t="s">
        <v>1134</v>
      </c>
      <c r="K253" s="143">
        <v>4</v>
      </c>
      <c r="L253" s="58"/>
      <c r="M253" s="58"/>
      <c r="N253" s="102"/>
      <c r="O253" s="102"/>
      <c r="P253" s="102"/>
      <c r="Q253" s="102"/>
      <c r="R253" s="102"/>
      <c r="S253" s="102"/>
      <c r="T253" s="102"/>
      <c r="U253" s="102"/>
      <c r="V253" s="102"/>
      <c r="W253" s="102"/>
      <c r="X253" s="102"/>
      <c r="Y253" s="102"/>
      <c r="Z253" s="102"/>
      <c r="AA253" s="102"/>
      <c r="AB253" s="102"/>
      <c r="AC253" s="102"/>
      <c r="AD253" s="102"/>
      <c r="AE253" s="102"/>
      <c r="AF253" s="102"/>
      <c r="AG253" s="102"/>
      <c r="AH253" s="102"/>
      <c r="AI253" s="102"/>
      <c r="AJ253" s="102"/>
      <c r="AK253" s="102"/>
      <c r="AL253" s="102"/>
      <c r="AM253" s="102"/>
      <c r="AN253" s="102"/>
      <c r="AO253" s="102"/>
      <c r="AP253" s="102"/>
    </row>
    <row r="254" spans="1:42" ht="29.25">
      <c r="A254" s="89">
        <v>253</v>
      </c>
      <c r="B254" s="90">
        <v>50030600</v>
      </c>
      <c r="C254" s="91" t="s">
        <v>242</v>
      </c>
      <c r="D254" s="58" t="s">
        <v>846</v>
      </c>
      <c r="E254" s="59">
        <v>25507</v>
      </c>
      <c r="F254" s="92">
        <f ca="1">(TODAY()-Data_Assessment[[#This Row],[BIRTH DATE]])/365.25</f>
        <v>52.386036960985628</v>
      </c>
      <c r="G254" s="62" t="s">
        <v>971</v>
      </c>
      <c r="H254" s="63" t="s">
        <v>972</v>
      </c>
      <c r="I254" s="106">
        <v>1</v>
      </c>
      <c r="J254" s="64" t="s">
        <v>1135</v>
      </c>
      <c r="K254" s="143">
        <v>4</v>
      </c>
      <c r="L254" s="58"/>
      <c r="M254" s="58"/>
      <c r="N254" s="102"/>
      <c r="O254" s="102"/>
      <c r="P254" s="102"/>
      <c r="Q254" s="102"/>
      <c r="R254" s="102"/>
      <c r="S254" s="102"/>
      <c r="T254" s="102"/>
      <c r="U254" s="102"/>
      <c r="V254" s="102"/>
      <c r="W254" s="102"/>
      <c r="X254" s="102"/>
      <c r="Y254" s="102"/>
      <c r="Z254" s="102"/>
      <c r="AA254" s="102"/>
      <c r="AB254" s="102"/>
      <c r="AC254" s="102"/>
      <c r="AD254" s="102"/>
      <c r="AE254" s="102"/>
      <c r="AF254" s="102"/>
      <c r="AG254" s="102"/>
      <c r="AH254" s="102"/>
      <c r="AI254" s="102"/>
      <c r="AJ254" s="102"/>
      <c r="AK254" s="102"/>
      <c r="AL254" s="102"/>
      <c r="AM254" s="102"/>
      <c r="AN254" s="102"/>
      <c r="AO254" s="102"/>
      <c r="AP254" s="102"/>
    </row>
    <row r="255" spans="1:42" ht="29.25">
      <c r="A255" s="89">
        <v>254</v>
      </c>
      <c r="B255" s="90">
        <v>50030598</v>
      </c>
      <c r="C255" s="91" t="s">
        <v>241</v>
      </c>
      <c r="D255" s="58" t="s">
        <v>845</v>
      </c>
      <c r="E255" s="59">
        <v>27968</v>
      </c>
      <c r="F255" s="92">
        <f ca="1">(TODAY()-Data_Assessment[[#This Row],[BIRTH DATE]])/365.25</f>
        <v>45.648186173853524</v>
      </c>
      <c r="G255" s="62" t="s">
        <v>971</v>
      </c>
      <c r="H255" s="63" t="s">
        <v>972</v>
      </c>
      <c r="I255" s="106">
        <v>1</v>
      </c>
      <c r="J255" s="64" t="s">
        <v>1135</v>
      </c>
      <c r="K255" s="143">
        <v>3</v>
      </c>
      <c r="L255" s="58"/>
      <c r="M255" s="58"/>
      <c r="N255" s="102"/>
      <c r="O255" s="102"/>
      <c r="P255" s="102"/>
      <c r="Q255" s="102"/>
      <c r="R255" s="102"/>
      <c r="S255" s="102"/>
      <c r="T255" s="102"/>
      <c r="U255" s="102"/>
      <c r="V255" s="102"/>
      <c r="W255" s="102"/>
      <c r="X255" s="102"/>
      <c r="Y255" s="102"/>
      <c r="Z255" s="102"/>
      <c r="AA255" s="102"/>
      <c r="AB255" s="102"/>
      <c r="AC255" s="102"/>
      <c r="AD255" s="102"/>
      <c r="AE255" s="102"/>
      <c r="AF255" s="102"/>
      <c r="AG255" s="102"/>
      <c r="AH255" s="102"/>
      <c r="AI255" s="102"/>
      <c r="AJ255" s="102"/>
      <c r="AK255" s="102"/>
      <c r="AL255" s="102"/>
      <c r="AM255" s="102"/>
      <c r="AN255" s="102"/>
      <c r="AO255" s="102"/>
      <c r="AP255" s="102"/>
    </row>
    <row r="256" spans="1:42">
      <c r="A256" s="89">
        <v>255</v>
      </c>
      <c r="B256" s="90">
        <v>50031317</v>
      </c>
      <c r="C256" s="91" t="s">
        <v>244</v>
      </c>
      <c r="D256" s="58" t="s">
        <v>846</v>
      </c>
      <c r="E256" s="59">
        <v>27253</v>
      </c>
      <c r="F256" s="92">
        <f ca="1">(TODAY()-Data_Assessment[[#This Row],[BIRTH DATE]])/365.25</f>
        <v>47.605749486652975</v>
      </c>
      <c r="G256" s="62" t="s">
        <v>1104</v>
      </c>
      <c r="H256" s="63" t="s">
        <v>1064</v>
      </c>
      <c r="I256" s="106">
        <v>2</v>
      </c>
      <c r="J256" s="64" t="s">
        <v>1105</v>
      </c>
      <c r="K256" s="143">
        <v>3</v>
      </c>
      <c r="L256" s="58"/>
      <c r="M256" s="58"/>
      <c r="N256" s="102"/>
      <c r="O256" s="102"/>
      <c r="P256" s="102"/>
      <c r="Q256" s="102"/>
      <c r="R256" s="102"/>
      <c r="S256" s="102"/>
      <c r="T256" s="102"/>
      <c r="U256" s="102"/>
      <c r="V256" s="102"/>
      <c r="W256" s="102"/>
      <c r="X256" s="102"/>
      <c r="Y256" s="102"/>
      <c r="Z256" s="102"/>
      <c r="AA256" s="102"/>
      <c r="AB256" s="102"/>
      <c r="AC256" s="102"/>
      <c r="AD256" s="102"/>
      <c r="AE256" s="102"/>
      <c r="AF256" s="102"/>
      <c r="AG256" s="102"/>
      <c r="AH256" s="102"/>
      <c r="AI256" s="102"/>
      <c r="AJ256" s="102"/>
      <c r="AK256" s="102"/>
      <c r="AL256" s="102"/>
      <c r="AM256" s="102"/>
      <c r="AN256" s="102"/>
      <c r="AO256" s="102"/>
      <c r="AP256" s="102"/>
    </row>
    <row r="257" spans="1:42">
      <c r="A257" s="89">
        <v>256</v>
      </c>
      <c r="B257" s="90">
        <v>50031368</v>
      </c>
      <c r="C257" s="91" t="s">
        <v>248</v>
      </c>
      <c r="D257" s="58" t="s">
        <v>846</v>
      </c>
      <c r="E257" s="59">
        <v>28657</v>
      </c>
      <c r="F257" s="92">
        <f ca="1">(TODAY()-Data_Assessment[[#This Row],[BIRTH DATE]])/365.25</f>
        <v>43.761806981519506</v>
      </c>
      <c r="G257" s="62" t="s">
        <v>1104</v>
      </c>
      <c r="H257" s="63" t="s">
        <v>1064</v>
      </c>
      <c r="I257" s="106">
        <v>2</v>
      </c>
      <c r="J257" s="64" t="s">
        <v>1136</v>
      </c>
      <c r="K257" s="143">
        <v>3</v>
      </c>
      <c r="L257" s="58"/>
      <c r="M257" s="58"/>
      <c r="N257" s="102"/>
      <c r="O257" s="102"/>
      <c r="P257" s="102"/>
      <c r="Q257" s="102"/>
      <c r="R257" s="102"/>
      <c r="S257" s="102"/>
      <c r="T257" s="102"/>
      <c r="U257" s="102"/>
      <c r="V257" s="102"/>
      <c r="W257" s="102"/>
      <c r="X257" s="102"/>
      <c r="Y257" s="102"/>
      <c r="Z257" s="102"/>
      <c r="AA257" s="102"/>
      <c r="AB257" s="102"/>
      <c r="AC257" s="102"/>
      <c r="AD257" s="102"/>
      <c r="AE257" s="102"/>
      <c r="AF257" s="102"/>
      <c r="AG257" s="102"/>
      <c r="AH257" s="102"/>
      <c r="AI257" s="102"/>
      <c r="AJ257" s="102"/>
      <c r="AK257" s="102"/>
      <c r="AL257" s="102"/>
      <c r="AM257" s="102"/>
      <c r="AN257" s="102"/>
      <c r="AO257" s="102"/>
      <c r="AP257" s="102"/>
    </row>
    <row r="258" spans="1:42" ht="29.25">
      <c r="A258" s="89">
        <v>257</v>
      </c>
      <c r="B258" s="90">
        <v>50030897</v>
      </c>
      <c r="C258" s="91" t="s">
        <v>243</v>
      </c>
      <c r="D258" s="58" t="s">
        <v>845</v>
      </c>
      <c r="E258" s="59">
        <v>27650</v>
      </c>
      <c r="F258" s="92">
        <f ca="1">(TODAY()-Data_Assessment[[#This Row],[BIRTH DATE]])/365.25</f>
        <v>46.518822724161531</v>
      </c>
      <c r="G258" s="62" t="s">
        <v>1104</v>
      </c>
      <c r="H258" s="63" t="s">
        <v>1064</v>
      </c>
      <c r="I258" s="106">
        <v>2</v>
      </c>
      <c r="J258" s="64" t="s">
        <v>1137</v>
      </c>
      <c r="K258" s="143">
        <v>2</v>
      </c>
      <c r="L258" s="58"/>
      <c r="M258" s="58"/>
      <c r="N258" s="102"/>
      <c r="O258" s="102"/>
      <c r="P258" s="102"/>
      <c r="Q258" s="102"/>
      <c r="R258" s="102"/>
      <c r="S258" s="102"/>
      <c r="T258" s="102"/>
      <c r="U258" s="102"/>
      <c r="V258" s="102"/>
      <c r="W258" s="102"/>
      <c r="X258" s="102"/>
      <c r="Y258" s="102"/>
      <c r="Z258" s="102"/>
      <c r="AA258" s="102"/>
      <c r="AB258" s="102"/>
      <c r="AC258" s="102"/>
      <c r="AD258" s="102"/>
      <c r="AE258" s="102"/>
      <c r="AF258" s="102"/>
      <c r="AG258" s="102"/>
      <c r="AH258" s="102"/>
      <c r="AI258" s="102"/>
      <c r="AJ258" s="102"/>
      <c r="AK258" s="102"/>
      <c r="AL258" s="102"/>
      <c r="AM258" s="102"/>
      <c r="AN258" s="102"/>
      <c r="AO258" s="102"/>
      <c r="AP258" s="102"/>
    </row>
    <row r="259" spans="1:42" ht="29.25">
      <c r="A259" s="89">
        <v>258</v>
      </c>
      <c r="B259" s="90">
        <v>50108302</v>
      </c>
      <c r="C259" s="91" t="s">
        <v>563</v>
      </c>
      <c r="D259" s="58" t="s">
        <v>845</v>
      </c>
      <c r="E259" s="59">
        <v>30545</v>
      </c>
      <c r="F259" s="92">
        <f ca="1">(TODAY()-Data_Assessment[[#This Row],[BIRTH DATE]])/365.25</f>
        <v>38.592744695414098</v>
      </c>
      <c r="G259" s="62" t="s">
        <v>919</v>
      </c>
      <c r="H259" s="63" t="s">
        <v>972</v>
      </c>
      <c r="I259" s="106">
        <v>1</v>
      </c>
      <c r="J259" s="64" t="s">
        <v>1138</v>
      </c>
      <c r="K259" s="143">
        <v>3</v>
      </c>
      <c r="L259" s="58"/>
      <c r="M259" s="58"/>
      <c r="N259" s="102"/>
      <c r="O259" s="102"/>
      <c r="P259" s="102"/>
      <c r="Q259" s="102"/>
      <c r="R259" s="102"/>
      <c r="S259" s="102"/>
      <c r="T259" s="102"/>
      <c r="U259" s="102"/>
      <c r="V259" s="102"/>
      <c r="W259" s="102"/>
      <c r="X259" s="102"/>
      <c r="Y259" s="102"/>
      <c r="Z259" s="102"/>
      <c r="AA259" s="102"/>
      <c r="AB259" s="102"/>
      <c r="AC259" s="102"/>
      <c r="AD259" s="102"/>
      <c r="AE259" s="102"/>
      <c r="AF259" s="102"/>
      <c r="AG259" s="102"/>
      <c r="AH259" s="102"/>
      <c r="AI259" s="102"/>
      <c r="AJ259" s="102"/>
      <c r="AK259" s="102"/>
      <c r="AL259" s="102"/>
      <c r="AM259" s="102"/>
      <c r="AN259" s="102"/>
      <c r="AO259" s="102"/>
      <c r="AP259" s="102"/>
    </row>
    <row r="260" spans="1:42" ht="29.25">
      <c r="A260" s="89">
        <v>259</v>
      </c>
      <c r="B260" s="90">
        <v>50116060</v>
      </c>
      <c r="C260" s="91" t="s">
        <v>261</v>
      </c>
      <c r="D260" s="58" t="s">
        <v>845</v>
      </c>
      <c r="E260" s="59">
        <v>33239</v>
      </c>
      <c r="F260" s="92">
        <f ca="1">(TODAY()-Data_Assessment[[#This Row],[BIRTH DATE]])/365.25</f>
        <v>31.21697467488022</v>
      </c>
      <c r="G260" s="62" t="s">
        <v>986</v>
      </c>
      <c r="H260" s="63" t="s">
        <v>987</v>
      </c>
      <c r="I260" s="106">
        <v>4</v>
      </c>
      <c r="J260" s="64" t="s">
        <v>1139</v>
      </c>
      <c r="K260" s="143">
        <v>3</v>
      </c>
      <c r="L260" s="58"/>
      <c r="M260" s="58"/>
      <c r="N260" s="102"/>
      <c r="O260" s="102"/>
      <c r="P260" s="102"/>
      <c r="Q260" s="102"/>
      <c r="R260" s="102"/>
      <c r="S260" s="102"/>
      <c r="T260" s="102"/>
      <c r="U260" s="102"/>
      <c r="V260" s="102"/>
      <c r="W260" s="102"/>
      <c r="X260" s="102"/>
      <c r="Y260" s="102"/>
      <c r="Z260" s="102"/>
      <c r="AA260" s="102"/>
      <c r="AB260" s="102"/>
      <c r="AC260" s="102"/>
      <c r="AD260" s="102"/>
      <c r="AE260" s="102"/>
      <c r="AF260" s="102"/>
      <c r="AG260" s="102"/>
      <c r="AH260" s="102"/>
      <c r="AI260" s="102"/>
      <c r="AJ260" s="102"/>
      <c r="AK260" s="102"/>
      <c r="AL260" s="102"/>
      <c r="AM260" s="102"/>
      <c r="AN260" s="102"/>
      <c r="AO260" s="102"/>
      <c r="AP260" s="102"/>
    </row>
    <row r="261" spans="1:42">
      <c r="A261" s="89">
        <v>260</v>
      </c>
      <c r="B261" s="90">
        <v>50142644</v>
      </c>
      <c r="C261" s="91" t="s">
        <v>578</v>
      </c>
      <c r="D261" s="58" t="s">
        <v>845</v>
      </c>
      <c r="E261" s="59">
        <v>25374</v>
      </c>
      <c r="F261" s="92">
        <f ca="1">(TODAY()-Data_Assessment[[#This Row],[BIRTH DATE]])/365.25</f>
        <v>52.750171115674199</v>
      </c>
      <c r="G261" s="62" t="s">
        <v>919</v>
      </c>
      <c r="H261" s="63" t="s">
        <v>987</v>
      </c>
      <c r="I261" s="106">
        <v>1</v>
      </c>
      <c r="J261" s="64" t="s">
        <v>1140</v>
      </c>
      <c r="K261" s="143">
        <v>3</v>
      </c>
      <c r="L261" s="58"/>
      <c r="M261" s="58"/>
      <c r="N261" s="102"/>
      <c r="O261" s="102"/>
      <c r="P261" s="102"/>
      <c r="Q261" s="102"/>
      <c r="R261" s="102"/>
      <c r="S261" s="102"/>
      <c r="T261" s="102"/>
      <c r="U261" s="102"/>
      <c r="V261" s="102"/>
      <c r="W261" s="102"/>
      <c r="X261" s="102"/>
      <c r="Y261" s="102"/>
      <c r="Z261" s="102"/>
      <c r="AA261" s="102"/>
      <c r="AB261" s="102"/>
      <c r="AC261" s="102"/>
      <c r="AD261" s="102"/>
      <c r="AE261" s="102"/>
      <c r="AF261" s="102"/>
      <c r="AG261" s="102"/>
      <c r="AH261" s="102"/>
      <c r="AI261" s="102"/>
      <c r="AJ261" s="102"/>
      <c r="AK261" s="102"/>
      <c r="AL261" s="102"/>
      <c r="AM261" s="102"/>
      <c r="AN261" s="102"/>
      <c r="AO261" s="102"/>
      <c r="AP261" s="102"/>
    </row>
    <row r="262" spans="1:42">
      <c r="A262" s="89">
        <v>261</v>
      </c>
      <c r="B262" s="90">
        <v>50030487</v>
      </c>
      <c r="C262" s="91" t="s">
        <v>246</v>
      </c>
      <c r="D262" s="58" t="s">
        <v>845</v>
      </c>
      <c r="E262" s="59">
        <v>26522</v>
      </c>
      <c r="F262" s="92">
        <f ca="1">(TODAY()-Data_Assessment[[#This Row],[BIRTH DATE]])/365.25</f>
        <v>49.607118412046546</v>
      </c>
      <c r="G262" s="62" t="s">
        <v>1104</v>
      </c>
      <c r="H262" s="63" t="s">
        <v>1064</v>
      </c>
      <c r="I262" s="106">
        <v>2</v>
      </c>
      <c r="J262" s="64" t="s">
        <v>1141</v>
      </c>
      <c r="K262" s="143">
        <v>2</v>
      </c>
      <c r="L262" s="58"/>
      <c r="M262" s="58"/>
      <c r="N262" s="102"/>
      <c r="O262" s="102"/>
      <c r="P262" s="102"/>
      <c r="Q262" s="102"/>
      <c r="R262" s="102"/>
      <c r="S262" s="102"/>
      <c r="T262" s="102"/>
      <c r="U262" s="102"/>
      <c r="V262" s="102"/>
      <c r="W262" s="102"/>
      <c r="X262" s="102"/>
      <c r="Y262" s="102"/>
      <c r="Z262" s="102"/>
      <c r="AA262" s="102"/>
      <c r="AB262" s="102"/>
      <c r="AC262" s="102"/>
      <c r="AD262" s="102"/>
      <c r="AE262" s="102"/>
      <c r="AF262" s="102"/>
      <c r="AG262" s="102"/>
      <c r="AH262" s="102"/>
      <c r="AI262" s="102"/>
      <c r="AJ262" s="102"/>
      <c r="AK262" s="102"/>
      <c r="AL262" s="102"/>
      <c r="AM262" s="102"/>
      <c r="AN262" s="102"/>
      <c r="AO262" s="102"/>
      <c r="AP262" s="102"/>
    </row>
    <row r="263" spans="1:42">
      <c r="A263" s="89">
        <v>262</v>
      </c>
      <c r="B263" s="90">
        <v>50134648</v>
      </c>
      <c r="C263" s="91" t="s">
        <v>265</v>
      </c>
      <c r="D263" s="58" t="s">
        <v>845</v>
      </c>
      <c r="E263" s="59">
        <v>34421</v>
      </c>
      <c r="F263" s="92">
        <f ca="1">(TODAY()-Data_Assessment[[#This Row],[BIRTH DATE]])/365.25</f>
        <v>27.980835044490075</v>
      </c>
      <c r="G263" s="62" t="s">
        <v>986</v>
      </c>
      <c r="H263" s="63" t="s">
        <v>987</v>
      </c>
      <c r="I263" s="106">
        <v>4</v>
      </c>
      <c r="J263" s="64" t="s">
        <v>1142</v>
      </c>
      <c r="K263" s="143">
        <v>4</v>
      </c>
      <c r="L263" s="58"/>
      <c r="M263" s="58"/>
      <c r="N263" s="102"/>
      <c r="O263" s="102"/>
      <c r="P263" s="102"/>
      <c r="Q263" s="102"/>
      <c r="R263" s="102"/>
      <c r="S263" s="102"/>
      <c r="T263" s="102"/>
      <c r="U263" s="102"/>
      <c r="V263" s="102"/>
      <c r="W263" s="102"/>
      <c r="X263" s="102"/>
      <c r="Y263" s="102"/>
      <c r="Z263" s="102"/>
      <c r="AA263" s="102"/>
      <c r="AB263" s="102"/>
      <c r="AC263" s="102"/>
      <c r="AD263" s="102"/>
      <c r="AE263" s="102"/>
      <c r="AF263" s="102"/>
      <c r="AG263" s="102"/>
      <c r="AH263" s="102"/>
      <c r="AI263" s="102"/>
      <c r="AJ263" s="102"/>
      <c r="AK263" s="102"/>
      <c r="AL263" s="102"/>
      <c r="AM263" s="102"/>
      <c r="AN263" s="102"/>
      <c r="AO263" s="102"/>
      <c r="AP263" s="102"/>
    </row>
    <row r="264" spans="1:42">
      <c r="A264" s="89">
        <v>263</v>
      </c>
      <c r="B264" s="90">
        <v>50142310</v>
      </c>
      <c r="C264" s="91" t="s">
        <v>247</v>
      </c>
      <c r="D264" s="58" t="s">
        <v>845</v>
      </c>
      <c r="E264" s="59">
        <v>26086</v>
      </c>
      <c r="F264" s="92">
        <f ca="1">(TODAY()-Data_Assessment[[#This Row],[BIRTH DATE]])/365.25</f>
        <v>50.800821355236138</v>
      </c>
      <c r="G264" s="62" t="s">
        <v>1104</v>
      </c>
      <c r="H264" s="63" t="s">
        <v>1064</v>
      </c>
      <c r="I264" s="106">
        <v>2</v>
      </c>
      <c r="J264" s="64" t="s">
        <v>1141</v>
      </c>
      <c r="K264" s="143">
        <v>0</v>
      </c>
      <c r="L264" s="58"/>
      <c r="M264" s="58"/>
      <c r="N264" s="102"/>
      <c r="O264" s="102"/>
      <c r="P264" s="102"/>
      <c r="Q264" s="102"/>
      <c r="R264" s="102"/>
      <c r="S264" s="102"/>
      <c r="T264" s="102"/>
      <c r="U264" s="102"/>
      <c r="V264" s="102"/>
      <c r="W264" s="102"/>
      <c r="X264" s="102"/>
      <c r="Y264" s="102"/>
      <c r="Z264" s="102"/>
      <c r="AA264" s="102"/>
      <c r="AB264" s="102"/>
      <c r="AC264" s="102"/>
      <c r="AD264" s="102"/>
      <c r="AE264" s="102"/>
      <c r="AF264" s="102"/>
      <c r="AG264" s="102"/>
      <c r="AH264" s="102"/>
      <c r="AI264" s="102"/>
      <c r="AJ264" s="102"/>
      <c r="AK264" s="102"/>
      <c r="AL264" s="102"/>
      <c r="AM264" s="102"/>
      <c r="AN264" s="102"/>
      <c r="AO264" s="102"/>
      <c r="AP264" s="102"/>
    </row>
    <row r="265" spans="1:42" ht="29.25">
      <c r="A265" s="89">
        <v>264</v>
      </c>
      <c r="B265" s="90">
        <v>50112430</v>
      </c>
      <c r="C265" s="91" t="s">
        <v>271</v>
      </c>
      <c r="D265" s="58" t="s">
        <v>845</v>
      </c>
      <c r="E265" s="59">
        <v>27257</v>
      </c>
      <c r="F265" s="92">
        <f ca="1">(TODAY()-Data_Assessment[[#This Row],[BIRTH DATE]])/365.25</f>
        <v>47.59479808350445</v>
      </c>
      <c r="G265" s="62" t="s">
        <v>935</v>
      </c>
      <c r="H265" s="63" t="s">
        <v>1033</v>
      </c>
      <c r="I265" s="106">
        <v>4</v>
      </c>
      <c r="J265" s="64" t="s">
        <v>1143</v>
      </c>
      <c r="K265" s="143">
        <v>2</v>
      </c>
      <c r="L265" s="58"/>
      <c r="M265" s="58"/>
      <c r="N265" s="102"/>
      <c r="O265" s="102"/>
      <c r="P265" s="102"/>
      <c r="Q265" s="102"/>
      <c r="R265" s="102"/>
      <c r="S265" s="102"/>
      <c r="T265" s="102"/>
      <c r="U265" s="102"/>
      <c r="V265" s="102"/>
      <c r="W265" s="102"/>
      <c r="X265" s="102"/>
      <c r="Y265" s="102"/>
      <c r="Z265" s="102"/>
      <c r="AA265" s="102"/>
      <c r="AB265" s="102"/>
      <c r="AC265" s="102"/>
      <c r="AD265" s="102"/>
      <c r="AE265" s="102"/>
      <c r="AF265" s="102"/>
      <c r="AG265" s="102"/>
      <c r="AH265" s="102"/>
      <c r="AI265" s="102"/>
      <c r="AJ265" s="102"/>
      <c r="AK265" s="102"/>
      <c r="AL265" s="102"/>
      <c r="AM265" s="102"/>
      <c r="AN265" s="102"/>
      <c r="AO265" s="102"/>
      <c r="AP265" s="102"/>
    </row>
    <row r="266" spans="1:42" ht="29.25">
      <c r="A266" s="89">
        <v>265</v>
      </c>
      <c r="B266" s="90">
        <v>50108304</v>
      </c>
      <c r="C266" s="91" t="s">
        <v>605</v>
      </c>
      <c r="D266" s="58" t="s">
        <v>845</v>
      </c>
      <c r="E266" s="59">
        <v>31702</v>
      </c>
      <c r="F266" s="92">
        <f ca="1">(TODAY()-Data_Assessment[[#This Row],[BIRTH DATE]])/365.25</f>
        <v>35.42505133470226</v>
      </c>
      <c r="G266" s="62" t="s">
        <v>919</v>
      </c>
      <c r="H266" s="63" t="s">
        <v>972</v>
      </c>
      <c r="I266" s="106">
        <v>1</v>
      </c>
      <c r="J266" s="64" t="s">
        <v>1144</v>
      </c>
      <c r="K266" s="143">
        <v>3</v>
      </c>
      <c r="L266" s="58"/>
      <c r="M266" s="58"/>
      <c r="N266" s="102"/>
      <c r="O266" s="102"/>
      <c r="P266" s="102"/>
      <c r="Q266" s="102"/>
      <c r="R266" s="102"/>
      <c r="S266" s="102"/>
      <c r="T266" s="102"/>
      <c r="U266" s="102"/>
      <c r="V266" s="102"/>
      <c r="W266" s="102"/>
      <c r="X266" s="102"/>
      <c r="Y266" s="102"/>
      <c r="Z266" s="102"/>
      <c r="AA266" s="102"/>
      <c r="AB266" s="102"/>
      <c r="AC266" s="102"/>
      <c r="AD266" s="102"/>
      <c r="AE266" s="102"/>
      <c r="AF266" s="102"/>
      <c r="AG266" s="102"/>
      <c r="AH266" s="102"/>
      <c r="AI266" s="102"/>
      <c r="AJ266" s="102"/>
      <c r="AK266" s="102"/>
      <c r="AL266" s="102"/>
      <c r="AM266" s="102"/>
      <c r="AN266" s="102"/>
      <c r="AO266" s="102"/>
      <c r="AP266" s="102"/>
    </row>
    <row r="267" spans="1:42">
      <c r="A267" s="89">
        <v>266</v>
      </c>
      <c r="B267" s="90">
        <v>50031356</v>
      </c>
      <c r="C267" s="91" t="s">
        <v>249</v>
      </c>
      <c r="D267" s="58" t="s">
        <v>845</v>
      </c>
      <c r="E267" s="59">
        <v>27800</v>
      </c>
      <c r="F267" s="92">
        <f ca="1">(TODAY()-Data_Assessment[[#This Row],[BIRTH DATE]])/365.25</f>
        <v>46.108145106091719</v>
      </c>
      <c r="G267" s="62" t="s">
        <v>1104</v>
      </c>
      <c r="H267" s="63" t="s">
        <v>1064</v>
      </c>
      <c r="I267" s="106">
        <v>2</v>
      </c>
      <c r="J267" s="64" t="s">
        <v>1145</v>
      </c>
      <c r="K267" s="143">
        <v>4</v>
      </c>
      <c r="L267" s="58"/>
      <c r="M267" s="58"/>
      <c r="N267" s="102"/>
      <c r="O267" s="102"/>
      <c r="P267" s="102"/>
      <c r="Q267" s="102"/>
      <c r="R267" s="102"/>
      <c r="S267" s="102"/>
      <c r="T267" s="102"/>
      <c r="U267" s="102"/>
      <c r="V267" s="102"/>
      <c r="W267" s="102"/>
      <c r="X267" s="102"/>
      <c r="Y267" s="102"/>
      <c r="Z267" s="102"/>
      <c r="AA267" s="102"/>
      <c r="AB267" s="102"/>
      <c r="AC267" s="102"/>
      <c r="AD267" s="102"/>
      <c r="AE267" s="102"/>
      <c r="AF267" s="102"/>
      <c r="AG267" s="102"/>
      <c r="AH267" s="102"/>
      <c r="AI267" s="102"/>
      <c r="AJ267" s="102"/>
      <c r="AK267" s="102"/>
      <c r="AL267" s="102"/>
      <c r="AM267" s="102"/>
      <c r="AN267" s="102"/>
      <c r="AO267" s="102"/>
      <c r="AP267" s="102"/>
    </row>
    <row r="268" spans="1:42">
      <c r="A268" s="89">
        <v>267</v>
      </c>
      <c r="B268" s="90">
        <v>50134613</v>
      </c>
      <c r="C268" s="91" t="s">
        <v>278</v>
      </c>
      <c r="D268" s="58" t="s">
        <v>845</v>
      </c>
      <c r="E268" s="59">
        <v>35006</v>
      </c>
      <c r="F268" s="92">
        <f ca="1">(TODAY()-Data_Assessment[[#This Row],[BIRTH DATE]])/365.25</f>
        <v>26.379192334017795</v>
      </c>
      <c r="G268" s="62" t="s">
        <v>986</v>
      </c>
      <c r="H268" s="63" t="s">
        <v>987</v>
      </c>
      <c r="I268" s="106">
        <v>4</v>
      </c>
      <c r="J268" s="64" t="s">
        <v>1146</v>
      </c>
      <c r="K268" s="143">
        <v>4</v>
      </c>
      <c r="L268" s="58"/>
      <c r="M268" s="58"/>
      <c r="N268" s="102"/>
      <c r="O268" s="102"/>
      <c r="P268" s="102"/>
      <c r="Q268" s="102"/>
      <c r="R268" s="102"/>
      <c r="S268" s="102"/>
      <c r="T268" s="102"/>
      <c r="U268" s="102"/>
      <c r="V268" s="102"/>
      <c r="W268" s="102"/>
      <c r="X268" s="102"/>
      <c r="Y268" s="102"/>
      <c r="Z268" s="102"/>
      <c r="AA268" s="102"/>
      <c r="AB268" s="102"/>
      <c r="AC268" s="102"/>
      <c r="AD268" s="102"/>
      <c r="AE268" s="102"/>
      <c r="AF268" s="102"/>
      <c r="AG268" s="102"/>
      <c r="AH268" s="102"/>
      <c r="AI268" s="102"/>
      <c r="AJ268" s="102"/>
      <c r="AK268" s="102"/>
      <c r="AL268" s="102"/>
      <c r="AM268" s="102"/>
      <c r="AN268" s="102"/>
      <c r="AO268" s="102"/>
      <c r="AP268" s="102"/>
    </row>
    <row r="269" spans="1:42" ht="29.25">
      <c r="A269" s="89">
        <v>268</v>
      </c>
      <c r="B269" s="90">
        <v>50031357</v>
      </c>
      <c r="C269" s="91" t="s">
        <v>250</v>
      </c>
      <c r="D269" s="58" t="s">
        <v>845</v>
      </c>
      <c r="E269" s="59">
        <v>29743</v>
      </c>
      <c r="F269" s="92">
        <f ca="1">(TODAY()-Data_Assessment[[#This Row],[BIRTH DATE]])/365.25</f>
        <v>40.788501026694043</v>
      </c>
      <c r="G269" s="62" t="s">
        <v>1104</v>
      </c>
      <c r="H269" s="63" t="s">
        <v>1064</v>
      </c>
      <c r="I269" s="106">
        <v>2</v>
      </c>
      <c r="J269" s="64" t="s">
        <v>1147</v>
      </c>
      <c r="K269" s="143">
        <v>3</v>
      </c>
      <c r="L269" s="58"/>
      <c r="M269" s="58"/>
      <c r="N269" s="102"/>
      <c r="O269" s="102"/>
      <c r="P269" s="102"/>
      <c r="Q269" s="102"/>
      <c r="R269" s="102"/>
      <c r="S269" s="102"/>
      <c r="T269" s="102"/>
      <c r="U269" s="102"/>
      <c r="V269" s="102"/>
      <c r="W269" s="102"/>
      <c r="X269" s="102"/>
      <c r="Y269" s="102"/>
      <c r="Z269" s="102"/>
      <c r="AA269" s="102"/>
      <c r="AB269" s="102"/>
      <c r="AC269" s="102"/>
      <c r="AD269" s="102"/>
      <c r="AE269" s="102"/>
      <c r="AF269" s="102"/>
      <c r="AG269" s="102"/>
      <c r="AH269" s="102"/>
      <c r="AI269" s="102"/>
      <c r="AJ269" s="102"/>
      <c r="AK269" s="102"/>
      <c r="AL269" s="102"/>
      <c r="AM269" s="102"/>
      <c r="AN269" s="102"/>
      <c r="AO269" s="102"/>
      <c r="AP269" s="102"/>
    </row>
    <row r="270" spans="1:42">
      <c r="A270" s="89">
        <v>269</v>
      </c>
      <c r="B270" s="90">
        <v>50117591</v>
      </c>
      <c r="C270" s="91" t="s">
        <v>284</v>
      </c>
      <c r="D270" s="58" t="s">
        <v>846</v>
      </c>
      <c r="E270" s="59">
        <v>35210</v>
      </c>
      <c r="F270" s="92">
        <f ca="1">(TODAY()-Data_Assessment[[#This Row],[BIRTH DATE]])/365.25</f>
        <v>25.820670773442849</v>
      </c>
      <c r="G270" s="62" t="s">
        <v>986</v>
      </c>
      <c r="H270" s="63" t="s">
        <v>987</v>
      </c>
      <c r="I270" s="106">
        <v>4</v>
      </c>
      <c r="J270" s="64" t="s">
        <v>1148</v>
      </c>
      <c r="K270" s="143">
        <v>3</v>
      </c>
      <c r="L270" s="58"/>
      <c r="M270" s="58"/>
      <c r="N270" s="102"/>
      <c r="O270" s="102"/>
      <c r="P270" s="102"/>
      <c r="Q270" s="102"/>
      <c r="R270" s="102"/>
      <c r="S270" s="102"/>
      <c r="T270" s="102"/>
      <c r="U270" s="102"/>
      <c r="V270" s="102"/>
      <c r="W270" s="102"/>
      <c r="X270" s="102"/>
      <c r="Y270" s="102"/>
      <c r="Z270" s="102"/>
      <c r="AA270" s="102"/>
      <c r="AB270" s="102"/>
      <c r="AC270" s="102"/>
      <c r="AD270" s="102"/>
      <c r="AE270" s="102"/>
      <c r="AF270" s="102"/>
      <c r="AG270" s="102"/>
      <c r="AH270" s="102"/>
      <c r="AI270" s="102"/>
      <c r="AJ270" s="102"/>
      <c r="AK270" s="102"/>
      <c r="AL270" s="102"/>
      <c r="AM270" s="102"/>
      <c r="AN270" s="102"/>
      <c r="AO270" s="102"/>
      <c r="AP270" s="102"/>
    </row>
    <row r="271" spans="1:42" ht="29.25">
      <c r="A271" s="89">
        <v>270</v>
      </c>
      <c r="B271" s="90">
        <v>50030511</v>
      </c>
      <c r="C271" s="91" t="s">
        <v>286</v>
      </c>
      <c r="D271" s="58" t="s">
        <v>846</v>
      </c>
      <c r="E271" s="59">
        <v>29634</v>
      </c>
      <c r="F271" s="92">
        <f ca="1">(TODAY()-Data_Assessment[[#This Row],[BIRTH DATE]])/365.25</f>
        <v>41.086926762491444</v>
      </c>
      <c r="G271" s="62" t="s">
        <v>986</v>
      </c>
      <c r="H271" s="63" t="s">
        <v>987</v>
      </c>
      <c r="I271" s="106">
        <v>4</v>
      </c>
      <c r="J271" s="64" t="s">
        <v>1149</v>
      </c>
      <c r="K271" s="143">
        <v>3</v>
      </c>
      <c r="L271" s="58"/>
      <c r="M271" s="58"/>
      <c r="N271" s="102"/>
      <c r="O271" s="102"/>
      <c r="P271" s="102"/>
      <c r="Q271" s="102"/>
      <c r="R271" s="102"/>
      <c r="S271" s="102"/>
      <c r="T271" s="102"/>
      <c r="U271" s="102"/>
      <c r="V271" s="102"/>
      <c r="W271" s="102"/>
      <c r="X271" s="102"/>
      <c r="Y271" s="102"/>
      <c r="Z271" s="102"/>
      <c r="AA271" s="102"/>
      <c r="AB271" s="102"/>
      <c r="AC271" s="102"/>
      <c r="AD271" s="102"/>
      <c r="AE271" s="102"/>
      <c r="AF271" s="102"/>
      <c r="AG271" s="102"/>
      <c r="AH271" s="102"/>
      <c r="AI271" s="102"/>
      <c r="AJ271" s="102"/>
      <c r="AK271" s="102"/>
      <c r="AL271" s="102"/>
      <c r="AM271" s="102"/>
      <c r="AN271" s="102"/>
      <c r="AO271" s="102"/>
      <c r="AP271" s="102"/>
    </row>
    <row r="272" spans="1:42">
      <c r="A272" s="89">
        <v>271</v>
      </c>
      <c r="B272" s="90">
        <v>50030948</v>
      </c>
      <c r="C272" s="91" t="s">
        <v>252</v>
      </c>
      <c r="D272" s="58" t="s">
        <v>845</v>
      </c>
      <c r="E272" s="59">
        <v>28815</v>
      </c>
      <c r="F272" s="92">
        <f ca="1">(TODAY()-Data_Assessment[[#This Row],[BIRTH DATE]])/365.25</f>
        <v>43.329226557152637</v>
      </c>
      <c r="G272" s="62" t="s">
        <v>1104</v>
      </c>
      <c r="H272" s="63" t="s">
        <v>1064</v>
      </c>
      <c r="I272" s="106">
        <v>2</v>
      </c>
      <c r="J272" s="64" t="s">
        <v>1150</v>
      </c>
      <c r="K272" s="143">
        <v>3</v>
      </c>
      <c r="L272" s="58"/>
      <c r="M272" s="58"/>
      <c r="N272" s="102"/>
      <c r="O272" s="102"/>
      <c r="P272" s="102"/>
      <c r="Q272" s="102"/>
      <c r="R272" s="102"/>
      <c r="S272" s="102"/>
      <c r="T272" s="102"/>
      <c r="U272" s="102"/>
      <c r="V272" s="102"/>
      <c r="W272" s="102"/>
      <c r="X272" s="102"/>
      <c r="Y272" s="102"/>
      <c r="Z272" s="102"/>
      <c r="AA272" s="102"/>
      <c r="AB272" s="102"/>
      <c r="AC272" s="102"/>
      <c r="AD272" s="102"/>
      <c r="AE272" s="102"/>
      <c r="AF272" s="102"/>
      <c r="AG272" s="102"/>
      <c r="AH272" s="102"/>
      <c r="AI272" s="102"/>
      <c r="AJ272" s="102"/>
      <c r="AK272" s="102"/>
      <c r="AL272" s="102"/>
      <c r="AM272" s="102"/>
      <c r="AN272" s="102"/>
      <c r="AO272" s="102"/>
      <c r="AP272" s="102"/>
    </row>
    <row r="273" spans="1:42">
      <c r="A273" s="89">
        <v>272</v>
      </c>
      <c r="B273" s="90">
        <v>50030510</v>
      </c>
      <c r="C273" s="91" t="s">
        <v>287</v>
      </c>
      <c r="D273" s="58" t="s">
        <v>846</v>
      </c>
      <c r="E273" s="59">
        <v>29033</v>
      </c>
      <c r="F273" s="92">
        <f ca="1">(TODAY()-Data_Assessment[[#This Row],[BIRTH DATE]])/365.25</f>
        <v>42.732375085557834</v>
      </c>
      <c r="G273" s="62" t="s">
        <v>986</v>
      </c>
      <c r="H273" s="63" t="s">
        <v>987</v>
      </c>
      <c r="I273" s="106">
        <v>4</v>
      </c>
      <c r="J273" s="64" t="s">
        <v>1117</v>
      </c>
      <c r="K273" s="143">
        <v>2</v>
      </c>
      <c r="L273" s="58"/>
      <c r="M273" s="58"/>
      <c r="N273" s="102"/>
      <c r="O273" s="102"/>
      <c r="P273" s="102"/>
      <c r="Q273" s="102"/>
      <c r="R273" s="102"/>
      <c r="S273" s="102"/>
      <c r="T273" s="102"/>
      <c r="U273" s="102"/>
      <c r="V273" s="102"/>
      <c r="W273" s="102"/>
      <c r="X273" s="102"/>
      <c r="Y273" s="102"/>
      <c r="Z273" s="102"/>
      <c r="AA273" s="102"/>
      <c r="AB273" s="102"/>
      <c r="AC273" s="102"/>
      <c r="AD273" s="102"/>
      <c r="AE273" s="102"/>
      <c r="AF273" s="102"/>
      <c r="AG273" s="102"/>
      <c r="AH273" s="102"/>
      <c r="AI273" s="102"/>
      <c r="AJ273" s="102"/>
      <c r="AK273" s="102"/>
      <c r="AL273" s="102"/>
      <c r="AM273" s="102"/>
      <c r="AN273" s="102"/>
      <c r="AO273" s="102"/>
      <c r="AP273" s="102"/>
    </row>
    <row r="274" spans="1:42">
      <c r="A274" s="89">
        <v>273</v>
      </c>
      <c r="B274" s="90">
        <v>50030513</v>
      </c>
      <c r="C274" s="91" t="s">
        <v>288</v>
      </c>
      <c r="D274" s="58" t="s">
        <v>846</v>
      </c>
      <c r="E274" s="59">
        <v>30928</v>
      </c>
      <c r="F274" s="92">
        <f ca="1">(TODAY()-Data_Assessment[[#This Row],[BIRTH DATE]])/365.25</f>
        <v>37.544147843942504</v>
      </c>
      <c r="G274" s="62" t="s">
        <v>986</v>
      </c>
      <c r="H274" s="63" t="s">
        <v>987</v>
      </c>
      <c r="I274" s="106">
        <v>4</v>
      </c>
      <c r="J274" s="64" t="s">
        <v>1117</v>
      </c>
      <c r="K274" s="143">
        <v>3</v>
      </c>
      <c r="L274" s="58"/>
      <c r="M274" s="58"/>
      <c r="N274" s="102"/>
      <c r="O274" s="102"/>
      <c r="P274" s="102"/>
      <c r="Q274" s="102"/>
      <c r="R274" s="102"/>
      <c r="S274" s="102"/>
      <c r="T274" s="102"/>
      <c r="U274" s="102"/>
      <c r="V274" s="102"/>
      <c r="W274" s="102"/>
      <c r="X274" s="102"/>
      <c r="Y274" s="102"/>
      <c r="Z274" s="102"/>
      <c r="AA274" s="102"/>
      <c r="AB274" s="102"/>
      <c r="AC274" s="102"/>
      <c r="AD274" s="102"/>
      <c r="AE274" s="102"/>
      <c r="AF274" s="102"/>
      <c r="AG274" s="102"/>
      <c r="AH274" s="102"/>
      <c r="AI274" s="102"/>
      <c r="AJ274" s="102"/>
      <c r="AK274" s="102"/>
      <c r="AL274" s="102"/>
      <c r="AM274" s="102"/>
      <c r="AN274" s="102"/>
      <c r="AO274" s="102"/>
      <c r="AP274" s="102"/>
    </row>
    <row r="275" spans="1:42" ht="29.25">
      <c r="A275" s="89">
        <v>274</v>
      </c>
      <c r="B275" s="90">
        <v>50031478</v>
      </c>
      <c r="C275" s="91" t="s">
        <v>254</v>
      </c>
      <c r="D275" s="58" t="s">
        <v>846</v>
      </c>
      <c r="E275" s="59">
        <v>26545</v>
      </c>
      <c r="F275" s="92">
        <f ca="1">(TODAY()-Data_Assessment[[#This Row],[BIRTH DATE]])/365.25</f>
        <v>49.544147843942504</v>
      </c>
      <c r="G275" s="62" t="s">
        <v>986</v>
      </c>
      <c r="H275" s="63" t="s">
        <v>987</v>
      </c>
      <c r="I275" s="106">
        <v>4</v>
      </c>
      <c r="J275" s="64" t="s">
        <v>1151</v>
      </c>
      <c r="K275" s="143">
        <v>4</v>
      </c>
      <c r="L275" s="58"/>
      <c r="M275" s="58"/>
      <c r="N275" s="102"/>
      <c r="O275" s="102"/>
      <c r="P275" s="102"/>
      <c r="Q275" s="102"/>
      <c r="R275" s="102"/>
      <c r="S275" s="102"/>
      <c r="T275" s="102"/>
      <c r="U275" s="102"/>
      <c r="V275" s="102"/>
      <c r="W275" s="102"/>
      <c r="X275" s="102"/>
      <c r="Y275" s="102"/>
      <c r="Z275" s="102"/>
      <c r="AA275" s="102"/>
      <c r="AB275" s="102"/>
      <c r="AC275" s="102"/>
      <c r="AD275" s="102"/>
      <c r="AE275" s="102"/>
      <c r="AF275" s="102"/>
      <c r="AG275" s="102"/>
      <c r="AH275" s="102"/>
      <c r="AI275" s="102"/>
      <c r="AJ275" s="102"/>
      <c r="AK275" s="102"/>
      <c r="AL275" s="102"/>
      <c r="AM275" s="102"/>
      <c r="AN275" s="102"/>
      <c r="AO275" s="102"/>
      <c r="AP275" s="102"/>
    </row>
    <row r="276" spans="1:42">
      <c r="A276" s="89">
        <v>275</v>
      </c>
      <c r="B276" s="90">
        <v>50142611</v>
      </c>
      <c r="C276" s="91" t="s">
        <v>671</v>
      </c>
      <c r="D276" s="58" t="s">
        <v>845</v>
      </c>
      <c r="E276" s="59">
        <v>27712</v>
      </c>
      <c r="F276" s="92">
        <f ca="1">(TODAY()-Data_Assessment[[#This Row],[BIRTH DATE]])/365.25</f>
        <v>46.349075975359341</v>
      </c>
      <c r="G276" s="62" t="s">
        <v>919</v>
      </c>
      <c r="H276" s="63" t="s">
        <v>987</v>
      </c>
      <c r="I276" s="106">
        <v>1</v>
      </c>
      <c r="J276" s="64" t="s">
        <v>1152</v>
      </c>
      <c r="K276" s="143">
        <v>3</v>
      </c>
      <c r="L276" s="58"/>
      <c r="M276" s="58"/>
      <c r="N276" s="102"/>
      <c r="O276" s="102"/>
      <c r="P276" s="102"/>
      <c r="Q276" s="102"/>
      <c r="R276" s="102"/>
      <c r="S276" s="102"/>
      <c r="T276" s="102"/>
      <c r="U276" s="102"/>
      <c r="V276" s="102"/>
      <c r="W276" s="102"/>
      <c r="X276" s="102"/>
      <c r="Y276" s="102"/>
      <c r="Z276" s="102"/>
      <c r="AA276" s="102"/>
      <c r="AB276" s="102"/>
      <c r="AC276" s="102"/>
      <c r="AD276" s="102"/>
      <c r="AE276" s="102"/>
      <c r="AF276" s="102"/>
      <c r="AG276" s="102"/>
      <c r="AH276" s="102"/>
      <c r="AI276" s="102"/>
      <c r="AJ276" s="102"/>
      <c r="AK276" s="102"/>
      <c r="AL276" s="102"/>
      <c r="AM276" s="102"/>
      <c r="AN276" s="102"/>
      <c r="AO276" s="102"/>
      <c r="AP276" s="102"/>
    </row>
    <row r="277" spans="1:42" ht="29.25">
      <c r="A277" s="89">
        <v>276</v>
      </c>
      <c r="B277" s="90">
        <v>50030509</v>
      </c>
      <c r="C277" s="91" t="s">
        <v>295</v>
      </c>
      <c r="D277" s="58" t="s">
        <v>845</v>
      </c>
      <c r="E277" s="59">
        <v>25589</v>
      </c>
      <c r="F277" s="92">
        <f ca="1">(TODAY()-Data_Assessment[[#This Row],[BIRTH DATE]])/365.25</f>
        <v>52.161533196440793</v>
      </c>
      <c r="G277" s="62" t="s">
        <v>986</v>
      </c>
      <c r="H277" s="63" t="s">
        <v>987</v>
      </c>
      <c r="I277" s="106">
        <v>4</v>
      </c>
      <c r="J277" s="64" t="s">
        <v>992</v>
      </c>
      <c r="K277" s="143">
        <v>2</v>
      </c>
      <c r="L277" s="58"/>
      <c r="M277" s="58"/>
      <c r="N277" s="102"/>
      <c r="O277" s="102"/>
      <c r="P277" s="102"/>
      <c r="Q277" s="102"/>
      <c r="R277" s="102"/>
      <c r="S277" s="102"/>
      <c r="T277" s="102"/>
      <c r="U277" s="102"/>
      <c r="V277" s="102"/>
      <c r="W277" s="102"/>
      <c r="X277" s="102"/>
      <c r="Y277" s="102"/>
      <c r="Z277" s="102"/>
      <c r="AA277" s="102"/>
      <c r="AB277" s="102"/>
      <c r="AC277" s="102"/>
      <c r="AD277" s="102"/>
      <c r="AE277" s="102"/>
      <c r="AF277" s="102"/>
      <c r="AG277" s="102"/>
      <c r="AH277" s="102"/>
      <c r="AI277" s="102"/>
      <c r="AJ277" s="102"/>
      <c r="AK277" s="102"/>
      <c r="AL277" s="102"/>
      <c r="AM277" s="102"/>
      <c r="AN277" s="102"/>
      <c r="AO277" s="102"/>
      <c r="AP277" s="102"/>
    </row>
    <row r="278" spans="1:42" ht="29.25">
      <c r="A278" s="89">
        <v>277</v>
      </c>
      <c r="B278" s="90">
        <v>50030506</v>
      </c>
      <c r="C278" s="91" t="s">
        <v>256</v>
      </c>
      <c r="D278" s="58" t="s">
        <v>845</v>
      </c>
      <c r="E278" s="59">
        <v>25679</v>
      </c>
      <c r="F278" s="92">
        <f ca="1">(TODAY()-Data_Assessment[[#This Row],[BIRTH DATE]])/365.25</f>
        <v>51.915126625598901</v>
      </c>
      <c r="G278" s="62" t="s">
        <v>986</v>
      </c>
      <c r="H278" s="63" t="s">
        <v>987</v>
      </c>
      <c r="I278" s="106">
        <v>4</v>
      </c>
      <c r="J278" s="64" t="s">
        <v>1153</v>
      </c>
      <c r="K278" s="143">
        <v>3</v>
      </c>
      <c r="L278" s="58"/>
      <c r="M278" s="58"/>
      <c r="N278" s="102"/>
      <c r="O278" s="102"/>
      <c r="P278" s="102"/>
      <c r="Q278" s="102"/>
      <c r="R278" s="102"/>
      <c r="S278" s="102"/>
      <c r="T278" s="102"/>
      <c r="U278" s="102"/>
      <c r="V278" s="102"/>
      <c r="W278" s="102"/>
      <c r="X278" s="102"/>
      <c r="Y278" s="102"/>
      <c r="Z278" s="102"/>
      <c r="AA278" s="102"/>
      <c r="AB278" s="102"/>
      <c r="AC278" s="102"/>
      <c r="AD278" s="102"/>
      <c r="AE278" s="102"/>
      <c r="AF278" s="102"/>
      <c r="AG278" s="102"/>
      <c r="AH278" s="102"/>
      <c r="AI278" s="102"/>
      <c r="AJ278" s="102"/>
      <c r="AK278" s="102"/>
      <c r="AL278" s="102"/>
      <c r="AM278" s="102"/>
      <c r="AN278" s="102"/>
      <c r="AO278" s="102"/>
      <c r="AP278" s="102"/>
    </row>
    <row r="279" spans="1:42" ht="29.25">
      <c r="A279" s="89">
        <v>278</v>
      </c>
      <c r="B279" s="90">
        <v>50030514</v>
      </c>
      <c r="C279" s="91" t="s">
        <v>296</v>
      </c>
      <c r="D279" s="58" t="s">
        <v>846</v>
      </c>
      <c r="E279" s="59">
        <v>30566</v>
      </c>
      <c r="F279" s="92">
        <f ca="1">(TODAY()-Data_Assessment[[#This Row],[BIRTH DATE]])/365.25</f>
        <v>38.535249828884325</v>
      </c>
      <c r="G279" s="62" t="s">
        <v>986</v>
      </c>
      <c r="H279" s="63" t="s">
        <v>987</v>
      </c>
      <c r="I279" s="106">
        <v>4</v>
      </c>
      <c r="J279" s="64" t="s">
        <v>992</v>
      </c>
      <c r="K279" s="143">
        <v>3</v>
      </c>
      <c r="L279" s="58"/>
      <c r="M279" s="58"/>
      <c r="N279" s="102"/>
      <c r="O279" s="102"/>
      <c r="P279" s="102"/>
      <c r="Q279" s="102"/>
      <c r="R279" s="102"/>
      <c r="S279" s="102"/>
      <c r="T279" s="102"/>
      <c r="U279" s="102"/>
      <c r="V279" s="102"/>
      <c r="W279" s="102"/>
      <c r="X279" s="102"/>
      <c r="Y279" s="102"/>
      <c r="Z279" s="102"/>
      <c r="AA279" s="102"/>
      <c r="AB279" s="102"/>
      <c r="AC279" s="102"/>
      <c r="AD279" s="102"/>
      <c r="AE279" s="102"/>
      <c r="AF279" s="102"/>
      <c r="AG279" s="102"/>
      <c r="AH279" s="102"/>
      <c r="AI279" s="102"/>
      <c r="AJ279" s="102"/>
      <c r="AK279" s="102"/>
      <c r="AL279" s="102"/>
      <c r="AM279" s="102"/>
      <c r="AN279" s="102"/>
      <c r="AO279" s="102"/>
      <c r="AP279" s="102"/>
    </row>
    <row r="280" spans="1:42" ht="29.25">
      <c r="A280" s="89">
        <v>279</v>
      </c>
      <c r="B280" s="90">
        <v>50039619</v>
      </c>
      <c r="C280" s="91" t="s">
        <v>257</v>
      </c>
      <c r="D280" s="58" t="s">
        <v>845</v>
      </c>
      <c r="E280" s="59">
        <v>32719</v>
      </c>
      <c r="F280" s="92">
        <f ca="1">(TODAY()-Data_Assessment[[#This Row],[BIRTH DATE]])/365.25</f>
        <v>32.640657084188909</v>
      </c>
      <c r="G280" s="62" t="s">
        <v>986</v>
      </c>
      <c r="H280" s="63" t="s">
        <v>987</v>
      </c>
      <c r="I280" s="106">
        <v>4</v>
      </c>
      <c r="J280" s="64" t="s">
        <v>1154</v>
      </c>
      <c r="K280" s="143">
        <v>3</v>
      </c>
      <c r="L280" s="58"/>
      <c r="M280" s="58"/>
      <c r="N280" s="102"/>
      <c r="O280" s="102"/>
      <c r="P280" s="102"/>
      <c r="Q280" s="102"/>
      <c r="R280" s="102"/>
      <c r="S280" s="102"/>
      <c r="T280" s="102"/>
      <c r="U280" s="102"/>
      <c r="V280" s="102"/>
      <c r="W280" s="102"/>
      <c r="X280" s="102"/>
      <c r="Y280" s="102"/>
      <c r="Z280" s="102"/>
      <c r="AA280" s="102"/>
      <c r="AB280" s="102"/>
      <c r="AC280" s="102"/>
      <c r="AD280" s="102"/>
      <c r="AE280" s="102"/>
      <c r="AF280" s="102"/>
      <c r="AG280" s="102"/>
      <c r="AH280" s="102"/>
      <c r="AI280" s="102"/>
      <c r="AJ280" s="102"/>
      <c r="AK280" s="102"/>
      <c r="AL280" s="102"/>
      <c r="AM280" s="102"/>
      <c r="AN280" s="102"/>
      <c r="AO280" s="102"/>
      <c r="AP280" s="102"/>
    </row>
    <row r="281" spans="1:42">
      <c r="A281" s="89">
        <v>280</v>
      </c>
      <c r="B281" s="90">
        <v>50030517</v>
      </c>
      <c r="C281" s="91" t="s">
        <v>298</v>
      </c>
      <c r="D281" s="58" t="s">
        <v>845</v>
      </c>
      <c r="E281" s="59">
        <v>27801</v>
      </c>
      <c r="F281" s="92">
        <f ca="1">(TODAY()-Data_Assessment[[#This Row],[BIRTH DATE]])/365.25</f>
        <v>46.105407255304584</v>
      </c>
      <c r="G281" s="62" t="s">
        <v>986</v>
      </c>
      <c r="H281" s="63" t="s">
        <v>987</v>
      </c>
      <c r="I281" s="106">
        <v>4</v>
      </c>
      <c r="J281" s="64" t="s">
        <v>1155</v>
      </c>
      <c r="K281" s="143">
        <v>3</v>
      </c>
      <c r="L281" s="58"/>
      <c r="M281" s="58"/>
      <c r="N281" s="102"/>
      <c r="O281" s="102"/>
      <c r="P281" s="102"/>
      <c r="Q281" s="102"/>
      <c r="R281" s="102"/>
      <c r="S281" s="102"/>
      <c r="T281" s="102"/>
      <c r="U281" s="102"/>
      <c r="V281" s="102"/>
      <c r="W281" s="102"/>
      <c r="X281" s="102"/>
      <c r="Y281" s="102"/>
      <c r="Z281" s="102"/>
      <c r="AA281" s="102"/>
      <c r="AB281" s="102"/>
      <c r="AC281" s="102"/>
      <c r="AD281" s="102"/>
      <c r="AE281" s="102"/>
      <c r="AF281" s="102"/>
      <c r="AG281" s="102"/>
      <c r="AH281" s="102"/>
      <c r="AI281" s="102"/>
      <c r="AJ281" s="102"/>
      <c r="AK281" s="102"/>
      <c r="AL281" s="102"/>
      <c r="AM281" s="102"/>
      <c r="AN281" s="102"/>
      <c r="AO281" s="102"/>
      <c r="AP281" s="102"/>
    </row>
    <row r="282" spans="1:42" ht="29.25">
      <c r="A282" s="89">
        <v>281</v>
      </c>
      <c r="B282" s="90">
        <v>50030499</v>
      </c>
      <c r="C282" s="91" t="s">
        <v>301</v>
      </c>
      <c r="D282" s="58" t="s">
        <v>846</v>
      </c>
      <c r="E282" s="59">
        <v>30459</v>
      </c>
      <c r="F282" s="92">
        <f ca="1">(TODAY()-Data_Assessment[[#This Row],[BIRTH DATE]])/365.25</f>
        <v>38.828199863107457</v>
      </c>
      <c r="G282" s="62" t="s">
        <v>986</v>
      </c>
      <c r="H282" s="63" t="s">
        <v>987</v>
      </c>
      <c r="I282" s="106">
        <v>4</v>
      </c>
      <c r="J282" s="64" t="s">
        <v>1156</v>
      </c>
      <c r="K282" s="143">
        <v>4</v>
      </c>
      <c r="L282" s="58"/>
      <c r="M282" s="58"/>
      <c r="N282" s="102"/>
      <c r="O282" s="102"/>
      <c r="P282" s="102"/>
      <c r="Q282" s="102"/>
      <c r="R282" s="102"/>
      <c r="S282" s="102"/>
      <c r="T282" s="102"/>
      <c r="U282" s="102"/>
      <c r="V282" s="102"/>
      <c r="W282" s="102"/>
      <c r="X282" s="102"/>
      <c r="Y282" s="102"/>
      <c r="Z282" s="102"/>
      <c r="AA282" s="102"/>
      <c r="AB282" s="102"/>
      <c r="AC282" s="102"/>
      <c r="AD282" s="102"/>
      <c r="AE282" s="102"/>
      <c r="AF282" s="102"/>
      <c r="AG282" s="102"/>
      <c r="AH282" s="102"/>
      <c r="AI282" s="102"/>
      <c r="AJ282" s="102"/>
      <c r="AK282" s="102"/>
      <c r="AL282" s="102"/>
      <c r="AM282" s="102"/>
      <c r="AN282" s="102"/>
      <c r="AO282" s="102"/>
      <c r="AP282" s="102"/>
    </row>
    <row r="283" spans="1:42" ht="29.25">
      <c r="A283" s="89">
        <v>282</v>
      </c>
      <c r="B283" s="90">
        <v>50087170</v>
      </c>
      <c r="C283" s="91" t="s">
        <v>259</v>
      </c>
      <c r="D283" s="58" t="s">
        <v>845</v>
      </c>
      <c r="E283" s="59">
        <v>30511</v>
      </c>
      <c r="F283" s="92">
        <f ca="1">(TODAY()-Data_Assessment[[#This Row],[BIRTH DATE]])/365.25</f>
        <v>38.685831622176593</v>
      </c>
      <c r="G283" s="62" t="s">
        <v>986</v>
      </c>
      <c r="H283" s="63" t="s">
        <v>987</v>
      </c>
      <c r="I283" s="106">
        <v>4</v>
      </c>
      <c r="J283" s="64" t="s">
        <v>1157</v>
      </c>
      <c r="K283" s="143">
        <v>3</v>
      </c>
      <c r="L283" s="58"/>
      <c r="M283" s="58"/>
      <c r="N283" s="102"/>
      <c r="O283" s="102"/>
      <c r="P283" s="102"/>
      <c r="Q283" s="102"/>
      <c r="R283" s="102"/>
      <c r="S283" s="102"/>
      <c r="T283" s="102"/>
      <c r="U283" s="102"/>
      <c r="V283" s="102"/>
      <c r="W283" s="102"/>
      <c r="X283" s="102"/>
      <c r="Y283" s="102"/>
      <c r="Z283" s="102"/>
      <c r="AA283" s="102"/>
      <c r="AB283" s="102"/>
      <c r="AC283" s="102"/>
      <c r="AD283" s="102"/>
      <c r="AE283" s="102"/>
      <c r="AF283" s="102"/>
      <c r="AG283" s="102"/>
      <c r="AH283" s="102"/>
      <c r="AI283" s="102"/>
      <c r="AJ283" s="102"/>
      <c r="AK283" s="102"/>
      <c r="AL283" s="102"/>
      <c r="AM283" s="102"/>
      <c r="AN283" s="102"/>
      <c r="AO283" s="102"/>
      <c r="AP283" s="102"/>
    </row>
    <row r="284" spans="1:42" ht="29.25">
      <c r="A284" s="89">
        <v>283</v>
      </c>
      <c r="B284" s="90">
        <v>50030500</v>
      </c>
      <c r="C284" s="91" t="s">
        <v>302</v>
      </c>
      <c r="D284" s="58" t="s">
        <v>846</v>
      </c>
      <c r="E284" s="59">
        <v>32776</v>
      </c>
      <c r="F284" s="92">
        <f ca="1">(TODAY()-Data_Assessment[[#This Row],[BIRTH DATE]])/365.25</f>
        <v>32.484599589322379</v>
      </c>
      <c r="G284" s="62" t="s">
        <v>986</v>
      </c>
      <c r="H284" s="63" t="s">
        <v>987</v>
      </c>
      <c r="I284" s="106">
        <v>4</v>
      </c>
      <c r="J284" s="64" t="s">
        <v>1158</v>
      </c>
      <c r="K284" s="143">
        <v>3</v>
      </c>
      <c r="L284" s="58"/>
      <c r="M284" s="58"/>
      <c r="N284" s="102"/>
      <c r="O284" s="102"/>
      <c r="P284" s="102"/>
      <c r="Q284" s="102"/>
      <c r="R284" s="102"/>
      <c r="S284" s="102"/>
      <c r="T284" s="102"/>
      <c r="U284" s="102"/>
      <c r="V284" s="102"/>
      <c r="W284" s="102"/>
      <c r="X284" s="102"/>
      <c r="Y284" s="102"/>
      <c r="Z284" s="102"/>
      <c r="AA284" s="102"/>
      <c r="AB284" s="102"/>
      <c r="AC284" s="102"/>
      <c r="AD284" s="102"/>
      <c r="AE284" s="102"/>
      <c r="AF284" s="102"/>
      <c r="AG284" s="102"/>
      <c r="AH284" s="102"/>
      <c r="AI284" s="102"/>
      <c r="AJ284" s="102"/>
      <c r="AK284" s="102"/>
      <c r="AL284" s="102"/>
      <c r="AM284" s="102"/>
      <c r="AN284" s="102"/>
      <c r="AO284" s="102"/>
      <c r="AP284" s="102"/>
    </row>
    <row r="285" spans="1:42" ht="29.25">
      <c r="A285" s="89">
        <v>284</v>
      </c>
      <c r="B285" s="90">
        <v>50040038</v>
      </c>
      <c r="C285" s="91" t="s">
        <v>260</v>
      </c>
      <c r="D285" s="58" t="s">
        <v>845</v>
      </c>
      <c r="E285" s="59">
        <v>32426</v>
      </c>
      <c r="F285" s="92">
        <f ca="1">(TODAY()-Data_Assessment[[#This Row],[BIRTH DATE]])/365.25</f>
        <v>33.442847364818618</v>
      </c>
      <c r="G285" s="62" t="s">
        <v>986</v>
      </c>
      <c r="H285" s="63" t="s">
        <v>987</v>
      </c>
      <c r="I285" s="106">
        <v>4</v>
      </c>
      <c r="J285" s="64" t="s">
        <v>1159</v>
      </c>
      <c r="K285" s="143">
        <v>2</v>
      </c>
      <c r="L285" s="58"/>
      <c r="M285" s="58"/>
      <c r="N285" s="102"/>
      <c r="O285" s="102"/>
      <c r="P285" s="102"/>
      <c r="Q285" s="102"/>
      <c r="R285" s="102"/>
      <c r="S285" s="102"/>
      <c r="T285" s="102"/>
      <c r="U285" s="102"/>
      <c r="V285" s="102"/>
      <c r="W285" s="102"/>
      <c r="X285" s="102"/>
      <c r="Y285" s="102"/>
      <c r="Z285" s="102"/>
      <c r="AA285" s="102"/>
      <c r="AB285" s="102"/>
      <c r="AC285" s="102"/>
      <c r="AD285" s="102"/>
      <c r="AE285" s="102"/>
      <c r="AF285" s="102"/>
      <c r="AG285" s="102"/>
      <c r="AH285" s="102"/>
      <c r="AI285" s="102"/>
      <c r="AJ285" s="102"/>
      <c r="AK285" s="102"/>
      <c r="AL285" s="102"/>
      <c r="AM285" s="102"/>
      <c r="AN285" s="102"/>
      <c r="AO285" s="102"/>
      <c r="AP285" s="102"/>
    </row>
    <row r="286" spans="1:42" ht="29.25">
      <c r="A286" s="89">
        <v>285</v>
      </c>
      <c r="B286" s="90">
        <v>50054066</v>
      </c>
      <c r="C286" s="91" t="s">
        <v>304</v>
      </c>
      <c r="D286" s="58" t="s">
        <v>846</v>
      </c>
      <c r="E286" s="59">
        <v>33270</v>
      </c>
      <c r="F286" s="92">
        <f ca="1">(TODAY()-Data_Assessment[[#This Row],[BIRTH DATE]])/365.25</f>
        <v>31.132101300479125</v>
      </c>
      <c r="G286" s="62" t="s">
        <v>986</v>
      </c>
      <c r="H286" s="63" t="s">
        <v>987</v>
      </c>
      <c r="I286" s="106">
        <v>4</v>
      </c>
      <c r="J286" s="64" t="s">
        <v>1158</v>
      </c>
      <c r="K286" s="143">
        <v>3</v>
      </c>
      <c r="L286" s="58"/>
      <c r="M286" s="58"/>
      <c r="N286" s="102"/>
      <c r="O286" s="102"/>
      <c r="P286" s="102"/>
      <c r="Q286" s="102"/>
      <c r="R286" s="102"/>
      <c r="S286" s="102"/>
      <c r="T286" s="102"/>
      <c r="U286" s="102"/>
      <c r="V286" s="102"/>
      <c r="W286" s="102"/>
      <c r="X286" s="102"/>
      <c r="Y286" s="102"/>
      <c r="Z286" s="102"/>
      <c r="AA286" s="102"/>
      <c r="AB286" s="102"/>
      <c r="AC286" s="102"/>
      <c r="AD286" s="102"/>
      <c r="AE286" s="102"/>
      <c r="AF286" s="102"/>
      <c r="AG286" s="102"/>
      <c r="AH286" s="102"/>
      <c r="AI286" s="102"/>
      <c r="AJ286" s="102"/>
      <c r="AK286" s="102"/>
      <c r="AL286" s="102"/>
      <c r="AM286" s="102"/>
      <c r="AN286" s="102"/>
      <c r="AO286" s="102"/>
      <c r="AP286" s="102"/>
    </row>
    <row r="287" spans="1:42">
      <c r="A287" s="89">
        <v>286</v>
      </c>
      <c r="B287" s="90">
        <v>50142620</v>
      </c>
      <c r="C287" s="91" t="s">
        <v>306</v>
      </c>
      <c r="D287" s="58" t="s">
        <v>846</v>
      </c>
      <c r="E287" s="59">
        <v>35565</v>
      </c>
      <c r="F287" s="92">
        <f ca="1">(TODAY()-Data_Assessment[[#This Row],[BIRTH DATE]])/365.25</f>
        <v>24.84873374401095</v>
      </c>
      <c r="G287" s="62" t="s">
        <v>986</v>
      </c>
      <c r="H287" s="63" t="s">
        <v>987</v>
      </c>
      <c r="I287" s="106">
        <v>4</v>
      </c>
      <c r="J287" s="64" t="s">
        <v>1160</v>
      </c>
      <c r="K287" s="143">
        <v>0</v>
      </c>
      <c r="L287" s="58"/>
      <c r="M287" s="58"/>
      <c r="N287" s="102"/>
      <c r="O287" s="102"/>
      <c r="P287" s="102"/>
      <c r="Q287" s="102"/>
      <c r="R287" s="102"/>
      <c r="S287" s="102"/>
      <c r="T287" s="102"/>
      <c r="U287" s="102"/>
      <c r="V287" s="102"/>
      <c r="W287" s="102"/>
      <c r="X287" s="102"/>
      <c r="Y287" s="102"/>
      <c r="Z287" s="102"/>
      <c r="AA287" s="102"/>
      <c r="AB287" s="102"/>
      <c r="AC287" s="102"/>
      <c r="AD287" s="102"/>
      <c r="AE287" s="102"/>
      <c r="AF287" s="102"/>
      <c r="AG287" s="102"/>
      <c r="AH287" s="102"/>
      <c r="AI287" s="102"/>
      <c r="AJ287" s="102"/>
      <c r="AK287" s="102"/>
      <c r="AL287" s="102"/>
      <c r="AM287" s="102"/>
      <c r="AN287" s="102"/>
      <c r="AO287" s="102"/>
      <c r="AP287" s="102"/>
    </row>
    <row r="288" spans="1:42">
      <c r="A288" s="89">
        <v>287</v>
      </c>
      <c r="B288" s="90">
        <v>50030477</v>
      </c>
      <c r="C288" s="91" t="s">
        <v>317</v>
      </c>
      <c r="D288" s="58" t="s">
        <v>846</v>
      </c>
      <c r="E288" s="59">
        <v>24948</v>
      </c>
      <c r="F288" s="92">
        <f ca="1">(TODAY()-Data_Assessment[[#This Row],[BIRTH DATE]])/365.25</f>
        <v>53.916495550992472</v>
      </c>
      <c r="G288" s="62" t="s">
        <v>986</v>
      </c>
      <c r="H288" s="63" t="s">
        <v>987</v>
      </c>
      <c r="I288" s="106">
        <v>4</v>
      </c>
      <c r="J288" s="64" t="s">
        <v>1161</v>
      </c>
      <c r="K288" s="143">
        <v>3</v>
      </c>
      <c r="L288" s="58"/>
      <c r="M288" s="58"/>
      <c r="N288" s="102"/>
      <c r="O288" s="102"/>
      <c r="P288" s="102"/>
      <c r="Q288" s="102"/>
      <c r="R288" s="102"/>
      <c r="S288" s="102"/>
      <c r="T288" s="102"/>
      <c r="U288" s="102"/>
      <c r="V288" s="102"/>
      <c r="W288" s="102"/>
      <c r="X288" s="102"/>
      <c r="Y288" s="102"/>
      <c r="Z288" s="102"/>
      <c r="AA288" s="102"/>
      <c r="AB288" s="102"/>
      <c r="AC288" s="102"/>
      <c r="AD288" s="102"/>
      <c r="AE288" s="102"/>
      <c r="AF288" s="102"/>
      <c r="AG288" s="102"/>
      <c r="AH288" s="102"/>
      <c r="AI288" s="102"/>
      <c r="AJ288" s="102"/>
      <c r="AK288" s="102"/>
      <c r="AL288" s="102"/>
      <c r="AM288" s="102"/>
      <c r="AN288" s="102"/>
      <c r="AO288" s="102"/>
      <c r="AP288" s="102"/>
    </row>
    <row r="289" spans="1:42" ht="29.25">
      <c r="A289" s="89">
        <v>288</v>
      </c>
      <c r="B289" s="90">
        <v>50112474</v>
      </c>
      <c r="C289" s="91" t="s">
        <v>262</v>
      </c>
      <c r="D289" s="58" t="s">
        <v>845</v>
      </c>
      <c r="E289" s="59">
        <v>26188</v>
      </c>
      <c r="F289" s="92">
        <f ca="1">(TODAY()-Data_Assessment[[#This Row],[BIRTH DATE]])/365.25</f>
        <v>50.521560574948666</v>
      </c>
      <c r="G289" s="62" t="s">
        <v>1009</v>
      </c>
      <c r="H289" s="63" t="s">
        <v>987</v>
      </c>
      <c r="I289" s="106">
        <v>2</v>
      </c>
      <c r="J289" s="64" t="s">
        <v>1162</v>
      </c>
      <c r="K289" s="143">
        <v>2</v>
      </c>
      <c r="L289" s="58"/>
      <c r="M289" s="58"/>
      <c r="N289" s="102"/>
      <c r="O289" s="102"/>
      <c r="P289" s="102"/>
      <c r="Q289" s="102"/>
      <c r="R289" s="102"/>
      <c r="S289" s="102"/>
      <c r="T289" s="102"/>
      <c r="U289" s="102"/>
      <c r="V289" s="102"/>
      <c r="W289" s="102"/>
      <c r="X289" s="102"/>
      <c r="Y289" s="102"/>
      <c r="Z289" s="102"/>
      <c r="AA289" s="102"/>
      <c r="AB289" s="102"/>
      <c r="AC289" s="102"/>
      <c r="AD289" s="102"/>
      <c r="AE289" s="102"/>
      <c r="AF289" s="102"/>
      <c r="AG289" s="102"/>
      <c r="AH289" s="102"/>
      <c r="AI289" s="102"/>
      <c r="AJ289" s="102"/>
      <c r="AK289" s="102"/>
      <c r="AL289" s="102"/>
      <c r="AM289" s="102"/>
      <c r="AN289" s="102"/>
      <c r="AO289" s="102"/>
      <c r="AP289" s="102"/>
    </row>
    <row r="290" spans="1:42">
      <c r="A290" s="89">
        <v>289</v>
      </c>
      <c r="B290" s="90">
        <v>50031425</v>
      </c>
      <c r="C290" s="91" t="s">
        <v>812</v>
      </c>
      <c r="D290" s="58" t="s">
        <v>845</v>
      </c>
      <c r="E290" s="59">
        <v>25665</v>
      </c>
      <c r="F290" s="92">
        <f ca="1">(TODAY()-Data_Assessment[[#This Row],[BIRTH DATE]])/365.25</f>
        <v>51.953456536618752</v>
      </c>
      <c r="G290" s="62" t="s">
        <v>941</v>
      </c>
      <c r="H290" s="63" t="s">
        <v>1052</v>
      </c>
      <c r="I290" s="106">
        <v>2</v>
      </c>
      <c r="J290" s="64" t="s">
        <v>1163</v>
      </c>
      <c r="K290" s="143">
        <v>3</v>
      </c>
      <c r="L290" s="58"/>
      <c r="M290" s="58"/>
      <c r="N290" s="102"/>
      <c r="O290" s="102"/>
      <c r="P290" s="102"/>
      <c r="Q290" s="102"/>
      <c r="R290" s="102"/>
      <c r="S290" s="102"/>
      <c r="T290" s="102"/>
      <c r="U290" s="102"/>
      <c r="V290" s="102"/>
      <c r="W290" s="102"/>
      <c r="X290" s="102"/>
      <c r="Y290" s="102"/>
      <c r="Z290" s="102"/>
      <c r="AA290" s="102"/>
      <c r="AB290" s="102"/>
      <c r="AC290" s="102"/>
      <c r="AD290" s="102"/>
      <c r="AE290" s="102"/>
      <c r="AF290" s="102"/>
      <c r="AG290" s="102"/>
      <c r="AH290" s="102"/>
      <c r="AI290" s="102"/>
      <c r="AJ290" s="102"/>
      <c r="AK290" s="102"/>
      <c r="AL290" s="102"/>
      <c r="AM290" s="102"/>
      <c r="AN290" s="102"/>
      <c r="AO290" s="102"/>
      <c r="AP290" s="102"/>
    </row>
    <row r="291" spans="1:42" ht="29.25">
      <c r="A291" s="89">
        <v>290</v>
      </c>
      <c r="B291" s="90">
        <v>50140998</v>
      </c>
      <c r="C291" s="91" t="s">
        <v>263</v>
      </c>
      <c r="D291" s="58" t="s">
        <v>845</v>
      </c>
      <c r="E291" s="59">
        <v>32973</v>
      </c>
      <c r="F291" s="92">
        <f ca="1">(TODAY()-Data_Assessment[[#This Row],[BIRTH DATE]])/365.25</f>
        <v>31.945242984257359</v>
      </c>
      <c r="G291" s="62" t="s">
        <v>1009</v>
      </c>
      <c r="H291" s="63" t="s">
        <v>987</v>
      </c>
      <c r="I291" s="106">
        <v>2</v>
      </c>
      <c r="J291" s="64" t="s">
        <v>1164</v>
      </c>
      <c r="K291" s="143">
        <v>2</v>
      </c>
      <c r="L291" s="58"/>
      <c r="M291" s="58"/>
      <c r="N291" s="102"/>
      <c r="O291" s="102"/>
      <c r="P291" s="102"/>
      <c r="Q291" s="102"/>
      <c r="R291" s="102"/>
      <c r="S291" s="102"/>
      <c r="T291" s="102"/>
      <c r="U291" s="102"/>
      <c r="V291" s="102"/>
      <c r="W291" s="102"/>
      <c r="X291" s="102"/>
      <c r="Y291" s="102"/>
      <c r="Z291" s="102"/>
      <c r="AA291" s="102"/>
      <c r="AB291" s="102"/>
      <c r="AC291" s="102"/>
      <c r="AD291" s="102"/>
      <c r="AE291" s="102"/>
      <c r="AF291" s="102"/>
      <c r="AG291" s="102"/>
      <c r="AH291" s="102"/>
      <c r="AI291" s="102"/>
      <c r="AJ291" s="102"/>
      <c r="AK291" s="102"/>
      <c r="AL291" s="102"/>
      <c r="AM291" s="102"/>
      <c r="AN291" s="102"/>
      <c r="AO291" s="102"/>
      <c r="AP291" s="102"/>
    </row>
    <row r="292" spans="1:42" ht="29.25">
      <c r="A292" s="89">
        <v>291</v>
      </c>
      <c r="B292" s="90">
        <v>50031481</v>
      </c>
      <c r="C292" s="91" t="s">
        <v>335</v>
      </c>
      <c r="D292" s="58" t="s">
        <v>846</v>
      </c>
      <c r="E292" s="59">
        <v>26227</v>
      </c>
      <c r="F292" s="92">
        <f ca="1">(TODAY()-Data_Assessment[[#This Row],[BIRTH DATE]])/365.25</f>
        <v>50.414784394250511</v>
      </c>
      <c r="G292" s="62" t="s">
        <v>986</v>
      </c>
      <c r="H292" s="63" t="s">
        <v>987</v>
      </c>
      <c r="I292" s="106">
        <v>4</v>
      </c>
      <c r="J292" s="64" t="s">
        <v>1165</v>
      </c>
      <c r="K292" s="143">
        <v>4</v>
      </c>
      <c r="L292" s="58"/>
      <c r="M292" s="58"/>
      <c r="N292" s="102"/>
      <c r="O292" s="102"/>
      <c r="P292" s="102"/>
      <c r="Q292" s="102"/>
      <c r="R292" s="102"/>
      <c r="S292" s="102"/>
      <c r="T292" s="102"/>
      <c r="U292" s="102"/>
      <c r="V292" s="102"/>
      <c r="W292" s="102"/>
      <c r="X292" s="102"/>
      <c r="Y292" s="102"/>
      <c r="Z292" s="102"/>
      <c r="AA292" s="102"/>
      <c r="AB292" s="102"/>
      <c r="AC292" s="102"/>
      <c r="AD292" s="102"/>
      <c r="AE292" s="102"/>
      <c r="AF292" s="102"/>
      <c r="AG292" s="102"/>
      <c r="AH292" s="102"/>
      <c r="AI292" s="102"/>
      <c r="AJ292" s="102"/>
      <c r="AK292" s="102"/>
      <c r="AL292" s="102"/>
      <c r="AM292" s="102"/>
      <c r="AN292" s="102"/>
      <c r="AO292" s="102"/>
      <c r="AP292" s="102"/>
    </row>
    <row r="293" spans="1:42">
      <c r="A293" s="89">
        <v>292</v>
      </c>
      <c r="B293" s="90">
        <v>50030476</v>
      </c>
      <c r="C293" s="91" t="s">
        <v>337</v>
      </c>
      <c r="D293" s="58" t="s">
        <v>846</v>
      </c>
      <c r="E293" s="59">
        <v>30388</v>
      </c>
      <c r="F293" s="92">
        <f ca="1">(TODAY()-Data_Assessment[[#This Row],[BIRTH DATE]])/365.25</f>
        <v>39.022587268993838</v>
      </c>
      <c r="G293" s="62" t="s">
        <v>986</v>
      </c>
      <c r="H293" s="63" t="s">
        <v>987</v>
      </c>
      <c r="I293" s="106">
        <v>4</v>
      </c>
      <c r="J293" s="64" t="s">
        <v>1166</v>
      </c>
      <c r="K293" s="143">
        <v>4</v>
      </c>
      <c r="L293" s="58"/>
      <c r="M293" s="58"/>
      <c r="N293" s="102"/>
      <c r="O293" s="102"/>
      <c r="P293" s="102"/>
      <c r="Q293" s="102"/>
      <c r="R293" s="102"/>
      <c r="S293" s="102"/>
      <c r="T293" s="102"/>
      <c r="U293" s="102"/>
      <c r="V293" s="102"/>
      <c r="W293" s="102"/>
      <c r="X293" s="102"/>
      <c r="Y293" s="102"/>
      <c r="Z293" s="102"/>
      <c r="AA293" s="102"/>
      <c r="AB293" s="102"/>
      <c r="AC293" s="102"/>
      <c r="AD293" s="102"/>
      <c r="AE293" s="102"/>
      <c r="AF293" s="102"/>
      <c r="AG293" s="102"/>
      <c r="AH293" s="102"/>
      <c r="AI293" s="102"/>
      <c r="AJ293" s="102"/>
      <c r="AK293" s="102"/>
      <c r="AL293" s="102"/>
      <c r="AM293" s="102"/>
      <c r="AN293" s="102"/>
      <c r="AO293" s="102"/>
      <c r="AP293" s="102"/>
    </row>
    <row r="294" spans="1:42">
      <c r="A294" s="89">
        <v>293</v>
      </c>
      <c r="B294" s="90">
        <v>50030493</v>
      </c>
      <c r="C294" s="91" t="s">
        <v>340</v>
      </c>
      <c r="D294" s="58" t="s">
        <v>846</v>
      </c>
      <c r="E294" s="59">
        <v>26865</v>
      </c>
      <c r="F294" s="92">
        <f ca="1">(TODAY()-Data_Assessment[[#This Row],[BIRTH DATE]])/365.25</f>
        <v>48.668035592060235</v>
      </c>
      <c r="G294" s="62" t="s">
        <v>986</v>
      </c>
      <c r="H294" s="63" t="s">
        <v>987</v>
      </c>
      <c r="I294" s="106">
        <v>4</v>
      </c>
      <c r="J294" s="64" t="s">
        <v>1125</v>
      </c>
      <c r="K294" s="143">
        <v>3</v>
      </c>
      <c r="L294" s="58"/>
      <c r="M294" s="58"/>
      <c r="N294" s="102"/>
      <c r="O294" s="102"/>
      <c r="P294" s="102"/>
      <c r="Q294" s="102"/>
      <c r="R294" s="102"/>
      <c r="S294" s="102"/>
      <c r="T294" s="102"/>
      <c r="U294" s="102"/>
      <c r="V294" s="102"/>
      <c r="W294" s="102"/>
      <c r="X294" s="102"/>
      <c r="Y294" s="102"/>
      <c r="Z294" s="102"/>
      <c r="AA294" s="102"/>
      <c r="AB294" s="102"/>
      <c r="AC294" s="102"/>
      <c r="AD294" s="102"/>
      <c r="AE294" s="102"/>
      <c r="AF294" s="102"/>
      <c r="AG294" s="102"/>
      <c r="AH294" s="102"/>
      <c r="AI294" s="102"/>
      <c r="AJ294" s="102"/>
      <c r="AK294" s="102"/>
      <c r="AL294" s="102"/>
      <c r="AM294" s="102"/>
      <c r="AN294" s="102"/>
      <c r="AO294" s="102"/>
      <c r="AP294" s="102"/>
    </row>
    <row r="295" spans="1:42">
      <c r="A295" s="89">
        <v>294</v>
      </c>
      <c r="B295" s="90">
        <v>50037431</v>
      </c>
      <c r="C295" s="91" t="s">
        <v>266</v>
      </c>
      <c r="D295" s="58" t="s">
        <v>845</v>
      </c>
      <c r="E295" s="59">
        <v>34691</v>
      </c>
      <c r="F295" s="92">
        <f ca="1">(TODAY()-Data_Assessment[[#This Row],[BIRTH DATE]])/365.25</f>
        <v>27.241615331964407</v>
      </c>
      <c r="G295" s="62" t="s">
        <v>986</v>
      </c>
      <c r="H295" s="63" t="s">
        <v>987</v>
      </c>
      <c r="I295" s="106">
        <v>4</v>
      </c>
      <c r="J295" s="64" t="s">
        <v>1167</v>
      </c>
      <c r="K295" s="143">
        <v>0</v>
      </c>
      <c r="L295" s="58"/>
      <c r="M295" s="58"/>
      <c r="N295" s="102"/>
      <c r="O295" s="102"/>
      <c r="P295" s="102"/>
      <c r="Q295" s="102"/>
      <c r="R295" s="102"/>
      <c r="S295" s="102"/>
      <c r="T295" s="102"/>
      <c r="U295" s="102"/>
      <c r="V295" s="102"/>
      <c r="W295" s="102"/>
      <c r="X295" s="102"/>
      <c r="Y295" s="102"/>
      <c r="Z295" s="102"/>
      <c r="AA295" s="102"/>
      <c r="AB295" s="102"/>
      <c r="AC295" s="102"/>
      <c r="AD295" s="102"/>
      <c r="AE295" s="102"/>
      <c r="AF295" s="102"/>
      <c r="AG295" s="102"/>
      <c r="AH295" s="102"/>
      <c r="AI295" s="102"/>
      <c r="AJ295" s="102"/>
      <c r="AK295" s="102"/>
      <c r="AL295" s="102"/>
      <c r="AM295" s="102"/>
      <c r="AN295" s="102"/>
      <c r="AO295" s="102"/>
      <c r="AP295" s="102"/>
    </row>
    <row r="296" spans="1:42" ht="29.25">
      <c r="A296" s="89">
        <v>295</v>
      </c>
      <c r="B296" s="90">
        <v>50030483</v>
      </c>
      <c r="C296" s="91" t="s">
        <v>349</v>
      </c>
      <c r="D296" s="58" t="s">
        <v>845</v>
      </c>
      <c r="E296" s="59">
        <v>24823</v>
      </c>
      <c r="F296" s="92">
        <f ca="1">(TODAY()-Data_Assessment[[#This Row],[BIRTH DATE]])/365.25</f>
        <v>54.258726899383987</v>
      </c>
      <c r="G296" s="62" t="s">
        <v>986</v>
      </c>
      <c r="H296" s="63" t="s">
        <v>987</v>
      </c>
      <c r="I296" s="106">
        <v>4</v>
      </c>
      <c r="J296" s="64" t="s">
        <v>1168</v>
      </c>
      <c r="K296" s="143">
        <v>3</v>
      </c>
      <c r="L296" s="58"/>
      <c r="M296" s="58"/>
      <c r="N296" s="102"/>
      <c r="O296" s="102"/>
      <c r="P296" s="102"/>
      <c r="Q296" s="102"/>
      <c r="R296" s="102"/>
      <c r="S296" s="102"/>
      <c r="T296" s="102"/>
      <c r="U296" s="102"/>
      <c r="V296" s="102"/>
      <c r="W296" s="102"/>
      <c r="X296" s="102"/>
      <c r="Y296" s="102"/>
      <c r="Z296" s="102"/>
      <c r="AA296" s="102"/>
      <c r="AB296" s="102"/>
      <c r="AC296" s="102"/>
      <c r="AD296" s="102"/>
      <c r="AE296" s="102"/>
      <c r="AF296" s="102"/>
      <c r="AG296" s="102"/>
      <c r="AH296" s="102"/>
      <c r="AI296" s="102"/>
      <c r="AJ296" s="102"/>
      <c r="AK296" s="102"/>
      <c r="AL296" s="102"/>
      <c r="AM296" s="102"/>
      <c r="AN296" s="102"/>
      <c r="AO296" s="102"/>
      <c r="AP296" s="102"/>
    </row>
    <row r="297" spans="1:42">
      <c r="A297" s="89">
        <v>296</v>
      </c>
      <c r="B297" s="90">
        <v>50030561</v>
      </c>
      <c r="C297" s="91" t="s">
        <v>267</v>
      </c>
      <c r="D297" s="58" t="s">
        <v>845</v>
      </c>
      <c r="E297" s="59">
        <v>32845</v>
      </c>
      <c r="F297" s="92">
        <f ca="1">(TODAY()-Data_Assessment[[#This Row],[BIRTH DATE]])/365.25</f>
        <v>32.295687885010267</v>
      </c>
      <c r="G297" s="62" t="s">
        <v>986</v>
      </c>
      <c r="H297" s="63" t="s">
        <v>987</v>
      </c>
      <c r="I297" s="106">
        <v>4</v>
      </c>
      <c r="J297" s="64" t="s">
        <v>1169</v>
      </c>
      <c r="K297" s="143">
        <v>0</v>
      </c>
      <c r="L297" s="58"/>
      <c r="M297" s="58"/>
      <c r="N297" s="102"/>
      <c r="O297" s="102"/>
      <c r="P297" s="102"/>
      <c r="Q297" s="102"/>
      <c r="R297" s="102"/>
      <c r="S297" s="102"/>
      <c r="T297" s="102"/>
      <c r="U297" s="102"/>
      <c r="V297" s="102"/>
      <c r="W297" s="102"/>
      <c r="X297" s="102"/>
      <c r="Y297" s="102"/>
      <c r="Z297" s="102"/>
      <c r="AA297" s="102"/>
      <c r="AB297" s="102"/>
      <c r="AC297" s="102"/>
      <c r="AD297" s="102"/>
      <c r="AE297" s="102"/>
      <c r="AF297" s="102"/>
      <c r="AG297" s="102"/>
      <c r="AH297" s="102"/>
      <c r="AI297" s="102"/>
      <c r="AJ297" s="102"/>
      <c r="AK297" s="102"/>
      <c r="AL297" s="102"/>
      <c r="AM297" s="102"/>
      <c r="AN297" s="102"/>
      <c r="AO297" s="102"/>
      <c r="AP297" s="102"/>
    </row>
    <row r="298" spans="1:42" ht="29.25">
      <c r="A298" s="89">
        <v>297</v>
      </c>
      <c r="B298" s="90">
        <v>50030491</v>
      </c>
      <c r="C298" s="91" t="s">
        <v>351</v>
      </c>
      <c r="D298" s="58" t="s">
        <v>845</v>
      </c>
      <c r="E298" s="59">
        <v>32096</v>
      </c>
      <c r="F298" s="92">
        <f ca="1">(TODAY()-Data_Assessment[[#This Row],[BIRTH DATE]])/365.25</f>
        <v>34.346338124572213</v>
      </c>
      <c r="G298" s="62" t="s">
        <v>986</v>
      </c>
      <c r="H298" s="63" t="s">
        <v>987</v>
      </c>
      <c r="I298" s="106">
        <v>4</v>
      </c>
      <c r="J298" s="64" t="s">
        <v>1170</v>
      </c>
      <c r="K298" s="143">
        <v>4</v>
      </c>
      <c r="L298" s="58"/>
      <c r="M298" s="58"/>
      <c r="N298" s="102"/>
      <c r="O298" s="102"/>
      <c r="P298" s="102"/>
      <c r="Q298" s="102"/>
      <c r="R298" s="102"/>
      <c r="S298" s="102"/>
      <c r="T298" s="102"/>
      <c r="U298" s="102"/>
      <c r="V298" s="102"/>
      <c r="W298" s="102"/>
      <c r="X298" s="102"/>
      <c r="Y298" s="102"/>
      <c r="Z298" s="102"/>
      <c r="AA298" s="102"/>
      <c r="AB298" s="102"/>
      <c r="AC298" s="102"/>
      <c r="AD298" s="102"/>
      <c r="AE298" s="102"/>
      <c r="AF298" s="102"/>
      <c r="AG298" s="102"/>
      <c r="AH298" s="102"/>
      <c r="AI298" s="102"/>
      <c r="AJ298" s="102"/>
      <c r="AK298" s="102"/>
      <c r="AL298" s="102"/>
      <c r="AM298" s="102"/>
      <c r="AN298" s="102"/>
      <c r="AO298" s="102"/>
      <c r="AP298" s="102"/>
    </row>
    <row r="299" spans="1:42" ht="29.25">
      <c r="A299" s="89">
        <v>298</v>
      </c>
      <c r="B299" s="90">
        <v>50039616</v>
      </c>
      <c r="C299" s="91" t="s">
        <v>268</v>
      </c>
      <c r="D299" s="58" t="s">
        <v>846</v>
      </c>
      <c r="E299" s="59">
        <v>34957</v>
      </c>
      <c r="F299" s="92">
        <f ca="1">(TODAY()-Data_Assessment[[#This Row],[BIRTH DATE]])/365.25</f>
        <v>26.513347022587268</v>
      </c>
      <c r="G299" s="62" t="s">
        <v>986</v>
      </c>
      <c r="H299" s="63" t="s">
        <v>987</v>
      </c>
      <c r="I299" s="106">
        <v>4</v>
      </c>
      <c r="J299" s="64" t="s">
        <v>1171</v>
      </c>
      <c r="K299" s="143">
        <v>0</v>
      </c>
      <c r="L299" s="58"/>
      <c r="M299" s="58"/>
      <c r="N299" s="102"/>
      <c r="O299" s="102"/>
      <c r="P299" s="102"/>
      <c r="Q299" s="102"/>
      <c r="R299" s="102"/>
      <c r="S299" s="102"/>
      <c r="T299" s="102"/>
      <c r="U299" s="102"/>
      <c r="V299" s="102"/>
      <c r="W299" s="102"/>
      <c r="X299" s="102"/>
      <c r="Y299" s="102"/>
      <c r="Z299" s="102"/>
      <c r="AA299" s="102"/>
      <c r="AB299" s="102"/>
      <c r="AC299" s="102"/>
      <c r="AD299" s="102"/>
      <c r="AE299" s="102"/>
      <c r="AF299" s="102"/>
      <c r="AG299" s="102"/>
      <c r="AH299" s="102"/>
      <c r="AI299" s="102"/>
      <c r="AJ299" s="102"/>
      <c r="AK299" s="102"/>
      <c r="AL299" s="102"/>
      <c r="AM299" s="102"/>
      <c r="AN299" s="102"/>
      <c r="AO299" s="102"/>
      <c r="AP299" s="102"/>
    </row>
    <row r="300" spans="1:42" ht="29.25">
      <c r="A300" s="89">
        <v>299</v>
      </c>
      <c r="B300" s="90">
        <v>50030527</v>
      </c>
      <c r="C300" s="91" t="s">
        <v>358</v>
      </c>
      <c r="D300" s="58" t="s">
        <v>846</v>
      </c>
      <c r="E300" s="59">
        <v>31474</v>
      </c>
      <c r="F300" s="92">
        <f ca="1">(TODAY()-Data_Assessment[[#This Row],[BIRTH DATE]])/365.25</f>
        <v>36.049281314168375</v>
      </c>
      <c r="G300" s="62" t="s">
        <v>986</v>
      </c>
      <c r="H300" s="63" t="s">
        <v>987</v>
      </c>
      <c r="I300" s="106">
        <v>4</v>
      </c>
      <c r="J300" s="64" t="s">
        <v>1172</v>
      </c>
      <c r="K300" s="143">
        <v>5</v>
      </c>
      <c r="L300" s="58"/>
      <c r="M300" s="58"/>
      <c r="N300" s="102"/>
      <c r="O300" s="102"/>
      <c r="P300" s="102"/>
      <c r="Q300" s="102"/>
      <c r="R300" s="102"/>
      <c r="S300" s="102"/>
      <c r="T300" s="102"/>
      <c r="U300" s="102"/>
      <c r="V300" s="102"/>
      <c r="W300" s="102"/>
      <c r="X300" s="102"/>
      <c r="Y300" s="102"/>
      <c r="Z300" s="102"/>
      <c r="AA300" s="102"/>
      <c r="AB300" s="102"/>
      <c r="AC300" s="102"/>
      <c r="AD300" s="102"/>
      <c r="AE300" s="102"/>
      <c r="AF300" s="102"/>
      <c r="AG300" s="102"/>
      <c r="AH300" s="102"/>
      <c r="AI300" s="102"/>
      <c r="AJ300" s="102"/>
      <c r="AK300" s="102"/>
      <c r="AL300" s="102"/>
      <c r="AM300" s="102"/>
      <c r="AN300" s="102"/>
      <c r="AO300" s="102"/>
      <c r="AP300" s="102"/>
    </row>
    <row r="301" spans="1:42">
      <c r="A301" s="89">
        <v>300</v>
      </c>
      <c r="B301" s="90">
        <v>50045477</v>
      </c>
      <c r="C301" s="91" t="s">
        <v>367</v>
      </c>
      <c r="D301" s="58" t="s">
        <v>845</v>
      </c>
      <c r="E301" s="59">
        <v>28381</v>
      </c>
      <c r="F301" s="92">
        <f ca="1">(TODAY()-Data_Assessment[[#This Row],[BIRTH DATE]])/365.25</f>
        <v>44.517453798767967</v>
      </c>
      <c r="G301" s="62" t="s">
        <v>986</v>
      </c>
      <c r="H301" s="63" t="s">
        <v>987</v>
      </c>
      <c r="I301" s="106">
        <v>4</v>
      </c>
      <c r="J301" s="64" t="s">
        <v>1173</v>
      </c>
      <c r="K301" s="143">
        <v>3</v>
      </c>
      <c r="L301" s="58"/>
      <c r="M301" s="58"/>
      <c r="N301" s="102"/>
      <c r="O301" s="102"/>
      <c r="P301" s="102"/>
      <c r="Q301" s="102"/>
      <c r="R301" s="102"/>
      <c r="S301" s="102"/>
      <c r="T301" s="102"/>
      <c r="U301" s="102"/>
      <c r="V301" s="102"/>
      <c r="W301" s="102"/>
      <c r="X301" s="102"/>
      <c r="Y301" s="102"/>
      <c r="Z301" s="102"/>
      <c r="AA301" s="102"/>
      <c r="AB301" s="102"/>
      <c r="AC301" s="102"/>
      <c r="AD301" s="102"/>
      <c r="AE301" s="102"/>
      <c r="AF301" s="102"/>
      <c r="AG301" s="102"/>
      <c r="AH301" s="102"/>
      <c r="AI301" s="102"/>
      <c r="AJ301" s="102"/>
      <c r="AK301" s="102"/>
      <c r="AL301" s="102"/>
      <c r="AM301" s="102"/>
      <c r="AN301" s="102"/>
      <c r="AO301" s="102"/>
      <c r="AP301" s="102"/>
    </row>
    <row r="302" spans="1:42" ht="29.25">
      <c r="A302" s="89">
        <v>301</v>
      </c>
      <c r="B302" s="90">
        <v>50048188</v>
      </c>
      <c r="C302" s="91" t="s">
        <v>514</v>
      </c>
      <c r="D302" s="58" t="s">
        <v>845</v>
      </c>
      <c r="E302" s="59">
        <v>29498</v>
      </c>
      <c r="F302" s="92">
        <f ca="1">(TODAY()-Data_Assessment[[#This Row],[BIRTH DATE]])/365.25</f>
        <v>41.459274469541413</v>
      </c>
      <c r="G302" s="62" t="s">
        <v>941</v>
      </c>
      <c r="H302" s="63" t="s">
        <v>1064</v>
      </c>
      <c r="I302" s="106">
        <v>2</v>
      </c>
      <c r="J302" s="64" t="s">
        <v>1174</v>
      </c>
      <c r="K302" s="143">
        <v>3</v>
      </c>
      <c r="L302" s="58"/>
      <c r="M302" s="58"/>
      <c r="N302" s="102"/>
      <c r="O302" s="102"/>
      <c r="P302" s="102"/>
      <c r="Q302" s="102"/>
      <c r="R302" s="102"/>
      <c r="S302" s="102"/>
      <c r="T302" s="102"/>
      <c r="U302" s="102"/>
      <c r="V302" s="102"/>
      <c r="W302" s="102"/>
      <c r="X302" s="102"/>
      <c r="Y302" s="102"/>
      <c r="Z302" s="102"/>
      <c r="AA302" s="102"/>
      <c r="AB302" s="102"/>
      <c r="AC302" s="102"/>
      <c r="AD302" s="102"/>
      <c r="AE302" s="102"/>
      <c r="AF302" s="102"/>
      <c r="AG302" s="102"/>
      <c r="AH302" s="102"/>
      <c r="AI302" s="102"/>
      <c r="AJ302" s="102"/>
      <c r="AK302" s="102"/>
      <c r="AL302" s="102"/>
      <c r="AM302" s="102"/>
      <c r="AN302" s="102"/>
      <c r="AO302" s="102"/>
      <c r="AP302" s="102"/>
    </row>
    <row r="303" spans="1:42">
      <c r="A303" s="89">
        <v>302</v>
      </c>
      <c r="B303" s="90">
        <v>50047093</v>
      </c>
      <c r="C303" s="91" t="s">
        <v>562</v>
      </c>
      <c r="D303" s="58" t="s">
        <v>845</v>
      </c>
      <c r="E303" s="59">
        <v>24786</v>
      </c>
      <c r="F303" s="92">
        <f ca="1">(TODAY()-Data_Assessment[[#This Row],[BIRTH DATE]])/365.25</f>
        <v>54.360027378507873</v>
      </c>
      <c r="G303" s="62" t="s">
        <v>919</v>
      </c>
      <c r="H303" s="63" t="s">
        <v>972</v>
      </c>
      <c r="I303" s="106">
        <v>1</v>
      </c>
      <c r="J303" s="64" t="s">
        <v>1175</v>
      </c>
      <c r="K303" s="143">
        <v>4</v>
      </c>
      <c r="L303" s="58"/>
      <c r="M303" s="58"/>
      <c r="N303" s="102"/>
      <c r="O303" s="102"/>
      <c r="P303" s="102"/>
      <c r="Q303" s="102"/>
      <c r="R303" s="102"/>
      <c r="S303" s="102"/>
      <c r="T303" s="102"/>
      <c r="U303" s="102"/>
      <c r="V303" s="102"/>
      <c r="W303" s="102"/>
      <c r="X303" s="102"/>
      <c r="Y303" s="102"/>
      <c r="Z303" s="102"/>
      <c r="AA303" s="102"/>
      <c r="AB303" s="102"/>
      <c r="AC303" s="102"/>
      <c r="AD303" s="102"/>
      <c r="AE303" s="102"/>
      <c r="AF303" s="102"/>
      <c r="AG303" s="102"/>
      <c r="AH303" s="102"/>
      <c r="AI303" s="102"/>
      <c r="AJ303" s="102"/>
      <c r="AK303" s="102"/>
      <c r="AL303" s="102"/>
      <c r="AM303" s="102"/>
      <c r="AN303" s="102"/>
      <c r="AO303" s="102"/>
      <c r="AP303" s="102"/>
    </row>
    <row r="304" spans="1:42" ht="29.25">
      <c r="A304" s="89">
        <v>303</v>
      </c>
      <c r="B304" s="90">
        <v>50040427</v>
      </c>
      <c r="C304" s="91" t="s">
        <v>604</v>
      </c>
      <c r="D304" s="58" t="s">
        <v>845</v>
      </c>
      <c r="E304" s="59">
        <v>33969</v>
      </c>
      <c r="F304" s="92">
        <f ca="1">(TODAY()-Data_Assessment[[#This Row],[BIRTH DATE]])/365.25</f>
        <v>29.218343600273784</v>
      </c>
      <c r="G304" s="62" t="s">
        <v>919</v>
      </c>
      <c r="H304" s="63" t="s">
        <v>972</v>
      </c>
      <c r="I304" s="106">
        <v>1</v>
      </c>
      <c r="J304" s="64" t="s">
        <v>1176</v>
      </c>
      <c r="K304" s="143">
        <v>3</v>
      </c>
      <c r="L304" s="58"/>
      <c r="M304" s="58"/>
      <c r="N304" s="102"/>
      <c r="O304" s="102"/>
      <c r="P304" s="102"/>
      <c r="Q304" s="102"/>
      <c r="R304" s="102"/>
      <c r="S304" s="102"/>
      <c r="T304" s="102"/>
      <c r="U304" s="102"/>
      <c r="V304" s="102"/>
      <c r="W304" s="102"/>
      <c r="X304" s="102"/>
      <c r="Y304" s="102"/>
      <c r="Z304" s="102"/>
      <c r="AA304" s="102"/>
      <c r="AB304" s="102"/>
      <c r="AC304" s="102"/>
      <c r="AD304" s="102"/>
      <c r="AE304" s="102"/>
      <c r="AF304" s="102"/>
      <c r="AG304" s="102"/>
      <c r="AH304" s="102"/>
      <c r="AI304" s="102"/>
      <c r="AJ304" s="102"/>
      <c r="AK304" s="102"/>
      <c r="AL304" s="102"/>
      <c r="AM304" s="102"/>
      <c r="AN304" s="102"/>
      <c r="AO304" s="102"/>
      <c r="AP304" s="102"/>
    </row>
    <row r="305" spans="1:42" ht="29.25">
      <c r="A305" s="89">
        <v>304</v>
      </c>
      <c r="B305" s="90">
        <v>50031476</v>
      </c>
      <c r="C305" s="91" t="s">
        <v>273</v>
      </c>
      <c r="D305" s="58" t="s">
        <v>846</v>
      </c>
      <c r="E305" s="59">
        <v>25066</v>
      </c>
      <c r="F305" s="92">
        <f ca="1">(TODAY()-Data_Assessment[[#This Row],[BIRTH DATE]])/365.25</f>
        <v>53.593429158110879</v>
      </c>
      <c r="G305" s="62" t="s">
        <v>986</v>
      </c>
      <c r="H305" s="63" t="s">
        <v>987</v>
      </c>
      <c r="I305" s="106">
        <v>4</v>
      </c>
      <c r="J305" s="64" t="s">
        <v>1177</v>
      </c>
      <c r="K305" s="143">
        <v>4</v>
      </c>
      <c r="L305" s="58"/>
      <c r="M305" s="58"/>
      <c r="N305" s="102"/>
      <c r="O305" s="102"/>
      <c r="P305" s="102"/>
      <c r="Q305" s="102"/>
      <c r="R305" s="102"/>
      <c r="S305" s="102"/>
      <c r="T305" s="102"/>
      <c r="U305" s="102"/>
      <c r="V305" s="102"/>
      <c r="W305" s="102"/>
      <c r="X305" s="102"/>
      <c r="Y305" s="102"/>
      <c r="Z305" s="102"/>
      <c r="AA305" s="102"/>
      <c r="AB305" s="102"/>
      <c r="AC305" s="102"/>
      <c r="AD305" s="102"/>
      <c r="AE305" s="102"/>
      <c r="AF305" s="102"/>
      <c r="AG305" s="102"/>
      <c r="AH305" s="102"/>
      <c r="AI305" s="102"/>
      <c r="AJ305" s="102"/>
      <c r="AK305" s="102"/>
      <c r="AL305" s="102"/>
      <c r="AM305" s="102"/>
      <c r="AN305" s="102"/>
      <c r="AO305" s="102"/>
      <c r="AP305" s="102"/>
    </row>
    <row r="306" spans="1:42">
      <c r="A306" s="89">
        <v>305</v>
      </c>
      <c r="B306" s="90">
        <v>50031124</v>
      </c>
      <c r="C306" s="91" t="s">
        <v>803</v>
      </c>
      <c r="D306" s="58" t="s">
        <v>845</v>
      </c>
      <c r="E306" s="59">
        <v>27916</v>
      </c>
      <c r="F306" s="92">
        <f ca="1">(TODAY()-Data_Assessment[[#This Row],[BIRTH DATE]])/365.25</f>
        <v>45.790554414784395</v>
      </c>
      <c r="G306" s="62" t="s">
        <v>895</v>
      </c>
      <c r="H306" s="63" t="s">
        <v>1052</v>
      </c>
      <c r="I306" s="106">
        <v>1</v>
      </c>
      <c r="J306" s="64" t="s">
        <v>1178</v>
      </c>
      <c r="K306" s="143">
        <v>2</v>
      </c>
      <c r="L306" s="58"/>
      <c r="M306" s="58"/>
      <c r="N306" s="102"/>
      <c r="O306" s="102"/>
      <c r="P306" s="102"/>
      <c r="Q306" s="102"/>
      <c r="R306" s="102"/>
      <c r="S306" s="102"/>
      <c r="T306" s="102"/>
      <c r="U306" s="102"/>
      <c r="V306" s="102"/>
      <c r="W306" s="102"/>
      <c r="X306" s="102"/>
      <c r="Y306" s="102"/>
      <c r="Z306" s="102"/>
      <c r="AA306" s="102"/>
      <c r="AB306" s="102"/>
      <c r="AC306" s="102"/>
      <c r="AD306" s="102"/>
      <c r="AE306" s="102"/>
      <c r="AF306" s="102"/>
      <c r="AG306" s="102"/>
      <c r="AH306" s="102"/>
      <c r="AI306" s="102"/>
      <c r="AJ306" s="102"/>
      <c r="AK306" s="102"/>
      <c r="AL306" s="102"/>
      <c r="AM306" s="102"/>
      <c r="AN306" s="102"/>
      <c r="AO306" s="102"/>
      <c r="AP306" s="102"/>
    </row>
    <row r="307" spans="1:42">
      <c r="A307" s="89">
        <v>306</v>
      </c>
      <c r="B307" s="90">
        <v>50030902</v>
      </c>
      <c r="C307" s="91" t="s">
        <v>274</v>
      </c>
      <c r="D307" s="58" t="s">
        <v>846</v>
      </c>
      <c r="E307" s="59">
        <v>26430</v>
      </c>
      <c r="F307" s="92">
        <f ca="1">(TODAY()-Data_Assessment[[#This Row],[BIRTH DATE]])/365.25</f>
        <v>49.8590006844627</v>
      </c>
      <c r="G307" s="62" t="s">
        <v>986</v>
      </c>
      <c r="H307" s="63" t="s">
        <v>987</v>
      </c>
      <c r="I307" s="106">
        <v>4</v>
      </c>
      <c r="J307" s="64" t="s">
        <v>1179</v>
      </c>
      <c r="K307" s="143">
        <v>3</v>
      </c>
      <c r="L307" s="58"/>
      <c r="M307" s="58"/>
      <c r="N307" s="102"/>
      <c r="O307" s="102"/>
      <c r="P307" s="102"/>
      <c r="Q307" s="102"/>
      <c r="R307" s="102"/>
      <c r="S307" s="102"/>
      <c r="T307" s="102"/>
      <c r="U307" s="102"/>
      <c r="V307" s="102"/>
      <c r="W307" s="102"/>
      <c r="X307" s="102"/>
      <c r="Y307" s="102"/>
      <c r="Z307" s="102"/>
      <c r="AA307" s="102"/>
      <c r="AB307" s="102"/>
      <c r="AC307" s="102"/>
      <c r="AD307" s="102"/>
      <c r="AE307" s="102"/>
      <c r="AF307" s="102"/>
      <c r="AG307" s="102"/>
      <c r="AH307" s="102"/>
      <c r="AI307" s="102"/>
      <c r="AJ307" s="102"/>
      <c r="AK307" s="102"/>
      <c r="AL307" s="102"/>
      <c r="AM307" s="102"/>
      <c r="AN307" s="102"/>
      <c r="AO307" s="102"/>
      <c r="AP307" s="102"/>
    </row>
    <row r="308" spans="1:42">
      <c r="A308" s="89">
        <v>307</v>
      </c>
      <c r="B308" s="90">
        <v>50031399</v>
      </c>
      <c r="C308" s="91" t="s">
        <v>804</v>
      </c>
      <c r="D308" s="58" t="s">
        <v>845</v>
      </c>
      <c r="E308" s="59">
        <v>33214</v>
      </c>
      <c r="F308" s="92">
        <f ca="1">(TODAY()-Data_Assessment[[#This Row],[BIRTH DATE]])/365.25</f>
        <v>31.285420944558521</v>
      </c>
      <c r="G308" s="62" t="s">
        <v>895</v>
      </c>
      <c r="H308" s="63" t="s">
        <v>1052</v>
      </c>
      <c r="I308" s="106">
        <v>1</v>
      </c>
      <c r="J308" s="64" t="s">
        <v>1180</v>
      </c>
      <c r="K308" s="143">
        <v>3</v>
      </c>
      <c r="L308" s="58"/>
      <c r="M308" s="58"/>
      <c r="N308" s="102"/>
      <c r="O308" s="102"/>
      <c r="P308" s="102"/>
      <c r="Q308" s="102"/>
      <c r="R308" s="102"/>
      <c r="S308" s="102"/>
      <c r="T308" s="102"/>
      <c r="U308" s="102"/>
      <c r="V308" s="102"/>
      <c r="W308" s="102"/>
      <c r="X308" s="102"/>
      <c r="Y308" s="102"/>
      <c r="Z308" s="102"/>
      <c r="AA308" s="102"/>
      <c r="AB308" s="102"/>
      <c r="AC308" s="102"/>
      <c r="AD308" s="102"/>
      <c r="AE308" s="102"/>
      <c r="AF308" s="102"/>
      <c r="AG308" s="102"/>
      <c r="AH308" s="102"/>
      <c r="AI308" s="102"/>
      <c r="AJ308" s="102"/>
      <c r="AK308" s="102"/>
      <c r="AL308" s="102"/>
      <c r="AM308" s="102"/>
      <c r="AN308" s="102"/>
      <c r="AO308" s="102"/>
      <c r="AP308" s="102"/>
    </row>
    <row r="309" spans="1:42">
      <c r="A309" s="89">
        <v>308</v>
      </c>
      <c r="B309" s="90">
        <v>50034319</v>
      </c>
      <c r="C309" s="91" t="s">
        <v>275</v>
      </c>
      <c r="D309" s="58" t="s">
        <v>845</v>
      </c>
      <c r="E309" s="59">
        <v>34105</v>
      </c>
      <c r="F309" s="92">
        <f ca="1">(TODAY()-Data_Assessment[[#This Row],[BIRTH DATE]])/365.25</f>
        <v>28.845995893223819</v>
      </c>
      <c r="G309" s="62" t="s">
        <v>986</v>
      </c>
      <c r="H309" s="63" t="s">
        <v>987</v>
      </c>
      <c r="I309" s="106">
        <v>4</v>
      </c>
      <c r="J309" s="64" t="s">
        <v>1181</v>
      </c>
      <c r="K309" s="143">
        <v>3</v>
      </c>
      <c r="L309" s="58"/>
      <c r="M309" s="58"/>
      <c r="N309" s="102"/>
      <c r="O309" s="102"/>
      <c r="P309" s="102"/>
      <c r="Q309" s="102"/>
      <c r="R309" s="102"/>
      <c r="S309" s="102"/>
      <c r="T309" s="102"/>
      <c r="U309" s="102"/>
      <c r="V309" s="102"/>
      <c r="W309" s="102"/>
      <c r="X309" s="102"/>
      <c r="Y309" s="102"/>
      <c r="Z309" s="102"/>
      <c r="AA309" s="102"/>
      <c r="AB309" s="102"/>
      <c r="AC309" s="102"/>
      <c r="AD309" s="102"/>
      <c r="AE309" s="102"/>
      <c r="AF309" s="102"/>
      <c r="AG309" s="102"/>
      <c r="AH309" s="102"/>
      <c r="AI309" s="102"/>
      <c r="AJ309" s="102"/>
      <c r="AK309" s="102"/>
      <c r="AL309" s="102"/>
      <c r="AM309" s="102"/>
      <c r="AN309" s="102"/>
      <c r="AO309" s="102"/>
      <c r="AP309" s="102"/>
    </row>
    <row r="310" spans="1:42">
      <c r="A310" s="89">
        <v>309</v>
      </c>
      <c r="B310" s="90">
        <v>50031138</v>
      </c>
      <c r="C310" s="91" t="s">
        <v>805</v>
      </c>
      <c r="D310" s="58" t="s">
        <v>846</v>
      </c>
      <c r="E310" s="59">
        <v>31539</v>
      </c>
      <c r="F310" s="92">
        <f ca="1">(TODAY()-Data_Assessment[[#This Row],[BIRTH DATE]])/365.25</f>
        <v>35.871321013004788</v>
      </c>
      <c r="G310" s="62" t="s">
        <v>895</v>
      </c>
      <c r="H310" s="63" t="s">
        <v>1052</v>
      </c>
      <c r="I310" s="106">
        <v>1</v>
      </c>
      <c r="J310" s="64" t="s">
        <v>1182</v>
      </c>
      <c r="K310" s="143">
        <v>3</v>
      </c>
      <c r="L310" s="58"/>
      <c r="M310" s="58"/>
      <c r="N310" s="102"/>
      <c r="O310" s="102"/>
      <c r="P310" s="102"/>
      <c r="Q310" s="102"/>
      <c r="R310" s="102"/>
      <c r="S310" s="102"/>
      <c r="T310" s="102"/>
      <c r="U310" s="102"/>
      <c r="V310" s="102"/>
      <c r="W310" s="102"/>
      <c r="X310" s="102"/>
      <c r="Y310" s="102"/>
      <c r="Z310" s="102"/>
      <c r="AA310" s="102"/>
      <c r="AB310" s="102"/>
      <c r="AC310" s="102"/>
      <c r="AD310" s="102"/>
      <c r="AE310" s="102"/>
      <c r="AF310" s="102"/>
      <c r="AG310" s="102"/>
      <c r="AH310" s="102"/>
      <c r="AI310" s="102"/>
      <c r="AJ310" s="102"/>
      <c r="AK310" s="102"/>
      <c r="AL310" s="102"/>
      <c r="AM310" s="102"/>
      <c r="AN310" s="102"/>
      <c r="AO310" s="102"/>
      <c r="AP310" s="102"/>
    </row>
    <row r="311" spans="1:42">
      <c r="A311" s="89">
        <v>310</v>
      </c>
      <c r="B311" s="90">
        <v>50040194</v>
      </c>
      <c r="C311" s="91" t="s">
        <v>806</v>
      </c>
      <c r="D311" s="58" t="s">
        <v>846</v>
      </c>
      <c r="E311" s="59">
        <v>33370</v>
      </c>
      <c r="F311" s="92">
        <f ca="1">(TODAY()-Data_Assessment[[#This Row],[BIRTH DATE]])/365.25</f>
        <v>30.858316221765914</v>
      </c>
      <c r="G311" s="62" t="s">
        <v>895</v>
      </c>
      <c r="H311" s="63" t="s">
        <v>1052</v>
      </c>
      <c r="I311" s="106">
        <v>1</v>
      </c>
      <c r="J311" s="64" t="s">
        <v>1183</v>
      </c>
      <c r="K311" s="143">
        <v>3</v>
      </c>
      <c r="L311" s="58"/>
      <c r="M311" s="58"/>
      <c r="N311" s="102"/>
      <c r="O311" s="102"/>
      <c r="P311" s="102"/>
      <c r="Q311" s="102"/>
      <c r="R311" s="102"/>
      <c r="S311" s="102"/>
      <c r="T311" s="102"/>
      <c r="U311" s="102"/>
      <c r="V311" s="102"/>
      <c r="W311" s="102"/>
      <c r="X311" s="102"/>
      <c r="Y311" s="102"/>
      <c r="Z311" s="102"/>
      <c r="AA311" s="102"/>
      <c r="AB311" s="102"/>
      <c r="AC311" s="102"/>
      <c r="AD311" s="102"/>
      <c r="AE311" s="102"/>
      <c r="AF311" s="102"/>
      <c r="AG311" s="102"/>
      <c r="AH311" s="102"/>
      <c r="AI311" s="102"/>
      <c r="AJ311" s="102"/>
      <c r="AK311" s="102"/>
      <c r="AL311" s="102"/>
      <c r="AM311" s="102"/>
      <c r="AN311" s="102"/>
      <c r="AO311" s="102"/>
      <c r="AP311" s="102"/>
    </row>
    <row r="312" spans="1:42">
      <c r="A312" s="89">
        <v>311</v>
      </c>
      <c r="B312" s="90">
        <v>50030971</v>
      </c>
      <c r="C312" s="91" t="s">
        <v>277</v>
      </c>
      <c r="D312" s="58" t="s">
        <v>845</v>
      </c>
      <c r="E312" s="59">
        <v>24117</v>
      </c>
      <c r="F312" s="92">
        <f ca="1">(TODAY()-Data_Assessment[[#This Row],[BIRTH DATE]])/365.25</f>
        <v>56.191649555099247</v>
      </c>
      <c r="G312" s="62" t="s">
        <v>986</v>
      </c>
      <c r="H312" s="63" t="s">
        <v>987</v>
      </c>
      <c r="I312" s="106">
        <v>4</v>
      </c>
      <c r="J312" s="64" t="s">
        <v>1184</v>
      </c>
      <c r="K312" s="143">
        <v>0</v>
      </c>
      <c r="L312" s="58"/>
      <c r="M312" s="58"/>
      <c r="N312" s="102"/>
      <c r="O312" s="102"/>
      <c r="P312" s="102"/>
      <c r="Q312" s="102"/>
      <c r="R312" s="102"/>
      <c r="S312" s="102"/>
      <c r="T312" s="102"/>
      <c r="U312" s="102"/>
      <c r="V312" s="102"/>
      <c r="W312" s="102"/>
      <c r="X312" s="102"/>
      <c r="Y312" s="102"/>
      <c r="Z312" s="102"/>
      <c r="AA312" s="102"/>
      <c r="AB312" s="102"/>
      <c r="AC312" s="102"/>
      <c r="AD312" s="102"/>
      <c r="AE312" s="102"/>
      <c r="AF312" s="102"/>
      <c r="AG312" s="102"/>
      <c r="AH312" s="102"/>
      <c r="AI312" s="102"/>
      <c r="AJ312" s="102"/>
      <c r="AK312" s="102"/>
      <c r="AL312" s="102"/>
      <c r="AM312" s="102"/>
      <c r="AN312" s="102"/>
      <c r="AO312" s="102"/>
      <c r="AP312" s="102"/>
    </row>
    <row r="313" spans="1:42">
      <c r="A313" s="89">
        <v>312</v>
      </c>
      <c r="B313" s="90">
        <v>50040186</v>
      </c>
      <c r="C313" s="91" t="s">
        <v>807</v>
      </c>
      <c r="D313" s="58" t="s">
        <v>846</v>
      </c>
      <c r="E313" s="59">
        <v>31907</v>
      </c>
      <c r="F313" s="92">
        <f ca="1">(TODAY()-Data_Assessment[[#This Row],[BIRTH DATE]])/365.25</f>
        <v>34.86379192334018</v>
      </c>
      <c r="G313" s="62" t="s">
        <v>895</v>
      </c>
      <c r="H313" s="63" t="s">
        <v>1052</v>
      </c>
      <c r="I313" s="106">
        <v>1</v>
      </c>
      <c r="J313" s="64" t="s">
        <v>1185</v>
      </c>
      <c r="K313" s="143">
        <v>3</v>
      </c>
      <c r="L313" s="58"/>
      <c r="M313" s="58"/>
      <c r="N313" s="102"/>
      <c r="O313" s="102"/>
      <c r="P313" s="102"/>
      <c r="Q313" s="102"/>
      <c r="R313" s="102"/>
      <c r="S313" s="102"/>
      <c r="T313" s="102"/>
      <c r="U313" s="102"/>
      <c r="V313" s="102"/>
      <c r="W313" s="102"/>
      <c r="X313" s="102"/>
      <c r="Y313" s="102"/>
      <c r="Z313" s="102"/>
      <c r="AA313" s="102"/>
      <c r="AB313" s="102"/>
      <c r="AC313" s="102"/>
      <c r="AD313" s="102"/>
      <c r="AE313" s="102"/>
      <c r="AF313" s="102"/>
      <c r="AG313" s="102"/>
      <c r="AH313" s="102"/>
      <c r="AI313" s="102"/>
      <c r="AJ313" s="102"/>
      <c r="AK313" s="102"/>
      <c r="AL313" s="102"/>
      <c r="AM313" s="102"/>
      <c r="AN313" s="102"/>
      <c r="AO313" s="102"/>
      <c r="AP313" s="102"/>
    </row>
    <row r="314" spans="1:42">
      <c r="A314" s="89">
        <v>313</v>
      </c>
      <c r="B314" s="90">
        <v>50036731</v>
      </c>
      <c r="C314" s="91" t="s">
        <v>809</v>
      </c>
      <c r="D314" s="58" t="s">
        <v>845</v>
      </c>
      <c r="E314" s="59">
        <v>26148</v>
      </c>
      <c r="F314" s="92">
        <f ca="1">(TODAY()-Data_Assessment[[#This Row],[BIRTH DATE]])/365.25</f>
        <v>50.631074606433948</v>
      </c>
      <c r="G314" s="62" t="s">
        <v>895</v>
      </c>
      <c r="H314" s="63" t="s">
        <v>1052</v>
      </c>
      <c r="I314" s="106">
        <v>1</v>
      </c>
      <c r="J314" s="64" t="s">
        <v>1186</v>
      </c>
      <c r="K314" s="143">
        <v>3</v>
      </c>
      <c r="L314" s="58"/>
      <c r="M314" s="58"/>
      <c r="N314" s="102"/>
      <c r="O314" s="102"/>
      <c r="P314" s="102"/>
      <c r="Q314" s="102"/>
      <c r="R314" s="102"/>
      <c r="S314" s="102"/>
      <c r="T314" s="102"/>
      <c r="U314" s="102"/>
      <c r="V314" s="102"/>
      <c r="W314" s="102"/>
      <c r="X314" s="102"/>
      <c r="Y314" s="102"/>
      <c r="Z314" s="102"/>
      <c r="AA314" s="102"/>
      <c r="AB314" s="102"/>
      <c r="AC314" s="102"/>
      <c r="AD314" s="102"/>
      <c r="AE314" s="102"/>
      <c r="AF314" s="102"/>
      <c r="AG314" s="102"/>
      <c r="AH314" s="102"/>
      <c r="AI314" s="102"/>
      <c r="AJ314" s="102"/>
      <c r="AK314" s="102"/>
      <c r="AL314" s="102"/>
      <c r="AM314" s="102"/>
      <c r="AN314" s="102"/>
      <c r="AO314" s="102"/>
      <c r="AP314" s="102"/>
    </row>
    <row r="315" spans="1:42">
      <c r="A315" s="89">
        <v>314</v>
      </c>
      <c r="B315" s="90">
        <v>50030647</v>
      </c>
      <c r="C315" s="91" t="s">
        <v>810</v>
      </c>
      <c r="D315" s="58" t="s">
        <v>845</v>
      </c>
      <c r="E315" s="59">
        <v>32453</v>
      </c>
      <c r="F315" s="92">
        <f ca="1">(TODAY()-Data_Assessment[[#This Row],[BIRTH DATE]])/365.25</f>
        <v>33.368925393566052</v>
      </c>
      <c r="G315" s="62" t="s">
        <v>919</v>
      </c>
      <c r="H315" s="63" t="s">
        <v>1187</v>
      </c>
      <c r="I315" s="106">
        <v>1</v>
      </c>
      <c r="J315" s="64" t="s">
        <v>1188</v>
      </c>
      <c r="K315" s="143">
        <v>3</v>
      </c>
      <c r="L315" s="58"/>
      <c r="M315" s="58"/>
      <c r="N315" s="102"/>
      <c r="O315" s="102"/>
      <c r="P315" s="102"/>
      <c r="Q315" s="102"/>
      <c r="R315" s="102"/>
      <c r="S315" s="102"/>
      <c r="T315" s="102"/>
      <c r="U315" s="102"/>
      <c r="V315" s="102"/>
      <c r="W315" s="102"/>
      <c r="X315" s="102"/>
      <c r="Y315" s="102"/>
      <c r="Z315" s="102"/>
      <c r="AA315" s="102"/>
      <c r="AB315" s="102"/>
      <c r="AC315" s="102"/>
      <c r="AD315" s="102"/>
      <c r="AE315" s="102"/>
      <c r="AF315" s="102"/>
      <c r="AG315" s="102"/>
      <c r="AH315" s="102"/>
      <c r="AI315" s="102"/>
      <c r="AJ315" s="102"/>
      <c r="AK315" s="102"/>
      <c r="AL315" s="102"/>
      <c r="AM315" s="102"/>
      <c r="AN315" s="102"/>
      <c r="AO315" s="102"/>
      <c r="AP315" s="102"/>
    </row>
    <row r="316" spans="1:42">
      <c r="A316" s="89">
        <v>315</v>
      </c>
      <c r="B316" s="90">
        <v>50030901</v>
      </c>
      <c r="C316" s="91" t="s">
        <v>280</v>
      </c>
      <c r="D316" s="58" t="s">
        <v>846</v>
      </c>
      <c r="E316" s="59">
        <v>25294</v>
      </c>
      <c r="F316" s="92">
        <f ca="1">(TODAY()-Data_Assessment[[#This Row],[BIRTH DATE]])/365.25</f>
        <v>52.969199178644764</v>
      </c>
      <c r="G316" s="62" t="s">
        <v>986</v>
      </c>
      <c r="H316" s="63" t="s">
        <v>987</v>
      </c>
      <c r="I316" s="106">
        <v>4</v>
      </c>
      <c r="J316" s="64" t="s">
        <v>1189</v>
      </c>
      <c r="K316" s="143">
        <v>3</v>
      </c>
      <c r="L316" s="58"/>
      <c r="M316" s="58"/>
      <c r="N316" s="102"/>
      <c r="O316" s="102"/>
      <c r="P316" s="102"/>
      <c r="Q316" s="102"/>
      <c r="R316" s="102"/>
      <c r="S316" s="102"/>
      <c r="T316" s="102"/>
      <c r="U316" s="102"/>
      <c r="V316" s="102"/>
      <c r="W316" s="102"/>
      <c r="X316" s="102"/>
      <c r="Y316" s="102"/>
      <c r="Z316" s="102"/>
      <c r="AA316" s="102"/>
      <c r="AB316" s="102"/>
      <c r="AC316" s="102"/>
      <c r="AD316" s="102"/>
      <c r="AE316" s="102"/>
      <c r="AF316" s="102"/>
      <c r="AG316" s="102"/>
      <c r="AH316" s="102"/>
      <c r="AI316" s="102"/>
      <c r="AJ316" s="102"/>
      <c r="AK316" s="102"/>
      <c r="AL316" s="102"/>
      <c r="AM316" s="102"/>
      <c r="AN316" s="102"/>
      <c r="AO316" s="102"/>
      <c r="AP316" s="102"/>
    </row>
    <row r="317" spans="1:42" ht="29.25">
      <c r="A317" s="89">
        <v>316</v>
      </c>
      <c r="B317" s="90">
        <v>50031145</v>
      </c>
      <c r="C317" s="91" t="s">
        <v>815</v>
      </c>
      <c r="D317" s="58" t="s">
        <v>845</v>
      </c>
      <c r="E317" s="59">
        <v>25813</v>
      </c>
      <c r="F317" s="92">
        <f ca="1">(TODAY()-Data_Assessment[[#This Row],[BIRTH DATE]])/365.25</f>
        <v>51.548254620123203</v>
      </c>
      <c r="G317" s="62" t="s">
        <v>895</v>
      </c>
      <c r="H317" s="63" t="s">
        <v>1052</v>
      </c>
      <c r="I317" s="106">
        <v>1</v>
      </c>
      <c r="J317" s="64" t="s">
        <v>1190</v>
      </c>
      <c r="K317" s="143">
        <v>2</v>
      </c>
      <c r="L317" s="58"/>
      <c r="M317" s="58"/>
      <c r="N317" s="102"/>
      <c r="O317" s="102"/>
      <c r="P317" s="102"/>
      <c r="Q317" s="102"/>
      <c r="R317" s="102"/>
      <c r="S317" s="102"/>
      <c r="T317" s="102"/>
      <c r="U317" s="102"/>
      <c r="V317" s="102"/>
      <c r="W317" s="102"/>
      <c r="X317" s="102"/>
      <c r="Y317" s="102"/>
      <c r="Z317" s="102"/>
      <c r="AA317" s="102"/>
      <c r="AB317" s="102"/>
      <c r="AC317" s="102"/>
      <c r="AD317" s="102"/>
      <c r="AE317" s="102"/>
      <c r="AF317" s="102"/>
      <c r="AG317" s="102"/>
      <c r="AH317" s="102"/>
      <c r="AI317" s="102"/>
      <c r="AJ317" s="102"/>
      <c r="AK317" s="102"/>
      <c r="AL317" s="102"/>
      <c r="AM317" s="102"/>
      <c r="AN317" s="102"/>
      <c r="AO317" s="102"/>
      <c r="AP317" s="102"/>
    </row>
    <row r="318" spans="1:42">
      <c r="A318" s="89">
        <v>317</v>
      </c>
      <c r="B318" s="90">
        <v>50037978</v>
      </c>
      <c r="C318" s="91" t="s">
        <v>281</v>
      </c>
      <c r="D318" s="58" t="s">
        <v>845</v>
      </c>
      <c r="E318" s="59">
        <v>32034</v>
      </c>
      <c r="F318" s="92">
        <f ca="1">(TODAY()-Data_Assessment[[#This Row],[BIRTH DATE]])/365.25</f>
        <v>34.516084873374403</v>
      </c>
      <c r="G318" s="62" t="s">
        <v>986</v>
      </c>
      <c r="H318" s="63" t="s">
        <v>987</v>
      </c>
      <c r="I318" s="106">
        <v>4</v>
      </c>
      <c r="J318" s="64" t="s">
        <v>1191</v>
      </c>
      <c r="K318" s="143">
        <v>2</v>
      </c>
      <c r="L318" s="58"/>
      <c r="M318" s="58"/>
      <c r="N318" s="102"/>
      <c r="O318" s="102"/>
      <c r="P318" s="102"/>
      <c r="Q318" s="102"/>
      <c r="R318" s="102"/>
      <c r="S318" s="102"/>
      <c r="T318" s="102"/>
      <c r="U318" s="102"/>
      <c r="V318" s="102"/>
      <c r="W318" s="102"/>
      <c r="X318" s="102"/>
      <c r="Y318" s="102"/>
      <c r="Z318" s="102"/>
      <c r="AA318" s="102"/>
      <c r="AB318" s="102"/>
      <c r="AC318" s="102"/>
      <c r="AD318" s="102"/>
      <c r="AE318" s="102"/>
      <c r="AF318" s="102"/>
      <c r="AG318" s="102"/>
      <c r="AH318" s="102"/>
      <c r="AI318" s="102"/>
      <c r="AJ318" s="102"/>
      <c r="AK318" s="102"/>
      <c r="AL318" s="102"/>
      <c r="AM318" s="102"/>
      <c r="AN318" s="102"/>
      <c r="AO318" s="102"/>
      <c r="AP318" s="102"/>
    </row>
    <row r="319" spans="1:42">
      <c r="A319" s="89">
        <v>318</v>
      </c>
      <c r="B319" s="90">
        <v>50032104</v>
      </c>
      <c r="C319" s="91" t="s">
        <v>817</v>
      </c>
      <c r="D319" s="58" t="s">
        <v>846</v>
      </c>
      <c r="E319" s="59">
        <v>32940</v>
      </c>
      <c r="F319" s="92">
        <f ca="1">(TODAY()-Data_Assessment[[#This Row],[BIRTH DATE]])/365.25</f>
        <v>32.035592060232716</v>
      </c>
      <c r="G319" s="62" t="s">
        <v>895</v>
      </c>
      <c r="H319" s="63" t="s">
        <v>1052</v>
      </c>
      <c r="I319" s="106">
        <v>1</v>
      </c>
      <c r="J319" s="64" t="s">
        <v>1192</v>
      </c>
      <c r="K319" s="143">
        <v>2</v>
      </c>
      <c r="L319" s="58"/>
      <c r="M319" s="58"/>
      <c r="N319" s="102"/>
      <c r="O319" s="102"/>
      <c r="P319" s="102"/>
      <c r="Q319" s="102"/>
      <c r="R319" s="102"/>
      <c r="S319" s="102"/>
      <c r="T319" s="102"/>
      <c r="U319" s="102"/>
      <c r="V319" s="102"/>
      <c r="W319" s="102"/>
      <c r="X319" s="102"/>
      <c r="Y319" s="102"/>
      <c r="Z319" s="102"/>
      <c r="AA319" s="102"/>
      <c r="AB319" s="102"/>
      <c r="AC319" s="102"/>
      <c r="AD319" s="102"/>
      <c r="AE319" s="102"/>
      <c r="AF319" s="102"/>
      <c r="AG319" s="102"/>
      <c r="AH319" s="102"/>
      <c r="AI319" s="102"/>
      <c r="AJ319" s="102"/>
      <c r="AK319" s="102"/>
      <c r="AL319" s="102"/>
      <c r="AM319" s="102"/>
      <c r="AN319" s="102"/>
      <c r="AO319" s="102"/>
      <c r="AP319" s="102"/>
    </row>
    <row r="320" spans="1:42" ht="29.25">
      <c r="A320" s="89">
        <v>319</v>
      </c>
      <c r="B320" s="90">
        <v>50031566</v>
      </c>
      <c r="C320" s="91" t="s">
        <v>282</v>
      </c>
      <c r="D320" s="58" t="s">
        <v>846</v>
      </c>
      <c r="E320" s="59">
        <v>32521</v>
      </c>
      <c r="F320" s="92">
        <f ca="1">(TODAY()-Data_Assessment[[#This Row],[BIRTH DATE]])/365.25</f>
        <v>33.182751540041068</v>
      </c>
      <c r="G320" s="62" t="s">
        <v>986</v>
      </c>
      <c r="H320" s="63" t="s">
        <v>987</v>
      </c>
      <c r="I320" s="106">
        <v>4</v>
      </c>
      <c r="J320" s="64" t="s">
        <v>1193</v>
      </c>
      <c r="K320" s="143">
        <v>2</v>
      </c>
      <c r="L320" s="58"/>
      <c r="M320" s="58"/>
      <c r="N320" s="102"/>
      <c r="O320" s="102"/>
      <c r="P320" s="102"/>
      <c r="Q320" s="102"/>
      <c r="R320" s="102"/>
      <c r="S320" s="102"/>
      <c r="T320" s="102"/>
      <c r="U320" s="102"/>
      <c r="V320" s="102"/>
      <c r="W320" s="102"/>
      <c r="X320" s="102"/>
      <c r="Y320" s="102"/>
      <c r="Z320" s="102"/>
      <c r="AA320" s="102"/>
      <c r="AB320" s="102"/>
      <c r="AC320" s="102"/>
      <c r="AD320" s="102"/>
      <c r="AE320" s="102"/>
      <c r="AF320" s="102"/>
      <c r="AG320" s="102"/>
      <c r="AH320" s="102"/>
      <c r="AI320" s="102"/>
      <c r="AJ320" s="102"/>
      <c r="AK320" s="102"/>
      <c r="AL320" s="102"/>
      <c r="AM320" s="102"/>
      <c r="AN320" s="102"/>
      <c r="AO320" s="102"/>
      <c r="AP320" s="102"/>
    </row>
    <row r="321" spans="1:42">
      <c r="A321" s="89">
        <v>320</v>
      </c>
      <c r="B321" s="90">
        <v>50049089</v>
      </c>
      <c r="C321" s="91" t="s">
        <v>818</v>
      </c>
      <c r="D321" s="58" t="s">
        <v>846</v>
      </c>
      <c r="E321" s="59">
        <v>30660</v>
      </c>
      <c r="F321" s="92">
        <f ca="1">(TODAY()-Data_Assessment[[#This Row],[BIRTH DATE]])/365.25</f>
        <v>38.277891854893909</v>
      </c>
      <c r="G321" s="62" t="s">
        <v>895</v>
      </c>
      <c r="H321" s="63" t="s">
        <v>1052</v>
      </c>
      <c r="I321" s="106">
        <v>1</v>
      </c>
      <c r="J321" s="64" t="s">
        <v>1194</v>
      </c>
      <c r="K321" s="143">
        <v>4</v>
      </c>
      <c r="L321" s="58"/>
      <c r="M321" s="58"/>
      <c r="N321" s="102"/>
      <c r="O321" s="102"/>
      <c r="P321" s="102"/>
      <c r="Q321" s="102"/>
      <c r="R321" s="102"/>
      <c r="S321" s="102"/>
      <c r="T321" s="102"/>
      <c r="U321" s="102"/>
      <c r="V321" s="102"/>
      <c r="W321" s="102"/>
      <c r="X321" s="102"/>
      <c r="Y321" s="102"/>
      <c r="Z321" s="102"/>
      <c r="AA321" s="102"/>
      <c r="AB321" s="102"/>
      <c r="AC321" s="102"/>
      <c r="AD321" s="102"/>
      <c r="AE321" s="102"/>
      <c r="AF321" s="102"/>
      <c r="AG321" s="102"/>
      <c r="AH321" s="102"/>
      <c r="AI321" s="102"/>
      <c r="AJ321" s="102"/>
      <c r="AK321" s="102"/>
      <c r="AL321" s="102"/>
      <c r="AM321" s="102"/>
      <c r="AN321" s="102"/>
      <c r="AO321" s="102"/>
      <c r="AP321" s="102"/>
    </row>
    <row r="322" spans="1:42">
      <c r="A322" s="89">
        <v>321</v>
      </c>
      <c r="B322" s="90">
        <v>50031148</v>
      </c>
      <c r="C322" s="91" t="s">
        <v>819</v>
      </c>
      <c r="D322" s="58" t="s">
        <v>845</v>
      </c>
      <c r="E322" s="59">
        <v>30043</v>
      </c>
      <c r="F322" s="92">
        <f ca="1">(TODAY()-Data_Assessment[[#This Row],[BIRTH DATE]])/365.25</f>
        <v>39.967145790554412</v>
      </c>
      <c r="G322" s="62" t="s">
        <v>895</v>
      </c>
      <c r="H322" s="63" t="s">
        <v>1052</v>
      </c>
      <c r="I322" s="106">
        <v>1</v>
      </c>
      <c r="J322" s="64" t="s">
        <v>1195</v>
      </c>
      <c r="K322" s="143">
        <v>2</v>
      </c>
      <c r="L322" s="58"/>
      <c r="M322" s="58"/>
      <c r="N322" s="102"/>
      <c r="O322" s="102"/>
      <c r="P322" s="102"/>
      <c r="Q322" s="102"/>
      <c r="R322" s="102"/>
      <c r="S322" s="102"/>
      <c r="T322" s="102"/>
      <c r="U322" s="102"/>
      <c r="V322" s="102"/>
      <c r="W322" s="102"/>
      <c r="X322" s="102"/>
      <c r="Y322" s="102"/>
      <c r="Z322" s="102"/>
      <c r="AA322" s="102"/>
      <c r="AB322" s="102"/>
      <c r="AC322" s="102"/>
      <c r="AD322" s="102"/>
      <c r="AE322" s="102"/>
      <c r="AF322" s="102"/>
      <c r="AG322" s="102"/>
      <c r="AH322" s="102"/>
      <c r="AI322" s="102"/>
      <c r="AJ322" s="102"/>
      <c r="AK322" s="102"/>
      <c r="AL322" s="102"/>
      <c r="AM322" s="102"/>
      <c r="AN322" s="102"/>
      <c r="AO322" s="102"/>
      <c r="AP322" s="102"/>
    </row>
    <row r="323" spans="1:42">
      <c r="A323" s="89">
        <v>322</v>
      </c>
      <c r="B323" s="90">
        <v>50037235</v>
      </c>
      <c r="C323" s="91" t="s">
        <v>820</v>
      </c>
      <c r="D323" s="58" t="s">
        <v>846</v>
      </c>
      <c r="E323" s="59">
        <v>33608</v>
      </c>
      <c r="F323" s="92">
        <f ca="1">(TODAY()-Data_Assessment[[#This Row],[BIRTH DATE]])/365.25</f>
        <v>30.206707734428473</v>
      </c>
      <c r="G323" s="62" t="s">
        <v>895</v>
      </c>
      <c r="H323" s="63" t="s">
        <v>1052</v>
      </c>
      <c r="I323" s="106">
        <v>1</v>
      </c>
      <c r="J323" s="64" t="s">
        <v>1196</v>
      </c>
      <c r="K323" s="143">
        <v>3</v>
      </c>
      <c r="L323" s="58"/>
      <c r="M323" s="58"/>
      <c r="N323" s="102"/>
      <c r="O323" s="102"/>
      <c r="P323" s="102"/>
      <c r="Q323" s="102"/>
      <c r="R323" s="102"/>
      <c r="S323" s="102"/>
      <c r="T323" s="102"/>
      <c r="U323" s="102"/>
      <c r="V323" s="102"/>
      <c r="W323" s="102"/>
      <c r="X323" s="102"/>
      <c r="Y323" s="102"/>
      <c r="Z323" s="102"/>
      <c r="AA323" s="102"/>
      <c r="AB323" s="102"/>
      <c r="AC323" s="102"/>
      <c r="AD323" s="102"/>
      <c r="AE323" s="102"/>
      <c r="AF323" s="102"/>
      <c r="AG323" s="102"/>
      <c r="AH323" s="102"/>
      <c r="AI323" s="102"/>
      <c r="AJ323" s="102"/>
      <c r="AK323" s="102"/>
      <c r="AL323" s="102"/>
      <c r="AM323" s="102"/>
      <c r="AN323" s="102"/>
      <c r="AO323" s="102"/>
      <c r="AP323" s="102"/>
    </row>
    <row r="324" spans="1:42">
      <c r="A324" s="89">
        <v>323</v>
      </c>
      <c r="B324" s="90">
        <v>50030508</v>
      </c>
      <c r="C324" s="91" t="s">
        <v>285</v>
      </c>
      <c r="D324" s="58" t="s">
        <v>845</v>
      </c>
      <c r="E324" s="59">
        <v>26391</v>
      </c>
      <c r="F324" s="92">
        <f ca="1">(TODAY()-Data_Assessment[[#This Row],[BIRTH DATE]])/365.25</f>
        <v>49.965776865160848</v>
      </c>
      <c r="G324" s="62" t="s">
        <v>986</v>
      </c>
      <c r="H324" s="63" t="s">
        <v>987</v>
      </c>
      <c r="I324" s="106">
        <v>4</v>
      </c>
      <c r="J324" s="64" t="s">
        <v>1197</v>
      </c>
      <c r="K324" s="143">
        <v>4</v>
      </c>
      <c r="L324" s="58"/>
      <c r="M324" s="58"/>
      <c r="N324" s="102"/>
      <c r="O324" s="102"/>
      <c r="P324" s="102"/>
      <c r="Q324" s="102"/>
      <c r="R324" s="102"/>
      <c r="S324" s="102"/>
      <c r="T324" s="102"/>
      <c r="U324" s="102"/>
      <c r="V324" s="102"/>
      <c r="W324" s="102"/>
      <c r="X324" s="102"/>
      <c r="Y324" s="102"/>
      <c r="Z324" s="102"/>
      <c r="AA324" s="102"/>
      <c r="AB324" s="102"/>
      <c r="AC324" s="102"/>
      <c r="AD324" s="102"/>
      <c r="AE324" s="102"/>
      <c r="AF324" s="102"/>
      <c r="AG324" s="102"/>
      <c r="AH324" s="102"/>
      <c r="AI324" s="102"/>
      <c r="AJ324" s="102"/>
      <c r="AK324" s="102"/>
      <c r="AL324" s="102"/>
      <c r="AM324" s="102"/>
      <c r="AN324" s="102"/>
      <c r="AO324" s="102"/>
      <c r="AP324" s="102"/>
    </row>
    <row r="325" spans="1:42">
      <c r="A325" s="89">
        <v>324</v>
      </c>
      <c r="B325" s="90">
        <v>50031154</v>
      </c>
      <c r="C325" s="91" t="s">
        <v>821</v>
      </c>
      <c r="D325" s="58" t="s">
        <v>845</v>
      </c>
      <c r="E325" s="59">
        <v>30570</v>
      </c>
      <c r="F325" s="92">
        <f ca="1">(TODAY()-Data_Assessment[[#This Row],[BIRTH DATE]])/365.25</f>
        <v>38.5242984257358</v>
      </c>
      <c r="G325" s="62" t="s">
        <v>895</v>
      </c>
      <c r="H325" s="63" t="s">
        <v>1052</v>
      </c>
      <c r="I325" s="106">
        <v>1</v>
      </c>
      <c r="J325" s="64" t="s">
        <v>1198</v>
      </c>
      <c r="K325" s="143">
        <v>4</v>
      </c>
      <c r="L325" s="58"/>
      <c r="M325" s="58"/>
      <c r="N325" s="102"/>
      <c r="O325" s="102"/>
      <c r="P325" s="102"/>
      <c r="Q325" s="102"/>
      <c r="R325" s="102"/>
      <c r="S325" s="102"/>
      <c r="T325" s="102"/>
      <c r="U325" s="102"/>
      <c r="V325" s="102"/>
      <c r="W325" s="102"/>
      <c r="X325" s="102"/>
      <c r="Y325" s="102"/>
      <c r="Z325" s="102"/>
      <c r="AA325" s="102"/>
      <c r="AB325" s="102"/>
      <c r="AC325" s="102"/>
      <c r="AD325" s="102"/>
      <c r="AE325" s="102"/>
      <c r="AF325" s="102"/>
      <c r="AG325" s="102"/>
      <c r="AH325" s="102"/>
      <c r="AI325" s="102"/>
      <c r="AJ325" s="102"/>
      <c r="AK325" s="102"/>
      <c r="AL325" s="102"/>
      <c r="AM325" s="102"/>
      <c r="AN325" s="102"/>
      <c r="AO325" s="102"/>
      <c r="AP325" s="102"/>
    </row>
    <row r="326" spans="1:42">
      <c r="A326" s="89">
        <v>325</v>
      </c>
      <c r="B326" s="90">
        <v>50031129</v>
      </c>
      <c r="C326" s="91" t="s">
        <v>822</v>
      </c>
      <c r="D326" s="58" t="s">
        <v>845</v>
      </c>
      <c r="E326" s="59">
        <v>31585</v>
      </c>
      <c r="F326" s="92">
        <f ca="1">(TODAY()-Data_Assessment[[#This Row],[BIRTH DATE]])/365.25</f>
        <v>35.745379876796711</v>
      </c>
      <c r="G326" s="62" t="s">
        <v>895</v>
      </c>
      <c r="H326" s="63" t="s">
        <v>1052</v>
      </c>
      <c r="I326" s="106">
        <v>1</v>
      </c>
      <c r="J326" s="64" t="s">
        <v>1199</v>
      </c>
      <c r="K326" s="143">
        <v>3</v>
      </c>
      <c r="L326" s="58"/>
      <c r="M326" s="58"/>
      <c r="N326" s="102"/>
      <c r="O326" s="102"/>
      <c r="P326" s="102"/>
      <c r="Q326" s="102"/>
      <c r="R326" s="102"/>
      <c r="S326" s="102"/>
      <c r="T326" s="102"/>
      <c r="U326" s="102"/>
      <c r="V326" s="102"/>
      <c r="W326" s="102"/>
      <c r="X326" s="102"/>
      <c r="Y326" s="102"/>
      <c r="Z326" s="102"/>
      <c r="AA326" s="102"/>
      <c r="AB326" s="102"/>
      <c r="AC326" s="102"/>
      <c r="AD326" s="102"/>
      <c r="AE326" s="102"/>
      <c r="AF326" s="102"/>
      <c r="AG326" s="102"/>
      <c r="AH326" s="102"/>
      <c r="AI326" s="102"/>
      <c r="AJ326" s="102"/>
      <c r="AK326" s="102"/>
      <c r="AL326" s="102"/>
      <c r="AM326" s="102"/>
      <c r="AN326" s="102"/>
      <c r="AO326" s="102"/>
      <c r="AP326" s="102"/>
    </row>
    <row r="327" spans="1:42">
      <c r="A327" s="89">
        <v>326</v>
      </c>
      <c r="B327" s="90">
        <v>50031130</v>
      </c>
      <c r="C327" s="91" t="s">
        <v>823</v>
      </c>
      <c r="D327" s="58" t="s">
        <v>846</v>
      </c>
      <c r="E327" s="59">
        <v>31488</v>
      </c>
      <c r="F327" s="92">
        <f ca="1">(TODAY()-Data_Assessment[[#This Row],[BIRTH DATE]])/365.25</f>
        <v>36.010951403148532</v>
      </c>
      <c r="G327" s="62" t="s">
        <v>895</v>
      </c>
      <c r="H327" s="63" t="s">
        <v>1052</v>
      </c>
      <c r="I327" s="106">
        <v>1</v>
      </c>
      <c r="J327" s="64" t="s">
        <v>1054</v>
      </c>
      <c r="K327" s="143">
        <v>3</v>
      </c>
      <c r="L327" s="58"/>
      <c r="M327" s="58"/>
      <c r="N327" s="102"/>
      <c r="O327" s="102"/>
      <c r="P327" s="102"/>
      <c r="Q327" s="102"/>
      <c r="R327" s="102"/>
      <c r="S327" s="102"/>
      <c r="T327" s="102"/>
      <c r="U327" s="102"/>
      <c r="V327" s="102"/>
      <c r="W327" s="102"/>
      <c r="X327" s="102"/>
      <c r="Y327" s="102"/>
      <c r="Z327" s="102"/>
      <c r="AA327" s="102"/>
      <c r="AB327" s="102"/>
      <c r="AC327" s="102"/>
      <c r="AD327" s="102"/>
      <c r="AE327" s="102"/>
      <c r="AF327" s="102"/>
      <c r="AG327" s="102"/>
      <c r="AH327" s="102"/>
      <c r="AI327" s="102"/>
      <c r="AJ327" s="102"/>
      <c r="AK327" s="102"/>
      <c r="AL327" s="102"/>
      <c r="AM327" s="102"/>
      <c r="AN327" s="102"/>
      <c r="AO327" s="102"/>
      <c r="AP327" s="102"/>
    </row>
    <row r="328" spans="1:42">
      <c r="A328" s="89">
        <v>327</v>
      </c>
      <c r="B328" s="90">
        <v>50031127</v>
      </c>
      <c r="C328" s="91" t="s">
        <v>824</v>
      </c>
      <c r="D328" s="58" t="s">
        <v>846</v>
      </c>
      <c r="E328" s="59">
        <v>31233</v>
      </c>
      <c r="F328" s="92">
        <f ca="1">(TODAY()-Data_Assessment[[#This Row],[BIRTH DATE]])/365.25</f>
        <v>36.709103353867214</v>
      </c>
      <c r="G328" s="62" t="s">
        <v>895</v>
      </c>
      <c r="H328" s="63" t="s">
        <v>1052</v>
      </c>
      <c r="I328" s="106">
        <v>1</v>
      </c>
      <c r="J328" s="64" t="s">
        <v>1054</v>
      </c>
      <c r="K328" s="143">
        <v>4</v>
      </c>
      <c r="L328" s="58"/>
      <c r="M328" s="58"/>
      <c r="N328" s="102"/>
      <c r="O328" s="102"/>
      <c r="P328" s="102"/>
      <c r="Q328" s="102"/>
      <c r="R328" s="102"/>
      <c r="S328" s="102"/>
      <c r="T328" s="102"/>
      <c r="U328" s="102"/>
      <c r="V328" s="102"/>
      <c r="W328" s="102"/>
      <c r="X328" s="102"/>
      <c r="Y328" s="102"/>
      <c r="Z328" s="102"/>
      <c r="AA328" s="102"/>
      <c r="AB328" s="102"/>
      <c r="AC328" s="102"/>
      <c r="AD328" s="102"/>
      <c r="AE328" s="102"/>
      <c r="AF328" s="102"/>
      <c r="AG328" s="102"/>
      <c r="AH328" s="102"/>
      <c r="AI328" s="102"/>
      <c r="AJ328" s="102"/>
      <c r="AK328" s="102"/>
      <c r="AL328" s="102"/>
      <c r="AM328" s="102"/>
      <c r="AN328" s="102"/>
      <c r="AO328" s="102"/>
      <c r="AP328" s="102"/>
    </row>
    <row r="329" spans="1:42">
      <c r="A329" s="89">
        <v>328</v>
      </c>
      <c r="B329" s="90">
        <v>50031533</v>
      </c>
      <c r="C329" s="91" t="s">
        <v>826</v>
      </c>
      <c r="D329" s="58" t="s">
        <v>846</v>
      </c>
      <c r="E329" s="59">
        <v>32849</v>
      </c>
      <c r="F329" s="92">
        <f ca="1">(TODAY()-Data_Assessment[[#This Row],[BIRTH DATE]])/365.25</f>
        <v>32.284736481861735</v>
      </c>
      <c r="G329" s="62" t="s">
        <v>895</v>
      </c>
      <c r="H329" s="63" t="s">
        <v>1052</v>
      </c>
      <c r="I329" s="106">
        <v>1</v>
      </c>
      <c r="J329" s="64" t="s">
        <v>1200</v>
      </c>
      <c r="K329" s="143">
        <v>3</v>
      </c>
      <c r="L329" s="58"/>
      <c r="M329" s="58"/>
      <c r="N329" s="102"/>
      <c r="O329" s="102"/>
      <c r="P329" s="102"/>
      <c r="Q329" s="102"/>
      <c r="R329" s="102"/>
      <c r="S329" s="102"/>
      <c r="T329" s="102"/>
      <c r="U329" s="102"/>
      <c r="V329" s="102"/>
      <c r="W329" s="102"/>
      <c r="X329" s="102"/>
      <c r="Y329" s="102"/>
      <c r="Z329" s="102"/>
      <c r="AA329" s="102"/>
      <c r="AB329" s="102"/>
      <c r="AC329" s="102"/>
      <c r="AD329" s="102"/>
      <c r="AE329" s="102"/>
      <c r="AF329" s="102"/>
      <c r="AG329" s="102"/>
      <c r="AH329" s="102"/>
      <c r="AI329" s="102"/>
      <c r="AJ329" s="102"/>
      <c r="AK329" s="102"/>
      <c r="AL329" s="102"/>
      <c r="AM329" s="102"/>
      <c r="AN329" s="102"/>
      <c r="AO329" s="102"/>
      <c r="AP329" s="102"/>
    </row>
    <row r="330" spans="1:42">
      <c r="A330" s="89">
        <v>329</v>
      </c>
      <c r="B330" s="90">
        <v>50030529</v>
      </c>
      <c r="C330" s="91" t="s">
        <v>290</v>
      </c>
      <c r="D330" s="58" t="s">
        <v>846</v>
      </c>
      <c r="E330" s="59">
        <v>32662</v>
      </c>
      <c r="F330" s="92">
        <f ca="1">(TODAY()-Data_Assessment[[#This Row],[BIRTH DATE]])/365.25</f>
        <v>32.79671457905544</v>
      </c>
      <c r="G330" s="62" t="s">
        <v>986</v>
      </c>
      <c r="H330" s="63" t="s">
        <v>987</v>
      </c>
      <c r="I330" s="106">
        <v>4</v>
      </c>
      <c r="J330" s="64" t="s">
        <v>988</v>
      </c>
      <c r="K330" s="143">
        <v>3</v>
      </c>
      <c r="L330" s="58"/>
      <c r="M330" s="58"/>
      <c r="N330" s="102"/>
      <c r="O330" s="102"/>
      <c r="P330" s="102"/>
      <c r="Q330" s="102"/>
      <c r="R330" s="102"/>
      <c r="S330" s="102"/>
      <c r="T330" s="102"/>
      <c r="U330" s="102"/>
      <c r="V330" s="102"/>
      <c r="W330" s="102"/>
      <c r="X330" s="102"/>
      <c r="Y330" s="102"/>
      <c r="Z330" s="102"/>
      <c r="AA330" s="102"/>
      <c r="AB330" s="102"/>
      <c r="AC330" s="102"/>
      <c r="AD330" s="102"/>
      <c r="AE330" s="102"/>
      <c r="AF330" s="102"/>
      <c r="AG330" s="102"/>
      <c r="AH330" s="102"/>
      <c r="AI330" s="102"/>
      <c r="AJ330" s="102"/>
      <c r="AK330" s="102"/>
      <c r="AL330" s="102"/>
      <c r="AM330" s="102"/>
      <c r="AN330" s="102"/>
      <c r="AO330" s="102"/>
      <c r="AP330" s="102"/>
    </row>
    <row r="331" spans="1:42">
      <c r="A331" s="89">
        <v>330</v>
      </c>
      <c r="B331" s="90">
        <v>50031137</v>
      </c>
      <c r="C331" s="91" t="s">
        <v>827</v>
      </c>
      <c r="D331" s="58" t="s">
        <v>845</v>
      </c>
      <c r="E331" s="59">
        <v>32116</v>
      </c>
      <c r="F331" s="92">
        <f ca="1">(TODAY()-Data_Assessment[[#This Row],[BIRTH DATE]])/365.25</f>
        <v>34.291581108829568</v>
      </c>
      <c r="G331" s="62" t="s">
        <v>895</v>
      </c>
      <c r="H331" s="63" t="s">
        <v>1052</v>
      </c>
      <c r="I331" s="106">
        <v>1</v>
      </c>
      <c r="J331" s="64" t="s">
        <v>1201</v>
      </c>
      <c r="K331" s="143">
        <v>3</v>
      </c>
      <c r="L331" s="58"/>
      <c r="M331" s="58"/>
      <c r="N331" s="102"/>
      <c r="O331" s="102"/>
      <c r="P331" s="102"/>
      <c r="Q331" s="102"/>
      <c r="R331" s="102"/>
      <c r="S331" s="102"/>
      <c r="T331" s="102"/>
      <c r="U331" s="102"/>
      <c r="V331" s="102"/>
      <c r="W331" s="102"/>
      <c r="X331" s="102"/>
      <c r="Y331" s="102"/>
      <c r="Z331" s="102"/>
      <c r="AA331" s="102"/>
      <c r="AB331" s="102"/>
      <c r="AC331" s="102"/>
      <c r="AD331" s="102"/>
      <c r="AE331" s="102"/>
      <c r="AF331" s="102"/>
      <c r="AG331" s="102"/>
      <c r="AH331" s="102"/>
      <c r="AI331" s="102"/>
      <c r="AJ331" s="102"/>
      <c r="AK331" s="102"/>
      <c r="AL331" s="102"/>
      <c r="AM331" s="102"/>
      <c r="AN331" s="102"/>
      <c r="AO331" s="102"/>
      <c r="AP331" s="102"/>
    </row>
    <row r="332" spans="1:42">
      <c r="A332" s="89">
        <v>331</v>
      </c>
      <c r="B332" s="90">
        <v>50039966</v>
      </c>
      <c r="C332" s="91" t="s">
        <v>828</v>
      </c>
      <c r="D332" s="58" t="s">
        <v>845</v>
      </c>
      <c r="E332" s="59">
        <v>30776</v>
      </c>
      <c r="F332" s="92">
        <f ca="1">(TODAY()-Data_Assessment[[#This Row],[BIRTH DATE]])/365.25</f>
        <v>37.960301163586585</v>
      </c>
      <c r="G332" s="62" t="s">
        <v>895</v>
      </c>
      <c r="H332" s="63" t="s">
        <v>1052</v>
      </c>
      <c r="I332" s="106">
        <v>1</v>
      </c>
      <c r="J332" s="64" t="s">
        <v>1201</v>
      </c>
      <c r="K332" s="143">
        <v>3</v>
      </c>
      <c r="L332" s="58"/>
      <c r="M332" s="58"/>
      <c r="N332" s="102"/>
      <c r="O332" s="102"/>
      <c r="P332" s="102"/>
      <c r="Q332" s="102"/>
      <c r="R332" s="102"/>
      <c r="S332" s="102"/>
      <c r="T332" s="102"/>
      <c r="U332" s="102"/>
      <c r="V332" s="102"/>
      <c r="W332" s="102"/>
      <c r="X332" s="102"/>
      <c r="Y332" s="102"/>
      <c r="Z332" s="102"/>
      <c r="AA332" s="102"/>
      <c r="AB332" s="102"/>
      <c r="AC332" s="102"/>
      <c r="AD332" s="102"/>
      <c r="AE332" s="102"/>
      <c r="AF332" s="102"/>
      <c r="AG332" s="102"/>
      <c r="AH332" s="102"/>
      <c r="AI332" s="102"/>
      <c r="AJ332" s="102"/>
      <c r="AK332" s="102"/>
      <c r="AL332" s="102"/>
      <c r="AM332" s="102"/>
      <c r="AN332" s="102"/>
      <c r="AO332" s="102"/>
      <c r="AP332" s="102"/>
    </row>
    <row r="333" spans="1:42">
      <c r="A333" s="89">
        <v>332</v>
      </c>
      <c r="B333" s="90">
        <v>50043000</v>
      </c>
      <c r="C333" s="91" t="s">
        <v>829</v>
      </c>
      <c r="D333" s="58" t="s">
        <v>845</v>
      </c>
      <c r="E333" s="59">
        <v>31939</v>
      </c>
      <c r="F333" s="92">
        <f ca="1">(TODAY()-Data_Assessment[[#This Row],[BIRTH DATE]])/365.25</f>
        <v>34.776180698151954</v>
      </c>
      <c r="G333" s="62" t="s">
        <v>895</v>
      </c>
      <c r="H333" s="63" t="s">
        <v>1052</v>
      </c>
      <c r="I333" s="106">
        <v>1</v>
      </c>
      <c r="J333" s="64" t="s">
        <v>1202</v>
      </c>
      <c r="K333" s="143">
        <v>3</v>
      </c>
      <c r="L333" s="58"/>
      <c r="M333" s="58"/>
      <c r="N333" s="102"/>
      <c r="O333" s="102"/>
      <c r="P333" s="102"/>
      <c r="Q333" s="102"/>
      <c r="R333" s="102"/>
      <c r="S333" s="102"/>
      <c r="T333" s="102"/>
      <c r="U333" s="102"/>
      <c r="V333" s="102"/>
      <c r="W333" s="102"/>
      <c r="X333" s="102"/>
      <c r="Y333" s="102"/>
      <c r="Z333" s="102"/>
      <c r="AA333" s="102"/>
      <c r="AB333" s="102"/>
      <c r="AC333" s="102"/>
      <c r="AD333" s="102"/>
      <c r="AE333" s="102"/>
      <c r="AF333" s="102"/>
      <c r="AG333" s="102"/>
      <c r="AH333" s="102"/>
      <c r="AI333" s="102"/>
      <c r="AJ333" s="102"/>
      <c r="AK333" s="102"/>
      <c r="AL333" s="102"/>
      <c r="AM333" s="102"/>
      <c r="AN333" s="102"/>
      <c r="AO333" s="102"/>
      <c r="AP333" s="102"/>
    </row>
    <row r="334" spans="1:42">
      <c r="A334" s="89">
        <v>333</v>
      </c>
      <c r="B334" s="90">
        <v>50135178</v>
      </c>
      <c r="C334" s="91" t="s">
        <v>726</v>
      </c>
      <c r="D334" s="58" t="s">
        <v>845</v>
      </c>
      <c r="E334" s="59">
        <v>33811</v>
      </c>
      <c r="F334" s="92">
        <f ca="1">(TODAY()-Data_Assessment[[#This Row],[BIRTH DATE]])/365.25</f>
        <v>29.650924024640656</v>
      </c>
      <c r="G334" s="62" t="s">
        <v>895</v>
      </c>
      <c r="H334" s="63" t="s">
        <v>1203</v>
      </c>
      <c r="I334" s="106">
        <v>1</v>
      </c>
      <c r="J334" s="64" t="s">
        <v>1204</v>
      </c>
      <c r="K334" s="143">
        <v>2</v>
      </c>
      <c r="L334" s="58"/>
      <c r="M334" s="58"/>
      <c r="N334" s="102"/>
      <c r="O334" s="102"/>
      <c r="P334" s="102"/>
      <c r="Q334" s="102"/>
      <c r="R334" s="102"/>
      <c r="S334" s="102"/>
      <c r="T334" s="102"/>
      <c r="U334" s="102"/>
      <c r="V334" s="102"/>
      <c r="W334" s="102"/>
      <c r="X334" s="102"/>
      <c r="Y334" s="102"/>
      <c r="Z334" s="102"/>
      <c r="AA334" s="102"/>
      <c r="AB334" s="102"/>
      <c r="AC334" s="102"/>
      <c r="AD334" s="102"/>
      <c r="AE334" s="102"/>
      <c r="AF334" s="102"/>
      <c r="AG334" s="102"/>
      <c r="AH334" s="102"/>
      <c r="AI334" s="102"/>
      <c r="AJ334" s="102"/>
      <c r="AK334" s="102"/>
      <c r="AL334" s="102"/>
      <c r="AM334" s="102"/>
      <c r="AN334" s="102"/>
      <c r="AO334" s="102"/>
      <c r="AP334" s="102"/>
    </row>
    <row r="335" spans="1:42">
      <c r="A335" s="89">
        <v>334</v>
      </c>
      <c r="B335" s="90">
        <v>50108149</v>
      </c>
      <c r="C335" s="91" t="s">
        <v>719</v>
      </c>
      <c r="D335" s="58" t="s">
        <v>845</v>
      </c>
      <c r="E335" s="59">
        <v>33845</v>
      </c>
      <c r="F335" s="92">
        <f ca="1">(TODAY()-Data_Assessment[[#This Row],[BIRTH DATE]])/365.25</f>
        <v>29.557837097878167</v>
      </c>
      <c r="G335" s="62" t="s">
        <v>895</v>
      </c>
      <c r="H335" s="63" t="s">
        <v>1205</v>
      </c>
      <c r="I335" s="106">
        <v>1</v>
      </c>
      <c r="J335" s="64" t="s">
        <v>1206</v>
      </c>
      <c r="K335" s="143">
        <v>3</v>
      </c>
      <c r="L335" s="58"/>
      <c r="M335" s="58"/>
      <c r="N335" s="102"/>
      <c r="O335" s="102"/>
      <c r="P335" s="102"/>
      <c r="Q335" s="102"/>
      <c r="R335" s="102"/>
      <c r="S335" s="102"/>
      <c r="T335" s="102"/>
      <c r="U335" s="102"/>
      <c r="V335" s="102"/>
      <c r="W335" s="102"/>
      <c r="X335" s="102"/>
      <c r="Y335" s="102"/>
      <c r="Z335" s="102"/>
      <c r="AA335" s="102"/>
      <c r="AB335" s="102"/>
      <c r="AC335" s="102"/>
      <c r="AD335" s="102"/>
      <c r="AE335" s="102"/>
      <c r="AF335" s="102"/>
      <c r="AG335" s="102"/>
      <c r="AH335" s="102"/>
      <c r="AI335" s="102"/>
      <c r="AJ335" s="102"/>
      <c r="AK335" s="102"/>
      <c r="AL335" s="102"/>
      <c r="AM335" s="102"/>
      <c r="AN335" s="102"/>
      <c r="AO335" s="102"/>
      <c r="AP335" s="102"/>
    </row>
    <row r="336" spans="1:42">
      <c r="A336" s="89">
        <v>335</v>
      </c>
      <c r="B336" s="90">
        <v>50135176</v>
      </c>
      <c r="C336" s="91" t="s">
        <v>721</v>
      </c>
      <c r="D336" s="58" t="s">
        <v>845</v>
      </c>
      <c r="E336" s="59">
        <v>34644</v>
      </c>
      <c r="F336" s="92">
        <f ca="1">(TODAY()-Data_Assessment[[#This Row],[BIRTH DATE]])/365.25</f>
        <v>27.370294318959616</v>
      </c>
      <c r="G336" s="62" t="s">
        <v>895</v>
      </c>
      <c r="H336" s="63" t="s">
        <v>1205</v>
      </c>
      <c r="I336" s="106">
        <v>1</v>
      </c>
      <c r="J336" s="64" t="s">
        <v>1206</v>
      </c>
      <c r="K336" s="143">
        <v>2</v>
      </c>
      <c r="L336" s="58"/>
      <c r="M336" s="58"/>
      <c r="N336" s="102"/>
      <c r="O336" s="102"/>
      <c r="P336" s="102"/>
      <c r="Q336" s="102"/>
      <c r="R336" s="102"/>
      <c r="S336" s="102"/>
      <c r="T336" s="102"/>
      <c r="U336" s="102"/>
      <c r="V336" s="102"/>
      <c r="W336" s="102"/>
      <c r="X336" s="102"/>
      <c r="Y336" s="102"/>
      <c r="Z336" s="102"/>
      <c r="AA336" s="102"/>
      <c r="AB336" s="102"/>
      <c r="AC336" s="102"/>
      <c r="AD336" s="102"/>
      <c r="AE336" s="102"/>
      <c r="AF336" s="102"/>
      <c r="AG336" s="102"/>
      <c r="AH336" s="102"/>
      <c r="AI336" s="102"/>
      <c r="AJ336" s="102"/>
      <c r="AK336" s="102"/>
      <c r="AL336" s="102"/>
      <c r="AM336" s="102"/>
      <c r="AN336" s="102"/>
      <c r="AO336" s="102"/>
      <c r="AP336" s="102"/>
    </row>
    <row r="337" spans="1:42">
      <c r="A337" s="89">
        <v>336</v>
      </c>
      <c r="B337" s="90">
        <v>50108166</v>
      </c>
      <c r="C337" s="91" t="s">
        <v>731</v>
      </c>
      <c r="D337" s="58" t="s">
        <v>845</v>
      </c>
      <c r="E337" s="59">
        <v>33655</v>
      </c>
      <c r="F337" s="92">
        <f ca="1">(TODAY()-Data_Assessment[[#This Row],[BIRTH DATE]])/365.25</f>
        <v>30.078028747433265</v>
      </c>
      <c r="G337" s="62" t="s">
        <v>895</v>
      </c>
      <c r="H337" s="63" t="s">
        <v>1207</v>
      </c>
      <c r="I337" s="106">
        <v>1</v>
      </c>
      <c r="J337" s="64" t="s">
        <v>1208</v>
      </c>
      <c r="K337" s="143">
        <v>3</v>
      </c>
      <c r="L337" s="58"/>
      <c r="M337" s="58"/>
      <c r="N337" s="102"/>
      <c r="O337" s="102"/>
      <c r="P337" s="102"/>
      <c r="Q337" s="102"/>
      <c r="R337" s="102"/>
      <c r="S337" s="102"/>
      <c r="T337" s="102"/>
      <c r="U337" s="102"/>
      <c r="V337" s="102"/>
      <c r="W337" s="102"/>
      <c r="X337" s="102"/>
      <c r="Y337" s="102"/>
      <c r="Z337" s="102"/>
      <c r="AA337" s="102"/>
      <c r="AB337" s="102"/>
      <c r="AC337" s="102"/>
      <c r="AD337" s="102"/>
      <c r="AE337" s="102"/>
      <c r="AF337" s="102"/>
      <c r="AG337" s="102"/>
      <c r="AH337" s="102"/>
      <c r="AI337" s="102"/>
      <c r="AJ337" s="102"/>
      <c r="AK337" s="102"/>
      <c r="AL337" s="102"/>
      <c r="AM337" s="102"/>
      <c r="AN337" s="102"/>
      <c r="AO337" s="102"/>
      <c r="AP337" s="102"/>
    </row>
    <row r="338" spans="1:42">
      <c r="A338" s="89">
        <v>337</v>
      </c>
      <c r="B338" s="90">
        <v>50108168</v>
      </c>
      <c r="C338" s="91" t="s">
        <v>753</v>
      </c>
      <c r="D338" s="58" t="s">
        <v>845</v>
      </c>
      <c r="E338" s="59">
        <v>34232</v>
      </c>
      <c r="F338" s="92">
        <f ca="1">(TODAY()-Data_Assessment[[#This Row],[BIRTH DATE]])/365.25</f>
        <v>28.498288843258042</v>
      </c>
      <c r="G338" s="62" t="s">
        <v>919</v>
      </c>
      <c r="H338" s="63" t="s">
        <v>920</v>
      </c>
      <c r="I338" s="106">
        <v>1</v>
      </c>
      <c r="J338" s="64" t="s">
        <v>921</v>
      </c>
      <c r="K338" s="143">
        <v>2</v>
      </c>
      <c r="L338" s="58"/>
      <c r="M338" s="58"/>
      <c r="N338" s="102"/>
      <c r="O338" s="102"/>
      <c r="P338" s="102"/>
      <c r="Q338" s="102"/>
      <c r="R338" s="102"/>
      <c r="S338" s="102"/>
      <c r="T338" s="102"/>
      <c r="U338" s="102"/>
      <c r="V338" s="102"/>
      <c r="W338" s="102"/>
      <c r="X338" s="102"/>
      <c r="Y338" s="102"/>
      <c r="Z338" s="102"/>
      <c r="AA338" s="102"/>
      <c r="AB338" s="102"/>
      <c r="AC338" s="102"/>
      <c r="AD338" s="102"/>
      <c r="AE338" s="102"/>
      <c r="AF338" s="102"/>
      <c r="AG338" s="102"/>
      <c r="AH338" s="102"/>
      <c r="AI338" s="102"/>
      <c r="AJ338" s="102"/>
      <c r="AK338" s="102"/>
      <c r="AL338" s="102"/>
      <c r="AM338" s="102"/>
      <c r="AN338" s="102"/>
      <c r="AO338" s="102"/>
      <c r="AP338" s="102"/>
    </row>
    <row r="339" spans="1:42">
      <c r="A339" s="89">
        <v>338</v>
      </c>
      <c r="B339" s="90">
        <v>50142629</v>
      </c>
      <c r="C339" s="91" t="s">
        <v>745</v>
      </c>
      <c r="D339" s="58" t="s">
        <v>845</v>
      </c>
      <c r="E339" s="59">
        <v>31924</v>
      </c>
      <c r="F339" s="92">
        <f ca="1">(TODAY()-Data_Assessment[[#This Row],[BIRTH DATE]])/365.25</f>
        <v>34.817248459958932</v>
      </c>
      <c r="G339" s="62" t="s">
        <v>919</v>
      </c>
      <c r="H339" s="63" t="s">
        <v>923</v>
      </c>
      <c r="I339" s="106">
        <v>1</v>
      </c>
      <c r="J339" s="64" t="s">
        <v>1209</v>
      </c>
      <c r="K339" s="143">
        <v>3</v>
      </c>
      <c r="L339" s="58"/>
      <c r="M339" s="58"/>
      <c r="N339" s="102"/>
      <c r="O339" s="102"/>
      <c r="P339" s="102"/>
      <c r="Q339" s="102"/>
      <c r="R339" s="102"/>
      <c r="S339" s="102"/>
      <c r="T339" s="102"/>
      <c r="U339" s="102"/>
      <c r="V339" s="102"/>
      <c r="W339" s="102"/>
      <c r="X339" s="102"/>
      <c r="Y339" s="102"/>
      <c r="Z339" s="102"/>
      <c r="AA339" s="102"/>
      <c r="AB339" s="102"/>
      <c r="AC339" s="102"/>
      <c r="AD339" s="102"/>
      <c r="AE339" s="102"/>
      <c r="AF339" s="102"/>
      <c r="AG339" s="102"/>
      <c r="AH339" s="102"/>
      <c r="AI339" s="102"/>
      <c r="AJ339" s="102"/>
      <c r="AK339" s="102"/>
      <c r="AL339" s="102"/>
      <c r="AM339" s="102"/>
      <c r="AN339" s="102"/>
      <c r="AO339" s="102"/>
      <c r="AP339" s="102"/>
    </row>
    <row r="340" spans="1:42">
      <c r="A340" s="89">
        <v>339</v>
      </c>
      <c r="B340" s="90">
        <v>50085965</v>
      </c>
      <c r="C340" s="91" t="s">
        <v>372</v>
      </c>
      <c r="D340" s="58" t="s">
        <v>845</v>
      </c>
      <c r="E340" s="59">
        <v>32127</v>
      </c>
      <c r="F340" s="92">
        <f ca="1">(TODAY()-Data_Assessment[[#This Row],[BIRTH DATE]])/365.25</f>
        <v>34.261464750171115</v>
      </c>
      <c r="G340" s="62" t="s">
        <v>895</v>
      </c>
      <c r="H340" s="63" t="s">
        <v>1210</v>
      </c>
      <c r="I340" s="106">
        <v>1</v>
      </c>
      <c r="J340" s="64" t="s">
        <v>1211</v>
      </c>
      <c r="K340" s="143">
        <v>4</v>
      </c>
      <c r="L340" s="58"/>
      <c r="M340" s="58"/>
      <c r="N340" s="102"/>
      <c r="O340" s="102"/>
      <c r="P340" s="102"/>
      <c r="Q340" s="102"/>
      <c r="R340" s="102"/>
      <c r="S340" s="102"/>
      <c r="T340" s="102"/>
      <c r="U340" s="102"/>
      <c r="V340" s="102"/>
      <c r="W340" s="102"/>
      <c r="X340" s="102"/>
      <c r="Y340" s="102"/>
      <c r="Z340" s="102"/>
      <c r="AA340" s="102"/>
      <c r="AB340" s="102"/>
      <c r="AC340" s="102"/>
      <c r="AD340" s="102"/>
      <c r="AE340" s="102"/>
      <c r="AF340" s="102"/>
      <c r="AG340" s="102"/>
      <c r="AH340" s="102"/>
      <c r="AI340" s="102"/>
      <c r="AJ340" s="102"/>
      <c r="AK340" s="102"/>
      <c r="AL340" s="102"/>
      <c r="AM340" s="102"/>
      <c r="AN340" s="102"/>
      <c r="AO340" s="102"/>
      <c r="AP340" s="102"/>
    </row>
    <row r="341" spans="1:42">
      <c r="A341" s="89">
        <v>340</v>
      </c>
      <c r="B341" s="90">
        <v>50122077</v>
      </c>
      <c r="C341" s="91" t="s">
        <v>378</v>
      </c>
      <c r="D341" s="58" t="s">
        <v>845</v>
      </c>
      <c r="E341" s="59">
        <v>35050</v>
      </c>
      <c r="F341" s="92">
        <f ca="1">(TODAY()-Data_Assessment[[#This Row],[BIRTH DATE]])/365.25</f>
        <v>26.258726899383984</v>
      </c>
      <c r="G341" s="62" t="s">
        <v>895</v>
      </c>
      <c r="H341" s="63" t="s">
        <v>896</v>
      </c>
      <c r="I341" s="106">
        <v>1</v>
      </c>
      <c r="J341" s="64" t="s">
        <v>897</v>
      </c>
      <c r="K341" s="143">
        <v>3</v>
      </c>
      <c r="L341" s="58"/>
      <c r="M341" s="58"/>
      <c r="N341" s="102"/>
      <c r="O341" s="102"/>
      <c r="P341" s="102"/>
      <c r="Q341" s="102"/>
      <c r="R341" s="102"/>
      <c r="S341" s="102"/>
      <c r="T341" s="102"/>
      <c r="U341" s="102"/>
      <c r="V341" s="102"/>
      <c r="W341" s="102"/>
      <c r="X341" s="102"/>
      <c r="Y341" s="102"/>
      <c r="Z341" s="102"/>
      <c r="AA341" s="102"/>
      <c r="AB341" s="102"/>
      <c r="AC341" s="102"/>
      <c r="AD341" s="102"/>
      <c r="AE341" s="102"/>
      <c r="AF341" s="102"/>
      <c r="AG341" s="102"/>
      <c r="AH341" s="102"/>
      <c r="AI341" s="102"/>
      <c r="AJ341" s="102"/>
      <c r="AK341" s="102"/>
      <c r="AL341" s="102"/>
      <c r="AM341" s="102"/>
      <c r="AN341" s="102"/>
      <c r="AO341" s="102"/>
      <c r="AP341" s="102"/>
    </row>
    <row r="342" spans="1:42" ht="29.25">
      <c r="A342" s="89">
        <v>341</v>
      </c>
      <c r="B342" s="90">
        <v>50031473</v>
      </c>
      <c r="C342" s="91" t="s">
        <v>300</v>
      </c>
      <c r="D342" s="58" t="s">
        <v>845</v>
      </c>
      <c r="E342" s="59">
        <v>25080</v>
      </c>
      <c r="F342" s="92">
        <f ca="1">(TODAY()-Data_Assessment[[#This Row],[BIRTH DATE]])/365.25</f>
        <v>53.555099247091036</v>
      </c>
      <c r="G342" s="62" t="s">
        <v>986</v>
      </c>
      <c r="H342" s="63" t="s">
        <v>987</v>
      </c>
      <c r="I342" s="106">
        <v>4</v>
      </c>
      <c r="J342" s="64" t="s">
        <v>1212</v>
      </c>
      <c r="K342" s="143">
        <v>3</v>
      </c>
      <c r="L342" s="58"/>
      <c r="M342" s="58"/>
      <c r="N342" s="102"/>
      <c r="O342" s="102"/>
      <c r="P342" s="102"/>
      <c r="Q342" s="102"/>
      <c r="R342" s="102"/>
      <c r="S342" s="102"/>
      <c r="T342" s="102"/>
      <c r="U342" s="102"/>
      <c r="V342" s="102"/>
      <c r="W342" s="102"/>
      <c r="X342" s="102"/>
      <c r="Y342" s="102"/>
      <c r="Z342" s="102"/>
      <c r="AA342" s="102"/>
      <c r="AB342" s="102"/>
      <c r="AC342" s="102"/>
      <c r="AD342" s="102"/>
      <c r="AE342" s="102"/>
      <c r="AF342" s="102"/>
      <c r="AG342" s="102"/>
      <c r="AH342" s="102"/>
      <c r="AI342" s="102"/>
      <c r="AJ342" s="102"/>
      <c r="AK342" s="102"/>
      <c r="AL342" s="102"/>
      <c r="AM342" s="102"/>
      <c r="AN342" s="102"/>
      <c r="AO342" s="102"/>
      <c r="AP342" s="102"/>
    </row>
    <row r="343" spans="1:42">
      <c r="A343" s="89">
        <v>342</v>
      </c>
      <c r="B343" s="90">
        <v>50108204</v>
      </c>
      <c r="C343" s="91" t="s">
        <v>891</v>
      </c>
      <c r="D343" s="58" t="s">
        <v>845</v>
      </c>
      <c r="E343" s="59">
        <v>34177</v>
      </c>
      <c r="F343" s="92">
        <f ca="1">(TODAY()-Data_Assessment[[#This Row],[BIRTH DATE]])/365.25</f>
        <v>28.648870636550306</v>
      </c>
      <c r="G343" s="62" t="s">
        <v>895</v>
      </c>
      <c r="H343" s="63" t="s">
        <v>929</v>
      </c>
      <c r="I343" s="106">
        <v>1</v>
      </c>
      <c r="J343" s="64" t="s">
        <v>1213</v>
      </c>
      <c r="K343" s="143">
        <v>3</v>
      </c>
      <c r="L343" s="58"/>
      <c r="M343" s="58"/>
      <c r="N343" s="102"/>
      <c r="O343" s="102"/>
      <c r="P343" s="102"/>
      <c r="Q343" s="102"/>
      <c r="R343" s="102"/>
      <c r="S343" s="102"/>
      <c r="T343" s="102"/>
      <c r="U343" s="102"/>
      <c r="V343" s="102"/>
      <c r="W343" s="102"/>
      <c r="X343" s="102"/>
      <c r="Y343" s="102"/>
      <c r="Z343" s="102"/>
      <c r="AA343" s="102"/>
      <c r="AB343" s="102"/>
      <c r="AC343" s="102"/>
      <c r="AD343" s="102"/>
      <c r="AE343" s="102"/>
      <c r="AF343" s="102"/>
      <c r="AG343" s="102"/>
      <c r="AH343" s="102"/>
      <c r="AI343" s="102"/>
      <c r="AJ343" s="102"/>
      <c r="AK343" s="102"/>
      <c r="AL343" s="102"/>
      <c r="AM343" s="102"/>
      <c r="AN343" s="102"/>
      <c r="AO343" s="102"/>
      <c r="AP343" s="102"/>
    </row>
    <row r="344" spans="1:42">
      <c r="A344" s="89">
        <v>343</v>
      </c>
      <c r="B344" s="90">
        <v>50133254</v>
      </c>
      <c r="C344" s="91" t="s">
        <v>389</v>
      </c>
      <c r="D344" s="58" t="s">
        <v>845</v>
      </c>
      <c r="E344" s="59">
        <v>34886</v>
      </c>
      <c r="F344" s="92">
        <f ca="1">(TODAY()-Data_Assessment[[#This Row],[BIRTH DATE]])/365.25</f>
        <v>26.70773442847365</v>
      </c>
      <c r="G344" s="62" t="s">
        <v>895</v>
      </c>
      <c r="H344" s="63" t="s">
        <v>929</v>
      </c>
      <c r="I344" s="106">
        <v>1</v>
      </c>
      <c r="J344" s="64" t="s">
        <v>1213</v>
      </c>
      <c r="K344" s="143">
        <v>2</v>
      </c>
      <c r="L344" s="58"/>
      <c r="M344" s="58"/>
      <c r="N344" s="102"/>
      <c r="O344" s="102"/>
      <c r="P344" s="102"/>
      <c r="Q344" s="102"/>
      <c r="R344" s="102"/>
      <c r="S344" s="102"/>
      <c r="T344" s="102"/>
      <c r="U344" s="102"/>
      <c r="V344" s="102"/>
      <c r="W344" s="102"/>
      <c r="X344" s="102"/>
      <c r="Y344" s="102"/>
      <c r="Z344" s="102"/>
      <c r="AA344" s="102"/>
      <c r="AB344" s="102"/>
      <c r="AC344" s="102"/>
      <c r="AD344" s="102"/>
      <c r="AE344" s="102"/>
      <c r="AF344" s="102"/>
      <c r="AG344" s="102"/>
      <c r="AH344" s="102"/>
      <c r="AI344" s="102"/>
      <c r="AJ344" s="102"/>
      <c r="AK344" s="102"/>
      <c r="AL344" s="102"/>
      <c r="AM344" s="102"/>
      <c r="AN344" s="102"/>
      <c r="AO344" s="102"/>
      <c r="AP344" s="102"/>
    </row>
    <row r="345" spans="1:42">
      <c r="A345" s="89">
        <v>344</v>
      </c>
      <c r="B345" s="90">
        <v>50142614</v>
      </c>
      <c r="C345" s="91" t="s">
        <v>762</v>
      </c>
      <c r="D345" s="58" t="s">
        <v>846</v>
      </c>
      <c r="E345" s="59">
        <v>26562</v>
      </c>
      <c r="F345" s="92">
        <f ca="1">(TODAY()-Data_Assessment[[#This Row],[BIRTH DATE]])/365.25</f>
        <v>49.497604380561256</v>
      </c>
      <c r="G345" s="62" t="s">
        <v>919</v>
      </c>
      <c r="H345" s="63" t="s">
        <v>1214</v>
      </c>
      <c r="I345" s="106">
        <v>1</v>
      </c>
      <c r="J345" s="64" t="s">
        <v>1215</v>
      </c>
      <c r="K345" s="143">
        <v>2</v>
      </c>
      <c r="L345" s="58"/>
      <c r="M345" s="58"/>
      <c r="N345" s="102"/>
      <c r="O345" s="102"/>
      <c r="P345" s="102"/>
      <c r="Q345" s="102"/>
      <c r="R345" s="102"/>
      <c r="S345" s="102"/>
      <c r="T345" s="102"/>
      <c r="U345" s="102"/>
      <c r="V345" s="102"/>
      <c r="W345" s="102"/>
      <c r="X345" s="102"/>
      <c r="Y345" s="102"/>
      <c r="Z345" s="102"/>
      <c r="AA345" s="102"/>
      <c r="AB345" s="102"/>
      <c r="AC345" s="102"/>
      <c r="AD345" s="102"/>
      <c r="AE345" s="102"/>
      <c r="AF345" s="102"/>
      <c r="AG345" s="102"/>
      <c r="AH345" s="102"/>
      <c r="AI345" s="102"/>
      <c r="AJ345" s="102"/>
      <c r="AK345" s="102"/>
      <c r="AL345" s="102"/>
      <c r="AM345" s="102"/>
      <c r="AN345" s="102"/>
      <c r="AO345" s="102"/>
      <c r="AP345" s="102"/>
    </row>
    <row r="346" spans="1:42" ht="29.25">
      <c r="A346" s="89">
        <v>345</v>
      </c>
      <c r="B346" s="90">
        <v>50030949</v>
      </c>
      <c r="C346" s="91" t="s">
        <v>303</v>
      </c>
      <c r="D346" s="58" t="s">
        <v>845</v>
      </c>
      <c r="E346" s="59">
        <v>28915</v>
      </c>
      <c r="F346" s="92">
        <f ca="1">(TODAY()-Data_Assessment[[#This Row],[BIRTH DATE]])/365.25</f>
        <v>43.055441478439427</v>
      </c>
      <c r="G346" s="62" t="s">
        <v>986</v>
      </c>
      <c r="H346" s="63" t="s">
        <v>987</v>
      </c>
      <c r="I346" s="106">
        <v>4</v>
      </c>
      <c r="J346" s="64" t="s">
        <v>1158</v>
      </c>
      <c r="K346" s="143">
        <v>3</v>
      </c>
      <c r="L346" s="58"/>
      <c r="M346" s="58"/>
      <c r="N346" s="102"/>
      <c r="O346" s="102"/>
      <c r="P346" s="102"/>
      <c r="Q346" s="102"/>
      <c r="R346" s="102"/>
      <c r="S346" s="102"/>
      <c r="T346" s="102"/>
      <c r="U346" s="102"/>
      <c r="V346" s="102"/>
      <c r="W346" s="102"/>
      <c r="X346" s="102"/>
      <c r="Y346" s="102"/>
      <c r="Z346" s="102"/>
      <c r="AA346" s="102"/>
      <c r="AB346" s="102"/>
      <c r="AC346" s="102"/>
      <c r="AD346" s="102"/>
      <c r="AE346" s="102"/>
      <c r="AF346" s="102"/>
      <c r="AG346" s="102"/>
      <c r="AH346" s="102"/>
      <c r="AI346" s="102"/>
      <c r="AJ346" s="102"/>
      <c r="AK346" s="102"/>
      <c r="AL346" s="102"/>
      <c r="AM346" s="102"/>
      <c r="AN346" s="102"/>
      <c r="AO346" s="102"/>
      <c r="AP346" s="102"/>
    </row>
    <row r="347" spans="1:42">
      <c r="A347" s="89">
        <v>346</v>
      </c>
      <c r="B347" s="90">
        <v>50123331</v>
      </c>
      <c r="C347" s="91" t="s">
        <v>393</v>
      </c>
      <c r="D347" s="58" t="s">
        <v>845</v>
      </c>
      <c r="E347" s="59">
        <v>27829</v>
      </c>
      <c r="F347" s="92">
        <f ca="1">(TODAY()-Data_Assessment[[#This Row],[BIRTH DATE]])/365.25</f>
        <v>46.02874743326489</v>
      </c>
      <c r="G347" s="62" t="s">
        <v>895</v>
      </c>
      <c r="H347" s="63" t="s">
        <v>902</v>
      </c>
      <c r="I347" s="106">
        <v>1</v>
      </c>
      <c r="J347" s="64" t="s">
        <v>1216</v>
      </c>
      <c r="K347" s="143">
        <v>3</v>
      </c>
      <c r="L347" s="58"/>
      <c r="M347" s="58"/>
      <c r="N347" s="102"/>
      <c r="O347" s="102"/>
      <c r="P347" s="102"/>
      <c r="Q347" s="102"/>
      <c r="R347" s="102"/>
      <c r="S347" s="102"/>
      <c r="T347" s="102"/>
      <c r="U347" s="102"/>
      <c r="V347" s="102"/>
      <c r="W347" s="102"/>
      <c r="X347" s="102"/>
      <c r="Y347" s="102"/>
      <c r="Z347" s="102"/>
      <c r="AA347" s="102"/>
      <c r="AB347" s="102"/>
      <c r="AC347" s="102"/>
      <c r="AD347" s="102"/>
      <c r="AE347" s="102"/>
      <c r="AF347" s="102"/>
      <c r="AG347" s="102"/>
      <c r="AH347" s="102"/>
      <c r="AI347" s="102"/>
      <c r="AJ347" s="102"/>
      <c r="AK347" s="102"/>
      <c r="AL347" s="102"/>
      <c r="AM347" s="102"/>
      <c r="AN347" s="102"/>
      <c r="AO347" s="102"/>
      <c r="AP347" s="102"/>
    </row>
    <row r="348" spans="1:42">
      <c r="A348" s="89">
        <v>347</v>
      </c>
      <c r="B348" s="90">
        <v>50031282</v>
      </c>
      <c r="C348" s="91" t="s">
        <v>496</v>
      </c>
      <c r="D348" s="58" t="s">
        <v>845</v>
      </c>
      <c r="E348" s="59">
        <v>25505</v>
      </c>
      <c r="F348" s="92">
        <f ca="1">(TODAY()-Data_Assessment[[#This Row],[BIRTH DATE]])/365.25</f>
        <v>52.39151266255989</v>
      </c>
      <c r="G348" s="62" t="s">
        <v>926</v>
      </c>
      <c r="H348" s="63" t="s">
        <v>927</v>
      </c>
      <c r="I348" s="106">
        <v>4</v>
      </c>
      <c r="J348" s="64" t="s">
        <v>1217</v>
      </c>
      <c r="K348" s="143">
        <v>3</v>
      </c>
      <c r="L348" s="58"/>
      <c r="M348" s="58"/>
      <c r="N348" s="102"/>
      <c r="O348" s="102"/>
      <c r="P348" s="102"/>
      <c r="Q348" s="102"/>
      <c r="R348" s="102"/>
      <c r="S348" s="102"/>
      <c r="T348" s="102"/>
      <c r="U348" s="102"/>
      <c r="V348" s="102"/>
      <c r="W348" s="102"/>
      <c r="X348" s="102"/>
      <c r="Y348" s="102"/>
      <c r="Z348" s="102"/>
      <c r="AA348" s="102"/>
      <c r="AB348" s="102"/>
      <c r="AC348" s="102"/>
      <c r="AD348" s="102"/>
      <c r="AE348" s="102"/>
      <c r="AF348" s="102"/>
      <c r="AG348" s="102"/>
      <c r="AH348" s="102"/>
      <c r="AI348" s="102"/>
      <c r="AJ348" s="102"/>
      <c r="AK348" s="102"/>
      <c r="AL348" s="102"/>
      <c r="AM348" s="102"/>
      <c r="AN348" s="102"/>
      <c r="AO348" s="102"/>
      <c r="AP348" s="102"/>
    </row>
    <row r="349" spans="1:42">
      <c r="A349" s="89">
        <v>348</v>
      </c>
      <c r="B349" s="90">
        <v>50030516</v>
      </c>
      <c r="C349" s="91" t="s">
        <v>305</v>
      </c>
      <c r="D349" s="58" t="s">
        <v>845</v>
      </c>
      <c r="E349" s="59">
        <v>26785</v>
      </c>
      <c r="F349" s="92">
        <f ca="1">(TODAY()-Data_Assessment[[#This Row],[BIRTH DATE]])/365.25</f>
        <v>48.887063655030801</v>
      </c>
      <c r="G349" s="62" t="s">
        <v>986</v>
      </c>
      <c r="H349" s="63" t="s">
        <v>987</v>
      </c>
      <c r="I349" s="106">
        <v>4</v>
      </c>
      <c r="J349" s="64" t="s">
        <v>1218</v>
      </c>
      <c r="K349" s="143">
        <v>4</v>
      </c>
      <c r="L349" s="58"/>
      <c r="M349" s="58"/>
      <c r="N349" s="102"/>
      <c r="O349" s="102"/>
      <c r="P349" s="102"/>
      <c r="Q349" s="102"/>
      <c r="R349" s="102"/>
      <c r="S349" s="102"/>
      <c r="T349" s="102"/>
      <c r="U349" s="102"/>
      <c r="V349" s="102"/>
      <c r="W349" s="102"/>
      <c r="X349" s="102"/>
      <c r="Y349" s="102"/>
      <c r="Z349" s="102"/>
      <c r="AA349" s="102"/>
      <c r="AB349" s="102"/>
      <c r="AC349" s="102"/>
      <c r="AD349" s="102"/>
      <c r="AE349" s="102"/>
      <c r="AF349" s="102"/>
      <c r="AG349" s="102"/>
      <c r="AH349" s="102"/>
      <c r="AI349" s="102"/>
      <c r="AJ349" s="102"/>
      <c r="AK349" s="102"/>
      <c r="AL349" s="102"/>
      <c r="AM349" s="102"/>
      <c r="AN349" s="102"/>
      <c r="AO349" s="102"/>
      <c r="AP349" s="102"/>
    </row>
    <row r="350" spans="1:42">
      <c r="A350" s="89">
        <v>349</v>
      </c>
      <c r="B350" s="90">
        <v>50102499</v>
      </c>
      <c r="C350" s="91" t="s">
        <v>401</v>
      </c>
      <c r="D350" s="58" t="s">
        <v>845</v>
      </c>
      <c r="E350" s="59">
        <v>34143</v>
      </c>
      <c r="F350" s="92">
        <f ca="1">(TODAY()-Data_Assessment[[#This Row],[BIRTH DATE]])/365.25</f>
        <v>28.741957563312798</v>
      </c>
      <c r="G350" s="62" t="s">
        <v>895</v>
      </c>
      <c r="H350" s="63" t="s">
        <v>906</v>
      </c>
      <c r="I350" s="106">
        <v>1</v>
      </c>
      <c r="J350" s="64" t="s">
        <v>907</v>
      </c>
      <c r="K350" s="143">
        <v>3</v>
      </c>
      <c r="L350" s="58"/>
      <c r="M350" s="58"/>
      <c r="N350" s="102"/>
      <c r="O350" s="102"/>
      <c r="P350" s="102"/>
      <c r="Q350" s="102"/>
      <c r="R350" s="102"/>
      <c r="S350" s="102"/>
      <c r="T350" s="102"/>
      <c r="U350" s="102"/>
      <c r="V350" s="102"/>
      <c r="W350" s="102"/>
      <c r="X350" s="102"/>
      <c r="Y350" s="102"/>
      <c r="Z350" s="102"/>
      <c r="AA350" s="102"/>
      <c r="AB350" s="102"/>
      <c r="AC350" s="102"/>
      <c r="AD350" s="102"/>
      <c r="AE350" s="102"/>
      <c r="AF350" s="102"/>
      <c r="AG350" s="102"/>
      <c r="AH350" s="102"/>
      <c r="AI350" s="102"/>
      <c r="AJ350" s="102"/>
      <c r="AK350" s="102"/>
      <c r="AL350" s="102"/>
      <c r="AM350" s="102"/>
      <c r="AN350" s="102"/>
      <c r="AO350" s="102"/>
      <c r="AP350" s="102"/>
    </row>
    <row r="351" spans="1:42">
      <c r="A351" s="89">
        <v>350</v>
      </c>
      <c r="B351" s="90">
        <v>50122081</v>
      </c>
      <c r="C351" s="91" t="s">
        <v>413</v>
      </c>
      <c r="D351" s="58" t="s">
        <v>846</v>
      </c>
      <c r="E351" s="59">
        <v>34296</v>
      </c>
      <c r="F351" s="92">
        <f ca="1">(TODAY()-Data_Assessment[[#This Row],[BIRTH DATE]])/365.25</f>
        <v>28.323066392881589</v>
      </c>
      <c r="G351" s="62" t="s">
        <v>895</v>
      </c>
      <c r="H351" s="63" t="s">
        <v>1219</v>
      </c>
      <c r="I351" s="106">
        <v>1</v>
      </c>
      <c r="J351" s="64" t="s">
        <v>1220</v>
      </c>
      <c r="K351" s="143">
        <v>3</v>
      </c>
      <c r="L351" s="58"/>
      <c r="M351" s="58"/>
      <c r="N351" s="102"/>
      <c r="O351" s="102"/>
      <c r="P351" s="102"/>
      <c r="Q351" s="102"/>
      <c r="R351" s="102"/>
      <c r="S351" s="102"/>
      <c r="T351" s="102"/>
      <c r="U351" s="102"/>
      <c r="V351" s="102"/>
      <c r="W351" s="102"/>
      <c r="X351" s="102"/>
      <c r="Y351" s="102"/>
      <c r="Z351" s="102"/>
      <c r="AA351" s="102"/>
      <c r="AB351" s="102"/>
      <c r="AC351" s="102"/>
      <c r="AD351" s="102"/>
      <c r="AE351" s="102"/>
      <c r="AF351" s="102"/>
      <c r="AG351" s="102"/>
      <c r="AH351" s="102"/>
      <c r="AI351" s="102"/>
      <c r="AJ351" s="102"/>
      <c r="AK351" s="102"/>
      <c r="AL351" s="102"/>
      <c r="AM351" s="102"/>
      <c r="AN351" s="102"/>
      <c r="AO351" s="102"/>
      <c r="AP351" s="102"/>
    </row>
    <row r="352" spans="1:42" ht="29.25">
      <c r="A352" s="89">
        <v>351</v>
      </c>
      <c r="B352" s="90">
        <v>50031474</v>
      </c>
      <c r="C352" s="91" t="s">
        <v>307</v>
      </c>
      <c r="D352" s="58" t="s">
        <v>845</v>
      </c>
      <c r="E352" s="59">
        <v>28145</v>
      </c>
      <c r="F352" s="92">
        <f ca="1">(TODAY()-Data_Assessment[[#This Row],[BIRTH DATE]])/365.25</f>
        <v>45.163586584531146</v>
      </c>
      <c r="G352" s="62" t="s">
        <v>986</v>
      </c>
      <c r="H352" s="63" t="s">
        <v>987</v>
      </c>
      <c r="I352" s="106">
        <v>4</v>
      </c>
      <c r="J352" s="64" t="s">
        <v>1221</v>
      </c>
      <c r="K352" s="143">
        <v>4</v>
      </c>
      <c r="L352" s="58"/>
      <c r="M352" s="58"/>
      <c r="N352" s="102"/>
      <c r="O352" s="102"/>
      <c r="P352" s="102"/>
      <c r="Q352" s="102"/>
      <c r="R352" s="102"/>
      <c r="S352" s="102"/>
      <c r="T352" s="102"/>
      <c r="U352" s="102"/>
      <c r="V352" s="102"/>
      <c r="W352" s="102"/>
      <c r="X352" s="102"/>
      <c r="Y352" s="102"/>
      <c r="Z352" s="102"/>
      <c r="AA352" s="102"/>
      <c r="AB352" s="102"/>
      <c r="AC352" s="102"/>
      <c r="AD352" s="102"/>
      <c r="AE352" s="102"/>
      <c r="AF352" s="102"/>
      <c r="AG352" s="102"/>
      <c r="AH352" s="102"/>
      <c r="AI352" s="102"/>
      <c r="AJ352" s="102"/>
      <c r="AK352" s="102"/>
      <c r="AL352" s="102"/>
      <c r="AM352" s="102"/>
      <c r="AN352" s="102"/>
      <c r="AO352" s="102"/>
      <c r="AP352" s="102"/>
    </row>
    <row r="353" spans="1:42">
      <c r="A353" s="89">
        <v>352</v>
      </c>
      <c r="B353" s="90">
        <v>50112869</v>
      </c>
      <c r="C353" s="91" t="s">
        <v>475</v>
      </c>
      <c r="D353" s="58" t="s">
        <v>845</v>
      </c>
      <c r="E353" s="59">
        <v>33268</v>
      </c>
      <c r="F353" s="92">
        <f ca="1">(TODAY()-Data_Assessment[[#This Row],[BIRTH DATE]])/365.25</f>
        <v>31.137577002053387</v>
      </c>
      <c r="G353" s="62" t="s">
        <v>1009</v>
      </c>
      <c r="H353" s="63" t="s">
        <v>1222</v>
      </c>
      <c r="I353" s="106">
        <v>2</v>
      </c>
      <c r="J353" s="64" t="s">
        <v>1223</v>
      </c>
      <c r="K353" s="143">
        <v>3</v>
      </c>
      <c r="L353" s="58"/>
      <c r="M353" s="58"/>
      <c r="N353" s="102"/>
      <c r="O353" s="102"/>
      <c r="P353" s="102"/>
      <c r="Q353" s="102"/>
      <c r="R353" s="102"/>
      <c r="S353" s="102"/>
      <c r="T353" s="102"/>
      <c r="U353" s="102"/>
      <c r="V353" s="102"/>
      <c r="W353" s="102"/>
      <c r="X353" s="102"/>
      <c r="Y353" s="102"/>
      <c r="Z353" s="102"/>
      <c r="AA353" s="102"/>
      <c r="AB353" s="102"/>
      <c r="AC353" s="102"/>
      <c r="AD353" s="102"/>
      <c r="AE353" s="102"/>
      <c r="AF353" s="102"/>
      <c r="AG353" s="102"/>
      <c r="AH353" s="102"/>
      <c r="AI353" s="102"/>
      <c r="AJ353" s="102"/>
      <c r="AK353" s="102"/>
      <c r="AL353" s="102"/>
      <c r="AM353" s="102"/>
      <c r="AN353" s="102"/>
      <c r="AO353" s="102"/>
      <c r="AP353" s="102"/>
    </row>
    <row r="354" spans="1:42">
      <c r="A354" s="89">
        <v>353</v>
      </c>
      <c r="B354" s="90">
        <v>50030962</v>
      </c>
      <c r="C354" s="91" t="s">
        <v>308</v>
      </c>
      <c r="D354" s="58" t="s">
        <v>845</v>
      </c>
      <c r="E354" s="59">
        <v>32198</v>
      </c>
      <c r="F354" s="92">
        <f ca="1">(TODAY()-Data_Assessment[[#This Row],[BIRTH DATE]])/365.25</f>
        <v>34.067077344284733</v>
      </c>
      <c r="G354" s="62" t="s">
        <v>986</v>
      </c>
      <c r="H354" s="63" t="s">
        <v>987</v>
      </c>
      <c r="I354" s="106">
        <v>4</v>
      </c>
      <c r="J354" s="64" t="s">
        <v>1224</v>
      </c>
      <c r="K354" s="143">
        <v>4</v>
      </c>
      <c r="L354" s="58"/>
      <c r="M354" s="58"/>
      <c r="N354" s="102"/>
      <c r="O354" s="102"/>
      <c r="P354" s="102"/>
      <c r="Q354" s="102"/>
      <c r="R354" s="102"/>
      <c r="S354" s="102"/>
      <c r="T354" s="102"/>
      <c r="U354" s="102"/>
      <c r="V354" s="102"/>
      <c r="W354" s="102"/>
      <c r="X354" s="102"/>
      <c r="Y354" s="102"/>
      <c r="Z354" s="102"/>
      <c r="AA354" s="102"/>
      <c r="AB354" s="102"/>
      <c r="AC354" s="102"/>
      <c r="AD354" s="102"/>
      <c r="AE354" s="102"/>
      <c r="AF354" s="102"/>
      <c r="AG354" s="102"/>
      <c r="AH354" s="102"/>
      <c r="AI354" s="102"/>
      <c r="AJ354" s="102"/>
      <c r="AK354" s="102"/>
      <c r="AL354" s="102"/>
      <c r="AM354" s="102"/>
      <c r="AN354" s="102"/>
      <c r="AO354" s="102"/>
      <c r="AP354" s="102"/>
    </row>
    <row r="355" spans="1:42">
      <c r="A355" s="89">
        <v>354</v>
      </c>
      <c r="B355" s="90">
        <v>50102450</v>
      </c>
      <c r="C355" s="91" t="s">
        <v>420</v>
      </c>
      <c r="D355" s="58" t="s">
        <v>845</v>
      </c>
      <c r="E355" s="59">
        <v>32590</v>
      </c>
      <c r="F355" s="92">
        <f ca="1">(TODAY()-Data_Assessment[[#This Row],[BIRTH DATE]])/365.25</f>
        <v>32.993839835728956</v>
      </c>
      <c r="G355" s="62" t="s">
        <v>895</v>
      </c>
      <c r="H355" s="63" t="s">
        <v>1225</v>
      </c>
      <c r="I355" s="106">
        <v>1</v>
      </c>
      <c r="J355" s="64" t="s">
        <v>1226</v>
      </c>
      <c r="K355" s="143">
        <v>3</v>
      </c>
      <c r="L355" s="58"/>
      <c r="M355" s="58"/>
      <c r="N355" s="102"/>
      <c r="O355" s="102"/>
      <c r="P355" s="102"/>
      <c r="Q355" s="102"/>
      <c r="R355" s="102"/>
      <c r="S355" s="102"/>
      <c r="T355" s="102"/>
      <c r="U355" s="102"/>
      <c r="V355" s="102"/>
      <c r="W355" s="102"/>
      <c r="X355" s="102"/>
      <c r="Y355" s="102"/>
      <c r="Z355" s="102"/>
      <c r="AA355" s="102"/>
      <c r="AB355" s="102"/>
      <c r="AC355" s="102"/>
      <c r="AD355" s="102"/>
      <c r="AE355" s="102"/>
      <c r="AF355" s="102"/>
      <c r="AG355" s="102"/>
      <c r="AH355" s="102"/>
      <c r="AI355" s="102"/>
      <c r="AJ355" s="102"/>
      <c r="AK355" s="102"/>
      <c r="AL355" s="102"/>
      <c r="AM355" s="102"/>
      <c r="AN355" s="102"/>
      <c r="AO355" s="102"/>
      <c r="AP355" s="102"/>
    </row>
    <row r="356" spans="1:42">
      <c r="A356" s="89">
        <v>355</v>
      </c>
      <c r="B356" s="90">
        <v>50030569</v>
      </c>
      <c r="C356" s="91" t="s">
        <v>309</v>
      </c>
      <c r="D356" s="58" t="s">
        <v>845</v>
      </c>
      <c r="E356" s="59">
        <v>34283</v>
      </c>
      <c r="F356" s="92">
        <f ca="1">(TODAY()-Data_Assessment[[#This Row],[BIRTH DATE]])/365.25</f>
        <v>28.358658453114305</v>
      </c>
      <c r="G356" s="62" t="s">
        <v>986</v>
      </c>
      <c r="H356" s="63" t="s">
        <v>987</v>
      </c>
      <c r="I356" s="106">
        <v>4</v>
      </c>
      <c r="J356" s="64" t="s">
        <v>1224</v>
      </c>
      <c r="K356" s="143">
        <v>3</v>
      </c>
      <c r="L356" s="58"/>
      <c r="M356" s="58"/>
      <c r="N356" s="102"/>
      <c r="O356" s="102"/>
      <c r="P356" s="102"/>
      <c r="Q356" s="102"/>
      <c r="R356" s="102"/>
      <c r="S356" s="102"/>
      <c r="T356" s="102"/>
      <c r="U356" s="102"/>
      <c r="V356" s="102"/>
      <c r="W356" s="102"/>
      <c r="X356" s="102"/>
      <c r="Y356" s="102"/>
      <c r="Z356" s="102"/>
      <c r="AA356" s="102"/>
      <c r="AB356" s="102"/>
      <c r="AC356" s="102"/>
      <c r="AD356" s="102"/>
      <c r="AE356" s="102"/>
      <c r="AF356" s="102"/>
      <c r="AG356" s="102"/>
      <c r="AH356" s="102"/>
      <c r="AI356" s="102"/>
      <c r="AJ356" s="102"/>
      <c r="AK356" s="102"/>
      <c r="AL356" s="102"/>
      <c r="AM356" s="102"/>
      <c r="AN356" s="102"/>
      <c r="AO356" s="102"/>
      <c r="AP356" s="102"/>
    </row>
    <row r="357" spans="1:42">
      <c r="A357" s="89">
        <v>356</v>
      </c>
      <c r="B357" s="90">
        <v>50133253</v>
      </c>
      <c r="C357" s="91" t="s">
        <v>426</v>
      </c>
      <c r="D357" s="58" t="s">
        <v>845</v>
      </c>
      <c r="E357" s="59">
        <v>34767</v>
      </c>
      <c r="F357" s="92">
        <f ca="1">(TODAY()-Data_Assessment[[#This Row],[BIRTH DATE]])/365.25</f>
        <v>27.033538672142367</v>
      </c>
      <c r="G357" s="62" t="s">
        <v>895</v>
      </c>
      <c r="H357" s="63" t="s">
        <v>1227</v>
      </c>
      <c r="I357" s="106">
        <v>1</v>
      </c>
      <c r="J357" s="64" t="s">
        <v>1228</v>
      </c>
      <c r="K357" s="143">
        <v>3</v>
      </c>
      <c r="L357" s="58"/>
      <c r="M357" s="58"/>
      <c r="N357" s="102"/>
      <c r="O357" s="102"/>
      <c r="P357" s="102"/>
      <c r="Q357" s="102"/>
      <c r="R357" s="102"/>
      <c r="S357" s="102"/>
      <c r="T357" s="102"/>
      <c r="U357" s="102"/>
      <c r="V357" s="102"/>
      <c r="W357" s="102"/>
      <c r="X357" s="102"/>
      <c r="Y357" s="102"/>
      <c r="Z357" s="102"/>
      <c r="AA357" s="102"/>
      <c r="AB357" s="102"/>
      <c r="AC357" s="102"/>
      <c r="AD357" s="102"/>
      <c r="AE357" s="102"/>
      <c r="AF357" s="102"/>
      <c r="AG357" s="102"/>
      <c r="AH357" s="102"/>
      <c r="AI357" s="102"/>
      <c r="AJ357" s="102"/>
      <c r="AK357" s="102"/>
      <c r="AL357" s="102"/>
      <c r="AM357" s="102"/>
      <c r="AN357" s="102"/>
      <c r="AO357" s="102"/>
      <c r="AP357" s="102"/>
    </row>
    <row r="358" spans="1:42">
      <c r="A358" s="89">
        <v>357</v>
      </c>
      <c r="B358" s="90">
        <v>50102535</v>
      </c>
      <c r="C358" s="91" t="s">
        <v>431</v>
      </c>
      <c r="D358" s="58" t="s">
        <v>845</v>
      </c>
      <c r="E358" s="59">
        <v>34481</v>
      </c>
      <c r="F358" s="92">
        <f ca="1">(TODAY()-Data_Assessment[[#This Row],[BIRTH DATE]])/365.25</f>
        <v>27.816563997262151</v>
      </c>
      <c r="G358" s="62" t="s">
        <v>895</v>
      </c>
      <c r="H358" s="63" t="s">
        <v>1229</v>
      </c>
      <c r="I358" s="106">
        <v>1</v>
      </c>
      <c r="J358" s="64" t="s">
        <v>1230</v>
      </c>
      <c r="K358" s="143">
        <v>3</v>
      </c>
      <c r="L358" s="58"/>
      <c r="M358" s="58"/>
      <c r="N358" s="102"/>
      <c r="O358" s="102"/>
      <c r="P358" s="102"/>
      <c r="Q358" s="102"/>
      <c r="R358" s="102"/>
      <c r="S358" s="102"/>
      <c r="T358" s="102"/>
      <c r="U358" s="102"/>
      <c r="V358" s="102"/>
      <c r="W358" s="102"/>
      <c r="X358" s="102"/>
      <c r="Y358" s="102"/>
      <c r="Z358" s="102"/>
      <c r="AA358" s="102"/>
      <c r="AB358" s="102"/>
      <c r="AC358" s="102"/>
      <c r="AD358" s="102"/>
      <c r="AE358" s="102"/>
      <c r="AF358" s="102"/>
      <c r="AG358" s="102"/>
      <c r="AH358" s="102"/>
      <c r="AI358" s="102"/>
      <c r="AJ358" s="102"/>
      <c r="AK358" s="102"/>
      <c r="AL358" s="102"/>
      <c r="AM358" s="102"/>
      <c r="AN358" s="102"/>
      <c r="AO358" s="102"/>
      <c r="AP358" s="102"/>
    </row>
    <row r="359" spans="1:42">
      <c r="A359" s="89">
        <v>358</v>
      </c>
      <c r="B359" s="90">
        <v>50030505</v>
      </c>
      <c r="C359" s="91" t="s">
        <v>311</v>
      </c>
      <c r="D359" s="58" t="s">
        <v>845</v>
      </c>
      <c r="E359" s="59">
        <v>26060</v>
      </c>
      <c r="F359" s="92">
        <f ca="1">(TODAY()-Data_Assessment[[#This Row],[BIRTH DATE]])/365.25</f>
        <v>50.872005475701577</v>
      </c>
      <c r="G359" s="62" t="s">
        <v>986</v>
      </c>
      <c r="H359" s="63" t="s">
        <v>987</v>
      </c>
      <c r="I359" s="106">
        <v>4</v>
      </c>
      <c r="J359" s="64" t="s">
        <v>1048</v>
      </c>
      <c r="K359" s="143">
        <v>3</v>
      </c>
      <c r="L359" s="58"/>
      <c r="M359" s="58"/>
      <c r="N359" s="102"/>
      <c r="O359" s="102"/>
      <c r="P359" s="102"/>
      <c r="Q359" s="102"/>
      <c r="R359" s="102"/>
      <c r="S359" s="102"/>
      <c r="T359" s="102"/>
      <c r="U359" s="102"/>
      <c r="V359" s="102"/>
      <c r="W359" s="102"/>
      <c r="X359" s="102"/>
      <c r="Y359" s="102"/>
      <c r="Z359" s="102"/>
      <c r="AA359" s="102"/>
      <c r="AB359" s="102"/>
      <c r="AC359" s="102"/>
      <c r="AD359" s="102"/>
      <c r="AE359" s="102"/>
      <c r="AF359" s="102"/>
      <c r="AG359" s="102"/>
      <c r="AH359" s="102"/>
      <c r="AI359" s="102"/>
      <c r="AJ359" s="102"/>
      <c r="AK359" s="102"/>
      <c r="AL359" s="102"/>
      <c r="AM359" s="102"/>
      <c r="AN359" s="102"/>
      <c r="AO359" s="102"/>
      <c r="AP359" s="102"/>
    </row>
    <row r="360" spans="1:42">
      <c r="A360" s="89">
        <v>359</v>
      </c>
      <c r="B360" s="90">
        <v>50108206</v>
      </c>
      <c r="C360" s="91" t="s">
        <v>434</v>
      </c>
      <c r="D360" s="58" t="s">
        <v>845</v>
      </c>
      <c r="E360" s="59">
        <v>33714</v>
      </c>
      <c r="F360" s="92">
        <f ca="1">(TODAY()-Data_Assessment[[#This Row],[BIRTH DATE]])/365.25</f>
        <v>29.916495550992472</v>
      </c>
      <c r="G360" s="62" t="s">
        <v>895</v>
      </c>
      <c r="H360" s="63" t="s">
        <v>932</v>
      </c>
      <c r="I360" s="106">
        <v>1</v>
      </c>
      <c r="J360" s="64" t="s">
        <v>1231</v>
      </c>
      <c r="K360" s="143">
        <v>2</v>
      </c>
      <c r="L360" s="58"/>
      <c r="M360" s="58"/>
      <c r="N360" s="102"/>
      <c r="O360" s="102"/>
      <c r="P360" s="102"/>
      <c r="Q360" s="102"/>
      <c r="R360" s="102"/>
      <c r="S360" s="102"/>
      <c r="T360" s="102"/>
      <c r="U360" s="102"/>
      <c r="V360" s="102"/>
      <c r="W360" s="102"/>
      <c r="X360" s="102"/>
      <c r="Y360" s="102"/>
      <c r="Z360" s="102"/>
      <c r="AA360" s="102"/>
      <c r="AB360" s="102"/>
      <c r="AC360" s="102"/>
      <c r="AD360" s="102"/>
      <c r="AE360" s="102"/>
      <c r="AF360" s="102"/>
      <c r="AG360" s="102"/>
      <c r="AH360" s="102"/>
      <c r="AI360" s="102"/>
      <c r="AJ360" s="102"/>
      <c r="AK360" s="102"/>
      <c r="AL360" s="102"/>
      <c r="AM360" s="102"/>
      <c r="AN360" s="102"/>
      <c r="AO360" s="102"/>
      <c r="AP360" s="102"/>
    </row>
    <row r="361" spans="1:42" ht="29.25">
      <c r="A361" s="89">
        <v>360</v>
      </c>
      <c r="B361" s="90">
        <v>50030976</v>
      </c>
      <c r="C361" s="91" t="s">
        <v>312</v>
      </c>
      <c r="D361" s="58" t="s">
        <v>845</v>
      </c>
      <c r="E361" s="59">
        <v>30910</v>
      </c>
      <c r="F361" s="92">
        <f ca="1">(TODAY()-Data_Assessment[[#This Row],[BIRTH DATE]])/365.25</f>
        <v>37.593429158110879</v>
      </c>
      <c r="G361" s="62" t="s">
        <v>986</v>
      </c>
      <c r="H361" s="63" t="s">
        <v>987</v>
      </c>
      <c r="I361" s="106">
        <v>4</v>
      </c>
      <c r="J361" s="64" t="s">
        <v>1232</v>
      </c>
      <c r="K361" s="143">
        <v>3</v>
      </c>
      <c r="L361" s="58"/>
      <c r="M361" s="58"/>
      <c r="N361" s="102"/>
      <c r="O361" s="102"/>
      <c r="P361" s="102"/>
      <c r="Q361" s="102"/>
      <c r="R361" s="102"/>
      <c r="S361" s="102"/>
      <c r="T361" s="102"/>
      <c r="U361" s="102"/>
      <c r="V361" s="102"/>
      <c r="W361" s="102"/>
      <c r="X361" s="102"/>
      <c r="Y361" s="102"/>
      <c r="Z361" s="102"/>
      <c r="AA361" s="102"/>
      <c r="AB361" s="102"/>
      <c r="AC361" s="102"/>
      <c r="AD361" s="102"/>
      <c r="AE361" s="102"/>
      <c r="AF361" s="102"/>
      <c r="AG361" s="102"/>
      <c r="AH361" s="102"/>
      <c r="AI361" s="102"/>
      <c r="AJ361" s="102"/>
      <c r="AK361" s="102"/>
      <c r="AL361" s="102"/>
      <c r="AM361" s="102"/>
      <c r="AN361" s="102"/>
      <c r="AO361" s="102"/>
      <c r="AP361" s="102"/>
    </row>
    <row r="362" spans="1:42">
      <c r="A362" s="89">
        <v>361</v>
      </c>
      <c r="B362" s="90">
        <v>50122092</v>
      </c>
      <c r="C362" s="91" t="s">
        <v>435</v>
      </c>
      <c r="D362" s="58" t="s">
        <v>846</v>
      </c>
      <c r="E362" s="59">
        <v>34863</v>
      </c>
      <c r="F362" s="92">
        <f ca="1">(TODAY()-Data_Assessment[[#This Row],[BIRTH DATE]])/365.25</f>
        <v>26.770704996577688</v>
      </c>
      <c r="G362" s="62" t="s">
        <v>895</v>
      </c>
      <c r="H362" s="63" t="s">
        <v>932</v>
      </c>
      <c r="I362" s="106">
        <v>1</v>
      </c>
      <c r="J362" s="64" t="s">
        <v>1231</v>
      </c>
      <c r="K362" s="143">
        <v>3</v>
      </c>
      <c r="L362" s="58"/>
      <c r="M362" s="58"/>
      <c r="N362" s="102"/>
      <c r="O362" s="102"/>
      <c r="P362" s="102"/>
      <c r="Q362" s="102"/>
      <c r="R362" s="102"/>
      <c r="S362" s="102"/>
      <c r="T362" s="102"/>
      <c r="U362" s="102"/>
      <c r="V362" s="102"/>
      <c r="W362" s="102"/>
      <c r="X362" s="102"/>
      <c r="Y362" s="102"/>
      <c r="Z362" s="102"/>
      <c r="AA362" s="102"/>
      <c r="AB362" s="102"/>
      <c r="AC362" s="102"/>
      <c r="AD362" s="102"/>
      <c r="AE362" s="102"/>
      <c r="AF362" s="102"/>
      <c r="AG362" s="102"/>
      <c r="AH362" s="102"/>
      <c r="AI362" s="102"/>
      <c r="AJ362" s="102"/>
      <c r="AK362" s="102"/>
      <c r="AL362" s="102"/>
      <c r="AM362" s="102"/>
      <c r="AN362" s="102"/>
      <c r="AO362" s="102"/>
      <c r="AP362" s="102"/>
    </row>
    <row r="363" spans="1:42" ht="29.25">
      <c r="A363" s="89">
        <v>362</v>
      </c>
      <c r="B363" s="90">
        <v>50031526</v>
      </c>
      <c r="C363" s="91" t="s">
        <v>313</v>
      </c>
      <c r="D363" s="58" t="s">
        <v>846</v>
      </c>
      <c r="E363" s="59">
        <v>33160</v>
      </c>
      <c r="F363" s="92">
        <f ca="1">(TODAY()-Data_Assessment[[#This Row],[BIRTH DATE]])/365.25</f>
        <v>31.433264887063654</v>
      </c>
      <c r="G363" s="62" t="s">
        <v>986</v>
      </c>
      <c r="H363" s="63" t="s">
        <v>987</v>
      </c>
      <c r="I363" s="106">
        <v>4</v>
      </c>
      <c r="J363" s="64" t="s">
        <v>1233</v>
      </c>
      <c r="K363" s="143">
        <v>3</v>
      </c>
      <c r="L363" s="58"/>
      <c r="M363" s="58"/>
      <c r="N363" s="102"/>
      <c r="O363" s="102"/>
      <c r="P363" s="102"/>
      <c r="Q363" s="102"/>
      <c r="R363" s="102"/>
      <c r="S363" s="102"/>
      <c r="T363" s="102"/>
      <c r="U363" s="102"/>
      <c r="V363" s="102"/>
      <c r="W363" s="102"/>
      <c r="X363" s="102"/>
      <c r="Y363" s="102"/>
      <c r="Z363" s="102"/>
      <c r="AA363" s="102"/>
      <c r="AB363" s="102"/>
      <c r="AC363" s="102"/>
      <c r="AD363" s="102"/>
      <c r="AE363" s="102"/>
      <c r="AF363" s="102"/>
      <c r="AG363" s="102"/>
      <c r="AH363" s="102"/>
      <c r="AI363" s="102"/>
      <c r="AJ363" s="102"/>
      <c r="AK363" s="102"/>
      <c r="AL363" s="102"/>
      <c r="AM363" s="102"/>
      <c r="AN363" s="102"/>
      <c r="AO363" s="102"/>
      <c r="AP363" s="102"/>
    </row>
    <row r="364" spans="1:42">
      <c r="A364" s="89">
        <v>363</v>
      </c>
      <c r="B364" s="90">
        <v>50138338</v>
      </c>
      <c r="C364" s="91" t="s">
        <v>436</v>
      </c>
      <c r="D364" s="58" t="s">
        <v>845</v>
      </c>
      <c r="E364" s="59">
        <v>33655</v>
      </c>
      <c r="F364" s="92">
        <f ca="1">(TODAY()-Data_Assessment[[#This Row],[BIRTH DATE]])/365.25</f>
        <v>30.078028747433265</v>
      </c>
      <c r="G364" s="62" t="s">
        <v>895</v>
      </c>
      <c r="H364" s="63" t="s">
        <v>932</v>
      </c>
      <c r="I364" s="106">
        <v>1</v>
      </c>
      <c r="J364" s="64" t="s">
        <v>933</v>
      </c>
      <c r="K364" s="143">
        <v>3</v>
      </c>
      <c r="L364" s="58"/>
      <c r="M364" s="58"/>
      <c r="N364" s="102"/>
      <c r="O364" s="102"/>
      <c r="P364" s="102"/>
      <c r="Q364" s="102"/>
      <c r="R364" s="102"/>
      <c r="S364" s="102"/>
      <c r="T364" s="102"/>
      <c r="U364" s="102"/>
      <c r="V364" s="102"/>
      <c r="W364" s="102"/>
      <c r="X364" s="102"/>
      <c r="Y364" s="102"/>
      <c r="Z364" s="102"/>
      <c r="AA364" s="102"/>
      <c r="AB364" s="102"/>
      <c r="AC364" s="102"/>
      <c r="AD364" s="102"/>
      <c r="AE364" s="102"/>
      <c r="AF364" s="102"/>
      <c r="AG364" s="102"/>
      <c r="AH364" s="102"/>
      <c r="AI364" s="102"/>
      <c r="AJ364" s="102"/>
      <c r="AK364" s="102"/>
      <c r="AL364" s="102"/>
      <c r="AM364" s="102"/>
      <c r="AN364" s="102"/>
      <c r="AO364" s="102"/>
      <c r="AP364" s="102"/>
    </row>
    <row r="365" spans="1:42">
      <c r="A365" s="89">
        <v>364</v>
      </c>
      <c r="B365" s="90">
        <v>50122085</v>
      </c>
      <c r="C365" s="91" t="s">
        <v>482</v>
      </c>
      <c r="D365" s="58" t="s">
        <v>845</v>
      </c>
      <c r="E365" s="59">
        <v>34663</v>
      </c>
      <c r="F365" s="92">
        <f ca="1">(TODAY()-Data_Assessment[[#This Row],[BIRTH DATE]])/365.25</f>
        <v>27.318275154004105</v>
      </c>
      <c r="G365" s="62" t="s">
        <v>935</v>
      </c>
      <c r="H365" s="63" t="s">
        <v>936</v>
      </c>
      <c r="I365" s="106">
        <v>4</v>
      </c>
      <c r="J365" s="64" t="s">
        <v>937</v>
      </c>
      <c r="K365" s="143">
        <v>2</v>
      </c>
      <c r="L365" s="58"/>
      <c r="M365" s="58"/>
      <c r="N365" s="102"/>
      <c r="O365" s="102"/>
      <c r="P365" s="102"/>
      <c r="Q365" s="102"/>
      <c r="R365" s="102"/>
      <c r="S365" s="102"/>
      <c r="T365" s="102"/>
      <c r="U365" s="102"/>
      <c r="V365" s="102"/>
      <c r="W365" s="102"/>
      <c r="X365" s="102"/>
      <c r="Y365" s="102"/>
      <c r="Z365" s="102"/>
      <c r="AA365" s="102"/>
      <c r="AB365" s="102"/>
      <c r="AC365" s="102"/>
      <c r="AD365" s="102"/>
      <c r="AE365" s="102"/>
      <c r="AF365" s="102"/>
      <c r="AG365" s="102"/>
      <c r="AH365" s="102"/>
      <c r="AI365" s="102"/>
      <c r="AJ365" s="102"/>
      <c r="AK365" s="102"/>
      <c r="AL365" s="102"/>
      <c r="AM365" s="102"/>
      <c r="AN365" s="102"/>
      <c r="AO365" s="102"/>
      <c r="AP365" s="102"/>
    </row>
    <row r="366" spans="1:42">
      <c r="A366" s="89">
        <v>365</v>
      </c>
      <c r="B366" s="90">
        <v>50112874</v>
      </c>
      <c r="C366" s="91" t="s">
        <v>465</v>
      </c>
      <c r="D366" s="58" t="s">
        <v>845</v>
      </c>
      <c r="E366" s="59">
        <v>34183</v>
      </c>
      <c r="F366" s="92">
        <f ca="1">(TODAY()-Data_Assessment[[#This Row],[BIRTH DATE]])/365.25</f>
        <v>28.632443531827516</v>
      </c>
      <c r="G366" s="62" t="s">
        <v>895</v>
      </c>
      <c r="H366" s="63" t="s">
        <v>915</v>
      </c>
      <c r="I366" s="106">
        <v>1</v>
      </c>
      <c r="J366" s="64" t="s">
        <v>916</v>
      </c>
      <c r="K366" s="143">
        <v>3</v>
      </c>
      <c r="L366" s="58"/>
      <c r="M366" s="58"/>
      <c r="N366" s="102"/>
      <c r="O366" s="102"/>
      <c r="P366" s="102"/>
      <c r="Q366" s="102"/>
      <c r="R366" s="102"/>
      <c r="S366" s="102"/>
      <c r="T366" s="102"/>
      <c r="U366" s="102"/>
      <c r="V366" s="102"/>
      <c r="W366" s="102"/>
      <c r="X366" s="102"/>
      <c r="Y366" s="102"/>
      <c r="Z366" s="102"/>
      <c r="AA366" s="102"/>
      <c r="AB366" s="102"/>
      <c r="AC366" s="102"/>
      <c r="AD366" s="102"/>
      <c r="AE366" s="102"/>
      <c r="AF366" s="102"/>
      <c r="AG366" s="102"/>
      <c r="AH366" s="102"/>
      <c r="AI366" s="102"/>
      <c r="AJ366" s="102"/>
      <c r="AK366" s="102"/>
      <c r="AL366" s="102"/>
      <c r="AM366" s="102"/>
      <c r="AN366" s="102"/>
      <c r="AO366" s="102"/>
      <c r="AP366" s="102"/>
    </row>
    <row r="367" spans="1:42">
      <c r="A367" s="89">
        <v>366</v>
      </c>
      <c r="B367" s="90">
        <v>50122102</v>
      </c>
      <c r="C367" s="91" t="s">
        <v>466</v>
      </c>
      <c r="D367" s="58" t="s">
        <v>845</v>
      </c>
      <c r="E367" s="59">
        <v>34978</v>
      </c>
      <c r="F367" s="92">
        <f ca="1">(TODAY()-Data_Assessment[[#This Row],[BIRTH DATE]])/365.25</f>
        <v>26.455852156057496</v>
      </c>
      <c r="G367" s="62" t="s">
        <v>895</v>
      </c>
      <c r="H367" s="63" t="s">
        <v>915</v>
      </c>
      <c r="I367" s="106">
        <v>1</v>
      </c>
      <c r="J367" s="64" t="s">
        <v>916</v>
      </c>
      <c r="K367" s="143">
        <v>2</v>
      </c>
      <c r="L367" s="58"/>
      <c r="M367" s="58"/>
      <c r="N367" s="102"/>
      <c r="O367" s="102"/>
      <c r="P367" s="102"/>
      <c r="Q367" s="102"/>
      <c r="R367" s="102"/>
      <c r="S367" s="102"/>
      <c r="T367" s="102"/>
      <c r="U367" s="102"/>
      <c r="V367" s="102"/>
      <c r="W367" s="102"/>
      <c r="X367" s="102"/>
      <c r="Y367" s="102"/>
      <c r="Z367" s="102"/>
      <c r="AA367" s="102"/>
      <c r="AB367" s="102"/>
      <c r="AC367" s="102"/>
      <c r="AD367" s="102"/>
      <c r="AE367" s="102"/>
      <c r="AF367" s="102"/>
      <c r="AG367" s="102"/>
      <c r="AH367" s="102"/>
      <c r="AI367" s="102"/>
      <c r="AJ367" s="102"/>
      <c r="AK367" s="102"/>
      <c r="AL367" s="102"/>
      <c r="AM367" s="102"/>
      <c r="AN367" s="102"/>
      <c r="AO367" s="102"/>
      <c r="AP367" s="102"/>
    </row>
    <row r="368" spans="1:42">
      <c r="A368" s="89">
        <v>367</v>
      </c>
      <c r="B368" s="90">
        <v>50108208</v>
      </c>
      <c r="C368" s="91" t="s">
        <v>481</v>
      </c>
      <c r="D368" s="58" t="s">
        <v>845</v>
      </c>
      <c r="E368" s="59">
        <v>33096</v>
      </c>
      <c r="F368" s="92">
        <f ca="1">(TODAY()-Data_Assessment[[#This Row],[BIRTH DATE]])/365.25</f>
        <v>31.60848733744011</v>
      </c>
      <c r="G368" s="62" t="s">
        <v>935</v>
      </c>
      <c r="H368" s="63" t="s">
        <v>936</v>
      </c>
      <c r="I368" s="106">
        <v>4</v>
      </c>
      <c r="J368" s="64" t="s">
        <v>937</v>
      </c>
      <c r="K368" s="143">
        <v>2</v>
      </c>
      <c r="L368" s="58"/>
      <c r="M368" s="58"/>
      <c r="N368" s="102"/>
      <c r="O368" s="102"/>
      <c r="P368" s="102"/>
      <c r="Q368" s="102"/>
      <c r="R368" s="102"/>
      <c r="S368" s="102"/>
      <c r="T368" s="102"/>
      <c r="U368" s="102"/>
      <c r="V368" s="102"/>
      <c r="W368" s="102"/>
      <c r="X368" s="102"/>
      <c r="Y368" s="102"/>
      <c r="Z368" s="102"/>
      <c r="AA368" s="102"/>
      <c r="AB368" s="102"/>
      <c r="AC368" s="102"/>
      <c r="AD368" s="102"/>
      <c r="AE368" s="102"/>
      <c r="AF368" s="102"/>
      <c r="AG368" s="102"/>
      <c r="AH368" s="102"/>
      <c r="AI368" s="102"/>
      <c r="AJ368" s="102"/>
      <c r="AK368" s="102"/>
      <c r="AL368" s="102"/>
      <c r="AM368" s="102"/>
      <c r="AN368" s="102"/>
      <c r="AO368" s="102"/>
      <c r="AP368" s="102"/>
    </row>
    <row r="369" spans="1:42">
      <c r="A369" s="89">
        <v>368</v>
      </c>
      <c r="B369" s="90">
        <v>50030478</v>
      </c>
      <c r="C369" s="91" t="s">
        <v>318</v>
      </c>
      <c r="D369" s="58" t="s">
        <v>845</v>
      </c>
      <c r="E369" s="59">
        <v>26722</v>
      </c>
      <c r="F369" s="92">
        <f ca="1">(TODAY()-Data_Assessment[[#This Row],[BIRTH DATE]])/365.25</f>
        <v>49.059548254620125</v>
      </c>
      <c r="G369" s="62" t="s">
        <v>986</v>
      </c>
      <c r="H369" s="63" t="s">
        <v>987</v>
      </c>
      <c r="I369" s="106">
        <v>4</v>
      </c>
      <c r="J369" s="64" t="s">
        <v>1234</v>
      </c>
      <c r="K369" s="143">
        <v>3</v>
      </c>
      <c r="L369" s="58"/>
      <c r="M369" s="58"/>
      <c r="N369" s="102"/>
      <c r="O369" s="102"/>
      <c r="P369" s="102"/>
      <c r="Q369" s="102"/>
      <c r="R369" s="102"/>
      <c r="S369" s="102"/>
      <c r="T369" s="102"/>
      <c r="U369" s="102"/>
      <c r="V369" s="102"/>
      <c r="W369" s="102"/>
      <c r="X369" s="102"/>
      <c r="Y369" s="102"/>
      <c r="Z369" s="102"/>
      <c r="AA369" s="102"/>
      <c r="AB369" s="102"/>
      <c r="AC369" s="102"/>
      <c r="AD369" s="102"/>
      <c r="AE369" s="102"/>
      <c r="AF369" s="102"/>
      <c r="AG369" s="102"/>
      <c r="AH369" s="102"/>
      <c r="AI369" s="102"/>
      <c r="AJ369" s="102"/>
      <c r="AK369" s="102"/>
      <c r="AL369" s="102"/>
      <c r="AM369" s="102"/>
      <c r="AN369" s="102"/>
      <c r="AO369" s="102"/>
      <c r="AP369" s="102"/>
    </row>
    <row r="370" spans="1:42">
      <c r="A370" s="89">
        <v>369</v>
      </c>
      <c r="B370" s="90">
        <v>50137831</v>
      </c>
      <c r="C370" s="91" t="s">
        <v>526</v>
      </c>
      <c r="D370" s="58" t="s">
        <v>845</v>
      </c>
      <c r="E370" s="59">
        <v>35279</v>
      </c>
      <c r="F370" s="92">
        <f ca="1">(TODAY()-Data_Assessment[[#This Row],[BIRTH DATE]])/365.25</f>
        <v>25.631759069130734</v>
      </c>
      <c r="G370" s="62" t="s">
        <v>941</v>
      </c>
      <c r="H370" s="63" t="s">
        <v>942</v>
      </c>
      <c r="I370" s="106">
        <v>2</v>
      </c>
      <c r="J370" s="64" t="s">
        <v>943</v>
      </c>
      <c r="K370" s="143">
        <v>2</v>
      </c>
      <c r="L370" s="58"/>
      <c r="M370" s="58"/>
      <c r="N370" s="102"/>
      <c r="O370" s="102"/>
      <c r="P370" s="102"/>
      <c r="Q370" s="102"/>
      <c r="R370" s="102"/>
      <c r="S370" s="102"/>
      <c r="T370" s="102"/>
      <c r="U370" s="102"/>
      <c r="V370" s="102"/>
      <c r="W370" s="102"/>
      <c r="X370" s="102"/>
      <c r="Y370" s="102"/>
      <c r="Z370" s="102"/>
      <c r="AA370" s="102"/>
      <c r="AB370" s="102"/>
      <c r="AC370" s="102"/>
      <c r="AD370" s="102"/>
      <c r="AE370" s="102"/>
      <c r="AF370" s="102"/>
      <c r="AG370" s="102"/>
      <c r="AH370" s="102"/>
      <c r="AI370" s="102"/>
      <c r="AJ370" s="102"/>
      <c r="AK370" s="102"/>
      <c r="AL370" s="102"/>
      <c r="AM370" s="102"/>
      <c r="AN370" s="102"/>
      <c r="AO370" s="102"/>
      <c r="AP370" s="102"/>
    </row>
    <row r="371" spans="1:42">
      <c r="A371" s="89">
        <v>370</v>
      </c>
      <c r="B371" s="90">
        <v>50030890</v>
      </c>
      <c r="C371" s="91" t="s">
        <v>319</v>
      </c>
      <c r="D371" s="58" t="s">
        <v>846</v>
      </c>
      <c r="E371" s="59">
        <v>25194</v>
      </c>
      <c r="F371" s="92">
        <f ca="1">(TODAY()-Data_Assessment[[#This Row],[BIRTH DATE]])/365.25</f>
        <v>53.242984257357975</v>
      </c>
      <c r="G371" s="62" t="s">
        <v>986</v>
      </c>
      <c r="H371" s="63" t="s">
        <v>987</v>
      </c>
      <c r="I371" s="106">
        <v>4</v>
      </c>
      <c r="J371" s="64" t="s">
        <v>1234</v>
      </c>
      <c r="K371" s="143">
        <v>3</v>
      </c>
      <c r="L371" s="58"/>
      <c r="M371" s="58"/>
      <c r="N371" s="102"/>
      <c r="O371" s="102"/>
      <c r="P371" s="102"/>
      <c r="Q371" s="102"/>
      <c r="R371" s="102"/>
      <c r="S371" s="102"/>
      <c r="T371" s="102"/>
      <c r="U371" s="102"/>
      <c r="V371" s="102"/>
      <c r="W371" s="102"/>
      <c r="X371" s="102"/>
      <c r="Y371" s="102"/>
      <c r="Z371" s="102"/>
      <c r="AA371" s="102"/>
      <c r="AB371" s="102"/>
      <c r="AC371" s="102"/>
      <c r="AD371" s="102"/>
      <c r="AE371" s="102"/>
      <c r="AF371" s="102"/>
      <c r="AG371" s="102"/>
      <c r="AH371" s="102"/>
      <c r="AI371" s="102"/>
      <c r="AJ371" s="102"/>
      <c r="AK371" s="102"/>
      <c r="AL371" s="102"/>
      <c r="AM371" s="102"/>
      <c r="AN371" s="102"/>
      <c r="AO371" s="102"/>
      <c r="AP371" s="102"/>
    </row>
    <row r="372" spans="1:42">
      <c r="A372" s="89">
        <v>371</v>
      </c>
      <c r="B372" s="90">
        <v>50040451</v>
      </c>
      <c r="C372" s="91" t="s">
        <v>799</v>
      </c>
      <c r="D372" s="58" t="s">
        <v>845</v>
      </c>
      <c r="E372" s="59">
        <v>33412</v>
      </c>
      <c r="F372" s="92">
        <f ca="1">(TODAY()-Data_Assessment[[#This Row],[BIRTH DATE]])/365.25</f>
        <v>30.743326488706366</v>
      </c>
      <c r="G372" s="62" t="s">
        <v>1009</v>
      </c>
      <c r="H372" s="63" t="s">
        <v>1235</v>
      </c>
      <c r="I372" s="106">
        <v>2</v>
      </c>
      <c r="J372" s="64" t="s">
        <v>1236</v>
      </c>
      <c r="K372" s="143">
        <v>3</v>
      </c>
      <c r="L372" s="58"/>
      <c r="M372" s="58"/>
      <c r="N372" s="102"/>
      <c r="O372" s="102"/>
      <c r="P372" s="102"/>
      <c r="Q372" s="102"/>
      <c r="R372" s="102"/>
      <c r="S372" s="102"/>
      <c r="T372" s="102"/>
      <c r="U372" s="102"/>
      <c r="V372" s="102"/>
      <c r="W372" s="102"/>
      <c r="X372" s="102"/>
      <c r="Y372" s="102"/>
      <c r="Z372" s="102"/>
      <c r="AA372" s="102"/>
      <c r="AB372" s="102"/>
      <c r="AC372" s="102"/>
      <c r="AD372" s="102"/>
      <c r="AE372" s="102"/>
      <c r="AF372" s="102"/>
      <c r="AG372" s="102"/>
      <c r="AH372" s="102"/>
      <c r="AI372" s="102"/>
      <c r="AJ372" s="102"/>
      <c r="AK372" s="102"/>
      <c r="AL372" s="102"/>
      <c r="AM372" s="102"/>
      <c r="AN372" s="102"/>
      <c r="AO372" s="102"/>
      <c r="AP372" s="102"/>
    </row>
    <row r="373" spans="1:42">
      <c r="A373" s="89">
        <v>372</v>
      </c>
      <c r="B373" s="90">
        <v>50141960</v>
      </c>
      <c r="C373" s="91" t="s">
        <v>320</v>
      </c>
      <c r="D373" s="58" t="s">
        <v>845</v>
      </c>
      <c r="E373" s="59">
        <v>27491</v>
      </c>
      <c r="F373" s="92">
        <f ca="1">(TODAY()-Data_Assessment[[#This Row],[BIRTH DATE]])/365.25</f>
        <v>46.954140999315534</v>
      </c>
      <c r="G373" s="62" t="s">
        <v>986</v>
      </c>
      <c r="H373" s="63" t="s">
        <v>987</v>
      </c>
      <c r="I373" s="106">
        <v>4</v>
      </c>
      <c r="J373" s="64" t="s">
        <v>1237</v>
      </c>
      <c r="K373" s="143">
        <v>3</v>
      </c>
      <c r="L373" s="58"/>
      <c r="M373" s="58"/>
      <c r="N373" s="102"/>
      <c r="O373" s="102"/>
      <c r="P373" s="102"/>
      <c r="Q373" s="102"/>
      <c r="R373" s="102"/>
      <c r="S373" s="102"/>
      <c r="T373" s="102"/>
      <c r="U373" s="102"/>
      <c r="V373" s="102"/>
      <c r="W373" s="102"/>
      <c r="X373" s="102"/>
      <c r="Y373" s="102"/>
      <c r="Z373" s="102"/>
      <c r="AA373" s="102"/>
      <c r="AB373" s="102"/>
      <c r="AC373" s="102"/>
      <c r="AD373" s="102"/>
      <c r="AE373" s="102"/>
      <c r="AF373" s="102"/>
      <c r="AG373" s="102"/>
      <c r="AH373" s="102"/>
      <c r="AI373" s="102"/>
      <c r="AJ373" s="102"/>
      <c r="AK373" s="102"/>
      <c r="AL373" s="102"/>
      <c r="AM373" s="102"/>
      <c r="AN373" s="102"/>
      <c r="AO373" s="102"/>
      <c r="AP373" s="102"/>
    </row>
    <row r="374" spans="1:42">
      <c r="A374" s="89">
        <v>373</v>
      </c>
      <c r="B374" s="90">
        <v>50114421</v>
      </c>
      <c r="C374" s="91" t="s">
        <v>536</v>
      </c>
      <c r="D374" s="58" t="s">
        <v>845</v>
      </c>
      <c r="E374" s="59">
        <v>35232</v>
      </c>
      <c r="F374" s="92">
        <f ca="1">(TODAY()-Data_Assessment[[#This Row],[BIRTH DATE]])/365.25</f>
        <v>25.760438056125942</v>
      </c>
      <c r="G374" s="62" t="s">
        <v>941</v>
      </c>
      <c r="H374" s="63" t="s">
        <v>1238</v>
      </c>
      <c r="I374" s="106">
        <v>2</v>
      </c>
      <c r="J374" s="64" t="s">
        <v>1239</v>
      </c>
      <c r="K374" s="143">
        <v>3</v>
      </c>
      <c r="L374" s="58"/>
      <c r="M374" s="58"/>
      <c r="N374" s="102"/>
      <c r="O374" s="102"/>
      <c r="P374" s="102"/>
      <c r="Q374" s="102"/>
      <c r="R374" s="102"/>
      <c r="S374" s="102"/>
      <c r="T374" s="102"/>
      <c r="U374" s="102"/>
      <c r="V374" s="102"/>
      <c r="W374" s="102"/>
      <c r="X374" s="102"/>
      <c r="Y374" s="102"/>
      <c r="Z374" s="102"/>
      <c r="AA374" s="102"/>
      <c r="AB374" s="102"/>
      <c r="AC374" s="102"/>
      <c r="AD374" s="102"/>
      <c r="AE374" s="102"/>
      <c r="AF374" s="102"/>
      <c r="AG374" s="102"/>
      <c r="AH374" s="102"/>
      <c r="AI374" s="102"/>
      <c r="AJ374" s="102"/>
      <c r="AK374" s="102"/>
      <c r="AL374" s="102"/>
      <c r="AM374" s="102"/>
      <c r="AN374" s="102"/>
      <c r="AO374" s="102"/>
      <c r="AP374" s="102"/>
    </row>
    <row r="375" spans="1:42">
      <c r="A375" s="89">
        <v>374</v>
      </c>
      <c r="B375" s="90">
        <v>50141989</v>
      </c>
      <c r="C375" s="91" t="s">
        <v>321</v>
      </c>
      <c r="D375" s="58" t="s">
        <v>845</v>
      </c>
      <c r="E375" s="59">
        <v>26260</v>
      </c>
      <c r="F375" s="92">
        <f ca="1">(TODAY()-Data_Assessment[[#This Row],[BIRTH DATE]])/365.25</f>
        <v>50.324435318275157</v>
      </c>
      <c r="G375" s="62" t="s">
        <v>986</v>
      </c>
      <c r="H375" s="63" t="s">
        <v>987</v>
      </c>
      <c r="I375" s="106">
        <v>4</v>
      </c>
      <c r="J375" s="64" t="s">
        <v>1240</v>
      </c>
      <c r="K375" s="143">
        <v>3</v>
      </c>
      <c r="L375" s="58"/>
      <c r="M375" s="58"/>
      <c r="N375" s="102"/>
      <c r="O375" s="102"/>
      <c r="P375" s="102"/>
      <c r="Q375" s="102"/>
      <c r="R375" s="102"/>
      <c r="S375" s="102"/>
      <c r="T375" s="102"/>
      <c r="U375" s="102"/>
      <c r="V375" s="102"/>
      <c r="W375" s="102"/>
      <c r="X375" s="102"/>
      <c r="Y375" s="102"/>
      <c r="Z375" s="102"/>
      <c r="AA375" s="102"/>
      <c r="AB375" s="102"/>
      <c r="AC375" s="102"/>
      <c r="AD375" s="102"/>
      <c r="AE375" s="102"/>
      <c r="AF375" s="102"/>
      <c r="AG375" s="102"/>
      <c r="AH375" s="102"/>
      <c r="AI375" s="102"/>
      <c r="AJ375" s="102"/>
      <c r="AK375" s="102"/>
      <c r="AL375" s="102"/>
      <c r="AM375" s="102"/>
      <c r="AN375" s="102"/>
      <c r="AO375" s="102"/>
      <c r="AP375" s="102"/>
    </row>
    <row r="376" spans="1:42">
      <c r="A376" s="89">
        <v>375</v>
      </c>
      <c r="B376" s="90">
        <v>50137849</v>
      </c>
      <c r="C376" s="91" t="s">
        <v>546</v>
      </c>
      <c r="D376" s="58" t="s">
        <v>845</v>
      </c>
      <c r="E376" s="59">
        <v>35478</v>
      </c>
      <c r="F376" s="92">
        <f ca="1">(TODAY()-Data_Assessment[[#This Row],[BIRTH DATE]])/365.25</f>
        <v>25.086926762491444</v>
      </c>
      <c r="G376" s="62" t="s">
        <v>941</v>
      </c>
      <c r="H376" s="63" t="s">
        <v>1241</v>
      </c>
      <c r="I376" s="106">
        <v>2</v>
      </c>
      <c r="J376" s="64" t="s">
        <v>1242</v>
      </c>
      <c r="K376" s="143">
        <v>3</v>
      </c>
      <c r="L376" s="58"/>
      <c r="M376" s="58"/>
      <c r="N376" s="102"/>
      <c r="O376" s="102"/>
      <c r="P376" s="102"/>
      <c r="Q376" s="102"/>
      <c r="R376" s="102"/>
      <c r="S376" s="102"/>
      <c r="T376" s="102"/>
      <c r="U376" s="102"/>
      <c r="V376" s="102"/>
      <c r="W376" s="102"/>
      <c r="X376" s="102"/>
      <c r="Y376" s="102"/>
      <c r="Z376" s="102"/>
      <c r="AA376" s="102"/>
      <c r="AB376" s="102"/>
      <c r="AC376" s="102"/>
      <c r="AD376" s="102"/>
      <c r="AE376" s="102"/>
      <c r="AF376" s="102"/>
      <c r="AG376" s="102"/>
      <c r="AH376" s="102"/>
      <c r="AI376" s="102"/>
      <c r="AJ376" s="102"/>
      <c r="AK376" s="102"/>
      <c r="AL376" s="102"/>
      <c r="AM376" s="102"/>
      <c r="AN376" s="102"/>
      <c r="AO376" s="102"/>
      <c r="AP376" s="102"/>
    </row>
    <row r="377" spans="1:42" ht="29.25">
      <c r="A377" s="89">
        <v>376</v>
      </c>
      <c r="B377" s="90">
        <v>50141988</v>
      </c>
      <c r="C377" s="91" t="s">
        <v>322</v>
      </c>
      <c r="D377" s="58" t="s">
        <v>845</v>
      </c>
      <c r="E377" s="59">
        <v>28176</v>
      </c>
      <c r="F377" s="92">
        <f ca="1">(TODAY()-Data_Assessment[[#This Row],[BIRTH DATE]])/365.25</f>
        <v>45.078713210130047</v>
      </c>
      <c r="G377" s="62" t="s">
        <v>986</v>
      </c>
      <c r="H377" s="63" t="s">
        <v>987</v>
      </c>
      <c r="I377" s="106">
        <v>4</v>
      </c>
      <c r="J377" s="64" t="s">
        <v>1243</v>
      </c>
      <c r="K377" s="143">
        <v>4</v>
      </c>
      <c r="L377" s="58"/>
      <c r="M377" s="58"/>
      <c r="N377" s="102"/>
      <c r="O377" s="102"/>
      <c r="P377" s="102"/>
      <c r="Q377" s="102"/>
      <c r="R377" s="102"/>
      <c r="S377" s="102"/>
      <c r="T377" s="102"/>
      <c r="U377" s="102"/>
      <c r="V377" s="102"/>
      <c r="W377" s="102"/>
      <c r="X377" s="102"/>
      <c r="Y377" s="102"/>
      <c r="Z377" s="102"/>
      <c r="AA377" s="102"/>
      <c r="AB377" s="102"/>
      <c r="AC377" s="102"/>
      <c r="AD377" s="102"/>
      <c r="AE377" s="102"/>
      <c r="AF377" s="102"/>
      <c r="AG377" s="102"/>
      <c r="AH377" s="102"/>
      <c r="AI377" s="102"/>
      <c r="AJ377" s="102"/>
      <c r="AK377" s="102"/>
      <c r="AL377" s="102"/>
      <c r="AM377" s="102"/>
      <c r="AN377" s="102"/>
      <c r="AO377" s="102"/>
      <c r="AP377" s="102"/>
    </row>
    <row r="378" spans="1:42">
      <c r="A378" s="89">
        <v>377</v>
      </c>
      <c r="B378" s="90">
        <v>50133266</v>
      </c>
      <c r="C378" s="91" t="s">
        <v>572</v>
      </c>
      <c r="D378" s="58" t="s">
        <v>845</v>
      </c>
      <c r="E378" s="59">
        <v>34574</v>
      </c>
      <c r="F378" s="92">
        <f ca="1">(TODAY()-Data_Assessment[[#This Row],[BIRTH DATE]])/365.25</f>
        <v>27.561943874058862</v>
      </c>
      <c r="G378" s="62" t="s">
        <v>919</v>
      </c>
      <c r="H378" s="63" t="s">
        <v>1086</v>
      </c>
      <c r="I378" s="106">
        <v>1</v>
      </c>
      <c r="J378" s="64" t="s">
        <v>1244</v>
      </c>
      <c r="K378" s="143">
        <v>2</v>
      </c>
      <c r="L378" s="58"/>
      <c r="M378" s="58"/>
      <c r="N378" s="102"/>
      <c r="O378" s="102"/>
      <c r="P378" s="102"/>
      <c r="Q378" s="102"/>
      <c r="R378" s="102"/>
      <c r="S378" s="102"/>
      <c r="T378" s="102"/>
      <c r="U378" s="102"/>
      <c r="V378" s="102"/>
      <c r="W378" s="102"/>
      <c r="X378" s="102"/>
      <c r="Y378" s="102"/>
      <c r="Z378" s="102"/>
      <c r="AA378" s="102"/>
      <c r="AB378" s="102"/>
      <c r="AC378" s="102"/>
      <c r="AD378" s="102"/>
      <c r="AE378" s="102"/>
      <c r="AF378" s="102"/>
      <c r="AG378" s="102"/>
      <c r="AH378" s="102"/>
      <c r="AI378" s="102"/>
      <c r="AJ378" s="102"/>
      <c r="AK378" s="102"/>
      <c r="AL378" s="102"/>
      <c r="AM378" s="102"/>
      <c r="AN378" s="102"/>
      <c r="AO378" s="102"/>
      <c r="AP378" s="102"/>
    </row>
    <row r="379" spans="1:42">
      <c r="A379" s="89">
        <v>378</v>
      </c>
      <c r="B379" s="90">
        <v>50142029</v>
      </c>
      <c r="C379" s="91" t="s">
        <v>323</v>
      </c>
      <c r="D379" s="58" t="s">
        <v>845</v>
      </c>
      <c r="E379" s="59">
        <v>30099</v>
      </c>
      <c r="F379" s="92">
        <f ca="1">(TODAY()-Data_Assessment[[#This Row],[BIRTH DATE]])/365.25</f>
        <v>39.813826146475016</v>
      </c>
      <c r="G379" s="62" t="s">
        <v>986</v>
      </c>
      <c r="H379" s="63" t="s">
        <v>987</v>
      </c>
      <c r="I379" s="106">
        <v>4</v>
      </c>
      <c r="J379" s="64" t="s">
        <v>1245</v>
      </c>
      <c r="K379" s="143">
        <v>2</v>
      </c>
      <c r="L379" s="58"/>
      <c r="M379" s="58"/>
      <c r="N379" s="102"/>
      <c r="O379" s="102"/>
      <c r="P379" s="102"/>
      <c r="Q379" s="102"/>
      <c r="R379" s="102"/>
      <c r="S379" s="102"/>
      <c r="T379" s="102"/>
      <c r="U379" s="102"/>
      <c r="V379" s="102"/>
      <c r="W379" s="102"/>
      <c r="X379" s="102"/>
      <c r="Y379" s="102"/>
      <c r="Z379" s="102"/>
      <c r="AA379" s="102"/>
      <c r="AB379" s="102"/>
      <c r="AC379" s="102"/>
      <c r="AD379" s="102"/>
      <c r="AE379" s="102"/>
      <c r="AF379" s="102"/>
      <c r="AG379" s="102"/>
      <c r="AH379" s="102"/>
      <c r="AI379" s="102"/>
      <c r="AJ379" s="102"/>
      <c r="AK379" s="102"/>
      <c r="AL379" s="102"/>
      <c r="AM379" s="102"/>
      <c r="AN379" s="102"/>
      <c r="AO379" s="102"/>
      <c r="AP379" s="102"/>
    </row>
    <row r="380" spans="1:42">
      <c r="A380" s="89">
        <v>379</v>
      </c>
      <c r="B380" s="90">
        <v>50135175</v>
      </c>
      <c r="C380" s="91" t="s">
        <v>770</v>
      </c>
      <c r="D380" s="58" t="s">
        <v>845</v>
      </c>
      <c r="E380" s="59">
        <v>35363</v>
      </c>
      <c r="F380" s="92">
        <f ca="1">(TODAY()-Data_Assessment[[#This Row],[BIRTH DATE]])/365.25</f>
        <v>25.401779603011637</v>
      </c>
      <c r="G380" s="62" t="s">
        <v>919</v>
      </c>
      <c r="H380" s="63" t="s">
        <v>1246</v>
      </c>
      <c r="I380" s="106">
        <v>1</v>
      </c>
      <c r="J380" s="64" t="s">
        <v>1247</v>
      </c>
      <c r="K380" s="143">
        <v>2</v>
      </c>
      <c r="L380" s="58"/>
      <c r="M380" s="58"/>
      <c r="N380" s="102"/>
      <c r="O380" s="102"/>
      <c r="P380" s="102"/>
      <c r="Q380" s="102"/>
      <c r="R380" s="102"/>
      <c r="S380" s="102"/>
      <c r="T380" s="102"/>
      <c r="U380" s="102"/>
      <c r="V380" s="102"/>
      <c r="W380" s="102"/>
      <c r="X380" s="102"/>
      <c r="Y380" s="102"/>
      <c r="Z380" s="102"/>
      <c r="AA380" s="102"/>
      <c r="AB380" s="102"/>
      <c r="AC380" s="102"/>
      <c r="AD380" s="102"/>
      <c r="AE380" s="102"/>
      <c r="AF380" s="102"/>
      <c r="AG380" s="102"/>
      <c r="AH380" s="102"/>
      <c r="AI380" s="102"/>
      <c r="AJ380" s="102"/>
      <c r="AK380" s="102"/>
      <c r="AL380" s="102"/>
      <c r="AM380" s="102"/>
      <c r="AN380" s="102"/>
      <c r="AO380" s="102"/>
      <c r="AP380" s="102"/>
    </row>
    <row r="381" spans="1:42">
      <c r="A381" s="89">
        <v>380</v>
      </c>
      <c r="B381" s="90">
        <v>50142022</v>
      </c>
      <c r="C381" s="91" t="s">
        <v>324</v>
      </c>
      <c r="D381" s="58" t="s">
        <v>845</v>
      </c>
      <c r="E381" s="59">
        <v>33414</v>
      </c>
      <c r="F381" s="92">
        <f ca="1">(TODAY()-Data_Assessment[[#This Row],[BIRTH DATE]])/365.25</f>
        <v>30.7378507871321</v>
      </c>
      <c r="G381" s="62" t="s">
        <v>986</v>
      </c>
      <c r="H381" s="63" t="s">
        <v>987</v>
      </c>
      <c r="I381" s="106">
        <v>4</v>
      </c>
      <c r="J381" s="64" t="s">
        <v>1245</v>
      </c>
      <c r="K381" s="143">
        <v>3</v>
      </c>
      <c r="L381" s="58"/>
      <c r="M381" s="58"/>
      <c r="N381" s="102"/>
      <c r="O381" s="102"/>
      <c r="P381" s="102"/>
      <c r="Q381" s="102"/>
      <c r="R381" s="102"/>
      <c r="S381" s="102"/>
      <c r="T381" s="102"/>
      <c r="U381" s="102"/>
      <c r="V381" s="102"/>
      <c r="W381" s="102"/>
      <c r="X381" s="102"/>
      <c r="Y381" s="102"/>
      <c r="Z381" s="102"/>
      <c r="AA381" s="102"/>
      <c r="AB381" s="102"/>
      <c r="AC381" s="102"/>
      <c r="AD381" s="102"/>
      <c r="AE381" s="102"/>
      <c r="AF381" s="102"/>
      <c r="AG381" s="102"/>
      <c r="AH381" s="102"/>
      <c r="AI381" s="102"/>
      <c r="AJ381" s="102"/>
      <c r="AK381" s="102"/>
      <c r="AL381" s="102"/>
      <c r="AM381" s="102"/>
      <c r="AN381" s="102"/>
      <c r="AO381" s="102"/>
      <c r="AP381" s="102"/>
    </row>
    <row r="382" spans="1:42">
      <c r="A382" s="89">
        <v>381</v>
      </c>
      <c r="B382" s="90">
        <v>50134929</v>
      </c>
      <c r="C382" s="91" t="s">
        <v>594</v>
      </c>
      <c r="D382" s="58" t="s">
        <v>845</v>
      </c>
      <c r="E382" s="59">
        <v>28350</v>
      </c>
      <c r="F382" s="92">
        <f ca="1">(TODAY()-Data_Assessment[[#This Row],[BIRTH DATE]])/365.25</f>
        <v>44.602327173169066</v>
      </c>
      <c r="G382" s="62" t="s">
        <v>919</v>
      </c>
      <c r="H382" s="63" t="s">
        <v>1248</v>
      </c>
      <c r="I382" s="106">
        <v>1</v>
      </c>
      <c r="J382" s="64" t="s">
        <v>1249</v>
      </c>
      <c r="K382" s="143">
        <v>2</v>
      </c>
      <c r="L382" s="58"/>
      <c r="M382" s="58"/>
      <c r="N382" s="102"/>
      <c r="O382" s="102"/>
      <c r="P382" s="102"/>
      <c r="Q382" s="102"/>
      <c r="R382" s="102"/>
      <c r="S382" s="102"/>
      <c r="T382" s="102"/>
      <c r="U382" s="102"/>
      <c r="V382" s="102"/>
      <c r="W382" s="102"/>
      <c r="X382" s="102"/>
      <c r="Y382" s="102"/>
      <c r="Z382" s="102"/>
      <c r="AA382" s="102"/>
      <c r="AB382" s="102"/>
      <c r="AC382" s="102"/>
      <c r="AD382" s="102"/>
      <c r="AE382" s="102"/>
      <c r="AF382" s="102"/>
      <c r="AG382" s="102"/>
      <c r="AH382" s="102"/>
      <c r="AI382" s="102"/>
      <c r="AJ382" s="102"/>
      <c r="AK382" s="102"/>
      <c r="AL382" s="102"/>
      <c r="AM382" s="102"/>
      <c r="AN382" s="102"/>
      <c r="AO382" s="102"/>
      <c r="AP382" s="102"/>
    </row>
    <row r="383" spans="1:42">
      <c r="A383" s="89">
        <v>382</v>
      </c>
      <c r="B383" s="90">
        <v>50142028</v>
      </c>
      <c r="C383" s="91" t="s">
        <v>325</v>
      </c>
      <c r="D383" s="58" t="s">
        <v>845</v>
      </c>
      <c r="E383" s="59">
        <v>27898</v>
      </c>
      <c r="F383" s="92">
        <f ca="1">(TODAY()-Data_Assessment[[#This Row],[BIRTH DATE]])/365.25</f>
        <v>45.839835728952771</v>
      </c>
      <c r="G383" s="62" t="s">
        <v>986</v>
      </c>
      <c r="H383" s="63" t="s">
        <v>987</v>
      </c>
      <c r="I383" s="106">
        <v>4</v>
      </c>
      <c r="J383" s="64" t="s">
        <v>1245</v>
      </c>
      <c r="K383" s="143">
        <v>2</v>
      </c>
      <c r="L383" s="58"/>
      <c r="M383" s="58"/>
      <c r="N383" s="102"/>
      <c r="O383" s="102"/>
      <c r="P383" s="102"/>
      <c r="Q383" s="102"/>
      <c r="R383" s="102"/>
      <c r="S383" s="102"/>
      <c r="T383" s="102"/>
      <c r="U383" s="102"/>
      <c r="V383" s="102"/>
      <c r="W383" s="102"/>
      <c r="X383" s="102"/>
      <c r="Y383" s="102"/>
      <c r="Z383" s="102"/>
      <c r="AA383" s="102"/>
      <c r="AB383" s="102"/>
      <c r="AC383" s="102"/>
      <c r="AD383" s="102"/>
      <c r="AE383" s="102"/>
      <c r="AF383" s="102"/>
      <c r="AG383" s="102"/>
      <c r="AH383" s="102"/>
      <c r="AI383" s="102"/>
      <c r="AJ383" s="102"/>
      <c r="AK383" s="102"/>
      <c r="AL383" s="102"/>
      <c r="AM383" s="102"/>
      <c r="AN383" s="102"/>
      <c r="AO383" s="102"/>
      <c r="AP383" s="102"/>
    </row>
    <row r="384" spans="1:42">
      <c r="A384" s="89">
        <v>383</v>
      </c>
      <c r="B384" s="90">
        <v>50102547</v>
      </c>
      <c r="C384" s="91" t="s">
        <v>608</v>
      </c>
      <c r="D384" s="58" t="s">
        <v>845</v>
      </c>
      <c r="E384" s="59">
        <v>34333</v>
      </c>
      <c r="F384" s="92">
        <f ca="1">(TODAY()-Data_Assessment[[#This Row],[BIRTH DATE]])/365.25</f>
        <v>28.2217659137577</v>
      </c>
      <c r="G384" s="62" t="s">
        <v>919</v>
      </c>
      <c r="H384" s="63" t="s">
        <v>1250</v>
      </c>
      <c r="I384" s="106">
        <v>1</v>
      </c>
      <c r="J384" s="64" t="s">
        <v>1251</v>
      </c>
      <c r="K384" s="143">
        <v>2</v>
      </c>
      <c r="L384" s="58"/>
      <c r="M384" s="58"/>
      <c r="N384" s="102"/>
      <c r="O384" s="102"/>
      <c r="P384" s="102"/>
      <c r="Q384" s="102"/>
      <c r="R384" s="102"/>
      <c r="S384" s="102"/>
      <c r="T384" s="102"/>
      <c r="U384" s="102"/>
      <c r="V384" s="102"/>
      <c r="W384" s="102"/>
      <c r="X384" s="102"/>
      <c r="Y384" s="102"/>
      <c r="Z384" s="102"/>
      <c r="AA384" s="102"/>
      <c r="AB384" s="102"/>
      <c r="AC384" s="102"/>
      <c r="AD384" s="102"/>
      <c r="AE384" s="102"/>
      <c r="AF384" s="102"/>
      <c r="AG384" s="102"/>
      <c r="AH384" s="102"/>
      <c r="AI384" s="102"/>
      <c r="AJ384" s="102"/>
      <c r="AK384" s="102"/>
      <c r="AL384" s="102"/>
      <c r="AM384" s="102"/>
      <c r="AN384" s="102"/>
      <c r="AO384" s="102"/>
      <c r="AP384" s="102"/>
    </row>
    <row r="385" spans="1:42">
      <c r="A385" s="89">
        <v>384</v>
      </c>
      <c r="B385" s="90">
        <v>50142025</v>
      </c>
      <c r="C385" s="91" t="s">
        <v>326</v>
      </c>
      <c r="D385" s="58" t="s">
        <v>845</v>
      </c>
      <c r="E385" s="59">
        <v>31783</v>
      </c>
      <c r="F385" s="92">
        <f ca="1">(TODAY()-Data_Assessment[[#This Row],[BIRTH DATE]])/365.25</f>
        <v>35.20328542094456</v>
      </c>
      <c r="G385" s="62" t="s">
        <v>986</v>
      </c>
      <c r="H385" s="63" t="s">
        <v>987</v>
      </c>
      <c r="I385" s="106">
        <v>4</v>
      </c>
      <c r="J385" s="64" t="s">
        <v>1245</v>
      </c>
      <c r="K385" s="143">
        <v>2</v>
      </c>
      <c r="L385" s="58"/>
      <c r="M385" s="58"/>
      <c r="N385" s="102"/>
      <c r="O385" s="102"/>
      <c r="P385" s="102"/>
      <c r="Q385" s="102"/>
      <c r="R385" s="102"/>
      <c r="S385" s="102"/>
      <c r="T385" s="102"/>
      <c r="U385" s="102"/>
      <c r="V385" s="102"/>
      <c r="W385" s="102"/>
      <c r="X385" s="102"/>
      <c r="Y385" s="102"/>
      <c r="Z385" s="102"/>
      <c r="AA385" s="102"/>
      <c r="AB385" s="102"/>
      <c r="AC385" s="102"/>
      <c r="AD385" s="102"/>
      <c r="AE385" s="102"/>
      <c r="AF385" s="102"/>
      <c r="AG385" s="102"/>
      <c r="AH385" s="102"/>
      <c r="AI385" s="102"/>
      <c r="AJ385" s="102"/>
      <c r="AK385" s="102"/>
      <c r="AL385" s="102"/>
      <c r="AM385" s="102"/>
      <c r="AN385" s="102"/>
      <c r="AO385" s="102"/>
      <c r="AP385" s="102"/>
    </row>
    <row r="386" spans="1:42">
      <c r="A386" s="89">
        <v>385</v>
      </c>
      <c r="B386" s="90">
        <v>50117628</v>
      </c>
      <c r="C386" s="91" t="s">
        <v>638</v>
      </c>
      <c r="D386" s="58" t="s">
        <v>845</v>
      </c>
      <c r="E386" s="59">
        <v>24732</v>
      </c>
      <c r="F386" s="92">
        <f ca="1">(TODAY()-Data_Assessment[[#This Row],[BIRTH DATE]])/365.25</f>
        <v>54.507871321013006</v>
      </c>
      <c r="G386" s="62" t="s">
        <v>919</v>
      </c>
      <c r="H386" s="63" t="s">
        <v>1252</v>
      </c>
      <c r="I386" s="106">
        <v>1</v>
      </c>
      <c r="J386" s="64" t="s">
        <v>1253</v>
      </c>
      <c r="K386" s="143">
        <v>3</v>
      </c>
      <c r="L386" s="58"/>
      <c r="M386" s="58"/>
      <c r="N386" s="102"/>
      <c r="O386" s="102"/>
      <c r="P386" s="102"/>
      <c r="Q386" s="102"/>
      <c r="R386" s="102"/>
      <c r="S386" s="102"/>
      <c r="T386" s="102"/>
      <c r="U386" s="102"/>
      <c r="V386" s="102"/>
      <c r="W386" s="102"/>
      <c r="X386" s="102"/>
      <c r="Y386" s="102"/>
      <c r="Z386" s="102"/>
      <c r="AA386" s="102"/>
      <c r="AB386" s="102"/>
      <c r="AC386" s="102"/>
      <c r="AD386" s="102"/>
      <c r="AE386" s="102"/>
      <c r="AF386" s="102"/>
      <c r="AG386" s="102"/>
      <c r="AH386" s="102"/>
      <c r="AI386" s="102"/>
      <c r="AJ386" s="102"/>
      <c r="AK386" s="102"/>
      <c r="AL386" s="102"/>
      <c r="AM386" s="102"/>
      <c r="AN386" s="102"/>
      <c r="AO386" s="102"/>
      <c r="AP386" s="102"/>
    </row>
    <row r="387" spans="1:42">
      <c r="A387" s="89">
        <v>386</v>
      </c>
      <c r="B387" s="90">
        <v>50142018</v>
      </c>
      <c r="C387" s="91" t="s">
        <v>327</v>
      </c>
      <c r="D387" s="58" t="s">
        <v>846</v>
      </c>
      <c r="E387" s="59">
        <v>31611</v>
      </c>
      <c r="F387" s="92">
        <f ca="1">(TODAY()-Data_Assessment[[#This Row],[BIRTH DATE]])/365.25</f>
        <v>35.674195756331279</v>
      </c>
      <c r="G387" s="62" t="s">
        <v>986</v>
      </c>
      <c r="H387" s="63" t="s">
        <v>987</v>
      </c>
      <c r="I387" s="106">
        <v>4</v>
      </c>
      <c r="J387" s="64" t="s">
        <v>1245</v>
      </c>
      <c r="K387" s="143">
        <v>2</v>
      </c>
      <c r="L387" s="58"/>
      <c r="M387" s="58"/>
      <c r="N387" s="102"/>
      <c r="O387" s="102"/>
      <c r="P387" s="102"/>
      <c r="Q387" s="102"/>
      <c r="R387" s="102"/>
      <c r="S387" s="102"/>
      <c r="T387" s="102"/>
      <c r="U387" s="102"/>
      <c r="V387" s="102"/>
      <c r="W387" s="102"/>
      <c r="X387" s="102"/>
      <c r="Y387" s="102"/>
      <c r="Z387" s="102"/>
      <c r="AA387" s="102"/>
      <c r="AB387" s="102"/>
      <c r="AC387" s="102"/>
      <c r="AD387" s="102"/>
      <c r="AE387" s="102"/>
      <c r="AF387" s="102"/>
      <c r="AG387" s="102"/>
      <c r="AH387" s="102"/>
      <c r="AI387" s="102"/>
      <c r="AJ387" s="102"/>
      <c r="AK387" s="102"/>
      <c r="AL387" s="102"/>
      <c r="AM387" s="102"/>
      <c r="AN387" s="102"/>
      <c r="AO387" s="102"/>
      <c r="AP387" s="102"/>
    </row>
    <row r="388" spans="1:42">
      <c r="A388" s="89">
        <v>387</v>
      </c>
      <c r="B388" s="90">
        <v>50112881</v>
      </c>
      <c r="C388" s="91" t="s">
        <v>646</v>
      </c>
      <c r="D388" s="58" t="s">
        <v>845</v>
      </c>
      <c r="E388" s="59">
        <v>34685</v>
      </c>
      <c r="F388" s="92">
        <f ca="1">(TODAY()-Data_Assessment[[#This Row],[BIRTH DATE]])/365.25</f>
        <v>27.258042436687202</v>
      </c>
      <c r="G388" s="62" t="s">
        <v>919</v>
      </c>
      <c r="H388" s="63" t="s">
        <v>957</v>
      </c>
      <c r="I388" s="106">
        <v>1</v>
      </c>
      <c r="J388" s="64" t="s">
        <v>1254</v>
      </c>
      <c r="K388" s="143">
        <v>3</v>
      </c>
      <c r="L388" s="58"/>
      <c r="M388" s="58"/>
      <c r="N388" s="102"/>
      <c r="O388" s="102"/>
      <c r="P388" s="102"/>
      <c r="Q388" s="102"/>
      <c r="R388" s="102"/>
      <c r="S388" s="102"/>
      <c r="T388" s="102"/>
      <c r="U388" s="102"/>
      <c r="V388" s="102"/>
      <c r="W388" s="102"/>
      <c r="X388" s="102"/>
      <c r="Y388" s="102"/>
      <c r="Z388" s="102"/>
      <c r="AA388" s="102"/>
      <c r="AB388" s="102"/>
      <c r="AC388" s="102"/>
      <c r="AD388" s="102"/>
      <c r="AE388" s="102"/>
      <c r="AF388" s="102"/>
      <c r="AG388" s="102"/>
      <c r="AH388" s="102"/>
      <c r="AI388" s="102"/>
      <c r="AJ388" s="102"/>
      <c r="AK388" s="102"/>
      <c r="AL388" s="102"/>
      <c r="AM388" s="102"/>
      <c r="AN388" s="102"/>
      <c r="AO388" s="102"/>
      <c r="AP388" s="102"/>
    </row>
    <row r="389" spans="1:42">
      <c r="A389" s="89">
        <v>388</v>
      </c>
      <c r="B389" s="90">
        <v>50142016</v>
      </c>
      <c r="C389" s="91" t="s">
        <v>328</v>
      </c>
      <c r="D389" s="58" t="s">
        <v>845</v>
      </c>
      <c r="E389" s="59">
        <v>33531</v>
      </c>
      <c r="F389" s="92">
        <f ca="1">(TODAY()-Data_Assessment[[#This Row],[BIRTH DATE]])/365.25</f>
        <v>30.417522245037645</v>
      </c>
      <c r="G389" s="62" t="s">
        <v>986</v>
      </c>
      <c r="H389" s="63" t="s">
        <v>987</v>
      </c>
      <c r="I389" s="106">
        <v>4</v>
      </c>
      <c r="J389" s="64" t="s">
        <v>1245</v>
      </c>
      <c r="K389" s="143">
        <v>2</v>
      </c>
      <c r="L389" s="58"/>
      <c r="M389" s="58"/>
      <c r="N389" s="102"/>
      <c r="O389" s="102"/>
      <c r="P389" s="102"/>
      <c r="Q389" s="102"/>
      <c r="R389" s="102"/>
      <c r="S389" s="102"/>
      <c r="T389" s="102"/>
      <c r="U389" s="102"/>
      <c r="V389" s="102"/>
      <c r="W389" s="102"/>
      <c r="X389" s="102"/>
      <c r="Y389" s="102"/>
      <c r="Z389" s="102"/>
      <c r="AA389" s="102"/>
      <c r="AB389" s="102"/>
      <c r="AC389" s="102"/>
      <c r="AD389" s="102"/>
      <c r="AE389" s="102"/>
      <c r="AF389" s="102"/>
      <c r="AG389" s="102"/>
      <c r="AH389" s="102"/>
      <c r="AI389" s="102"/>
      <c r="AJ389" s="102"/>
      <c r="AK389" s="102"/>
      <c r="AL389" s="102"/>
      <c r="AM389" s="102"/>
      <c r="AN389" s="102"/>
      <c r="AO389" s="102"/>
      <c r="AP389" s="102"/>
    </row>
    <row r="390" spans="1:42">
      <c r="A390" s="89">
        <v>389</v>
      </c>
      <c r="B390" s="90">
        <v>50112863</v>
      </c>
      <c r="C390" s="91" t="s">
        <v>651</v>
      </c>
      <c r="D390" s="58" t="s">
        <v>845</v>
      </c>
      <c r="E390" s="59">
        <v>33541</v>
      </c>
      <c r="F390" s="92">
        <f ca="1">(TODAY()-Data_Assessment[[#This Row],[BIRTH DATE]])/365.25</f>
        <v>30.390143737166323</v>
      </c>
      <c r="G390" s="62" t="s">
        <v>919</v>
      </c>
      <c r="H390" s="63" t="s">
        <v>1255</v>
      </c>
      <c r="I390" s="106">
        <v>1</v>
      </c>
      <c r="J390" s="64" t="s">
        <v>1256</v>
      </c>
      <c r="K390" s="143">
        <v>3</v>
      </c>
      <c r="L390" s="58"/>
      <c r="M390" s="58"/>
      <c r="N390" s="102"/>
      <c r="O390" s="102"/>
      <c r="P390" s="102"/>
      <c r="Q390" s="102"/>
      <c r="R390" s="102"/>
      <c r="S390" s="102"/>
      <c r="T390" s="102"/>
      <c r="U390" s="102"/>
      <c r="V390" s="102"/>
      <c r="W390" s="102"/>
      <c r="X390" s="102"/>
      <c r="Y390" s="102"/>
      <c r="Z390" s="102"/>
      <c r="AA390" s="102"/>
      <c r="AB390" s="102"/>
      <c r="AC390" s="102"/>
      <c r="AD390" s="102"/>
      <c r="AE390" s="102"/>
      <c r="AF390" s="102"/>
      <c r="AG390" s="102"/>
      <c r="AH390" s="102"/>
      <c r="AI390" s="102"/>
      <c r="AJ390" s="102"/>
      <c r="AK390" s="102"/>
      <c r="AL390" s="102"/>
      <c r="AM390" s="102"/>
      <c r="AN390" s="102"/>
      <c r="AO390" s="102"/>
      <c r="AP390" s="102"/>
    </row>
    <row r="391" spans="1:42">
      <c r="A391" s="89">
        <v>390</v>
      </c>
      <c r="B391" s="90">
        <v>50142014</v>
      </c>
      <c r="C391" s="91" t="s">
        <v>329</v>
      </c>
      <c r="D391" s="58" t="s">
        <v>845</v>
      </c>
      <c r="E391" s="59">
        <v>34507</v>
      </c>
      <c r="F391" s="92">
        <f ca="1">(TODAY()-Data_Assessment[[#This Row],[BIRTH DATE]])/365.25</f>
        <v>27.745379876796715</v>
      </c>
      <c r="G391" s="62" t="s">
        <v>986</v>
      </c>
      <c r="H391" s="63" t="s">
        <v>987</v>
      </c>
      <c r="I391" s="106">
        <v>4</v>
      </c>
      <c r="J391" s="64" t="s">
        <v>1245</v>
      </c>
      <c r="K391" s="143">
        <v>2</v>
      </c>
      <c r="L391" s="58"/>
      <c r="M391" s="58"/>
      <c r="N391" s="102"/>
      <c r="O391" s="102"/>
      <c r="P391" s="102"/>
      <c r="Q391" s="102"/>
      <c r="R391" s="102"/>
      <c r="S391" s="102"/>
      <c r="T391" s="102"/>
      <c r="U391" s="102"/>
      <c r="V391" s="102"/>
      <c r="W391" s="102"/>
      <c r="X391" s="102"/>
      <c r="Y391" s="102"/>
      <c r="Z391" s="102"/>
      <c r="AA391" s="102"/>
      <c r="AB391" s="102"/>
      <c r="AC391" s="102"/>
      <c r="AD391" s="102"/>
      <c r="AE391" s="102"/>
      <c r="AF391" s="102"/>
      <c r="AG391" s="102"/>
      <c r="AH391" s="102"/>
      <c r="AI391" s="102"/>
      <c r="AJ391" s="102"/>
      <c r="AK391" s="102"/>
      <c r="AL391" s="102"/>
      <c r="AM391" s="102"/>
      <c r="AN391" s="102"/>
      <c r="AO391" s="102"/>
      <c r="AP391" s="102"/>
    </row>
    <row r="392" spans="1:42">
      <c r="A392" s="89">
        <v>391</v>
      </c>
      <c r="B392" s="90">
        <v>50104346</v>
      </c>
      <c r="C392" s="91" t="s">
        <v>667</v>
      </c>
      <c r="D392" s="58" t="s">
        <v>845</v>
      </c>
      <c r="E392" s="59">
        <v>32846</v>
      </c>
      <c r="F392" s="92">
        <f ca="1">(TODAY()-Data_Assessment[[#This Row],[BIRTH DATE]])/365.25</f>
        <v>32.292950034223132</v>
      </c>
      <c r="G392" s="62" t="s">
        <v>919</v>
      </c>
      <c r="H392" s="63" t="s">
        <v>1257</v>
      </c>
      <c r="I392" s="106">
        <v>1</v>
      </c>
      <c r="J392" s="64" t="s">
        <v>1258</v>
      </c>
      <c r="K392" s="143">
        <v>4</v>
      </c>
      <c r="L392" s="58"/>
      <c r="M392" s="58"/>
      <c r="N392" s="102"/>
      <c r="O392" s="102"/>
      <c r="P392" s="102"/>
      <c r="Q392" s="102"/>
      <c r="R392" s="102"/>
      <c r="S392" s="102"/>
      <c r="T392" s="102"/>
      <c r="U392" s="102"/>
      <c r="V392" s="102"/>
      <c r="W392" s="102"/>
      <c r="X392" s="102"/>
      <c r="Y392" s="102"/>
      <c r="Z392" s="102"/>
      <c r="AA392" s="102"/>
      <c r="AB392" s="102"/>
      <c r="AC392" s="102"/>
      <c r="AD392" s="102"/>
      <c r="AE392" s="102"/>
      <c r="AF392" s="102"/>
      <c r="AG392" s="102"/>
      <c r="AH392" s="102"/>
      <c r="AI392" s="102"/>
      <c r="AJ392" s="102"/>
      <c r="AK392" s="102"/>
      <c r="AL392" s="102"/>
      <c r="AM392" s="102"/>
      <c r="AN392" s="102"/>
      <c r="AO392" s="102"/>
      <c r="AP392" s="102"/>
    </row>
    <row r="393" spans="1:42">
      <c r="A393" s="89">
        <v>392</v>
      </c>
      <c r="B393" s="90">
        <v>50142011</v>
      </c>
      <c r="C393" s="91" t="s">
        <v>330</v>
      </c>
      <c r="D393" s="58" t="s">
        <v>845</v>
      </c>
      <c r="E393" s="59">
        <v>34159</v>
      </c>
      <c r="F393" s="92">
        <f ca="1">(TODAY()-Data_Assessment[[#This Row],[BIRTH DATE]])/365.25</f>
        <v>28.698151950718685</v>
      </c>
      <c r="G393" s="62" t="s">
        <v>986</v>
      </c>
      <c r="H393" s="63" t="s">
        <v>987</v>
      </c>
      <c r="I393" s="106">
        <v>4</v>
      </c>
      <c r="J393" s="64" t="s">
        <v>1245</v>
      </c>
      <c r="K393" s="143">
        <v>3</v>
      </c>
      <c r="L393" s="58"/>
      <c r="M393" s="58"/>
      <c r="N393" s="102"/>
      <c r="O393" s="102"/>
      <c r="P393" s="102"/>
      <c r="Q393" s="102"/>
      <c r="R393" s="102"/>
      <c r="S393" s="102"/>
      <c r="T393" s="102"/>
      <c r="U393" s="102"/>
      <c r="V393" s="102"/>
      <c r="W393" s="102"/>
      <c r="X393" s="102"/>
      <c r="Y393" s="102"/>
      <c r="Z393" s="102"/>
      <c r="AA393" s="102"/>
      <c r="AB393" s="102"/>
      <c r="AC393" s="102"/>
      <c r="AD393" s="102"/>
      <c r="AE393" s="102"/>
      <c r="AF393" s="102"/>
      <c r="AG393" s="102"/>
      <c r="AH393" s="102"/>
      <c r="AI393" s="102"/>
      <c r="AJ393" s="102"/>
      <c r="AK393" s="102"/>
      <c r="AL393" s="102"/>
      <c r="AM393" s="102"/>
      <c r="AN393" s="102"/>
      <c r="AO393" s="102"/>
      <c r="AP393" s="102"/>
    </row>
    <row r="394" spans="1:42">
      <c r="A394" s="89">
        <v>393</v>
      </c>
      <c r="B394" s="90">
        <v>50031428</v>
      </c>
      <c r="C394" s="91" t="s">
        <v>533</v>
      </c>
      <c r="D394" s="58" t="s">
        <v>845</v>
      </c>
      <c r="E394" s="59">
        <v>24990</v>
      </c>
      <c r="F394" s="92">
        <f ca="1">(TODAY()-Data_Assessment[[#This Row],[BIRTH DATE]])/365.25</f>
        <v>53.80150581793292</v>
      </c>
      <c r="G394" s="62" t="s">
        <v>941</v>
      </c>
      <c r="H394" s="63" t="s">
        <v>1238</v>
      </c>
      <c r="I394" s="106">
        <v>2</v>
      </c>
      <c r="J394" s="64" t="s">
        <v>1239</v>
      </c>
      <c r="K394" s="143">
        <v>2</v>
      </c>
      <c r="L394" s="58"/>
      <c r="M394" s="58"/>
      <c r="N394" s="102"/>
      <c r="O394" s="102"/>
      <c r="P394" s="102"/>
      <c r="Q394" s="102"/>
      <c r="R394" s="102"/>
      <c r="S394" s="102"/>
      <c r="T394" s="102"/>
      <c r="U394" s="102"/>
      <c r="V394" s="102"/>
      <c r="W394" s="102"/>
      <c r="X394" s="102"/>
      <c r="Y394" s="102"/>
      <c r="Z394" s="102"/>
      <c r="AA394" s="102"/>
      <c r="AB394" s="102"/>
      <c r="AC394" s="102"/>
      <c r="AD394" s="102"/>
      <c r="AE394" s="102"/>
      <c r="AF394" s="102"/>
      <c r="AG394" s="102"/>
      <c r="AH394" s="102"/>
      <c r="AI394" s="102"/>
      <c r="AJ394" s="102"/>
      <c r="AK394" s="102"/>
      <c r="AL394" s="102"/>
      <c r="AM394" s="102"/>
      <c r="AN394" s="102"/>
      <c r="AO394" s="102"/>
      <c r="AP394" s="102"/>
    </row>
    <row r="395" spans="1:42">
      <c r="A395" s="89">
        <v>394</v>
      </c>
      <c r="B395" s="90">
        <v>50142005</v>
      </c>
      <c r="C395" s="91" t="s">
        <v>331</v>
      </c>
      <c r="D395" s="58" t="s">
        <v>845</v>
      </c>
      <c r="E395" s="59">
        <v>34106</v>
      </c>
      <c r="F395" s="92">
        <f ca="1">(TODAY()-Data_Assessment[[#This Row],[BIRTH DATE]])/365.25</f>
        <v>28.843258042436688</v>
      </c>
      <c r="G395" s="62" t="s">
        <v>986</v>
      </c>
      <c r="H395" s="63" t="s">
        <v>987</v>
      </c>
      <c r="I395" s="106">
        <v>4</v>
      </c>
      <c r="J395" s="64" t="s">
        <v>1245</v>
      </c>
      <c r="K395" s="143">
        <v>2</v>
      </c>
      <c r="L395" s="58"/>
      <c r="M395" s="58"/>
      <c r="N395" s="102"/>
      <c r="O395" s="102"/>
      <c r="P395" s="102"/>
      <c r="Q395" s="102"/>
      <c r="R395" s="102"/>
      <c r="S395" s="102"/>
      <c r="T395" s="102"/>
      <c r="U395" s="102"/>
      <c r="V395" s="102"/>
      <c r="W395" s="102"/>
      <c r="X395" s="102"/>
      <c r="Y395" s="102"/>
      <c r="Z395" s="102"/>
      <c r="AA395" s="102"/>
      <c r="AB395" s="102"/>
      <c r="AC395" s="102"/>
      <c r="AD395" s="102"/>
      <c r="AE395" s="102"/>
      <c r="AF395" s="102"/>
      <c r="AG395" s="102"/>
      <c r="AH395" s="102"/>
      <c r="AI395" s="102"/>
      <c r="AJ395" s="102"/>
      <c r="AK395" s="102"/>
      <c r="AL395" s="102"/>
      <c r="AM395" s="102"/>
      <c r="AN395" s="102"/>
      <c r="AO395" s="102"/>
      <c r="AP395" s="102"/>
    </row>
    <row r="396" spans="1:42">
      <c r="A396" s="89">
        <v>395</v>
      </c>
      <c r="B396" s="90">
        <v>50122098</v>
      </c>
      <c r="C396" s="91" t="s">
        <v>673</v>
      </c>
      <c r="D396" s="58" t="s">
        <v>845</v>
      </c>
      <c r="E396" s="59">
        <v>34813</v>
      </c>
      <c r="F396" s="92">
        <f ca="1">(TODAY()-Data_Assessment[[#This Row],[BIRTH DATE]])/365.25</f>
        <v>26.90759753593429</v>
      </c>
      <c r="G396" s="62" t="s">
        <v>919</v>
      </c>
      <c r="H396" s="63" t="s">
        <v>950</v>
      </c>
      <c r="I396" s="106">
        <v>1</v>
      </c>
      <c r="J396" s="64" t="s">
        <v>951</v>
      </c>
      <c r="K396" s="143">
        <v>2</v>
      </c>
      <c r="L396" s="58"/>
      <c r="M396" s="58"/>
      <c r="N396" s="102"/>
      <c r="O396" s="102"/>
      <c r="P396" s="102"/>
      <c r="Q396" s="102"/>
      <c r="R396" s="102"/>
      <c r="S396" s="102"/>
      <c r="T396" s="102"/>
      <c r="U396" s="102"/>
      <c r="V396" s="102"/>
      <c r="W396" s="102"/>
      <c r="X396" s="102"/>
      <c r="Y396" s="102"/>
      <c r="Z396" s="102"/>
      <c r="AA396" s="102"/>
      <c r="AB396" s="102"/>
      <c r="AC396" s="102"/>
      <c r="AD396" s="102"/>
      <c r="AE396" s="102"/>
      <c r="AF396" s="102"/>
      <c r="AG396" s="102"/>
      <c r="AH396" s="102"/>
      <c r="AI396" s="102"/>
      <c r="AJ396" s="102"/>
      <c r="AK396" s="102"/>
      <c r="AL396" s="102"/>
      <c r="AM396" s="102"/>
      <c r="AN396" s="102"/>
      <c r="AO396" s="102"/>
      <c r="AP396" s="102"/>
    </row>
    <row r="397" spans="1:42">
      <c r="A397" s="89">
        <v>396</v>
      </c>
      <c r="B397" s="90">
        <v>50141999</v>
      </c>
      <c r="C397" s="91" t="s">
        <v>332</v>
      </c>
      <c r="D397" s="58" t="s">
        <v>846</v>
      </c>
      <c r="E397" s="59">
        <v>34392</v>
      </c>
      <c r="F397" s="92">
        <f ca="1">(TODAY()-Data_Assessment[[#This Row],[BIRTH DATE]])/365.25</f>
        <v>28.060232717316907</v>
      </c>
      <c r="G397" s="62" t="s">
        <v>986</v>
      </c>
      <c r="H397" s="63" t="s">
        <v>987</v>
      </c>
      <c r="I397" s="106">
        <v>4</v>
      </c>
      <c r="J397" s="64" t="s">
        <v>1245</v>
      </c>
      <c r="K397" s="143">
        <v>3</v>
      </c>
      <c r="L397" s="58"/>
      <c r="M397" s="58"/>
      <c r="N397" s="102"/>
      <c r="O397" s="102"/>
      <c r="P397" s="102"/>
      <c r="Q397" s="102"/>
      <c r="R397" s="102"/>
      <c r="S397" s="102"/>
      <c r="T397" s="102"/>
      <c r="U397" s="102"/>
      <c r="V397" s="102"/>
      <c r="W397" s="102"/>
      <c r="X397" s="102"/>
      <c r="Y397" s="102"/>
      <c r="Z397" s="102"/>
      <c r="AA397" s="102"/>
      <c r="AB397" s="102"/>
      <c r="AC397" s="102"/>
      <c r="AD397" s="102"/>
      <c r="AE397" s="102"/>
      <c r="AF397" s="102"/>
      <c r="AG397" s="102"/>
      <c r="AH397" s="102"/>
      <c r="AI397" s="102"/>
      <c r="AJ397" s="102"/>
      <c r="AK397" s="102"/>
      <c r="AL397" s="102"/>
      <c r="AM397" s="102"/>
      <c r="AN397" s="102"/>
      <c r="AO397" s="102"/>
      <c r="AP397" s="102"/>
    </row>
    <row r="398" spans="1:42">
      <c r="A398" s="89">
        <v>397</v>
      </c>
      <c r="B398" s="90">
        <v>50133257</v>
      </c>
      <c r="C398" s="91" t="s">
        <v>683</v>
      </c>
      <c r="D398" s="58" t="s">
        <v>845</v>
      </c>
      <c r="E398" s="59">
        <v>35237</v>
      </c>
      <c r="F398" s="92">
        <f ca="1">(TODAY()-Data_Assessment[[#This Row],[BIRTH DATE]])/365.25</f>
        <v>25.746748802190282</v>
      </c>
      <c r="G398" s="62" t="s">
        <v>919</v>
      </c>
      <c r="H398" s="63" t="s">
        <v>1259</v>
      </c>
      <c r="I398" s="106">
        <v>1</v>
      </c>
      <c r="J398" s="64" t="s">
        <v>1260</v>
      </c>
      <c r="K398" s="143">
        <v>3</v>
      </c>
      <c r="L398" s="58"/>
      <c r="M398" s="58"/>
      <c r="N398" s="102"/>
      <c r="O398" s="102"/>
      <c r="P398" s="102"/>
      <c r="Q398" s="102"/>
      <c r="R398" s="102"/>
      <c r="S398" s="102"/>
      <c r="T398" s="102"/>
      <c r="U398" s="102"/>
      <c r="V398" s="102"/>
      <c r="W398" s="102"/>
      <c r="X398" s="102"/>
      <c r="Y398" s="102"/>
      <c r="Z398" s="102"/>
      <c r="AA398" s="102"/>
      <c r="AB398" s="102"/>
      <c r="AC398" s="102"/>
      <c r="AD398" s="102"/>
      <c r="AE398" s="102"/>
      <c r="AF398" s="102"/>
      <c r="AG398" s="102"/>
      <c r="AH398" s="102"/>
      <c r="AI398" s="102"/>
      <c r="AJ398" s="102"/>
      <c r="AK398" s="102"/>
      <c r="AL398" s="102"/>
      <c r="AM398" s="102"/>
      <c r="AN398" s="102"/>
      <c r="AO398" s="102"/>
      <c r="AP398" s="102"/>
    </row>
    <row r="399" spans="1:42">
      <c r="A399" s="89">
        <v>398</v>
      </c>
      <c r="B399" s="90">
        <v>50141994</v>
      </c>
      <c r="C399" s="91" t="s">
        <v>333</v>
      </c>
      <c r="D399" s="58" t="s">
        <v>846</v>
      </c>
      <c r="E399" s="59">
        <v>34716</v>
      </c>
      <c r="F399" s="92">
        <f ca="1">(TODAY()-Data_Assessment[[#This Row],[BIRTH DATE]])/365.25</f>
        <v>27.173169062286107</v>
      </c>
      <c r="G399" s="62" t="s">
        <v>986</v>
      </c>
      <c r="H399" s="63" t="s">
        <v>987</v>
      </c>
      <c r="I399" s="106">
        <v>4</v>
      </c>
      <c r="J399" s="64" t="s">
        <v>1245</v>
      </c>
      <c r="K399" s="143">
        <v>3</v>
      </c>
      <c r="L399" s="58"/>
      <c r="M399" s="58"/>
      <c r="N399" s="102"/>
      <c r="O399" s="102"/>
      <c r="P399" s="102"/>
      <c r="Q399" s="102"/>
      <c r="R399" s="102"/>
      <c r="S399" s="102"/>
      <c r="T399" s="102"/>
      <c r="U399" s="102"/>
      <c r="V399" s="102"/>
      <c r="W399" s="102"/>
      <c r="X399" s="102"/>
      <c r="Y399" s="102"/>
      <c r="Z399" s="102"/>
      <c r="AA399" s="102"/>
      <c r="AB399" s="102"/>
      <c r="AC399" s="102"/>
      <c r="AD399" s="102"/>
      <c r="AE399" s="102"/>
      <c r="AF399" s="102"/>
      <c r="AG399" s="102"/>
      <c r="AH399" s="102"/>
      <c r="AI399" s="102"/>
      <c r="AJ399" s="102"/>
      <c r="AK399" s="102"/>
      <c r="AL399" s="102"/>
      <c r="AM399" s="102"/>
      <c r="AN399" s="102"/>
      <c r="AO399" s="102"/>
      <c r="AP399" s="102"/>
    </row>
    <row r="400" spans="1:42" ht="29.25">
      <c r="A400" s="89">
        <v>399</v>
      </c>
      <c r="B400" s="90">
        <v>50112866</v>
      </c>
      <c r="C400" s="91" t="s">
        <v>699</v>
      </c>
      <c r="D400" s="58" t="s">
        <v>845</v>
      </c>
      <c r="E400" s="59">
        <v>32322</v>
      </c>
      <c r="F400" s="92">
        <f ca="1">(TODAY()-Data_Assessment[[#This Row],[BIRTH DATE]])/365.25</f>
        <v>33.727583846680353</v>
      </c>
      <c r="G400" s="62" t="s">
        <v>919</v>
      </c>
      <c r="H400" s="63" t="s">
        <v>1261</v>
      </c>
      <c r="I400" s="106">
        <v>1</v>
      </c>
      <c r="J400" s="64" t="s">
        <v>1262</v>
      </c>
      <c r="K400" s="143">
        <v>3</v>
      </c>
      <c r="L400" s="58"/>
      <c r="M400" s="58"/>
      <c r="N400" s="102"/>
      <c r="O400" s="102"/>
      <c r="P400" s="102"/>
      <c r="Q400" s="102"/>
      <c r="R400" s="102"/>
      <c r="S400" s="102"/>
      <c r="T400" s="102"/>
      <c r="U400" s="102"/>
      <c r="V400" s="102"/>
      <c r="W400" s="102"/>
      <c r="X400" s="102"/>
      <c r="Y400" s="102"/>
      <c r="Z400" s="102"/>
      <c r="AA400" s="102"/>
      <c r="AB400" s="102"/>
      <c r="AC400" s="102"/>
      <c r="AD400" s="102"/>
      <c r="AE400" s="102"/>
      <c r="AF400" s="102"/>
      <c r="AG400" s="102"/>
      <c r="AH400" s="102"/>
      <c r="AI400" s="102"/>
      <c r="AJ400" s="102"/>
      <c r="AK400" s="102"/>
      <c r="AL400" s="102"/>
      <c r="AM400" s="102"/>
      <c r="AN400" s="102"/>
      <c r="AO400" s="102"/>
      <c r="AP400" s="102"/>
    </row>
    <row r="401" spans="1:42">
      <c r="A401" s="89">
        <v>400</v>
      </c>
      <c r="B401" s="90">
        <v>50141993</v>
      </c>
      <c r="C401" s="91" t="s">
        <v>334</v>
      </c>
      <c r="D401" s="58" t="s">
        <v>845</v>
      </c>
      <c r="E401" s="59">
        <v>35424</v>
      </c>
      <c r="F401" s="92">
        <f ca="1">(TODAY()-Data_Assessment[[#This Row],[BIRTH DATE]])/365.25</f>
        <v>25.234770704996578</v>
      </c>
      <c r="G401" s="62" t="s">
        <v>986</v>
      </c>
      <c r="H401" s="63" t="s">
        <v>987</v>
      </c>
      <c r="I401" s="106">
        <v>4</v>
      </c>
      <c r="J401" s="64" t="s">
        <v>1245</v>
      </c>
      <c r="K401" s="143">
        <v>4</v>
      </c>
      <c r="L401" s="58"/>
      <c r="M401" s="58"/>
      <c r="N401" s="102"/>
      <c r="O401" s="102"/>
      <c r="P401" s="102"/>
      <c r="Q401" s="102"/>
      <c r="R401" s="102"/>
      <c r="S401" s="102"/>
      <c r="T401" s="102"/>
      <c r="U401" s="102"/>
      <c r="V401" s="102"/>
      <c r="W401" s="102"/>
      <c r="X401" s="102"/>
      <c r="Y401" s="102"/>
      <c r="Z401" s="102"/>
      <c r="AA401" s="102"/>
      <c r="AB401" s="102"/>
      <c r="AC401" s="102"/>
      <c r="AD401" s="102"/>
      <c r="AE401" s="102"/>
      <c r="AF401" s="102"/>
      <c r="AG401" s="102"/>
      <c r="AH401" s="102"/>
      <c r="AI401" s="102"/>
      <c r="AJ401" s="102"/>
      <c r="AK401" s="102"/>
      <c r="AL401" s="102"/>
      <c r="AM401" s="102"/>
      <c r="AN401" s="102"/>
      <c r="AO401" s="102"/>
      <c r="AP401" s="102"/>
    </row>
    <row r="402" spans="1:42">
      <c r="A402" s="89">
        <v>401</v>
      </c>
      <c r="B402" s="90">
        <v>50122124</v>
      </c>
      <c r="C402" s="91" t="s">
        <v>736</v>
      </c>
      <c r="D402" s="58" t="s">
        <v>845</v>
      </c>
      <c r="E402" s="59">
        <v>34618</v>
      </c>
      <c r="F402" s="92">
        <f ca="1">(TODAY()-Data_Assessment[[#This Row],[BIRTH DATE]])/365.25</f>
        <v>27.441478439425051</v>
      </c>
      <c r="G402" s="62" t="s">
        <v>895</v>
      </c>
      <c r="H402" s="63" t="s">
        <v>1263</v>
      </c>
      <c r="I402" s="106">
        <v>1</v>
      </c>
      <c r="J402" s="64" t="s">
        <v>1264</v>
      </c>
      <c r="K402" s="143">
        <v>3</v>
      </c>
      <c r="L402" s="58"/>
      <c r="M402" s="58"/>
      <c r="N402" s="102"/>
      <c r="O402" s="102"/>
      <c r="P402" s="102"/>
      <c r="Q402" s="102"/>
      <c r="R402" s="102"/>
      <c r="S402" s="102"/>
      <c r="T402" s="102"/>
      <c r="U402" s="102"/>
      <c r="V402" s="102"/>
      <c r="W402" s="102"/>
      <c r="X402" s="102"/>
      <c r="Y402" s="102"/>
      <c r="Z402" s="102"/>
      <c r="AA402" s="102"/>
      <c r="AB402" s="102"/>
      <c r="AC402" s="102"/>
      <c r="AD402" s="102"/>
      <c r="AE402" s="102"/>
      <c r="AF402" s="102"/>
      <c r="AG402" s="102"/>
      <c r="AH402" s="102"/>
      <c r="AI402" s="102"/>
      <c r="AJ402" s="102"/>
      <c r="AK402" s="102"/>
      <c r="AL402" s="102"/>
      <c r="AM402" s="102"/>
      <c r="AN402" s="102"/>
      <c r="AO402" s="102"/>
      <c r="AP402" s="102"/>
    </row>
    <row r="403" spans="1:42">
      <c r="A403" s="89">
        <v>402</v>
      </c>
      <c r="B403" s="90">
        <v>50114731</v>
      </c>
      <c r="C403" s="91" t="s">
        <v>704</v>
      </c>
      <c r="D403" s="58" t="s">
        <v>845</v>
      </c>
      <c r="E403" s="59">
        <v>24818</v>
      </c>
      <c r="F403" s="92">
        <f ca="1">(TODAY()-Data_Assessment[[#This Row],[BIRTH DATE]])/365.25</f>
        <v>54.272416153319647</v>
      </c>
      <c r="G403" s="62" t="s">
        <v>919</v>
      </c>
      <c r="H403" s="63" t="s">
        <v>1265</v>
      </c>
      <c r="I403" s="106">
        <v>1</v>
      </c>
      <c r="J403" s="64" t="s">
        <v>1266</v>
      </c>
      <c r="K403" s="143">
        <v>3</v>
      </c>
      <c r="L403" s="58"/>
      <c r="M403" s="58"/>
      <c r="N403" s="102"/>
      <c r="O403" s="102"/>
      <c r="P403" s="102"/>
      <c r="Q403" s="102"/>
      <c r="R403" s="102"/>
      <c r="S403" s="102"/>
      <c r="T403" s="102"/>
      <c r="U403" s="102"/>
      <c r="V403" s="102"/>
      <c r="W403" s="102"/>
      <c r="X403" s="102"/>
      <c r="Y403" s="102"/>
      <c r="Z403" s="102"/>
      <c r="AA403" s="102"/>
      <c r="AB403" s="102"/>
      <c r="AC403" s="102"/>
      <c r="AD403" s="102"/>
      <c r="AE403" s="102"/>
      <c r="AF403" s="102"/>
      <c r="AG403" s="102"/>
      <c r="AH403" s="102"/>
      <c r="AI403" s="102"/>
      <c r="AJ403" s="102"/>
      <c r="AK403" s="102"/>
      <c r="AL403" s="102"/>
      <c r="AM403" s="102"/>
      <c r="AN403" s="102"/>
      <c r="AO403" s="102"/>
      <c r="AP403" s="102"/>
    </row>
    <row r="404" spans="1:42" ht="29.25">
      <c r="A404" s="89">
        <v>403</v>
      </c>
      <c r="B404" s="90">
        <v>50030475</v>
      </c>
      <c r="C404" s="91" t="s">
        <v>336</v>
      </c>
      <c r="D404" s="58" t="s">
        <v>845</v>
      </c>
      <c r="E404" s="59">
        <v>30249</v>
      </c>
      <c r="F404" s="92">
        <f ca="1">(TODAY()-Data_Assessment[[#This Row],[BIRTH DATE]])/365.25</f>
        <v>39.403148528405204</v>
      </c>
      <c r="G404" s="62" t="s">
        <v>986</v>
      </c>
      <c r="H404" s="63" t="s">
        <v>987</v>
      </c>
      <c r="I404" s="106">
        <v>4</v>
      </c>
      <c r="J404" s="64" t="s">
        <v>1267</v>
      </c>
      <c r="K404" s="143">
        <v>3</v>
      </c>
      <c r="L404" s="58"/>
      <c r="M404" s="58"/>
      <c r="N404" s="102"/>
      <c r="O404" s="102"/>
      <c r="P404" s="102"/>
      <c r="Q404" s="102"/>
      <c r="R404" s="102"/>
      <c r="S404" s="102"/>
      <c r="T404" s="102"/>
      <c r="U404" s="102"/>
      <c r="V404" s="102"/>
      <c r="W404" s="102"/>
      <c r="X404" s="102"/>
      <c r="Y404" s="102"/>
      <c r="Z404" s="102"/>
      <c r="AA404" s="102"/>
      <c r="AB404" s="102"/>
      <c r="AC404" s="102"/>
      <c r="AD404" s="102"/>
      <c r="AE404" s="102"/>
      <c r="AF404" s="102"/>
      <c r="AG404" s="102"/>
      <c r="AH404" s="102"/>
      <c r="AI404" s="102"/>
      <c r="AJ404" s="102"/>
      <c r="AK404" s="102"/>
      <c r="AL404" s="102"/>
      <c r="AM404" s="102"/>
      <c r="AN404" s="102"/>
      <c r="AO404" s="102"/>
      <c r="AP404" s="102"/>
    </row>
    <row r="405" spans="1:42">
      <c r="A405" s="89">
        <v>404</v>
      </c>
      <c r="B405" s="90">
        <v>50114723</v>
      </c>
      <c r="C405" s="91" t="s">
        <v>705</v>
      </c>
      <c r="D405" s="58" t="s">
        <v>845</v>
      </c>
      <c r="E405" s="59">
        <v>27450</v>
      </c>
      <c r="F405" s="92">
        <f ca="1">(TODAY()-Data_Assessment[[#This Row],[BIRTH DATE]])/365.25</f>
        <v>47.066392881587952</v>
      </c>
      <c r="G405" s="62" t="s">
        <v>919</v>
      </c>
      <c r="H405" s="63" t="s">
        <v>1265</v>
      </c>
      <c r="I405" s="106">
        <v>1</v>
      </c>
      <c r="J405" s="64" t="s">
        <v>1268</v>
      </c>
      <c r="K405" s="143">
        <v>3</v>
      </c>
      <c r="L405" s="58"/>
      <c r="M405" s="58"/>
      <c r="N405" s="102"/>
      <c r="O405" s="102"/>
      <c r="P405" s="102"/>
      <c r="Q405" s="102"/>
      <c r="R405" s="102"/>
      <c r="S405" s="102"/>
      <c r="T405" s="102"/>
      <c r="U405" s="102"/>
      <c r="V405" s="102"/>
      <c r="W405" s="102"/>
      <c r="X405" s="102"/>
      <c r="Y405" s="102"/>
      <c r="Z405" s="102"/>
      <c r="AA405" s="102"/>
      <c r="AB405" s="102"/>
      <c r="AC405" s="102"/>
      <c r="AD405" s="102"/>
      <c r="AE405" s="102"/>
      <c r="AF405" s="102"/>
      <c r="AG405" s="102"/>
      <c r="AH405" s="102"/>
      <c r="AI405" s="102"/>
      <c r="AJ405" s="102"/>
      <c r="AK405" s="102"/>
      <c r="AL405" s="102"/>
      <c r="AM405" s="102"/>
      <c r="AN405" s="102"/>
      <c r="AO405" s="102"/>
      <c r="AP405" s="102"/>
    </row>
    <row r="406" spans="1:42" ht="29.25">
      <c r="A406" s="89">
        <v>405</v>
      </c>
      <c r="B406" s="90">
        <v>50137851</v>
      </c>
      <c r="C406" s="91" t="s">
        <v>711</v>
      </c>
      <c r="D406" s="58" t="s">
        <v>845</v>
      </c>
      <c r="E406" s="59">
        <v>35076</v>
      </c>
      <c r="F406" s="92">
        <f ca="1">(TODAY()-Data_Assessment[[#This Row],[BIRTH DATE]])/365.25</f>
        <v>26.187542778918548</v>
      </c>
      <c r="G406" s="62" t="s">
        <v>919</v>
      </c>
      <c r="H406" s="63" t="s">
        <v>1269</v>
      </c>
      <c r="I406" s="106">
        <v>1</v>
      </c>
      <c r="J406" s="64" t="s">
        <v>1270</v>
      </c>
      <c r="K406" s="143">
        <v>3</v>
      </c>
      <c r="L406" s="58"/>
      <c r="M406" s="58"/>
      <c r="N406" s="102"/>
      <c r="O406" s="102"/>
      <c r="P406" s="102"/>
      <c r="Q406" s="102"/>
      <c r="R406" s="102"/>
      <c r="S406" s="102"/>
      <c r="T406" s="102"/>
      <c r="U406" s="102"/>
      <c r="V406" s="102"/>
      <c r="W406" s="102"/>
      <c r="X406" s="102"/>
      <c r="Y406" s="102"/>
      <c r="Z406" s="102"/>
      <c r="AA406" s="102"/>
      <c r="AB406" s="102"/>
      <c r="AC406" s="102"/>
      <c r="AD406" s="102"/>
      <c r="AE406" s="102"/>
      <c r="AF406" s="102"/>
      <c r="AG406" s="102"/>
      <c r="AH406" s="102"/>
      <c r="AI406" s="102"/>
      <c r="AJ406" s="102"/>
      <c r="AK406" s="102"/>
      <c r="AL406" s="102"/>
      <c r="AM406" s="102"/>
      <c r="AN406" s="102"/>
      <c r="AO406" s="102"/>
      <c r="AP406" s="102"/>
    </row>
    <row r="407" spans="1:42">
      <c r="A407" s="89">
        <v>406</v>
      </c>
      <c r="B407" s="90">
        <v>50108152</v>
      </c>
      <c r="C407" s="91" t="s">
        <v>739</v>
      </c>
      <c r="D407" s="58" t="s">
        <v>845</v>
      </c>
      <c r="E407" s="59">
        <v>34065</v>
      </c>
      <c r="F407" s="92">
        <f ca="1">(TODAY()-Data_Assessment[[#This Row],[BIRTH DATE]])/365.25</f>
        <v>28.955509924709105</v>
      </c>
      <c r="G407" s="62" t="s">
        <v>895</v>
      </c>
      <c r="H407" s="63" t="s">
        <v>954</v>
      </c>
      <c r="I407" s="106">
        <v>1</v>
      </c>
      <c r="J407" s="64" t="s">
        <v>955</v>
      </c>
      <c r="K407" s="143">
        <v>2</v>
      </c>
      <c r="L407" s="58"/>
      <c r="M407" s="58"/>
      <c r="N407" s="102"/>
      <c r="O407" s="102"/>
      <c r="P407" s="102"/>
      <c r="Q407" s="102"/>
      <c r="R407" s="102"/>
      <c r="S407" s="102"/>
      <c r="T407" s="102"/>
      <c r="U407" s="102"/>
      <c r="V407" s="102"/>
      <c r="W407" s="102"/>
      <c r="X407" s="102"/>
      <c r="Y407" s="102"/>
      <c r="Z407" s="102"/>
      <c r="AA407" s="102"/>
      <c r="AB407" s="102"/>
      <c r="AC407" s="102"/>
      <c r="AD407" s="102"/>
      <c r="AE407" s="102"/>
      <c r="AF407" s="102"/>
      <c r="AG407" s="102"/>
      <c r="AH407" s="102"/>
      <c r="AI407" s="102"/>
      <c r="AJ407" s="102"/>
      <c r="AK407" s="102"/>
      <c r="AL407" s="102"/>
      <c r="AM407" s="102"/>
      <c r="AN407" s="102"/>
      <c r="AO407" s="102"/>
      <c r="AP407" s="102"/>
    </row>
    <row r="408" spans="1:42" ht="29.25">
      <c r="A408" s="89">
        <v>407</v>
      </c>
      <c r="B408" s="90">
        <v>50031480</v>
      </c>
      <c r="C408" s="91" t="s">
        <v>339</v>
      </c>
      <c r="D408" s="58" t="s">
        <v>845</v>
      </c>
      <c r="E408" s="59">
        <v>24761</v>
      </c>
      <c r="F408" s="92">
        <f ca="1">(TODAY()-Data_Assessment[[#This Row],[BIRTH DATE]])/365.25</f>
        <v>54.428473648186177</v>
      </c>
      <c r="G408" s="62" t="s">
        <v>986</v>
      </c>
      <c r="H408" s="63" t="s">
        <v>987</v>
      </c>
      <c r="I408" s="106">
        <v>4</v>
      </c>
      <c r="J408" s="64" t="s">
        <v>1271</v>
      </c>
      <c r="K408" s="143">
        <v>4</v>
      </c>
      <c r="L408" s="58"/>
      <c r="M408" s="58"/>
      <c r="N408" s="102"/>
      <c r="O408" s="102"/>
      <c r="P408" s="102"/>
      <c r="Q408" s="102"/>
      <c r="R408" s="102"/>
      <c r="S408" s="102"/>
      <c r="T408" s="102"/>
      <c r="U408" s="102"/>
      <c r="V408" s="102"/>
      <c r="W408" s="102"/>
      <c r="X408" s="102"/>
      <c r="Y408" s="102"/>
      <c r="Z408" s="102"/>
      <c r="AA408" s="102"/>
      <c r="AB408" s="102"/>
      <c r="AC408" s="102"/>
      <c r="AD408" s="102"/>
      <c r="AE408" s="102"/>
      <c r="AF408" s="102"/>
      <c r="AG408" s="102"/>
      <c r="AH408" s="102"/>
      <c r="AI408" s="102"/>
      <c r="AJ408" s="102"/>
      <c r="AK408" s="102"/>
      <c r="AL408" s="102"/>
      <c r="AM408" s="102"/>
      <c r="AN408" s="102"/>
      <c r="AO408" s="102"/>
      <c r="AP408" s="102"/>
    </row>
    <row r="409" spans="1:42">
      <c r="A409" s="89">
        <v>408</v>
      </c>
      <c r="B409" s="90">
        <v>50045057</v>
      </c>
      <c r="C409" s="91" t="s">
        <v>498</v>
      </c>
      <c r="D409" s="58" t="s">
        <v>845</v>
      </c>
      <c r="E409" s="59">
        <v>33436</v>
      </c>
      <c r="F409" s="92">
        <f ca="1">(TODAY()-Data_Assessment[[#This Row],[BIRTH DATE]])/365.25</f>
        <v>30.677618069815196</v>
      </c>
      <c r="G409" s="62" t="s">
        <v>926</v>
      </c>
      <c r="H409" s="63" t="s">
        <v>927</v>
      </c>
      <c r="I409" s="106">
        <v>4</v>
      </c>
      <c r="J409" s="64" t="s">
        <v>1272</v>
      </c>
      <c r="K409" s="143">
        <v>3</v>
      </c>
      <c r="L409" s="58"/>
      <c r="M409" s="58"/>
      <c r="N409" s="102"/>
      <c r="O409" s="102"/>
      <c r="P409" s="102"/>
      <c r="Q409" s="102"/>
      <c r="R409" s="102"/>
      <c r="S409" s="102"/>
      <c r="T409" s="102"/>
      <c r="U409" s="102"/>
      <c r="V409" s="102"/>
      <c r="W409" s="102"/>
      <c r="X409" s="102"/>
      <c r="Y409" s="102"/>
      <c r="Z409" s="102"/>
      <c r="AA409" s="102"/>
      <c r="AB409" s="102"/>
      <c r="AC409" s="102"/>
      <c r="AD409" s="102"/>
      <c r="AE409" s="102"/>
      <c r="AF409" s="102"/>
      <c r="AG409" s="102"/>
      <c r="AH409" s="102"/>
      <c r="AI409" s="102"/>
      <c r="AJ409" s="102"/>
      <c r="AK409" s="102"/>
      <c r="AL409" s="102"/>
      <c r="AM409" s="102"/>
      <c r="AN409" s="102"/>
      <c r="AO409" s="102"/>
      <c r="AP409" s="102"/>
    </row>
    <row r="410" spans="1:42">
      <c r="A410" s="89">
        <v>409</v>
      </c>
      <c r="B410" s="90">
        <v>50031422</v>
      </c>
      <c r="C410" s="91" t="s">
        <v>871</v>
      </c>
      <c r="D410" s="58" t="s">
        <v>845</v>
      </c>
      <c r="E410" s="59">
        <v>31241</v>
      </c>
      <c r="F410" s="92">
        <f ca="1">(TODAY()-Data_Assessment[[#This Row],[BIRTH DATE]])/365.25</f>
        <v>36.687200547570157</v>
      </c>
      <c r="G410" s="62" t="s">
        <v>895</v>
      </c>
      <c r="H410" s="63" t="s">
        <v>909</v>
      </c>
      <c r="I410" s="106">
        <v>1</v>
      </c>
      <c r="J410" s="64" t="s">
        <v>1273</v>
      </c>
      <c r="K410" s="143">
        <v>3</v>
      </c>
      <c r="L410" s="58"/>
      <c r="M410" s="58"/>
      <c r="N410" s="102"/>
      <c r="O410" s="102"/>
      <c r="P410" s="102"/>
      <c r="Q410" s="102"/>
      <c r="R410" s="102"/>
      <c r="S410" s="102"/>
      <c r="T410" s="102"/>
      <c r="U410" s="102"/>
      <c r="V410" s="102"/>
      <c r="W410" s="102"/>
      <c r="X410" s="102"/>
      <c r="Y410" s="102"/>
      <c r="Z410" s="102"/>
      <c r="AA410" s="102"/>
      <c r="AB410" s="102"/>
      <c r="AC410" s="102"/>
      <c r="AD410" s="102"/>
      <c r="AE410" s="102"/>
      <c r="AF410" s="102"/>
      <c r="AG410" s="102"/>
      <c r="AH410" s="102"/>
      <c r="AI410" s="102"/>
      <c r="AJ410" s="102"/>
      <c r="AK410" s="102"/>
      <c r="AL410" s="102"/>
      <c r="AM410" s="102"/>
      <c r="AN410" s="102"/>
      <c r="AO410" s="102"/>
      <c r="AP410" s="102"/>
    </row>
    <row r="411" spans="1:42">
      <c r="A411" s="89">
        <v>410</v>
      </c>
      <c r="B411" s="90">
        <v>50030494</v>
      </c>
      <c r="C411" s="91" t="s">
        <v>341</v>
      </c>
      <c r="D411" s="58" t="s">
        <v>845</v>
      </c>
      <c r="E411" s="59">
        <v>29716</v>
      </c>
      <c r="F411" s="92">
        <f ca="1">(TODAY()-Data_Assessment[[#This Row],[BIRTH DATE]])/365.25</f>
        <v>40.862422997946609</v>
      </c>
      <c r="G411" s="62" t="s">
        <v>986</v>
      </c>
      <c r="H411" s="63" t="s">
        <v>987</v>
      </c>
      <c r="I411" s="106">
        <v>4</v>
      </c>
      <c r="J411" s="64" t="s">
        <v>1125</v>
      </c>
      <c r="K411" s="143">
        <v>4</v>
      </c>
      <c r="L411" s="58"/>
      <c r="M411" s="58"/>
      <c r="N411" s="102"/>
      <c r="O411" s="102"/>
      <c r="P411" s="102"/>
      <c r="Q411" s="102"/>
      <c r="R411" s="102"/>
      <c r="S411" s="102"/>
      <c r="T411" s="102"/>
      <c r="U411" s="102"/>
      <c r="V411" s="102"/>
      <c r="W411" s="102"/>
      <c r="X411" s="102"/>
      <c r="Y411" s="102"/>
      <c r="Z411" s="102"/>
      <c r="AA411" s="102"/>
      <c r="AB411" s="102"/>
      <c r="AC411" s="102"/>
      <c r="AD411" s="102"/>
      <c r="AE411" s="102"/>
      <c r="AF411" s="102"/>
      <c r="AG411" s="102"/>
      <c r="AH411" s="102"/>
      <c r="AI411" s="102"/>
      <c r="AJ411" s="102"/>
      <c r="AK411" s="102"/>
      <c r="AL411" s="102"/>
      <c r="AM411" s="102"/>
      <c r="AN411" s="102"/>
      <c r="AO411" s="102"/>
      <c r="AP411" s="102"/>
    </row>
    <row r="412" spans="1:42">
      <c r="A412" s="89">
        <v>411</v>
      </c>
      <c r="B412" s="90">
        <v>50047406</v>
      </c>
      <c r="C412" s="91" t="s">
        <v>373</v>
      </c>
      <c r="D412" s="58" t="s">
        <v>845</v>
      </c>
      <c r="E412" s="59">
        <v>32629</v>
      </c>
      <c r="F412" s="92">
        <f ca="1">(TODAY()-Data_Assessment[[#This Row],[BIRTH DATE]])/365.25</f>
        <v>32.887063655030801</v>
      </c>
      <c r="G412" s="62" t="s">
        <v>895</v>
      </c>
      <c r="H412" s="63" t="s">
        <v>1210</v>
      </c>
      <c r="I412" s="106">
        <v>1</v>
      </c>
      <c r="J412" s="64" t="s">
        <v>1274</v>
      </c>
      <c r="K412" s="143">
        <v>4</v>
      </c>
      <c r="L412" s="58"/>
      <c r="M412" s="58"/>
      <c r="N412" s="102"/>
      <c r="O412" s="102"/>
      <c r="P412" s="102"/>
      <c r="Q412" s="102"/>
      <c r="R412" s="102"/>
      <c r="S412" s="102"/>
      <c r="T412" s="102"/>
      <c r="U412" s="102"/>
      <c r="V412" s="102"/>
      <c r="W412" s="102"/>
      <c r="X412" s="102"/>
      <c r="Y412" s="102"/>
      <c r="Z412" s="102"/>
      <c r="AA412" s="102"/>
      <c r="AB412" s="102"/>
      <c r="AC412" s="102"/>
      <c r="AD412" s="102"/>
      <c r="AE412" s="102"/>
      <c r="AF412" s="102"/>
      <c r="AG412" s="102"/>
      <c r="AH412" s="102"/>
      <c r="AI412" s="102"/>
      <c r="AJ412" s="102"/>
      <c r="AK412" s="102"/>
      <c r="AL412" s="102"/>
      <c r="AM412" s="102"/>
      <c r="AN412" s="102"/>
      <c r="AO412" s="102"/>
      <c r="AP412" s="102"/>
    </row>
    <row r="413" spans="1:42">
      <c r="A413" s="89">
        <v>412</v>
      </c>
      <c r="B413" s="90">
        <v>50031318</v>
      </c>
      <c r="C413" s="91" t="s">
        <v>376</v>
      </c>
      <c r="D413" s="58" t="s">
        <v>845</v>
      </c>
      <c r="E413" s="59">
        <v>24657</v>
      </c>
      <c r="F413" s="92">
        <f ca="1">(TODAY()-Data_Assessment[[#This Row],[BIRTH DATE]])/365.25</f>
        <v>54.713210130047912</v>
      </c>
      <c r="G413" s="62" t="s">
        <v>895</v>
      </c>
      <c r="H413" s="63" t="s">
        <v>896</v>
      </c>
      <c r="I413" s="106">
        <v>1</v>
      </c>
      <c r="J413" s="64" t="s">
        <v>1275</v>
      </c>
      <c r="K413" s="143">
        <v>3</v>
      </c>
      <c r="L413" s="58"/>
      <c r="M413" s="58"/>
      <c r="N413" s="102"/>
      <c r="O413" s="102"/>
      <c r="P413" s="102"/>
      <c r="Q413" s="102"/>
      <c r="R413" s="102"/>
      <c r="S413" s="102"/>
      <c r="T413" s="102"/>
      <c r="U413" s="102"/>
      <c r="V413" s="102"/>
      <c r="W413" s="102"/>
      <c r="X413" s="102"/>
      <c r="Y413" s="102"/>
      <c r="Z413" s="102"/>
      <c r="AA413" s="102"/>
      <c r="AB413" s="102"/>
      <c r="AC413" s="102"/>
      <c r="AD413" s="102"/>
      <c r="AE413" s="102"/>
      <c r="AF413" s="102"/>
      <c r="AG413" s="102"/>
      <c r="AH413" s="102"/>
      <c r="AI413" s="102"/>
      <c r="AJ413" s="102"/>
      <c r="AK413" s="102"/>
      <c r="AL413" s="102"/>
      <c r="AM413" s="102"/>
      <c r="AN413" s="102"/>
      <c r="AO413" s="102"/>
      <c r="AP413" s="102"/>
    </row>
    <row r="414" spans="1:42">
      <c r="A414" s="89">
        <v>413</v>
      </c>
      <c r="B414" s="90">
        <v>50133255</v>
      </c>
      <c r="C414" s="91" t="s">
        <v>379</v>
      </c>
      <c r="D414" s="58" t="s">
        <v>845</v>
      </c>
      <c r="E414" s="59">
        <v>35693</v>
      </c>
      <c r="F414" s="92">
        <f ca="1">(TODAY()-Data_Assessment[[#This Row],[BIRTH DATE]])/365.25</f>
        <v>24.498288843258042</v>
      </c>
      <c r="G414" s="62" t="s">
        <v>895</v>
      </c>
      <c r="H414" s="63" t="s">
        <v>896</v>
      </c>
      <c r="I414" s="106">
        <v>1</v>
      </c>
      <c r="J414" s="64" t="s">
        <v>897</v>
      </c>
      <c r="K414" s="143">
        <v>3</v>
      </c>
      <c r="L414" s="58"/>
      <c r="M414" s="58"/>
      <c r="N414" s="102"/>
      <c r="O414" s="102"/>
      <c r="P414" s="102"/>
      <c r="Q414" s="102"/>
      <c r="R414" s="102"/>
      <c r="S414" s="102"/>
      <c r="T414" s="102"/>
      <c r="U414" s="102"/>
      <c r="V414" s="102"/>
      <c r="W414" s="102"/>
      <c r="X414" s="102"/>
      <c r="Y414" s="102"/>
      <c r="Z414" s="102"/>
      <c r="AA414" s="102"/>
      <c r="AB414" s="102"/>
      <c r="AC414" s="102"/>
      <c r="AD414" s="102"/>
      <c r="AE414" s="102"/>
      <c r="AF414" s="102"/>
      <c r="AG414" s="102"/>
      <c r="AH414" s="102"/>
      <c r="AI414" s="102"/>
      <c r="AJ414" s="102"/>
      <c r="AK414" s="102"/>
      <c r="AL414" s="102"/>
      <c r="AM414" s="102"/>
      <c r="AN414" s="102"/>
      <c r="AO414" s="102"/>
      <c r="AP414" s="102"/>
    </row>
    <row r="415" spans="1:42">
      <c r="A415" s="89">
        <v>414</v>
      </c>
      <c r="B415" s="90">
        <v>50031493</v>
      </c>
      <c r="C415" s="91" t="s">
        <v>344</v>
      </c>
      <c r="D415" s="58" t="s">
        <v>845</v>
      </c>
      <c r="E415" s="59">
        <v>25000</v>
      </c>
      <c r="F415" s="92">
        <f ca="1">(TODAY()-Data_Assessment[[#This Row],[BIRTH DATE]])/365.25</f>
        <v>53.774127310061601</v>
      </c>
      <c r="G415" s="62" t="s">
        <v>986</v>
      </c>
      <c r="H415" s="63" t="s">
        <v>987</v>
      </c>
      <c r="I415" s="106">
        <v>4</v>
      </c>
      <c r="J415" s="64" t="s">
        <v>1276</v>
      </c>
      <c r="K415" s="143">
        <v>2</v>
      </c>
      <c r="L415" s="58"/>
      <c r="M415" s="58"/>
      <c r="N415" s="102"/>
      <c r="O415" s="102"/>
      <c r="P415" s="102"/>
      <c r="Q415" s="102"/>
      <c r="R415" s="102"/>
      <c r="S415" s="102"/>
      <c r="T415" s="102"/>
      <c r="U415" s="102"/>
      <c r="V415" s="102"/>
      <c r="W415" s="102"/>
      <c r="X415" s="102"/>
      <c r="Y415" s="102"/>
      <c r="Z415" s="102"/>
      <c r="AA415" s="102"/>
      <c r="AB415" s="102"/>
      <c r="AC415" s="102"/>
      <c r="AD415" s="102"/>
      <c r="AE415" s="102"/>
      <c r="AF415" s="102"/>
      <c r="AG415" s="102"/>
      <c r="AH415" s="102"/>
      <c r="AI415" s="102"/>
      <c r="AJ415" s="102"/>
      <c r="AK415" s="102"/>
      <c r="AL415" s="102"/>
      <c r="AM415" s="102"/>
      <c r="AN415" s="102"/>
      <c r="AO415" s="102"/>
      <c r="AP415" s="102"/>
    </row>
    <row r="416" spans="1:42">
      <c r="A416" s="89">
        <v>415</v>
      </c>
      <c r="B416" s="90">
        <v>50030765</v>
      </c>
      <c r="C416" s="91" t="s">
        <v>382</v>
      </c>
      <c r="D416" s="58" t="s">
        <v>845</v>
      </c>
      <c r="E416" s="59">
        <v>27155</v>
      </c>
      <c r="F416" s="92">
        <f ca="1">(TODAY()-Data_Assessment[[#This Row],[BIRTH DATE]])/365.25</f>
        <v>47.874058863791923</v>
      </c>
      <c r="G416" s="62" t="s">
        <v>895</v>
      </c>
      <c r="H416" s="63" t="s">
        <v>1210</v>
      </c>
      <c r="I416" s="106">
        <v>1</v>
      </c>
      <c r="J416" s="64" t="s">
        <v>1277</v>
      </c>
      <c r="K416" s="143">
        <v>3</v>
      </c>
      <c r="L416" s="58"/>
      <c r="M416" s="58"/>
      <c r="N416" s="102"/>
      <c r="O416" s="102"/>
      <c r="P416" s="102"/>
      <c r="Q416" s="102"/>
      <c r="R416" s="102"/>
      <c r="S416" s="102"/>
      <c r="T416" s="102"/>
      <c r="U416" s="102"/>
      <c r="V416" s="102"/>
      <c r="W416" s="102"/>
      <c r="X416" s="102"/>
      <c r="Y416" s="102"/>
      <c r="Z416" s="102"/>
      <c r="AA416" s="102"/>
      <c r="AB416" s="102"/>
      <c r="AC416" s="102"/>
      <c r="AD416" s="102"/>
      <c r="AE416" s="102"/>
      <c r="AF416" s="102"/>
      <c r="AG416" s="102"/>
      <c r="AH416" s="102"/>
      <c r="AI416" s="102"/>
      <c r="AJ416" s="102"/>
      <c r="AK416" s="102"/>
      <c r="AL416" s="102"/>
      <c r="AM416" s="102"/>
      <c r="AN416" s="102"/>
      <c r="AO416" s="102"/>
      <c r="AP416" s="102"/>
    </row>
    <row r="417" spans="1:42">
      <c r="A417" s="89">
        <v>416</v>
      </c>
      <c r="B417" s="90">
        <v>50133258</v>
      </c>
      <c r="C417" s="91" t="s">
        <v>384</v>
      </c>
      <c r="D417" s="58" t="s">
        <v>846</v>
      </c>
      <c r="E417" s="59">
        <v>34745</v>
      </c>
      <c r="F417" s="92">
        <f ca="1">(TODAY()-Data_Assessment[[#This Row],[BIRTH DATE]])/365.25</f>
        <v>27.093771389459274</v>
      </c>
      <c r="G417" s="62" t="s">
        <v>895</v>
      </c>
      <c r="H417" s="63" t="s">
        <v>1210</v>
      </c>
      <c r="I417" s="106">
        <v>1</v>
      </c>
      <c r="J417" s="64" t="s">
        <v>1278</v>
      </c>
      <c r="K417" s="143">
        <v>2</v>
      </c>
      <c r="L417" s="58"/>
      <c r="M417" s="58"/>
      <c r="N417" s="102"/>
      <c r="O417" s="102"/>
      <c r="P417" s="102"/>
      <c r="Q417" s="102"/>
      <c r="R417" s="102"/>
      <c r="S417" s="102"/>
      <c r="T417" s="102"/>
      <c r="U417" s="102"/>
      <c r="V417" s="102"/>
      <c r="W417" s="102"/>
      <c r="X417" s="102"/>
      <c r="Y417" s="102"/>
      <c r="Z417" s="102"/>
      <c r="AA417" s="102"/>
      <c r="AB417" s="102"/>
      <c r="AC417" s="102"/>
      <c r="AD417" s="102"/>
      <c r="AE417" s="102"/>
      <c r="AF417" s="102"/>
      <c r="AG417" s="102"/>
      <c r="AH417" s="102"/>
      <c r="AI417" s="102"/>
      <c r="AJ417" s="102"/>
      <c r="AK417" s="102"/>
      <c r="AL417" s="102"/>
      <c r="AM417" s="102"/>
      <c r="AN417" s="102"/>
      <c r="AO417" s="102"/>
      <c r="AP417" s="102"/>
    </row>
    <row r="418" spans="1:42">
      <c r="A418" s="89">
        <v>417</v>
      </c>
      <c r="B418" s="90">
        <v>50031471</v>
      </c>
      <c r="C418" s="91" t="s">
        <v>346</v>
      </c>
      <c r="D418" s="58" t="s">
        <v>846</v>
      </c>
      <c r="E418" s="59">
        <v>25244</v>
      </c>
      <c r="F418" s="92">
        <f ca="1">(TODAY()-Data_Assessment[[#This Row],[BIRTH DATE]])/365.25</f>
        <v>53.106091718001366</v>
      </c>
      <c r="G418" s="62" t="s">
        <v>986</v>
      </c>
      <c r="H418" s="63" t="s">
        <v>987</v>
      </c>
      <c r="I418" s="106">
        <v>4</v>
      </c>
      <c r="J418" s="64" t="s">
        <v>1279</v>
      </c>
      <c r="K418" s="143">
        <v>3</v>
      </c>
      <c r="L418" s="58"/>
      <c r="M418" s="58"/>
      <c r="N418" s="102"/>
      <c r="O418" s="102"/>
      <c r="P418" s="102"/>
      <c r="Q418" s="102"/>
      <c r="R418" s="102"/>
      <c r="S418" s="102"/>
      <c r="T418" s="102"/>
      <c r="U418" s="102"/>
      <c r="V418" s="102"/>
      <c r="W418" s="102"/>
      <c r="X418" s="102"/>
      <c r="Y418" s="102"/>
      <c r="Z418" s="102"/>
      <c r="AA418" s="102"/>
      <c r="AB418" s="102"/>
      <c r="AC418" s="102"/>
      <c r="AD418" s="102"/>
      <c r="AE418" s="102"/>
      <c r="AF418" s="102"/>
      <c r="AG418" s="102"/>
      <c r="AH418" s="102"/>
      <c r="AI418" s="102"/>
      <c r="AJ418" s="102"/>
      <c r="AK418" s="102"/>
      <c r="AL418" s="102"/>
      <c r="AM418" s="102"/>
      <c r="AN418" s="102"/>
      <c r="AO418" s="102"/>
      <c r="AP418" s="102"/>
    </row>
    <row r="419" spans="1:42">
      <c r="A419" s="89">
        <v>418</v>
      </c>
      <c r="B419" s="90">
        <v>50031512</v>
      </c>
      <c r="C419" s="91" t="s">
        <v>385</v>
      </c>
      <c r="D419" s="58" t="s">
        <v>845</v>
      </c>
      <c r="E419" s="59">
        <v>25449</v>
      </c>
      <c r="F419" s="92">
        <f ca="1">(TODAY()-Data_Assessment[[#This Row],[BIRTH DATE]])/365.25</f>
        <v>52.544832306639286</v>
      </c>
      <c r="G419" s="62" t="s">
        <v>895</v>
      </c>
      <c r="H419" s="63" t="s">
        <v>929</v>
      </c>
      <c r="I419" s="106">
        <v>1</v>
      </c>
      <c r="J419" s="64" t="s">
        <v>1280</v>
      </c>
      <c r="K419" s="143">
        <v>5</v>
      </c>
      <c r="L419" s="58"/>
      <c r="M419" s="58"/>
      <c r="N419" s="102"/>
      <c r="O419" s="102"/>
      <c r="P419" s="102"/>
      <c r="Q419" s="102"/>
      <c r="R419" s="102"/>
      <c r="S419" s="102"/>
      <c r="T419" s="102"/>
      <c r="U419" s="102"/>
      <c r="V419" s="102"/>
      <c r="W419" s="102"/>
      <c r="X419" s="102"/>
      <c r="Y419" s="102"/>
      <c r="Z419" s="102"/>
      <c r="AA419" s="102"/>
      <c r="AB419" s="102"/>
      <c r="AC419" s="102"/>
      <c r="AD419" s="102"/>
      <c r="AE419" s="102"/>
      <c r="AF419" s="102"/>
      <c r="AG419" s="102"/>
      <c r="AH419" s="102"/>
      <c r="AI419" s="102"/>
      <c r="AJ419" s="102"/>
      <c r="AK419" s="102"/>
      <c r="AL419" s="102"/>
      <c r="AM419" s="102"/>
      <c r="AN419" s="102"/>
      <c r="AO419" s="102"/>
      <c r="AP419" s="102"/>
    </row>
    <row r="420" spans="1:42" ht="29.25">
      <c r="A420" s="89">
        <v>419</v>
      </c>
      <c r="B420" s="90">
        <v>50030597</v>
      </c>
      <c r="C420" s="91" t="s">
        <v>347</v>
      </c>
      <c r="D420" s="58" t="s">
        <v>845</v>
      </c>
      <c r="E420" s="59">
        <v>26363</v>
      </c>
      <c r="F420" s="92">
        <f ca="1">(TODAY()-Data_Assessment[[#This Row],[BIRTH DATE]])/365.25</f>
        <v>50.042436687200549</v>
      </c>
      <c r="G420" s="62" t="s">
        <v>986</v>
      </c>
      <c r="H420" s="63" t="s">
        <v>987</v>
      </c>
      <c r="I420" s="106">
        <v>4</v>
      </c>
      <c r="J420" s="64" t="s">
        <v>1281</v>
      </c>
      <c r="K420" s="143">
        <v>3</v>
      </c>
      <c r="L420" s="58"/>
      <c r="M420" s="58"/>
      <c r="N420" s="102"/>
      <c r="O420" s="102"/>
      <c r="P420" s="102"/>
      <c r="Q420" s="102"/>
      <c r="R420" s="102"/>
      <c r="S420" s="102"/>
      <c r="T420" s="102"/>
      <c r="U420" s="102"/>
      <c r="V420" s="102"/>
      <c r="W420" s="102"/>
      <c r="X420" s="102"/>
      <c r="Y420" s="102"/>
      <c r="Z420" s="102"/>
      <c r="AA420" s="102"/>
      <c r="AB420" s="102"/>
      <c r="AC420" s="102"/>
      <c r="AD420" s="102"/>
      <c r="AE420" s="102"/>
      <c r="AF420" s="102"/>
      <c r="AG420" s="102"/>
      <c r="AH420" s="102"/>
      <c r="AI420" s="102"/>
      <c r="AJ420" s="102"/>
      <c r="AK420" s="102"/>
      <c r="AL420" s="102"/>
      <c r="AM420" s="102"/>
      <c r="AN420" s="102"/>
      <c r="AO420" s="102"/>
      <c r="AP420" s="102"/>
    </row>
    <row r="421" spans="1:42">
      <c r="A421" s="89">
        <v>420</v>
      </c>
      <c r="B421" s="90">
        <v>50031062</v>
      </c>
      <c r="C421" s="91" t="s">
        <v>386</v>
      </c>
      <c r="D421" s="58" t="s">
        <v>845</v>
      </c>
      <c r="E421" s="59">
        <v>26887</v>
      </c>
      <c r="F421" s="92">
        <f ca="1">(TODAY()-Data_Assessment[[#This Row],[BIRTH DATE]])/365.25</f>
        <v>48.607802874743328</v>
      </c>
      <c r="G421" s="62" t="s">
        <v>895</v>
      </c>
      <c r="H421" s="63" t="s">
        <v>929</v>
      </c>
      <c r="I421" s="106">
        <v>1</v>
      </c>
      <c r="J421" s="64" t="s">
        <v>1282</v>
      </c>
      <c r="K421" s="143">
        <v>3</v>
      </c>
      <c r="L421" s="58"/>
      <c r="M421" s="58"/>
      <c r="N421" s="102"/>
      <c r="O421" s="102"/>
      <c r="P421" s="102"/>
      <c r="Q421" s="102"/>
      <c r="R421" s="102"/>
      <c r="S421" s="102"/>
      <c r="T421" s="102"/>
      <c r="U421" s="102"/>
      <c r="V421" s="102"/>
      <c r="W421" s="102"/>
      <c r="X421" s="102"/>
      <c r="Y421" s="102"/>
      <c r="Z421" s="102"/>
      <c r="AA421" s="102"/>
      <c r="AB421" s="102"/>
      <c r="AC421" s="102"/>
      <c r="AD421" s="102"/>
      <c r="AE421" s="102"/>
      <c r="AF421" s="102"/>
      <c r="AG421" s="102"/>
      <c r="AH421" s="102"/>
      <c r="AI421" s="102"/>
      <c r="AJ421" s="102"/>
      <c r="AK421" s="102"/>
      <c r="AL421" s="102"/>
      <c r="AM421" s="102"/>
      <c r="AN421" s="102"/>
      <c r="AO421" s="102"/>
      <c r="AP421" s="102"/>
    </row>
    <row r="422" spans="1:42" ht="29.25">
      <c r="A422" s="89">
        <v>421</v>
      </c>
      <c r="B422" s="90">
        <v>50030484</v>
      </c>
      <c r="C422" s="91" t="s">
        <v>348</v>
      </c>
      <c r="D422" s="58" t="s">
        <v>845</v>
      </c>
      <c r="E422" s="59">
        <v>26916</v>
      </c>
      <c r="F422" s="92">
        <f ca="1">(TODAY()-Data_Assessment[[#This Row],[BIRTH DATE]])/365.25</f>
        <v>48.528405201916499</v>
      </c>
      <c r="G422" s="62" t="s">
        <v>986</v>
      </c>
      <c r="H422" s="63" t="s">
        <v>987</v>
      </c>
      <c r="I422" s="106">
        <v>4</v>
      </c>
      <c r="J422" s="64" t="s">
        <v>1283</v>
      </c>
      <c r="K422" s="143">
        <v>2</v>
      </c>
      <c r="L422" s="58"/>
      <c r="M422" s="58"/>
      <c r="N422" s="102"/>
      <c r="O422" s="102"/>
      <c r="P422" s="102"/>
      <c r="Q422" s="102"/>
      <c r="R422" s="102"/>
      <c r="S422" s="102"/>
      <c r="T422" s="102"/>
      <c r="U422" s="102"/>
      <c r="V422" s="102"/>
      <c r="W422" s="102"/>
      <c r="X422" s="102"/>
      <c r="Y422" s="102"/>
      <c r="Z422" s="102"/>
      <c r="AA422" s="102"/>
      <c r="AB422" s="102"/>
      <c r="AC422" s="102"/>
      <c r="AD422" s="102"/>
      <c r="AE422" s="102"/>
      <c r="AF422" s="102"/>
      <c r="AG422" s="102"/>
      <c r="AH422" s="102"/>
      <c r="AI422" s="102"/>
      <c r="AJ422" s="102"/>
      <c r="AK422" s="102"/>
      <c r="AL422" s="102"/>
      <c r="AM422" s="102"/>
      <c r="AN422" s="102"/>
      <c r="AO422" s="102"/>
      <c r="AP422" s="102"/>
    </row>
    <row r="423" spans="1:42">
      <c r="A423" s="89">
        <v>422</v>
      </c>
      <c r="B423" s="90">
        <v>50031485</v>
      </c>
      <c r="C423" s="91" t="s">
        <v>391</v>
      </c>
      <c r="D423" s="58" t="s">
        <v>845</v>
      </c>
      <c r="E423" s="59">
        <v>25122</v>
      </c>
      <c r="F423" s="92">
        <f ca="1">(TODAY()-Data_Assessment[[#This Row],[BIRTH DATE]])/365.25</f>
        <v>53.440109514031484</v>
      </c>
      <c r="G423" s="62" t="s">
        <v>895</v>
      </c>
      <c r="H423" s="63" t="s">
        <v>902</v>
      </c>
      <c r="I423" s="106">
        <v>1</v>
      </c>
      <c r="J423" s="64" t="s">
        <v>1284</v>
      </c>
      <c r="K423" s="143">
        <v>2</v>
      </c>
      <c r="L423" s="58"/>
      <c r="M423" s="58"/>
      <c r="N423" s="102"/>
      <c r="O423" s="102"/>
      <c r="P423" s="102"/>
      <c r="Q423" s="102"/>
      <c r="R423" s="102"/>
      <c r="S423" s="102"/>
      <c r="T423" s="102"/>
      <c r="U423" s="102"/>
      <c r="V423" s="102"/>
      <c r="W423" s="102"/>
      <c r="X423" s="102"/>
      <c r="Y423" s="102"/>
      <c r="Z423" s="102"/>
      <c r="AA423" s="102"/>
      <c r="AB423" s="102"/>
      <c r="AC423" s="102"/>
      <c r="AD423" s="102"/>
      <c r="AE423" s="102"/>
      <c r="AF423" s="102"/>
      <c r="AG423" s="102"/>
      <c r="AH423" s="102"/>
      <c r="AI423" s="102"/>
      <c r="AJ423" s="102"/>
      <c r="AK423" s="102"/>
      <c r="AL423" s="102"/>
      <c r="AM423" s="102"/>
      <c r="AN423" s="102"/>
      <c r="AO423" s="102"/>
      <c r="AP423" s="102"/>
    </row>
    <row r="424" spans="1:42">
      <c r="A424" s="89">
        <v>423</v>
      </c>
      <c r="B424" s="90">
        <v>50037816</v>
      </c>
      <c r="C424" s="91" t="s">
        <v>394</v>
      </c>
      <c r="D424" s="58" t="s">
        <v>845</v>
      </c>
      <c r="E424" s="59">
        <v>33755</v>
      </c>
      <c r="F424" s="92">
        <f ca="1">(TODAY()-Data_Assessment[[#This Row],[BIRTH DATE]])/365.25</f>
        <v>29.804243668720055</v>
      </c>
      <c r="G424" s="62" t="s">
        <v>895</v>
      </c>
      <c r="H424" s="63" t="s">
        <v>902</v>
      </c>
      <c r="I424" s="106">
        <v>1</v>
      </c>
      <c r="J424" s="64" t="s">
        <v>903</v>
      </c>
      <c r="K424" s="143">
        <v>3</v>
      </c>
      <c r="L424" s="58"/>
      <c r="M424" s="58"/>
      <c r="N424" s="102"/>
      <c r="O424" s="102"/>
      <c r="P424" s="102"/>
      <c r="Q424" s="102"/>
      <c r="R424" s="102"/>
      <c r="S424" s="102"/>
      <c r="T424" s="102"/>
      <c r="U424" s="102"/>
      <c r="V424" s="102"/>
      <c r="W424" s="102"/>
      <c r="X424" s="102"/>
      <c r="Y424" s="102"/>
      <c r="Z424" s="102"/>
      <c r="AA424" s="102"/>
      <c r="AB424" s="102"/>
      <c r="AC424" s="102"/>
      <c r="AD424" s="102"/>
      <c r="AE424" s="102"/>
      <c r="AF424" s="102"/>
      <c r="AG424" s="102"/>
      <c r="AH424" s="102"/>
      <c r="AI424" s="102"/>
      <c r="AJ424" s="102"/>
      <c r="AK424" s="102"/>
      <c r="AL424" s="102"/>
      <c r="AM424" s="102"/>
      <c r="AN424" s="102"/>
      <c r="AO424" s="102"/>
      <c r="AP424" s="102"/>
    </row>
    <row r="425" spans="1:42">
      <c r="A425" s="89">
        <v>424</v>
      </c>
      <c r="B425" s="90">
        <v>50030488</v>
      </c>
      <c r="C425" s="91" t="s">
        <v>350</v>
      </c>
      <c r="D425" s="58" t="s">
        <v>845</v>
      </c>
      <c r="E425" s="59">
        <v>27431</v>
      </c>
      <c r="F425" s="92">
        <f ca="1">(TODAY()-Data_Assessment[[#This Row],[BIRTH DATE]])/365.25</f>
        <v>47.118412046543462</v>
      </c>
      <c r="G425" s="62" t="s">
        <v>986</v>
      </c>
      <c r="H425" s="63" t="s">
        <v>987</v>
      </c>
      <c r="I425" s="106">
        <v>4</v>
      </c>
      <c r="J425" s="64" t="s">
        <v>1285</v>
      </c>
      <c r="K425" s="143">
        <v>3</v>
      </c>
      <c r="L425" s="58"/>
      <c r="M425" s="58"/>
      <c r="N425" s="102"/>
      <c r="O425" s="102"/>
      <c r="P425" s="102"/>
      <c r="Q425" s="102"/>
      <c r="R425" s="102"/>
      <c r="S425" s="102"/>
      <c r="T425" s="102"/>
      <c r="U425" s="102"/>
      <c r="V425" s="102"/>
      <c r="W425" s="102"/>
      <c r="X425" s="102"/>
      <c r="Y425" s="102"/>
      <c r="Z425" s="102"/>
      <c r="AA425" s="102"/>
      <c r="AB425" s="102"/>
      <c r="AC425" s="102"/>
      <c r="AD425" s="102"/>
      <c r="AE425" s="102"/>
      <c r="AF425" s="102"/>
      <c r="AG425" s="102"/>
      <c r="AH425" s="102"/>
      <c r="AI425" s="102"/>
      <c r="AJ425" s="102"/>
      <c r="AK425" s="102"/>
      <c r="AL425" s="102"/>
      <c r="AM425" s="102"/>
      <c r="AN425" s="102"/>
      <c r="AO425" s="102"/>
      <c r="AP425" s="102"/>
    </row>
    <row r="426" spans="1:42">
      <c r="A426" s="89">
        <v>425</v>
      </c>
      <c r="B426" s="90">
        <v>50031443</v>
      </c>
      <c r="C426" s="91" t="s">
        <v>395</v>
      </c>
      <c r="D426" s="58" t="s">
        <v>845</v>
      </c>
      <c r="E426" s="59">
        <v>32967</v>
      </c>
      <c r="F426" s="92">
        <f ca="1">(TODAY()-Data_Assessment[[#This Row],[BIRTH DATE]])/365.25</f>
        <v>31.961670088980149</v>
      </c>
      <c r="G426" s="62" t="s">
        <v>895</v>
      </c>
      <c r="H426" s="63" t="s">
        <v>902</v>
      </c>
      <c r="I426" s="106">
        <v>1</v>
      </c>
      <c r="J426" s="64" t="s">
        <v>903</v>
      </c>
      <c r="K426" s="143">
        <v>2</v>
      </c>
      <c r="L426" s="58"/>
      <c r="M426" s="58"/>
      <c r="N426" s="102"/>
      <c r="O426" s="102"/>
      <c r="P426" s="102"/>
      <c r="Q426" s="102"/>
      <c r="R426" s="102"/>
      <c r="S426" s="102"/>
      <c r="T426" s="102"/>
      <c r="U426" s="102"/>
      <c r="V426" s="102"/>
      <c r="W426" s="102"/>
      <c r="X426" s="102"/>
      <c r="Y426" s="102"/>
      <c r="Z426" s="102"/>
      <c r="AA426" s="102"/>
      <c r="AB426" s="102"/>
      <c r="AC426" s="102"/>
      <c r="AD426" s="102"/>
      <c r="AE426" s="102"/>
      <c r="AF426" s="102"/>
      <c r="AG426" s="102"/>
      <c r="AH426" s="102"/>
      <c r="AI426" s="102"/>
      <c r="AJ426" s="102"/>
      <c r="AK426" s="102"/>
      <c r="AL426" s="102"/>
      <c r="AM426" s="102"/>
      <c r="AN426" s="102"/>
      <c r="AO426" s="102"/>
      <c r="AP426" s="102"/>
    </row>
    <row r="427" spans="1:42">
      <c r="A427" s="89">
        <v>426</v>
      </c>
      <c r="B427" s="90">
        <v>50031463</v>
      </c>
      <c r="C427" s="91" t="s">
        <v>398</v>
      </c>
      <c r="D427" s="58" t="s">
        <v>845</v>
      </c>
      <c r="E427" s="59">
        <v>25672</v>
      </c>
      <c r="F427" s="92">
        <f ca="1">(TODAY()-Data_Assessment[[#This Row],[BIRTH DATE]])/365.25</f>
        <v>51.93429158110883</v>
      </c>
      <c r="G427" s="62" t="s">
        <v>895</v>
      </c>
      <c r="H427" s="63" t="s">
        <v>906</v>
      </c>
      <c r="I427" s="106">
        <v>1</v>
      </c>
      <c r="J427" s="64" t="s">
        <v>1286</v>
      </c>
      <c r="K427" s="143">
        <v>5</v>
      </c>
      <c r="L427" s="58"/>
      <c r="M427" s="58"/>
      <c r="N427" s="102"/>
      <c r="O427" s="102"/>
      <c r="P427" s="102"/>
      <c r="Q427" s="102"/>
      <c r="R427" s="102"/>
      <c r="S427" s="102"/>
      <c r="T427" s="102"/>
      <c r="U427" s="102"/>
      <c r="V427" s="102"/>
      <c r="W427" s="102"/>
      <c r="X427" s="102"/>
      <c r="Y427" s="102"/>
      <c r="Z427" s="102"/>
      <c r="AA427" s="102"/>
      <c r="AB427" s="102"/>
      <c r="AC427" s="102"/>
      <c r="AD427" s="102"/>
      <c r="AE427" s="102"/>
      <c r="AF427" s="102"/>
      <c r="AG427" s="102"/>
      <c r="AH427" s="102"/>
      <c r="AI427" s="102"/>
      <c r="AJ427" s="102"/>
      <c r="AK427" s="102"/>
      <c r="AL427" s="102"/>
      <c r="AM427" s="102"/>
      <c r="AN427" s="102"/>
      <c r="AO427" s="102"/>
      <c r="AP427" s="102"/>
    </row>
    <row r="428" spans="1:42">
      <c r="A428" s="89">
        <v>427</v>
      </c>
      <c r="B428" s="90">
        <v>50030926</v>
      </c>
      <c r="C428" s="91" t="s">
        <v>399</v>
      </c>
      <c r="D428" s="58" t="s">
        <v>845</v>
      </c>
      <c r="E428" s="59">
        <v>32531</v>
      </c>
      <c r="F428" s="92">
        <f ca="1">(TODAY()-Data_Assessment[[#This Row],[BIRTH DATE]])/365.25</f>
        <v>33.155373032169749</v>
      </c>
      <c r="G428" s="62" t="s">
        <v>895</v>
      </c>
      <c r="H428" s="63" t="s">
        <v>906</v>
      </c>
      <c r="I428" s="106">
        <v>1</v>
      </c>
      <c r="J428" s="64" t="s">
        <v>1287</v>
      </c>
      <c r="K428" s="143">
        <v>3</v>
      </c>
      <c r="L428" s="58"/>
      <c r="M428" s="58"/>
      <c r="N428" s="102"/>
      <c r="O428" s="102"/>
      <c r="P428" s="102"/>
      <c r="Q428" s="102"/>
      <c r="R428" s="102"/>
      <c r="S428" s="102"/>
      <c r="T428" s="102"/>
      <c r="U428" s="102"/>
      <c r="V428" s="102"/>
      <c r="W428" s="102"/>
      <c r="X428" s="102"/>
      <c r="Y428" s="102"/>
      <c r="Z428" s="102"/>
      <c r="AA428" s="102"/>
      <c r="AB428" s="102"/>
      <c r="AC428" s="102"/>
      <c r="AD428" s="102"/>
      <c r="AE428" s="102"/>
      <c r="AF428" s="102"/>
      <c r="AG428" s="102"/>
      <c r="AH428" s="102"/>
      <c r="AI428" s="102"/>
      <c r="AJ428" s="102"/>
      <c r="AK428" s="102"/>
      <c r="AL428" s="102"/>
      <c r="AM428" s="102"/>
      <c r="AN428" s="102"/>
      <c r="AO428" s="102"/>
      <c r="AP428" s="102"/>
    </row>
    <row r="429" spans="1:42">
      <c r="A429" s="89">
        <v>428</v>
      </c>
      <c r="B429" s="90">
        <v>50030674</v>
      </c>
      <c r="C429" s="91" t="s">
        <v>887</v>
      </c>
      <c r="D429" s="58" t="s">
        <v>845</v>
      </c>
      <c r="E429" s="59">
        <v>29021</v>
      </c>
      <c r="F429" s="92">
        <f ca="1">(TODAY()-Data_Assessment[[#This Row],[BIRTH DATE]])/365.25</f>
        <v>42.765229295003422</v>
      </c>
      <c r="G429" s="62" t="s">
        <v>895</v>
      </c>
      <c r="H429" s="63" t="s">
        <v>906</v>
      </c>
      <c r="I429" s="106">
        <v>1</v>
      </c>
      <c r="J429" s="64" t="s">
        <v>1287</v>
      </c>
      <c r="K429" s="143">
        <v>2</v>
      </c>
      <c r="L429" s="58"/>
      <c r="M429" s="58"/>
      <c r="N429" s="102"/>
      <c r="O429" s="102"/>
      <c r="P429" s="102"/>
      <c r="Q429" s="102"/>
      <c r="R429" s="102"/>
      <c r="S429" s="102"/>
      <c r="T429" s="102"/>
      <c r="U429" s="102"/>
      <c r="V429" s="102"/>
      <c r="W429" s="102"/>
      <c r="X429" s="102"/>
      <c r="Y429" s="102"/>
      <c r="Z429" s="102"/>
      <c r="AA429" s="102"/>
      <c r="AB429" s="102"/>
      <c r="AC429" s="102"/>
      <c r="AD429" s="102"/>
      <c r="AE429" s="102"/>
      <c r="AF429" s="102"/>
      <c r="AG429" s="102"/>
      <c r="AH429" s="102"/>
      <c r="AI429" s="102"/>
      <c r="AJ429" s="102"/>
      <c r="AK429" s="102"/>
      <c r="AL429" s="102"/>
      <c r="AM429" s="102"/>
      <c r="AN429" s="102"/>
      <c r="AO429" s="102"/>
      <c r="AP429" s="102"/>
    </row>
    <row r="430" spans="1:42">
      <c r="A430" s="89">
        <v>429</v>
      </c>
      <c r="B430" s="90">
        <v>50031375</v>
      </c>
      <c r="C430" s="91" t="s">
        <v>354</v>
      </c>
      <c r="D430" s="58" t="s">
        <v>845</v>
      </c>
      <c r="E430" s="59">
        <v>31144</v>
      </c>
      <c r="F430" s="92">
        <f ca="1">(TODAY()-Data_Assessment[[#This Row],[BIRTH DATE]])/365.25</f>
        <v>36.95277207392197</v>
      </c>
      <c r="G430" s="62" t="s">
        <v>986</v>
      </c>
      <c r="H430" s="63" t="s">
        <v>987</v>
      </c>
      <c r="I430" s="106">
        <v>4</v>
      </c>
      <c r="J430" s="64" t="s">
        <v>1059</v>
      </c>
      <c r="K430" s="143">
        <v>2</v>
      </c>
      <c r="L430" s="58"/>
      <c r="M430" s="58"/>
      <c r="N430" s="102"/>
      <c r="O430" s="102"/>
      <c r="P430" s="102"/>
      <c r="Q430" s="102"/>
      <c r="R430" s="102"/>
      <c r="S430" s="102"/>
      <c r="T430" s="102"/>
      <c r="U430" s="102"/>
      <c r="V430" s="102"/>
      <c r="W430" s="102"/>
      <c r="X430" s="102"/>
      <c r="Y430" s="102"/>
      <c r="Z430" s="102"/>
      <c r="AA430" s="102"/>
      <c r="AB430" s="102"/>
      <c r="AC430" s="102"/>
      <c r="AD430" s="102"/>
      <c r="AE430" s="102"/>
      <c r="AF430" s="102"/>
      <c r="AG430" s="102"/>
      <c r="AH430" s="102"/>
      <c r="AI430" s="102"/>
      <c r="AJ430" s="102"/>
      <c r="AK430" s="102"/>
      <c r="AL430" s="102"/>
      <c r="AM430" s="102"/>
      <c r="AN430" s="102"/>
      <c r="AO430" s="102"/>
      <c r="AP430" s="102"/>
    </row>
    <row r="431" spans="1:42">
      <c r="A431" s="89">
        <v>430</v>
      </c>
      <c r="B431" s="90">
        <v>50102494</v>
      </c>
      <c r="C431" s="91" t="s">
        <v>404</v>
      </c>
      <c r="D431" s="58" t="s">
        <v>845</v>
      </c>
      <c r="E431" s="59">
        <v>34881</v>
      </c>
      <c r="F431" s="92">
        <f ca="1">(TODAY()-Data_Assessment[[#This Row],[BIRTH DATE]])/365.25</f>
        <v>26.721423682409309</v>
      </c>
      <c r="G431" s="62" t="s">
        <v>895</v>
      </c>
      <c r="H431" s="63" t="s">
        <v>906</v>
      </c>
      <c r="I431" s="106">
        <v>1</v>
      </c>
      <c r="J431" s="64" t="s">
        <v>907</v>
      </c>
      <c r="K431" s="143">
        <v>3</v>
      </c>
      <c r="L431" s="58"/>
      <c r="M431" s="58"/>
      <c r="N431" s="102"/>
      <c r="O431" s="102"/>
      <c r="P431" s="102"/>
      <c r="Q431" s="102"/>
      <c r="R431" s="102"/>
      <c r="S431" s="102"/>
      <c r="T431" s="102"/>
      <c r="U431" s="102"/>
      <c r="V431" s="102"/>
      <c r="W431" s="102"/>
      <c r="X431" s="102"/>
      <c r="Y431" s="102"/>
      <c r="Z431" s="102"/>
      <c r="AA431" s="102"/>
      <c r="AB431" s="102"/>
      <c r="AC431" s="102"/>
      <c r="AD431" s="102"/>
      <c r="AE431" s="102"/>
      <c r="AF431" s="102"/>
      <c r="AG431" s="102"/>
      <c r="AH431" s="102"/>
      <c r="AI431" s="102"/>
      <c r="AJ431" s="102"/>
      <c r="AK431" s="102"/>
      <c r="AL431" s="102"/>
      <c r="AM431" s="102"/>
      <c r="AN431" s="102"/>
      <c r="AO431" s="102"/>
      <c r="AP431" s="102"/>
    </row>
    <row r="432" spans="1:42" ht="29.25">
      <c r="A432" s="89">
        <v>431</v>
      </c>
      <c r="B432" s="90">
        <v>50030610</v>
      </c>
      <c r="C432" s="91" t="s">
        <v>355</v>
      </c>
      <c r="D432" s="58" t="s">
        <v>845</v>
      </c>
      <c r="E432" s="59">
        <v>25999</v>
      </c>
      <c r="F432" s="92">
        <f ca="1">(TODAY()-Data_Assessment[[#This Row],[BIRTH DATE]])/365.25</f>
        <v>51.039014373716633</v>
      </c>
      <c r="G432" s="62" t="s">
        <v>986</v>
      </c>
      <c r="H432" s="63" t="s">
        <v>987</v>
      </c>
      <c r="I432" s="106">
        <v>4</v>
      </c>
      <c r="J432" s="64" t="s">
        <v>1288</v>
      </c>
      <c r="K432" s="143">
        <v>3</v>
      </c>
      <c r="L432" s="58"/>
      <c r="M432" s="58"/>
      <c r="N432" s="102"/>
      <c r="O432" s="102"/>
      <c r="P432" s="102"/>
      <c r="Q432" s="102"/>
      <c r="R432" s="102"/>
      <c r="S432" s="102"/>
      <c r="T432" s="102"/>
      <c r="U432" s="102"/>
      <c r="V432" s="102"/>
      <c r="W432" s="102"/>
      <c r="X432" s="102"/>
      <c r="Y432" s="102"/>
      <c r="Z432" s="102"/>
      <c r="AA432" s="102"/>
      <c r="AB432" s="102"/>
      <c r="AC432" s="102"/>
      <c r="AD432" s="102"/>
      <c r="AE432" s="102"/>
      <c r="AF432" s="102"/>
      <c r="AG432" s="102"/>
      <c r="AH432" s="102"/>
      <c r="AI432" s="102"/>
      <c r="AJ432" s="102"/>
      <c r="AK432" s="102"/>
      <c r="AL432" s="102"/>
      <c r="AM432" s="102"/>
      <c r="AN432" s="102"/>
      <c r="AO432" s="102"/>
      <c r="AP432" s="102"/>
    </row>
    <row r="433" spans="1:42">
      <c r="A433" s="89">
        <v>432</v>
      </c>
      <c r="B433" s="90">
        <v>50102488</v>
      </c>
      <c r="C433" s="91" t="s">
        <v>405</v>
      </c>
      <c r="D433" s="58" t="s">
        <v>845</v>
      </c>
      <c r="E433" s="59">
        <v>34328</v>
      </c>
      <c r="F433" s="92">
        <f ca="1">(TODAY()-Data_Assessment[[#This Row],[BIRTH DATE]])/365.25</f>
        <v>28.23545516769336</v>
      </c>
      <c r="G433" s="62" t="s">
        <v>895</v>
      </c>
      <c r="H433" s="63" t="s">
        <v>906</v>
      </c>
      <c r="I433" s="106">
        <v>1</v>
      </c>
      <c r="J433" s="64" t="s">
        <v>907</v>
      </c>
      <c r="K433" s="143">
        <v>3</v>
      </c>
      <c r="L433" s="58"/>
      <c r="M433" s="58"/>
      <c r="N433" s="102"/>
      <c r="O433" s="102"/>
      <c r="P433" s="102"/>
      <c r="Q433" s="102"/>
      <c r="R433" s="102"/>
      <c r="S433" s="102"/>
      <c r="T433" s="102"/>
      <c r="U433" s="102"/>
      <c r="V433" s="102"/>
      <c r="W433" s="102"/>
      <c r="X433" s="102"/>
      <c r="Y433" s="102"/>
      <c r="Z433" s="102"/>
      <c r="AA433" s="102"/>
      <c r="AB433" s="102"/>
      <c r="AC433" s="102"/>
      <c r="AD433" s="102"/>
      <c r="AE433" s="102"/>
      <c r="AF433" s="102"/>
      <c r="AG433" s="102"/>
      <c r="AH433" s="102"/>
      <c r="AI433" s="102"/>
      <c r="AJ433" s="102"/>
      <c r="AK433" s="102"/>
      <c r="AL433" s="102"/>
      <c r="AM433" s="102"/>
      <c r="AN433" s="102"/>
      <c r="AO433" s="102"/>
      <c r="AP433" s="102"/>
    </row>
    <row r="434" spans="1:42">
      <c r="A434" s="89">
        <v>433</v>
      </c>
      <c r="B434" s="90">
        <v>50047835</v>
      </c>
      <c r="C434" s="91" t="s">
        <v>356</v>
      </c>
      <c r="D434" s="58" t="s">
        <v>845</v>
      </c>
      <c r="E434" s="59">
        <v>31543</v>
      </c>
      <c r="F434" s="92">
        <f ca="1">(TODAY()-Data_Assessment[[#This Row],[BIRTH DATE]])/365.25</f>
        <v>35.860369609856264</v>
      </c>
      <c r="G434" s="62" t="s">
        <v>986</v>
      </c>
      <c r="H434" s="63" t="s">
        <v>987</v>
      </c>
      <c r="I434" s="106">
        <v>4</v>
      </c>
      <c r="J434" s="64" t="s">
        <v>1289</v>
      </c>
      <c r="K434" s="143">
        <v>3</v>
      </c>
      <c r="L434" s="58"/>
      <c r="M434" s="58"/>
      <c r="N434" s="102"/>
      <c r="O434" s="102"/>
      <c r="P434" s="102"/>
      <c r="Q434" s="102"/>
      <c r="R434" s="102"/>
      <c r="S434" s="102"/>
      <c r="T434" s="102"/>
      <c r="U434" s="102"/>
      <c r="V434" s="102"/>
      <c r="W434" s="102"/>
      <c r="X434" s="102"/>
      <c r="Y434" s="102"/>
      <c r="Z434" s="102"/>
      <c r="AA434" s="102"/>
      <c r="AB434" s="102"/>
      <c r="AC434" s="102"/>
      <c r="AD434" s="102"/>
      <c r="AE434" s="102"/>
      <c r="AF434" s="102"/>
      <c r="AG434" s="102"/>
      <c r="AH434" s="102"/>
      <c r="AI434" s="102"/>
      <c r="AJ434" s="102"/>
      <c r="AK434" s="102"/>
      <c r="AL434" s="102"/>
      <c r="AM434" s="102"/>
      <c r="AN434" s="102"/>
      <c r="AO434" s="102"/>
      <c r="AP434" s="102"/>
    </row>
    <row r="435" spans="1:42">
      <c r="A435" s="89">
        <v>434</v>
      </c>
      <c r="B435" s="90">
        <v>50035143</v>
      </c>
      <c r="C435" s="91" t="s">
        <v>406</v>
      </c>
      <c r="D435" s="58" t="s">
        <v>845</v>
      </c>
      <c r="E435" s="59">
        <v>33261</v>
      </c>
      <c r="F435" s="92">
        <f ca="1">(TODAY()-Data_Assessment[[#This Row],[BIRTH DATE]])/365.25</f>
        <v>31.156741957563312</v>
      </c>
      <c r="G435" s="62" t="s">
        <v>895</v>
      </c>
      <c r="H435" s="63" t="s">
        <v>906</v>
      </c>
      <c r="I435" s="106">
        <v>1</v>
      </c>
      <c r="J435" s="64" t="s">
        <v>907</v>
      </c>
      <c r="K435" s="143">
        <v>3</v>
      </c>
      <c r="L435" s="58"/>
      <c r="M435" s="58"/>
      <c r="N435" s="102"/>
      <c r="O435" s="102"/>
      <c r="P435" s="102"/>
      <c r="Q435" s="102"/>
      <c r="R435" s="102"/>
      <c r="S435" s="102"/>
      <c r="T435" s="102"/>
      <c r="U435" s="102"/>
      <c r="V435" s="102"/>
      <c r="W435" s="102"/>
      <c r="X435" s="102"/>
      <c r="Y435" s="102"/>
      <c r="Z435" s="102"/>
      <c r="AA435" s="102"/>
      <c r="AB435" s="102"/>
      <c r="AC435" s="102"/>
      <c r="AD435" s="102"/>
      <c r="AE435" s="102"/>
      <c r="AF435" s="102"/>
      <c r="AG435" s="102"/>
      <c r="AH435" s="102"/>
      <c r="AI435" s="102"/>
      <c r="AJ435" s="102"/>
      <c r="AK435" s="102"/>
      <c r="AL435" s="102"/>
      <c r="AM435" s="102"/>
      <c r="AN435" s="102"/>
      <c r="AO435" s="102"/>
      <c r="AP435" s="102"/>
    </row>
    <row r="436" spans="1:42" ht="29.25">
      <c r="A436" s="89">
        <v>435</v>
      </c>
      <c r="B436" s="90">
        <v>50031470</v>
      </c>
      <c r="C436" s="91" t="s">
        <v>357</v>
      </c>
      <c r="D436" s="58" t="s">
        <v>845</v>
      </c>
      <c r="E436" s="59">
        <v>27424</v>
      </c>
      <c r="F436" s="92">
        <f ca="1">(TODAY()-Data_Assessment[[#This Row],[BIRTH DATE]])/365.25</f>
        <v>47.137577002053391</v>
      </c>
      <c r="G436" s="62" t="s">
        <v>986</v>
      </c>
      <c r="H436" s="63" t="s">
        <v>987</v>
      </c>
      <c r="I436" s="106">
        <v>4</v>
      </c>
      <c r="J436" s="64" t="s">
        <v>1290</v>
      </c>
      <c r="K436" s="143">
        <v>4</v>
      </c>
      <c r="L436" s="58"/>
      <c r="M436" s="58"/>
      <c r="N436" s="102"/>
      <c r="O436" s="102"/>
      <c r="P436" s="102"/>
      <c r="Q436" s="102"/>
      <c r="R436" s="102"/>
      <c r="S436" s="102"/>
      <c r="T436" s="102"/>
      <c r="U436" s="102"/>
      <c r="V436" s="102"/>
      <c r="W436" s="102"/>
      <c r="X436" s="102"/>
      <c r="Y436" s="102"/>
      <c r="Z436" s="102"/>
      <c r="AA436" s="102"/>
      <c r="AB436" s="102"/>
      <c r="AC436" s="102"/>
      <c r="AD436" s="102"/>
      <c r="AE436" s="102"/>
      <c r="AF436" s="102"/>
      <c r="AG436" s="102"/>
      <c r="AH436" s="102"/>
      <c r="AI436" s="102"/>
      <c r="AJ436" s="102"/>
      <c r="AK436" s="102"/>
      <c r="AL436" s="102"/>
      <c r="AM436" s="102"/>
      <c r="AN436" s="102"/>
      <c r="AO436" s="102"/>
      <c r="AP436" s="102"/>
    </row>
    <row r="437" spans="1:42">
      <c r="A437" s="89">
        <v>436</v>
      </c>
      <c r="B437" s="90">
        <v>50031063</v>
      </c>
      <c r="C437" s="91" t="s">
        <v>407</v>
      </c>
      <c r="D437" s="58" t="s">
        <v>845</v>
      </c>
      <c r="E437" s="59">
        <v>31931</v>
      </c>
      <c r="F437" s="92">
        <f ca="1">(TODAY()-Data_Assessment[[#This Row],[BIRTH DATE]])/365.25</f>
        <v>34.798083504449011</v>
      </c>
      <c r="G437" s="62" t="s">
        <v>895</v>
      </c>
      <c r="H437" s="63" t="s">
        <v>906</v>
      </c>
      <c r="I437" s="106">
        <v>1</v>
      </c>
      <c r="J437" s="64" t="s">
        <v>907</v>
      </c>
      <c r="K437" s="143">
        <v>3</v>
      </c>
      <c r="L437" s="58"/>
      <c r="M437" s="58"/>
      <c r="N437" s="102"/>
      <c r="O437" s="102"/>
      <c r="P437" s="102"/>
      <c r="Q437" s="102"/>
      <c r="R437" s="102"/>
      <c r="S437" s="102"/>
      <c r="T437" s="102"/>
      <c r="U437" s="102"/>
      <c r="V437" s="102"/>
      <c r="W437" s="102"/>
      <c r="X437" s="102"/>
      <c r="Y437" s="102"/>
      <c r="Z437" s="102"/>
      <c r="AA437" s="102"/>
      <c r="AB437" s="102"/>
      <c r="AC437" s="102"/>
      <c r="AD437" s="102"/>
      <c r="AE437" s="102"/>
      <c r="AF437" s="102"/>
      <c r="AG437" s="102"/>
      <c r="AH437" s="102"/>
      <c r="AI437" s="102"/>
      <c r="AJ437" s="102"/>
      <c r="AK437" s="102"/>
      <c r="AL437" s="102"/>
      <c r="AM437" s="102"/>
      <c r="AN437" s="102"/>
      <c r="AO437" s="102"/>
      <c r="AP437" s="102"/>
    </row>
    <row r="438" spans="1:42">
      <c r="A438" s="89">
        <v>437</v>
      </c>
      <c r="B438" s="90">
        <v>50050321</v>
      </c>
      <c r="C438" s="91" t="s">
        <v>408</v>
      </c>
      <c r="D438" s="58" t="s">
        <v>845</v>
      </c>
      <c r="E438" s="59">
        <v>33070</v>
      </c>
      <c r="F438" s="92">
        <f ca="1">(TODAY()-Data_Assessment[[#This Row],[BIRTH DATE]])/365.25</f>
        <v>31.679671457905545</v>
      </c>
      <c r="G438" s="62" t="s">
        <v>895</v>
      </c>
      <c r="H438" s="63" t="s">
        <v>906</v>
      </c>
      <c r="I438" s="106">
        <v>1</v>
      </c>
      <c r="J438" s="64" t="s">
        <v>907</v>
      </c>
      <c r="K438" s="143">
        <v>3</v>
      </c>
      <c r="L438" s="58"/>
      <c r="M438" s="58"/>
      <c r="N438" s="102"/>
      <c r="O438" s="102"/>
      <c r="P438" s="102"/>
      <c r="Q438" s="102"/>
      <c r="R438" s="102"/>
      <c r="S438" s="102"/>
      <c r="T438" s="102"/>
      <c r="U438" s="102"/>
      <c r="V438" s="102"/>
      <c r="W438" s="102"/>
      <c r="X438" s="102"/>
      <c r="Y438" s="102"/>
      <c r="Z438" s="102"/>
      <c r="AA438" s="102"/>
      <c r="AB438" s="102"/>
      <c r="AC438" s="102"/>
      <c r="AD438" s="102"/>
      <c r="AE438" s="102"/>
      <c r="AF438" s="102"/>
      <c r="AG438" s="102"/>
      <c r="AH438" s="102"/>
      <c r="AI438" s="102"/>
      <c r="AJ438" s="102"/>
      <c r="AK438" s="102"/>
      <c r="AL438" s="102"/>
      <c r="AM438" s="102"/>
      <c r="AN438" s="102"/>
      <c r="AO438" s="102"/>
      <c r="AP438" s="102"/>
    </row>
    <row r="439" spans="1:42">
      <c r="A439" s="89">
        <v>438</v>
      </c>
      <c r="B439" s="90">
        <v>50030952</v>
      </c>
      <c r="C439" s="91" t="s">
        <v>359</v>
      </c>
      <c r="D439" s="58" t="s">
        <v>845</v>
      </c>
      <c r="E439" s="59">
        <v>28602</v>
      </c>
      <c r="F439" s="92">
        <f ca="1">(TODAY()-Data_Assessment[[#This Row],[BIRTH DATE]])/365.25</f>
        <v>43.912388774811774</v>
      </c>
      <c r="G439" s="62" t="s">
        <v>986</v>
      </c>
      <c r="H439" s="63" t="s">
        <v>987</v>
      </c>
      <c r="I439" s="106">
        <v>4</v>
      </c>
      <c r="J439" s="64" t="s">
        <v>1291</v>
      </c>
      <c r="K439" s="143">
        <v>2</v>
      </c>
      <c r="L439" s="58"/>
      <c r="M439" s="58"/>
      <c r="N439" s="102"/>
      <c r="O439" s="102"/>
      <c r="P439" s="102"/>
      <c r="Q439" s="102"/>
      <c r="R439" s="102"/>
      <c r="S439" s="102"/>
      <c r="T439" s="102"/>
      <c r="U439" s="102"/>
      <c r="V439" s="102"/>
      <c r="W439" s="102"/>
      <c r="X439" s="102"/>
      <c r="Y439" s="102"/>
      <c r="Z439" s="102"/>
      <c r="AA439" s="102"/>
      <c r="AB439" s="102"/>
      <c r="AC439" s="102"/>
      <c r="AD439" s="102"/>
      <c r="AE439" s="102"/>
      <c r="AF439" s="102"/>
      <c r="AG439" s="102"/>
      <c r="AH439" s="102"/>
      <c r="AI439" s="102"/>
      <c r="AJ439" s="102"/>
      <c r="AK439" s="102"/>
      <c r="AL439" s="102"/>
      <c r="AM439" s="102"/>
      <c r="AN439" s="102"/>
      <c r="AO439" s="102"/>
      <c r="AP439" s="102"/>
    </row>
    <row r="440" spans="1:42">
      <c r="A440" s="89">
        <v>439</v>
      </c>
      <c r="B440" s="90">
        <v>50031068</v>
      </c>
      <c r="C440" s="91" t="s">
        <v>409</v>
      </c>
      <c r="D440" s="58" t="s">
        <v>845</v>
      </c>
      <c r="E440" s="59">
        <v>25804</v>
      </c>
      <c r="F440" s="92">
        <f ca="1">(TODAY()-Data_Assessment[[#This Row],[BIRTH DATE]])/365.25</f>
        <v>51.572895277207394</v>
      </c>
      <c r="G440" s="62" t="s">
        <v>895</v>
      </c>
      <c r="H440" s="63" t="s">
        <v>1219</v>
      </c>
      <c r="I440" s="106">
        <v>1</v>
      </c>
      <c r="J440" s="64" t="s">
        <v>1292</v>
      </c>
      <c r="K440" s="143">
        <v>4</v>
      </c>
      <c r="L440" s="58"/>
      <c r="M440" s="58"/>
      <c r="N440" s="102"/>
      <c r="O440" s="102"/>
      <c r="P440" s="102"/>
      <c r="Q440" s="102"/>
      <c r="R440" s="102"/>
      <c r="S440" s="102"/>
      <c r="T440" s="102"/>
      <c r="U440" s="102"/>
      <c r="V440" s="102"/>
      <c r="W440" s="102"/>
      <c r="X440" s="102"/>
      <c r="Y440" s="102"/>
      <c r="Z440" s="102"/>
      <c r="AA440" s="102"/>
      <c r="AB440" s="102"/>
      <c r="AC440" s="102"/>
      <c r="AD440" s="102"/>
      <c r="AE440" s="102"/>
      <c r="AF440" s="102"/>
      <c r="AG440" s="102"/>
      <c r="AH440" s="102"/>
      <c r="AI440" s="102"/>
      <c r="AJ440" s="102"/>
      <c r="AK440" s="102"/>
      <c r="AL440" s="102"/>
      <c r="AM440" s="102"/>
      <c r="AN440" s="102"/>
      <c r="AO440" s="102"/>
      <c r="AP440" s="102"/>
    </row>
    <row r="441" spans="1:42">
      <c r="A441" s="89">
        <v>440</v>
      </c>
      <c r="B441" s="90">
        <v>50030712</v>
      </c>
      <c r="C441" s="91" t="s">
        <v>410</v>
      </c>
      <c r="D441" s="58" t="s">
        <v>846</v>
      </c>
      <c r="E441" s="59">
        <v>25515</v>
      </c>
      <c r="F441" s="92">
        <f ca="1">(TODAY()-Data_Assessment[[#This Row],[BIRTH DATE]])/365.25</f>
        <v>52.364134154688571</v>
      </c>
      <c r="G441" s="62" t="s">
        <v>895</v>
      </c>
      <c r="H441" s="63" t="s">
        <v>1219</v>
      </c>
      <c r="I441" s="106">
        <v>1</v>
      </c>
      <c r="J441" s="64" t="s">
        <v>1293</v>
      </c>
      <c r="K441" s="143">
        <v>3</v>
      </c>
      <c r="L441" s="58"/>
      <c r="M441" s="58"/>
      <c r="N441" s="102"/>
      <c r="O441" s="102"/>
      <c r="P441" s="102"/>
      <c r="Q441" s="102"/>
      <c r="R441" s="102"/>
      <c r="S441" s="102"/>
      <c r="T441" s="102"/>
      <c r="U441" s="102"/>
      <c r="V441" s="102"/>
      <c r="W441" s="102"/>
      <c r="X441" s="102"/>
      <c r="Y441" s="102"/>
      <c r="Z441" s="102"/>
      <c r="AA441" s="102"/>
      <c r="AB441" s="102"/>
      <c r="AC441" s="102"/>
      <c r="AD441" s="102"/>
      <c r="AE441" s="102"/>
      <c r="AF441" s="102"/>
      <c r="AG441" s="102"/>
      <c r="AH441" s="102"/>
      <c r="AI441" s="102"/>
      <c r="AJ441" s="102"/>
      <c r="AK441" s="102"/>
      <c r="AL441" s="102"/>
      <c r="AM441" s="102"/>
      <c r="AN441" s="102"/>
      <c r="AO441" s="102"/>
      <c r="AP441" s="102"/>
    </row>
    <row r="442" spans="1:42">
      <c r="A442" s="89">
        <v>441</v>
      </c>
      <c r="B442" s="90">
        <v>50030666</v>
      </c>
      <c r="C442" s="91" t="s">
        <v>411</v>
      </c>
      <c r="D442" s="58" t="s">
        <v>845</v>
      </c>
      <c r="E442" s="59">
        <v>24868</v>
      </c>
      <c r="F442" s="92">
        <f ca="1">(TODAY()-Data_Assessment[[#This Row],[BIRTH DATE]])/365.25</f>
        <v>54.135523613963038</v>
      </c>
      <c r="G442" s="62" t="s">
        <v>895</v>
      </c>
      <c r="H442" s="63" t="s">
        <v>1219</v>
      </c>
      <c r="I442" s="106">
        <v>1</v>
      </c>
      <c r="J442" s="64" t="s">
        <v>1293</v>
      </c>
      <c r="K442" s="143">
        <v>2</v>
      </c>
      <c r="L442" s="58"/>
      <c r="M442" s="58"/>
      <c r="N442" s="102"/>
      <c r="O442" s="102"/>
      <c r="P442" s="102"/>
      <c r="Q442" s="102"/>
      <c r="R442" s="102"/>
      <c r="S442" s="102"/>
      <c r="T442" s="102"/>
      <c r="U442" s="102"/>
      <c r="V442" s="102"/>
      <c r="W442" s="102"/>
      <c r="X442" s="102"/>
      <c r="Y442" s="102"/>
      <c r="Z442" s="102"/>
      <c r="AA442" s="102"/>
      <c r="AB442" s="102"/>
      <c r="AC442" s="102"/>
      <c r="AD442" s="102"/>
      <c r="AE442" s="102"/>
      <c r="AF442" s="102"/>
      <c r="AG442" s="102"/>
      <c r="AH442" s="102"/>
      <c r="AI442" s="102"/>
      <c r="AJ442" s="102"/>
      <c r="AK442" s="102"/>
      <c r="AL442" s="102"/>
      <c r="AM442" s="102"/>
      <c r="AN442" s="102"/>
      <c r="AO442" s="102"/>
      <c r="AP442" s="102"/>
    </row>
    <row r="443" spans="1:42" ht="29.25">
      <c r="A443" s="89">
        <v>442</v>
      </c>
      <c r="B443" s="90">
        <v>50031094</v>
      </c>
      <c r="C443" s="91" t="s">
        <v>362</v>
      </c>
      <c r="D443" s="58" t="s">
        <v>845</v>
      </c>
      <c r="E443" s="59">
        <v>27730</v>
      </c>
      <c r="F443" s="92">
        <f ca="1">(TODAY()-Data_Assessment[[#This Row],[BIRTH DATE]])/365.25</f>
        <v>46.299794661190965</v>
      </c>
      <c r="G443" s="62" t="s">
        <v>986</v>
      </c>
      <c r="H443" s="63" t="s">
        <v>987</v>
      </c>
      <c r="I443" s="106">
        <v>4</v>
      </c>
      <c r="J443" s="64" t="s">
        <v>1294</v>
      </c>
      <c r="K443" s="143">
        <v>4</v>
      </c>
      <c r="L443" s="58"/>
      <c r="M443" s="58"/>
      <c r="N443" s="102"/>
      <c r="O443" s="102"/>
      <c r="P443" s="102"/>
      <c r="Q443" s="102"/>
      <c r="R443" s="102"/>
      <c r="S443" s="102"/>
      <c r="T443" s="102"/>
      <c r="U443" s="102"/>
      <c r="V443" s="102"/>
      <c r="W443" s="102"/>
      <c r="X443" s="102"/>
      <c r="Y443" s="102"/>
      <c r="Z443" s="102"/>
      <c r="AA443" s="102"/>
      <c r="AB443" s="102"/>
      <c r="AC443" s="102"/>
      <c r="AD443" s="102"/>
      <c r="AE443" s="102"/>
      <c r="AF443" s="102"/>
      <c r="AG443" s="102"/>
      <c r="AH443" s="102"/>
      <c r="AI443" s="102"/>
      <c r="AJ443" s="102"/>
      <c r="AK443" s="102"/>
      <c r="AL443" s="102"/>
      <c r="AM443" s="102"/>
      <c r="AN443" s="102"/>
      <c r="AO443" s="102"/>
      <c r="AP443" s="102"/>
    </row>
    <row r="444" spans="1:42">
      <c r="A444" s="89">
        <v>443</v>
      </c>
      <c r="B444" s="90">
        <v>50031019</v>
      </c>
      <c r="C444" s="91" t="s">
        <v>412</v>
      </c>
      <c r="D444" s="58" t="s">
        <v>845</v>
      </c>
      <c r="E444" s="59">
        <v>32524</v>
      </c>
      <c r="F444" s="92">
        <f ca="1">(TODAY()-Data_Assessment[[#This Row],[BIRTH DATE]])/365.25</f>
        <v>33.17453798767967</v>
      </c>
      <c r="G444" s="62" t="s">
        <v>895</v>
      </c>
      <c r="H444" s="63" t="s">
        <v>1219</v>
      </c>
      <c r="I444" s="106">
        <v>1</v>
      </c>
      <c r="J444" s="64" t="s">
        <v>1220</v>
      </c>
      <c r="K444" s="143">
        <v>3</v>
      </c>
      <c r="L444" s="58"/>
      <c r="M444" s="58"/>
      <c r="N444" s="102"/>
      <c r="O444" s="102"/>
      <c r="P444" s="102"/>
      <c r="Q444" s="102"/>
      <c r="R444" s="102"/>
      <c r="S444" s="102"/>
      <c r="T444" s="102"/>
      <c r="U444" s="102"/>
      <c r="V444" s="102"/>
      <c r="W444" s="102"/>
      <c r="X444" s="102"/>
      <c r="Y444" s="102"/>
      <c r="Z444" s="102"/>
      <c r="AA444" s="102"/>
      <c r="AB444" s="102"/>
      <c r="AC444" s="102"/>
      <c r="AD444" s="102"/>
      <c r="AE444" s="102"/>
      <c r="AF444" s="102"/>
      <c r="AG444" s="102"/>
      <c r="AH444" s="102"/>
      <c r="AI444" s="102"/>
      <c r="AJ444" s="102"/>
      <c r="AK444" s="102"/>
      <c r="AL444" s="102"/>
      <c r="AM444" s="102"/>
      <c r="AN444" s="102"/>
      <c r="AO444" s="102"/>
      <c r="AP444" s="102"/>
    </row>
    <row r="445" spans="1:42" ht="29.25">
      <c r="A445" s="89">
        <v>444</v>
      </c>
      <c r="B445" s="90">
        <v>50049209</v>
      </c>
      <c r="C445" s="91" t="s">
        <v>363</v>
      </c>
      <c r="D445" s="58" t="s">
        <v>845</v>
      </c>
      <c r="E445" s="59">
        <v>32839</v>
      </c>
      <c r="F445" s="92">
        <f ca="1">(TODAY()-Data_Assessment[[#This Row],[BIRTH DATE]])/365.25</f>
        <v>32.312114989733061</v>
      </c>
      <c r="G445" s="62" t="s">
        <v>986</v>
      </c>
      <c r="H445" s="63" t="s">
        <v>987</v>
      </c>
      <c r="I445" s="106">
        <v>4</v>
      </c>
      <c r="J445" s="64" t="s">
        <v>1295</v>
      </c>
      <c r="K445" s="143">
        <v>3</v>
      </c>
      <c r="L445" s="58"/>
      <c r="M445" s="58"/>
      <c r="N445" s="102"/>
      <c r="O445" s="102"/>
      <c r="P445" s="102"/>
      <c r="Q445" s="102"/>
      <c r="R445" s="102"/>
      <c r="S445" s="102"/>
      <c r="T445" s="102"/>
      <c r="U445" s="102"/>
      <c r="V445" s="102"/>
      <c r="W445" s="102"/>
      <c r="X445" s="102"/>
      <c r="Y445" s="102"/>
      <c r="Z445" s="102"/>
      <c r="AA445" s="102"/>
      <c r="AB445" s="102"/>
      <c r="AC445" s="102"/>
      <c r="AD445" s="102"/>
      <c r="AE445" s="102"/>
      <c r="AF445" s="102"/>
      <c r="AG445" s="102"/>
      <c r="AH445" s="102"/>
      <c r="AI445" s="102"/>
      <c r="AJ445" s="102"/>
      <c r="AK445" s="102"/>
      <c r="AL445" s="102"/>
      <c r="AM445" s="102"/>
      <c r="AN445" s="102"/>
      <c r="AO445" s="102"/>
      <c r="AP445" s="102"/>
    </row>
    <row r="446" spans="1:42">
      <c r="A446" s="89">
        <v>445</v>
      </c>
      <c r="B446" s="90">
        <v>50030700</v>
      </c>
      <c r="C446" s="91" t="s">
        <v>414</v>
      </c>
      <c r="D446" s="58" t="s">
        <v>845</v>
      </c>
      <c r="E446" s="59">
        <v>25660</v>
      </c>
      <c r="F446" s="92">
        <f ca="1">(TODAY()-Data_Assessment[[#This Row],[BIRTH DATE]])/365.25</f>
        <v>51.967145790554412</v>
      </c>
      <c r="G446" s="62" t="s">
        <v>895</v>
      </c>
      <c r="H446" s="63" t="s">
        <v>1219</v>
      </c>
      <c r="I446" s="106">
        <v>1</v>
      </c>
      <c r="J446" s="64" t="s">
        <v>1220</v>
      </c>
      <c r="K446" s="143">
        <v>3</v>
      </c>
      <c r="L446" s="58"/>
      <c r="M446" s="58"/>
      <c r="N446" s="102"/>
      <c r="O446" s="102"/>
      <c r="P446" s="102"/>
      <c r="Q446" s="102"/>
      <c r="R446" s="102"/>
      <c r="S446" s="102"/>
      <c r="T446" s="102"/>
      <c r="U446" s="102"/>
      <c r="V446" s="102"/>
      <c r="W446" s="102"/>
      <c r="X446" s="102"/>
      <c r="Y446" s="102"/>
      <c r="Z446" s="102"/>
      <c r="AA446" s="102"/>
      <c r="AB446" s="102"/>
      <c r="AC446" s="102"/>
      <c r="AD446" s="102"/>
      <c r="AE446" s="102"/>
      <c r="AF446" s="102"/>
      <c r="AG446" s="102"/>
      <c r="AH446" s="102"/>
      <c r="AI446" s="102"/>
      <c r="AJ446" s="102"/>
      <c r="AK446" s="102"/>
      <c r="AL446" s="102"/>
      <c r="AM446" s="102"/>
      <c r="AN446" s="102"/>
      <c r="AO446" s="102"/>
      <c r="AP446" s="102"/>
    </row>
    <row r="447" spans="1:42" ht="29.25">
      <c r="A447" s="89">
        <v>446</v>
      </c>
      <c r="B447" s="90">
        <v>50030945</v>
      </c>
      <c r="C447" s="91" t="s">
        <v>364</v>
      </c>
      <c r="D447" s="58" t="s">
        <v>845</v>
      </c>
      <c r="E447" s="59">
        <v>27618</v>
      </c>
      <c r="F447" s="92">
        <f ca="1">(TODAY()-Data_Assessment[[#This Row],[BIRTH DATE]])/365.25</f>
        <v>46.606433949349757</v>
      </c>
      <c r="G447" s="62" t="s">
        <v>986</v>
      </c>
      <c r="H447" s="63" t="s">
        <v>987</v>
      </c>
      <c r="I447" s="106">
        <v>4</v>
      </c>
      <c r="J447" s="64" t="s">
        <v>1296</v>
      </c>
      <c r="K447" s="143">
        <v>4</v>
      </c>
      <c r="L447" s="58"/>
      <c r="M447" s="58"/>
      <c r="N447" s="102"/>
      <c r="O447" s="102"/>
      <c r="P447" s="102"/>
      <c r="Q447" s="102"/>
      <c r="R447" s="102"/>
      <c r="S447" s="102"/>
      <c r="T447" s="102"/>
      <c r="U447" s="102"/>
      <c r="V447" s="102"/>
      <c r="W447" s="102"/>
      <c r="X447" s="102"/>
      <c r="Y447" s="102"/>
      <c r="Z447" s="102"/>
      <c r="AA447" s="102"/>
      <c r="AB447" s="102"/>
      <c r="AC447" s="102"/>
      <c r="AD447" s="102"/>
      <c r="AE447" s="102"/>
      <c r="AF447" s="102"/>
      <c r="AG447" s="102"/>
      <c r="AH447" s="102"/>
      <c r="AI447" s="102"/>
      <c r="AJ447" s="102"/>
      <c r="AK447" s="102"/>
      <c r="AL447" s="102"/>
      <c r="AM447" s="102"/>
      <c r="AN447" s="102"/>
      <c r="AO447" s="102"/>
      <c r="AP447" s="102"/>
    </row>
    <row r="448" spans="1:42">
      <c r="A448" s="89">
        <v>447</v>
      </c>
      <c r="B448" s="90">
        <v>50096069</v>
      </c>
      <c r="C448" s="91" t="s">
        <v>415</v>
      </c>
      <c r="D448" s="58" t="s">
        <v>845</v>
      </c>
      <c r="E448" s="59">
        <v>34450</v>
      </c>
      <c r="F448" s="92">
        <f ca="1">(TODAY()-Data_Assessment[[#This Row],[BIRTH DATE]])/365.25</f>
        <v>27.901437371663246</v>
      </c>
      <c r="G448" s="62" t="s">
        <v>895</v>
      </c>
      <c r="H448" s="63" t="s">
        <v>1219</v>
      </c>
      <c r="I448" s="106">
        <v>1</v>
      </c>
      <c r="J448" s="64" t="s">
        <v>1220</v>
      </c>
      <c r="K448" s="143">
        <v>3</v>
      </c>
      <c r="L448" s="58"/>
      <c r="M448" s="58"/>
      <c r="N448" s="102"/>
      <c r="O448" s="102"/>
      <c r="P448" s="102"/>
      <c r="Q448" s="102"/>
      <c r="R448" s="102"/>
      <c r="S448" s="102"/>
      <c r="T448" s="102"/>
      <c r="U448" s="102"/>
      <c r="V448" s="102"/>
      <c r="W448" s="102"/>
      <c r="X448" s="102"/>
      <c r="Y448" s="102"/>
      <c r="Z448" s="102"/>
      <c r="AA448" s="102"/>
      <c r="AB448" s="102"/>
      <c r="AC448" s="102"/>
      <c r="AD448" s="102"/>
      <c r="AE448" s="102"/>
      <c r="AF448" s="102"/>
      <c r="AG448" s="102"/>
      <c r="AH448" s="102"/>
      <c r="AI448" s="102"/>
      <c r="AJ448" s="102"/>
      <c r="AK448" s="102"/>
      <c r="AL448" s="102"/>
      <c r="AM448" s="102"/>
      <c r="AN448" s="102"/>
      <c r="AO448" s="102"/>
      <c r="AP448" s="102"/>
    </row>
    <row r="449" spans="1:42">
      <c r="A449" s="89">
        <v>448</v>
      </c>
      <c r="B449" s="90">
        <v>50031334</v>
      </c>
      <c r="C449" s="91" t="s">
        <v>416</v>
      </c>
      <c r="D449" s="58" t="s">
        <v>845</v>
      </c>
      <c r="E449" s="59">
        <v>31147</v>
      </c>
      <c r="F449" s="92">
        <f ca="1">(TODAY()-Data_Assessment[[#This Row],[BIRTH DATE]])/365.25</f>
        <v>36.944558521560573</v>
      </c>
      <c r="G449" s="62" t="s">
        <v>895</v>
      </c>
      <c r="H449" s="63" t="s">
        <v>1219</v>
      </c>
      <c r="I449" s="106">
        <v>1</v>
      </c>
      <c r="J449" s="64" t="s">
        <v>1220</v>
      </c>
      <c r="K449" s="143">
        <v>3</v>
      </c>
      <c r="L449" s="58"/>
      <c r="M449" s="58"/>
      <c r="N449" s="102"/>
      <c r="O449" s="102"/>
      <c r="P449" s="102"/>
      <c r="Q449" s="102"/>
      <c r="R449" s="102"/>
      <c r="S449" s="102"/>
      <c r="T449" s="102"/>
      <c r="U449" s="102"/>
      <c r="V449" s="102"/>
      <c r="W449" s="102"/>
      <c r="X449" s="102"/>
      <c r="Y449" s="102"/>
      <c r="Z449" s="102"/>
      <c r="AA449" s="102"/>
      <c r="AB449" s="102"/>
      <c r="AC449" s="102"/>
      <c r="AD449" s="102"/>
      <c r="AE449" s="102"/>
      <c r="AF449" s="102"/>
      <c r="AG449" s="102"/>
      <c r="AH449" s="102"/>
      <c r="AI449" s="102"/>
      <c r="AJ449" s="102"/>
      <c r="AK449" s="102"/>
      <c r="AL449" s="102"/>
      <c r="AM449" s="102"/>
      <c r="AN449" s="102"/>
      <c r="AO449" s="102"/>
      <c r="AP449" s="102"/>
    </row>
    <row r="450" spans="1:42">
      <c r="A450" s="89">
        <v>449</v>
      </c>
      <c r="B450" s="90">
        <v>50031034</v>
      </c>
      <c r="C450" s="91" t="s">
        <v>427</v>
      </c>
      <c r="D450" s="58" t="s">
        <v>845</v>
      </c>
      <c r="E450" s="59">
        <v>31509</v>
      </c>
      <c r="F450" s="92">
        <f ca="1">(TODAY()-Data_Assessment[[#This Row],[BIRTH DATE]])/365.25</f>
        <v>35.953456536618752</v>
      </c>
      <c r="G450" s="62" t="s">
        <v>895</v>
      </c>
      <c r="H450" s="63" t="s">
        <v>1227</v>
      </c>
      <c r="I450" s="106">
        <v>1</v>
      </c>
      <c r="J450" s="64" t="s">
        <v>1228</v>
      </c>
      <c r="K450" s="143">
        <v>3</v>
      </c>
      <c r="L450" s="58"/>
      <c r="M450" s="58"/>
      <c r="N450" s="102"/>
      <c r="O450" s="102"/>
      <c r="P450" s="102"/>
      <c r="Q450" s="102"/>
      <c r="R450" s="102"/>
      <c r="S450" s="102"/>
      <c r="T450" s="102"/>
      <c r="U450" s="102"/>
      <c r="V450" s="102"/>
      <c r="W450" s="102"/>
      <c r="X450" s="102"/>
      <c r="Y450" s="102"/>
      <c r="Z450" s="102"/>
      <c r="AA450" s="102"/>
      <c r="AB450" s="102"/>
      <c r="AC450" s="102"/>
      <c r="AD450" s="102"/>
      <c r="AE450" s="102"/>
      <c r="AF450" s="102"/>
      <c r="AG450" s="102"/>
      <c r="AH450" s="102"/>
      <c r="AI450" s="102"/>
      <c r="AJ450" s="102"/>
      <c r="AK450" s="102"/>
      <c r="AL450" s="102"/>
      <c r="AM450" s="102"/>
      <c r="AN450" s="102"/>
      <c r="AO450" s="102"/>
      <c r="AP450" s="102"/>
    </row>
    <row r="451" spans="1:42">
      <c r="A451" s="89">
        <v>450</v>
      </c>
      <c r="B451" s="90">
        <v>50031024</v>
      </c>
      <c r="C451" s="91" t="s">
        <v>432</v>
      </c>
      <c r="D451" s="58" t="s">
        <v>845</v>
      </c>
      <c r="E451" s="59">
        <v>26440</v>
      </c>
      <c r="F451" s="92">
        <f ca="1">(TODAY()-Data_Assessment[[#This Row],[BIRTH DATE]])/365.25</f>
        <v>49.831622176591374</v>
      </c>
      <c r="G451" s="62" t="s">
        <v>895</v>
      </c>
      <c r="H451" s="63" t="s">
        <v>1229</v>
      </c>
      <c r="I451" s="106">
        <v>1</v>
      </c>
      <c r="J451" s="64" t="s">
        <v>1230</v>
      </c>
      <c r="K451" s="143">
        <v>3</v>
      </c>
      <c r="L451" s="58"/>
      <c r="M451" s="58"/>
      <c r="N451" s="102"/>
      <c r="O451" s="102"/>
      <c r="P451" s="102"/>
      <c r="Q451" s="102"/>
      <c r="R451" s="102"/>
      <c r="S451" s="102"/>
      <c r="T451" s="102"/>
      <c r="U451" s="102"/>
      <c r="V451" s="102"/>
      <c r="W451" s="102"/>
      <c r="X451" s="102"/>
      <c r="Y451" s="102"/>
      <c r="Z451" s="102"/>
      <c r="AA451" s="102"/>
      <c r="AB451" s="102"/>
      <c r="AC451" s="102"/>
      <c r="AD451" s="102"/>
      <c r="AE451" s="102"/>
      <c r="AF451" s="102"/>
      <c r="AG451" s="102"/>
      <c r="AH451" s="102"/>
      <c r="AI451" s="102"/>
      <c r="AJ451" s="102"/>
      <c r="AK451" s="102"/>
      <c r="AL451" s="102"/>
      <c r="AM451" s="102"/>
      <c r="AN451" s="102"/>
      <c r="AO451" s="102"/>
      <c r="AP451" s="102"/>
    </row>
    <row r="452" spans="1:42">
      <c r="A452" s="89">
        <v>451</v>
      </c>
      <c r="B452" s="90">
        <v>50031229</v>
      </c>
      <c r="C452" s="91" t="s">
        <v>368</v>
      </c>
      <c r="D452" s="58" t="s">
        <v>845</v>
      </c>
      <c r="E452" s="59">
        <v>29520</v>
      </c>
      <c r="F452" s="92">
        <f ca="1">(TODAY()-Data_Assessment[[#This Row],[BIRTH DATE]])/365.25</f>
        <v>41.399041752224505</v>
      </c>
      <c r="G452" s="62" t="s">
        <v>986</v>
      </c>
      <c r="H452" s="63" t="s">
        <v>987</v>
      </c>
      <c r="I452" s="106">
        <v>4</v>
      </c>
      <c r="J452" s="64" t="s">
        <v>1297</v>
      </c>
      <c r="K452" s="143">
        <v>4</v>
      </c>
      <c r="L452" s="58"/>
      <c r="M452" s="58"/>
      <c r="N452" s="102"/>
      <c r="O452" s="102"/>
      <c r="P452" s="102"/>
      <c r="Q452" s="102"/>
      <c r="R452" s="102"/>
      <c r="S452" s="102"/>
      <c r="T452" s="102"/>
      <c r="U452" s="102"/>
      <c r="V452" s="102"/>
      <c r="W452" s="102"/>
      <c r="X452" s="102"/>
      <c r="Y452" s="102"/>
      <c r="Z452" s="102"/>
      <c r="AA452" s="102"/>
      <c r="AB452" s="102"/>
      <c r="AC452" s="102"/>
      <c r="AD452" s="102"/>
      <c r="AE452" s="102"/>
      <c r="AF452" s="102"/>
      <c r="AG452" s="102"/>
      <c r="AH452" s="102"/>
      <c r="AI452" s="102"/>
      <c r="AJ452" s="102"/>
      <c r="AK452" s="102"/>
      <c r="AL452" s="102"/>
      <c r="AM452" s="102"/>
      <c r="AN452" s="102"/>
      <c r="AO452" s="102"/>
      <c r="AP452" s="102"/>
    </row>
    <row r="453" spans="1:42">
      <c r="A453" s="89">
        <v>452</v>
      </c>
      <c r="B453" s="90">
        <v>50038919</v>
      </c>
      <c r="C453" s="91" t="s">
        <v>437</v>
      </c>
      <c r="D453" s="58" t="s">
        <v>845</v>
      </c>
      <c r="E453" s="59">
        <v>30995</v>
      </c>
      <c r="F453" s="92">
        <f ca="1">(TODAY()-Data_Assessment[[#This Row],[BIRTH DATE]])/365.25</f>
        <v>37.360711841204655</v>
      </c>
      <c r="G453" s="62" t="s">
        <v>895</v>
      </c>
      <c r="H453" s="63" t="s">
        <v>932</v>
      </c>
      <c r="I453" s="106">
        <v>1</v>
      </c>
      <c r="J453" s="64" t="s">
        <v>1231</v>
      </c>
      <c r="K453" s="143">
        <v>2</v>
      </c>
      <c r="L453" s="58"/>
      <c r="M453" s="58"/>
      <c r="N453" s="102"/>
      <c r="O453" s="102"/>
      <c r="P453" s="102"/>
      <c r="Q453" s="102"/>
      <c r="R453" s="102"/>
      <c r="S453" s="102"/>
      <c r="T453" s="102"/>
      <c r="U453" s="102"/>
      <c r="V453" s="102"/>
      <c r="W453" s="102"/>
      <c r="X453" s="102"/>
      <c r="Y453" s="102"/>
      <c r="Z453" s="102"/>
      <c r="AA453" s="102"/>
      <c r="AB453" s="102"/>
      <c r="AC453" s="102"/>
      <c r="AD453" s="102"/>
      <c r="AE453" s="102"/>
      <c r="AF453" s="102"/>
      <c r="AG453" s="102"/>
      <c r="AH453" s="102"/>
      <c r="AI453" s="102"/>
      <c r="AJ453" s="102"/>
      <c r="AK453" s="102"/>
      <c r="AL453" s="102"/>
      <c r="AM453" s="102"/>
      <c r="AN453" s="102"/>
      <c r="AO453" s="102"/>
      <c r="AP453" s="102"/>
    </row>
    <row r="454" spans="1:42">
      <c r="A454" s="89">
        <v>453</v>
      </c>
      <c r="B454" s="90">
        <v>50102485</v>
      </c>
      <c r="C454" s="91" t="s">
        <v>438</v>
      </c>
      <c r="D454" s="58" t="s">
        <v>845</v>
      </c>
      <c r="E454" s="59">
        <v>34465</v>
      </c>
      <c r="F454" s="92">
        <f ca="1">(TODAY()-Data_Assessment[[#This Row],[BIRTH DATE]])/365.25</f>
        <v>27.860369609856264</v>
      </c>
      <c r="G454" s="62" t="s">
        <v>895</v>
      </c>
      <c r="H454" s="63" t="s">
        <v>932</v>
      </c>
      <c r="I454" s="106">
        <v>1</v>
      </c>
      <c r="J454" s="64" t="s">
        <v>1231</v>
      </c>
      <c r="K454" s="143">
        <v>3</v>
      </c>
      <c r="L454" s="58"/>
      <c r="M454" s="58"/>
      <c r="N454" s="102"/>
      <c r="O454" s="102"/>
      <c r="P454" s="102"/>
      <c r="Q454" s="102"/>
      <c r="R454" s="102"/>
      <c r="S454" s="102"/>
      <c r="T454" s="102"/>
      <c r="U454" s="102"/>
      <c r="V454" s="102"/>
      <c r="W454" s="102"/>
      <c r="X454" s="102"/>
      <c r="Y454" s="102"/>
      <c r="Z454" s="102"/>
      <c r="AA454" s="102"/>
      <c r="AB454" s="102"/>
      <c r="AC454" s="102"/>
      <c r="AD454" s="102"/>
      <c r="AE454" s="102"/>
      <c r="AF454" s="102"/>
      <c r="AG454" s="102"/>
      <c r="AH454" s="102"/>
      <c r="AI454" s="102"/>
      <c r="AJ454" s="102"/>
      <c r="AK454" s="102"/>
      <c r="AL454" s="102"/>
      <c r="AM454" s="102"/>
      <c r="AN454" s="102"/>
      <c r="AO454" s="102"/>
      <c r="AP454" s="102"/>
    </row>
    <row r="455" spans="1:42">
      <c r="A455" s="89">
        <v>454</v>
      </c>
      <c r="B455" s="90">
        <v>50031082</v>
      </c>
      <c r="C455" s="91" t="s">
        <v>370</v>
      </c>
      <c r="D455" s="58" t="s">
        <v>845</v>
      </c>
      <c r="E455" s="59">
        <v>25565</v>
      </c>
      <c r="F455" s="92">
        <f ca="1">(TODAY()-Data_Assessment[[#This Row],[BIRTH DATE]])/365.25</f>
        <v>52.227241615331963</v>
      </c>
      <c r="G455" s="62" t="s">
        <v>895</v>
      </c>
      <c r="H455" s="63" t="s">
        <v>1210</v>
      </c>
      <c r="I455" s="106">
        <v>1</v>
      </c>
      <c r="J455" s="64" t="s">
        <v>1298</v>
      </c>
      <c r="K455" s="143">
        <v>4</v>
      </c>
      <c r="L455" s="58"/>
      <c r="M455" s="58"/>
      <c r="N455" s="102"/>
      <c r="O455" s="102"/>
      <c r="P455" s="102"/>
      <c r="Q455" s="102"/>
      <c r="R455" s="102"/>
      <c r="S455" s="102"/>
      <c r="T455" s="102"/>
      <c r="U455" s="102"/>
      <c r="V455" s="102"/>
      <c r="W455" s="102"/>
      <c r="X455" s="102"/>
      <c r="Y455" s="102"/>
      <c r="Z455" s="102"/>
      <c r="AA455" s="102"/>
      <c r="AB455" s="102"/>
      <c r="AC455" s="102"/>
      <c r="AD455" s="102"/>
      <c r="AE455" s="102"/>
      <c r="AF455" s="102"/>
      <c r="AG455" s="102"/>
      <c r="AH455" s="102"/>
      <c r="AI455" s="102"/>
      <c r="AJ455" s="102"/>
      <c r="AK455" s="102"/>
      <c r="AL455" s="102"/>
      <c r="AM455" s="102"/>
      <c r="AN455" s="102"/>
      <c r="AO455" s="102"/>
      <c r="AP455" s="102"/>
    </row>
    <row r="456" spans="1:42">
      <c r="A456" s="89">
        <v>455</v>
      </c>
      <c r="B456" s="90">
        <v>50031021</v>
      </c>
      <c r="C456" s="91" t="s">
        <v>439</v>
      </c>
      <c r="D456" s="58" t="s">
        <v>845</v>
      </c>
      <c r="E456" s="59">
        <v>31645</v>
      </c>
      <c r="F456" s="92">
        <f ca="1">(TODAY()-Data_Assessment[[#This Row],[BIRTH DATE]])/365.25</f>
        <v>35.581108829568791</v>
      </c>
      <c r="G456" s="62" t="s">
        <v>895</v>
      </c>
      <c r="H456" s="63" t="s">
        <v>932</v>
      </c>
      <c r="I456" s="106">
        <v>1</v>
      </c>
      <c r="J456" s="64" t="s">
        <v>1231</v>
      </c>
      <c r="K456" s="143">
        <v>4</v>
      </c>
      <c r="L456" s="58"/>
      <c r="M456" s="58"/>
      <c r="N456" s="102"/>
      <c r="O456" s="102"/>
      <c r="P456" s="102"/>
      <c r="Q456" s="102"/>
      <c r="R456" s="102"/>
      <c r="S456" s="102"/>
      <c r="T456" s="102"/>
      <c r="U456" s="102"/>
      <c r="V456" s="102"/>
      <c r="W456" s="102"/>
      <c r="X456" s="102"/>
      <c r="Y456" s="102"/>
      <c r="Z456" s="102"/>
      <c r="AA456" s="102"/>
      <c r="AB456" s="102"/>
      <c r="AC456" s="102"/>
      <c r="AD456" s="102"/>
      <c r="AE456" s="102"/>
      <c r="AF456" s="102"/>
      <c r="AG456" s="102"/>
      <c r="AH456" s="102"/>
      <c r="AI456" s="102"/>
      <c r="AJ456" s="102"/>
      <c r="AK456" s="102"/>
      <c r="AL456" s="102"/>
      <c r="AM456" s="102"/>
      <c r="AN456" s="102"/>
      <c r="AO456" s="102"/>
      <c r="AP456" s="102"/>
    </row>
    <row r="457" spans="1:42">
      <c r="A457" s="89">
        <v>456</v>
      </c>
      <c r="B457" s="90">
        <v>50031362</v>
      </c>
      <c r="C457" s="91" t="s">
        <v>371</v>
      </c>
      <c r="D457" s="58" t="s">
        <v>845</v>
      </c>
      <c r="E457" s="59">
        <v>25635</v>
      </c>
      <c r="F457" s="92">
        <f ca="1">(TODAY()-Data_Assessment[[#This Row],[BIRTH DATE]])/365.25</f>
        <v>52.035592060232716</v>
      </c>
      <c r="G457" s="62" t="s">
        <v>895</v>
      </c>
      <c r="H457" s="63" t="s">
        <v>1210</v>
      </c>
      <c r="I457" s="106">
        <v>1</v>
      </c>
      <c r="J457" s="64" t="s">
        <v>1299</v>
      </c>
      <c r="K457" s="143">
        <v>2</v>
      </c>
      <c r="L457" s="58"/>
      <c r="M457" s="58"/>
      <c r="N457" s="102"/>
      <c r="O457" s="102"/>
      <c r="P457" s="102"/>
      <c r="Q457" s="102"/>
      <c r="R457" s="102"/>
      <c r="S457" s="102"/>
      <c r="T457" s="102"/>
      <c r="U457" s="102"/>
      <c r="V457" s="102"/>
      <c r="W457" s="102"/>
      <c r="X457" s="102"/>
      <c r="Y457" s="102"/>
      <c r="Z457" s="102"/>
      <c r="AA457" s="102"/>
      <c r="AB457" s="102"/>
      <c r="AC457" s="102"/>
      <c r="AD457" s="102"/>
      <c r="AE457" s="102"/>
      <c r="AF457" s="102"/>
      <c r="AG457" s="102"/>
      <c r="AH457" s="102"/>
      <c r="AI457" s="102"/>
      <c r="AJ457" s="102"/>
      <c r="AK457" s="102"/>
      <c r="AL457" s="102"/>
      <c r="AM457" s="102"/>
      <c r="AN457" s="102"/>
      <c r="AO457" s="102"/>
      <c r="AP457" s="102"/>
    </row>
    <row r="458" spans="1:42">
      <c r="A458" s="89">
        <v>457</v>
      </c>
      <c r="B458" s="90">
        <v>50031079</v>
      </c>
      <c r="C458" s="91" t="s">
        <v>445</v>
      </c>
      <c r="D458" s="58" t="s">
        <v>845</v>
      </c>
      <c r="E458" s="59">
        <v>30294</v>
      </c>
      <c r="F458" s="92">
        <f ca="1">(TODAY()-Data_Assessment[[#This Row],[BIRTH DATE]])/365.25</f>
        <v>39.279945242984255</v>
      </c>
      <c r="G458" s="62" t="s">
        <v>895</v>
      </c>
      <c r="H458" s="63" t="s">
        <v>909</v>
      </c>
      <c r="I458" s="106">
        <v>1</v>
      </c>
      <c r="J458" s="64" t="s">
        <v>910</v>
      </c>
      <c r="K458" s="143">
        <v>3</v>
      </c>
      <c r="L458" s="58"/>
      <c r="M458" s="58"/>
      <c r="N458" s="102"/>
      <c r="O458" s="102"/>
      <c r="P458" s="102"/>
      <c r="Q458" s="102"/>
      <c r="R458" s="102"/>
      <c r="S458" s="102"/>
      <c r="T458" s="102"/>
      <c r="U458" s="102"/>
      <c r="V458" s="102"/>
      <c r="W458" s="102"/>
      <c r="X458" s="102"/>
      <c r="Y458" s="102"/>
      <c r="Z458" s="102"/>
      <c r="AA458" s="102"/>
      <c r="AB458" s="102"/>
      <c r="AC458" s="102"/>
      <c r="AD458" s="102"/>
      <c r="AE458" s="102"/>
      <c r="AF458" s="102"/>
      <c r="AG458" s="102"/>
      <c r="AH458" s="102"/>
      <c r="AI458" s="102"/>
      <c r="AJ458" s="102"/>
      <c r="AK458" s="102"/>
      <c r="AL458" s="102"/>
      <c r="AM458" s="102"/>
      <c r="AN458" s="102"/>
      <c r="AO458" s="102"/>
      <c r="AP458" s="102"/>
    </row>
    <row r="459" spans="1:42">
      <c r="A459" s="89">
        <v>458</v>
      </c>
      <c r="B459" s="90">
        <v>50122093</v>
      </c>
      <c r="C459" s="91" t="s">
        <v>447</v>
      </c>
      <c r="D459" s="58" t="s">
        <v>845</v>
      </c>
      <c r="E459" s="59">
        <v>34712</v>
      </c>
      <c r="F459" s="92">
        <f ca="1">(TODAY()-Data_Assessment[[#This Row],[BIRTH DATE]])/365.25</f>
        <v>27.184120465434635</v>
      </c>
      <c r="G459" s="62" t="s">
        <v>895</v>
      </c>
      <c r="H459" s="63" t="s">
        <v>909</v>
      </c>
      <c r="I459" s="106">
        <v>1</v>
      </c>
      <c r="J459" s="64" t="s">
        <v>910</v>
      </c>
      <c r="K459" s="143">
        <v>2</v>
      </c>
      <c r="L459" s="58"/>
      <c r="M459" s="58"/>
      <c r="N459" s="102"/>
      <c r="O459" s="102"/>
      <c r="P459" s="102"/>
      <c r="Q459" s="102"/>
      <c r="R459" s="102"/>
      <c r="S459" s="102"/>
      <c r="T459" s="102"/>
      <c r="U459" s="102"/>
      <c r="V459" s="102"/>
      <c r="W459" s="102"/>
      <c r="X459" s="102"/>
      <c r="Y459" s="102"/>
      <c r="Z459" s="102"/>
      <c r="AA459" s="102"/>
      <c r="AB459" s="102"/>
      <c r="AC459" s="102"/>
      <c r="AD459" s="102"/>
      <c r="AE459" s="102"/>
      <c r="AF459" s="102"/>
      <c r="AG459" s="102"/>
      <c r="AH459" s="102"/>
      <c r="AI459" s="102"/>
      <c r="AJ459" s="102"/>
      <c r="AK459" s="102"/>
      <c r="AL459" s="102"/>
      <c r="AM459" s="102"/>
      <c r="AN459" s="102"/>
      <c r="AO459" s="102"/>
      <c r="AP459" s="102"/>
    </row>
    <row r="460" spans="1:42">
      <c r="A460" s="89">
        <v>459</v>
      </c>
      <c r="B460" s="90">
        <v>50030750</v>
      </c>
      <c r="C460" s="91" t="s">
        <v>449</v>
      </c>
      <c r="D460" s="58" t="s">
        <v>845</v>
      </c>
      <c r="E460" s="59">
        <v>24965</v>
      </c>
      <c r="F460" s="92">
        <f ca="1">(TODAY()-Data_Assessment[[#This Row],[BIRTH DATE]])/365.25</f>
        <v>53.869952087611225</v>
      </c>
      <c r="G460" s="62" t="s">
        <v>895</v>
      </c>
      <c r="H460" s="63" t="s">
        <v>909</v>
      </c>
      <c r="I460" s="106">
        <v>1</v>
      </c>
      <c r="J460" s="64" t="s">
        <v>910</v>
      </c>
      <c r="K460" s="143">
        <v>1</v>
      </c>
      <c r="L460" s="58"/>
      <c r="M460" s="58"/>
      <c r="N460" s="102"/>
      <c r="O460" s="102"/>
      <c r="P460" s="102"/>
      <c r="Q460" s="102"/>
      <c r="R460" s="102"/>
      <c r="S460" s="102"/>
      <c r="T460" s="102"/>
      <c r="U460" s="102"/>
      <c r="V460" s="102"/>
      <c r="W460" s="102"/>
      <c r="X460" s="102"/>
      <c r="Y460" s="102"/>
      <c r="Z460" s="102"/>
      <c r="AA460" s="102"/>
      <c r="AB460" s="102"/>
      <c r="AC460" s="102"/>
      <c r="AD460" s="102"/>
      <c r="AE460" s="102"/>
      <c r="AF460" s="102"/>
      <c r="AG460" s="102"/>
      <c r="AH460" s="102"/>
      <c r="AI460" s="102"/>
      <c r="AJ460" s="102"/>
      <c r="AK460" s="102"/>
      <c r="AL460" s="102"/>
      <c r="AM460" s="102"/>
      <c r="AN460" s="102"/>
      <c r="AO460" s="102"/>
      <c r="AP460" s="102"/>
    </row>
    <row r="461" spans="1:42">
      <c r="A461" s="89">
        <v>460</v>
      </c>
      <c r="B461" s="90">
        <v>50031216</v>
      </c>
      <c r="C461" s="91" t="s">
        <v>374</v>
      </c>
      <c r="D461" s="58" t="s">
        <v>845</v>
      </c>
      <c r="E461" s="59">
        <v>29806</v>
      </c>
      <c r="F461" s="92">
        <f ca="1">(TODAY()-Data_Assessment[[#This Row],[BIRTH DATE]])/365.25</f>
        <v>40.616016427104725</v>
      </c>
      <c r="G461" s="62" t="s">
        <v>895</v>
      </c>
      <c r="H461" s="63" t="s">
        <v>899</v>
      </c>
      <c r="I461" s="106">
        <v>1</v>
      </c>
      <c r="J461" s="64" t="s">
        <v>1300</v>
      </c>
      <c r="K461" s="143">
        <v>3</v>
      </c>
      <c r="L461" s="58"/>
      <c r="M461" s="58"/>
      <c r="N461" s="102"/>
      <c r="O461" s="102"/>
      <c r="P461" s="102"/>
      <c r="Q461" s="102"/>
      <c r="R461" s="102"/>
      <c r="S461" s="102"/>
      <c r="T461" s="102"/>
      <c r="U461" s="102"/>
      <c r="V461" s="102"/>
      <c r="W461" s="102"/>
      <c r="X461" s="102"/>
      <c r="Y461" s="102"/>
      <c r="Z461" s="102"/>
      <c r="AA461" s="102"/>
      <c r="AB461" s="102"/>
      <c r="AC461" s="102"/>
      <c r="AD461" s="102"/>
      <c r="AE461" s="102"/>
      <c r="AF461" s="102"/>
      <c r="AG461" s="102"/>
      <c r="AH461" s="102"/>
      <c r="AI461" s="102"/>
      <c r="AJ461" s="102"/>
      <c r="AK461" s="102"/>
      <c r="AL461" s="102"/>
      <c r="AM461" s="102"/>
      <c r="AN461" s="102"/>
      <c r="AO461" s="102"/>
      <c r="AP461" s="102"/>
    </row>
    <row r="462" spans="1:42">
      <c r="A462" s="89">
        <v>461</v>
      </c>
      <c r="B462" s="90">
        <v>50030719</v>
      </c>
      <c r="C462" s="91" t="s">
        <v>453</v>
      </c>
      <c r="D462" s="58" t="s">
        <v>845</v>
      </c>
      <c r="E462" s="59">
        <v>24952</v>
      </c>
      <c r="F462" s="92">
        <f ca="1">(TODAY()-Data_Assessment[[#This Row],[BIRTH DATE]])/365.25</f>
        <v>53.905544147843941</v>
      </c>
      <c r="G462" s="62" t="s">
        <v>895</v>
      </c>
      <c r="H462" s="63" t="s">
        <v>912</v>
      </c>
      <c r="I462" s="106">
        <v>1</v>
      </c>
      <c r="J462" s="64" t="s">
        <v>913</v>
      </c>
      <c r="K462" s="143">
        <v>2</v>
      </c>
      <c r="L462" s="58"/>
      <c r="M462" s="58"/>
      <c r="N462" s="102"/>
      <c r="O462" s="102"/>
      <c r="P462" s="102"/>
      <c r="Q462" s="102"/>
      <c r="R462" s="102"/>
      <c r="S462" s="102"/>
      <c r="T462" s="102"/>
      <c r="U462" s="102"/>
      <c r="V462" s="102"/>
      <c r="W462" s="102"/>
      <c r="X462" s="102"/>
      <c r="Y462" s="102"/>
      <c r="Z462" s="102"/>
      <c r="AA462" s="102"/>
      <c r="AB462" s="102"/>
      <c r="AC462" s="102"/>
      <c r="AD462" s="102"/>
      <c r="AE462" s="102"/>
      <c r="AF462" s="102"/>
      <c r="AG462" s="102"/>
      <c r="AH462" s="102"/>
      <c r="AI462" s="102"/>
      <c r="AJ462" s="102"/>
      <c r="AK462" s="102"/>
      <c r="AL462" s="102"/>
      <c r="AM462" s="102"/>
      <c r="AN462" s="102"/>
      <c r="AO462" s="102"/>
      <c r="AP462" s="102"/>
    </row>
    <row r="463" spans="1:42">
      <c r="A463" s="89">
        <v>462</v>
      </c>
      <c r="B463" s="90">
        <v>50031037</v>
      </c>
      <c r="C463" s="91" t="s">
        <v>375</v>
      </c>
      <c r="D463" s="58" t="s">
        <v>845</v>
      </c>
      <c r="E463" s="59">
        <v>24486</v>
      </c>
      <c r="F463" s="92">
        <f ca="1">(TODAY()-Data_Assessment[[#This Row],[BIRTH DATE]])/365.25</f>
        <v>55.181382614647504</v>
      </c>
      <c r="G463" s="62" t="s">
        <v>895</v>
      </c>
      <c r="H463" s="63" t="s">
        <v>896</v>
      </c>
      <c r="I463" s="106">
        <v>1</v>
      </c>
      <c r="J463" s="64" t="s">
        <v>1301</v>
      </c>
      <c r="K463" s="143">
        <v>4</v>
      </c>
      <c r="L463" s="58"/>
      <c r="M463" s="58"/>
      <c r="N463" s="102"/>
      <c r="O463" s="102"/>
      <c r="P463" s="102"/>
      <c r="Q463" s="102"/>
      <c r="R463" s="102"/>
      <c r="S463" s="102"/>
      <c r="T463" s="102"/>
      <c r="U463" s="102"/>
      <c r="V463" s="102"/>
      <c r="W463" s="102"/>
      <c r="X463" s="102"/>
      <c r="Y463" s="102"/>
      <c r="Z463" s="102"/>
      <c r="AA463" s="102"/>
      <c r="AB463" s="102"/>
      <c r="AC463" s="102"/>
      <c r="AD463" s="102"/>
      <c r="AE463" s="102"/>
      <c r="AF463" s="102"/>
      <c r="AG463" s="102"/>
      <c r="AH463" s="102"/>
      <c r="AI463" s="102"/>
      <c r="AJ463" s="102"/>
      <c r="AK463" s="102"/>
      <c r="AL463" s="102"/>
      <c r="AM463" s="102"/>
      <c r="AN463" s="102"/>
      <c r="AO463" s="102"/>
      <c r="AP463" s="102"/>
    </row>
    <row r="464" spans="1:42">
      <c r="A464" s="89">
        <v>463</v>
      </c>
      <c r="B464" s="90">
        <v>50035139</v>
      </c>
      <c r="C464" s="91" t="s">
        <v>455</v>
      </c>
      <c r="D464" s="58" t="s">
        <v>845</v>
      </c>
      <c r="E464" s="59">
        <v>32545</v>
      </c>
      <c r="F464" s="92">
        <f ca="1">(TODAY()-Data_Assessment[[#This Row],[BIRTH DATE]])/365.25</f>
        <v>33.117043121149898</v>
      </c>
      <c r="G464" s="62" t="s">
        <v>895</v>
      </c>
      <c r="H464" s="63" t="s">
        <v>912</v>
      </c>
      <c r="I464" s="106">
        <v>1</v>
      </c>
      <c r="J464" s="64" t="s">
        <v>913</v>
      </c>
      <c r="K464" s="143">
        <v>4</v>
      </c>
      <c r="L464" s="58"/>
      <c r="M464" s="58"/>
      <c r="N464" s="102"/>
      <c r="O464" s="102"/>
      <c r="P464" s="102"/>
      <c r="Q464" s="102"/>
      <c r="R464" s="102"/>
      <c r="S464" s="102"/>
      <c r="T464" s="102"/>
      <c r="U464" s="102"/>
      <c r="V464" s="102"/>
      <c r="W464" s="102"/>
      <c r="X464" s="102"/>
      <c r="Y464" s="102"/>
      <c r="Z464" s="102"/>
      <c r="AA464" s="102"/>
      <c r="AB464" s="102"/>
      <c r="AC464" s="102"/>
      <c r="AD464" s="102"/>
      <c r="AE464" s="102"/>
      <c r="AF464" s="102"/>
      <c r="AG464" s="102"/>
      <c r="AH464" s="102"/>
      <c r="AI464" s="102"/>
      <c r="AJ464" s="102"/>
      <c r="AK464" s="102"/>
      <c r="AL464" s="102"/>
      <c r="AM464" s="102"/>
      <c r="AN464" s="102"/>
      <c r="AO464" s="102"/>
      <c r="AP464" s="102"/>
    </row>
    <row r="465" spans="1:42">
      <c r="A465" s="89">
        <v>464</v>
      </c>
      <c r="B465" s="90">
        <v>50030769</v>
      </c>
      <c r="C465" s="91" t="s">
        <v>456</v>
      </c>
      <c r="D465" s="58" t="s">
        <v>845</v>
      </c>
      <c r="E465" s="59">
        <v>25444</v>
      </c>
      <c r="F465" s="92">
        <f ca="1">(TODAY()-Data_Assessment[[#This Row],[BIRTH DATE]])/365.25</f>
        <v>52.558521560574945</v>
      </c>
      <c r="G465" s="62" t="s">
        <v>895</v>
      </c>
      <c r="H465" s="63" t="s">
        <v>912</v>
      </c>
      <c r="I465" s="106">
        <v>1</v>
      </c>
      <c r="J465" s="64" t="s">
        <v>913</v>
      </c>
      <c r="K465" s="143">
        <v>2</v>
      </c>
      <c r="L465" s="58"/>
      <c r="M465" s="58"/>
      <c r="N465" s="102"/>
      <c r="O465" s="102"/>
      <c r="P465" s="102"/>
      <c r="Q465" s="102"/>
      <c r="R465" s="102"/>
      <c r="S465" s="102"/>
      <c r="T465" s="102"/>
      <c r="U465" s="102"/>
      <c r="V465" s="102"/>
      <c r="W465" s="102"/>
      <c r="X465" s="102"/>
      <c r="Y465" s="102"/>
      <c r="Z465" s="102"/>
      <c r="AA465" s="102"/>
      <c r="AB465" s="102"/>
      <c r="AC465" s="102"/>
      <c r="AD465" s="102"/>
      <c r="AE465" s="102"/>
      <c r="AF465" s="102"/>
      <c r="AG465" s="102"/>
      <c r="AH465" s="102"/>
      <c r="AI465" s="102"/>
      <c r="AJ465" s="102"/>
      <c r="AK465" s="102"/>
      <c r="AL465" s="102"/>
      <c r="AM465" s="102"/>
      <c r="AN465" s="102"/>
      <c r="AO465" s="102"/>
      <c r="AP465" s="102"/>
    </row>
    <row r="466" spans="1:42">
      <c r="A466" s="89">
        <v>465</v>
      </c>
      <c r="B466" s="90">
        <v>50030668</v>
      </c>
      <c r="C466" s="91" t="s">
        <v>377</v>
      </c>
      <c r="D466" s="58" t="s">
        <v>845</v>
      </c>
      <c r="E466" s="59">
        <v>29355</v>
      </c>
      <c r="F466" s="92">
        <f ca="1">(TODAY()-Data_Assessment[[#This Row],[BIRTH DATE]])/365.25</f>
        <v>41.850787132101303</v>
      </c>
      <c r="G466" s="62" t="s">
        <v>895</v>
      </c>
      <c r="H466" s="63" t="s">
        <v>896</v>
      </c>
      <c r="I466" s="106">
        <v>1</v>
      </c>
      <c r="J466" s="64" t="s">
        <v>1302</v>
      </c>
      <c r="K466" s="143">
        <v>3</v>
      </c>
      <c r="L466" s="58"/>
      <c r="M466" s="58"/>
      <c r="N466" s="102"/>
      <c r="O466" s="102"/>
      <c r="P466" s="102"/>
      <c r="Q466" s="102"/>
      <c r="R466" s="102"/>
      <c r="S466" s="102"/>
      <c r="T466" s="102"/>
      <c r="U466" s="102"/>
      <c r="V466" s="102"/>
      <c r="W466" s="102"/>
      <c r="X466" s="102"/>
      <c r="Y466" s="102"/>
      <c r="Z466" s="102"/>
      <c r="AA466" s="102"/>
      <c r="AB466" s="102"/>
      <c r="AC466" s="102"/>
      <c r="AD466" s="102"/>
      <c r="AE466" s="102"/>
      <c r="AF466" s="102"/>
      <c r="AG466" s="102"/>
      <c r="AH466" s="102"/>
      <c r="AI466" s="102"/>
      <c r="AJ466" s="102"/>
      <c r="AK466" s="102"/>
      <c r="AL466" s="102"/>
      <c r="AM466" s="102"/>
      <c r="AN466" s="102"/>
      <c r="AO466" s="102"/>
      <c r="AP466" s="102"/>
    </row>
    <row r="467" spans="1:42">
      <c r="A467" s="89">
        <v>466</v>
      </c>
      <c r="B467" s="90">
        <v>50049461</v>
      </c>
      <c r="C467" s="91" t="s">
        <v>457</v>
      </c>
      <c r="D467" s="58" t="s">
        <v>845</v>
      </c>
      <c r="E467" s="59">
        <v>32427</v>
      </c>
      <c r="F467" s="92">
        <f ca="1">(TODAY()-Data_Assessment[[#This Row],[BIRTH DATE]])/365.25</f>
        <v>33.440109514031484</v>
      </c>
      <c r="G467" s="62" t="s">
        <v>895</v>
      </c>
      <c r="H467" s="63" t="s">
        <v>912</v>
      </c>
      <c r="I467" s="106">
        <v>1</v>
      </c>
      <c r="J467" s="64" t="s">
        <v>913</v>
      </c>
      <c r="K467" s="143">
        <v>3</v>
      </c>
      <c r="L467" s="58"/>
      <c r="M467" s="58"/>
      <c r="N467" s="102"/>
      <c r="O467" s="102"/>
      <c r="P467" s="102"/>
      <c r="Q467" s="102"/>
      <c r="R467" s="102"/>
      <c r="S467" s="102"/>
      <c r="T467" s="102"/>
      <c r="U467" s="102"/>
      <c r="V467" s="102"/>
      <c r="W467" s="102"/>
      <c r="X467" s="102"/>
      <c r="Y467" s="102"/>
      <c r="Z467" s="102"/>
      <c r="AA467" s="102"/>
      <c r="AB467" s="102"/>
      <c r="AC467" s="102"/>
      <c r="AD467" s="102"/>
      <c r="AE467" s="102"/>
      <c r="AF467" s="102"/>
      <c r="AG467" s="102"/>
      <c r="AH467" s="102"/>
      <c r="AI467" s="102"/>
      <c r="AJ467" s="102"/>
      <c r="AK467" s="102"/>
      <c r="AL467" s="102"/>
      <c r="AM467" s="102"/>
      <c r="AN467" s="102"/>
      <c r="AO467" s="102"/>
      <c r="AP467" s="102"/>
    </row>
    <row r="468" spans="1:42">
      <c r="A468" s="89">
        <v>467</v>
      </c>
      <c r="B468" s="90">
        <v>50031342</v>
      </c>
      <c r="C468" s="91" t="s">
        <v>458</v>
      </c>
      <c r="D468" s="58" t="s">
        <v>845</v>
      </c>
      <c r="E468" s="59">
        <v>30170</v>
      </c>
      <c r="F468" s="92">
        <f ca="1">(TODAY()-Data_Assessment[[#This Row],[BIRTH DATE]])/365.25</f>
        <v>39.619438740588635</v>
      </c>
      <c r="G468" s="62" t="s">
        <v>895</v>
      </c>
      <c r="H468" s="63" t="s">
        <v>912</v>
      </c>
      <c r="I468" s="106">
        <v>1</v>
      </c>
      <c r="J468" s="64" t="s">
        <v>913</v>
      </c>
      <c r="K468" s="143">
        <v>3</v>
      </c>
      <c r="L468" s="58"/>
      <c r="M468" s="58"/>
      <c r="N468" s="102"/>
      <c r="O468" s="102"/>
      <c r="P468" s="102"/>
      <c r="Q468" s="102"/>
      <c r="R468" s="102"/>
      <c r="S468" s="102"/>
      <c r="T468" s="102"/>
      <c r="U468" s="102"/>
      <c r="V468" s="102"/>
      <c r="W468" s="102"/>
      <c r="X468" s="102"/>
      <c r="Y468" s="102"/>
      <c r="Z468" s="102"/>
      <c r="AA468" s="102"/>
      <c r="AB468" s="102"/>
      <c r="AC468" s="102"/>
      <c r="AD468" s="102"/>
      <c r="AE468" s="102"/>
      <c r="AF468" s="102"/>
      <c r="AG468" s="102"/>
      <c r="AH468" s="102"/>
      <c r="AI468" s="102"/>
      <c r="AJ468" s="102"/>
      <c r="AK468" s="102"/>
      <c r="AL468" s="102"/>
      <c r="AM468" s="102"/>
      <c r="AN468" s="102"/>
      <c r="AO468" s="102"/>
      <c r="AP468" s="102"/>
    </row>
    <row r="469" spans="1:42">
      <c r="A469" s="89">
        <v>468</v>
      </c>
      <c r="B469" s="90">
        <v>50030775</v>
      </c>
      <c r="C469" s="91" t="s">
        <v>464</v>
      </c>
      <c r="D469" s="58" t="s">
        <v>845</v>
      </c>
      <c r="E469" s="59">
        <v>24703</v>
      </c>
      <c r="F469" s="92">
        <f ca="1">(TODAY()-Data_Assessment[[#This Row],[BIRTH DATE]])/365.25</f>
        <v>54.587268993839835</v>
      </c>
      <c r="G469" s="62" t="s">
        <v>895</v>
      </c>
      <c r="H469" s="63" t="s">
        <v>915</v>
      </c>
      <c r="I469" s="106">
        <v>1</v>
      </c>
      <c r="J469" s="64" t="s">
        <v>916</v>
      </c>
      <c r="K469" s="143">
        <v>3</v>
      </c>
      <c r="L469" s="58"/>
      <c r="M469" s="58"/>
      <c r="N469" s="102"/>
      <c r="O469" s="102"/>
      <c r="P469" s="102"/>
      <c r="Q469" s="102"/>
      <c r="R469" s="102"/>
      <c r="S469" s="102"/>
      <c r="T469" s="102"/>
      <c r="U469" s="102"/>
      <c r="V469" s="102"/>
      <c r="W469" s="102"/>
      <c r="X469" s="102"/>
      <c r="Y469" s="102"/>
      <c r="Z469" s="102"/>
      <c r="AA469" s="102"/>
      <c r="AB469" s="102"/>
      <c r="AC469" s="102"/>
      <c r="AD469" s="102"/>
      <c r="AE469" s="102"/>
      <c r="AF469" s="102"/>
      <c r="AG469" s="102"/>
      <c r="AH469" s="102"/>
      <c r="AI469" s="102"/>
      <c r="AJ469" s="102"/>
      <c r="AK469" s="102"/>
      <c r="AL469" s="102"/>
      <c r="AM469" s="102"/>
      <c r="AN469" s="102"/>
      <c r="AO469" s="102"/>
      <c r="AP469" s="102"/>
    </row>
    <row r="470" spans="1:42">
      <c r="A470" s="89">
        <v>469</v>
      </c>
      <c r="B470" s="90">
        <v>50102544</v>
      </c>
      <c r="C470" s="91" t="s">
        <v>468</v>
      </c>
      <c r="D470" s="58" t="s">
        <v>845</v>
      </c>
      <c r="E470" s="59">
        <v>34369</v>
      </c>
      <c r="F470" s="92">
        <f ca="1">(TODAY()-Data_Assessment[[#This Row],[BIRTH DATE]])/365.25</f>
        <v>28.123203285420946</v>
      </c>
      <c r="G470" s="62" t="s">
        <v>895</v>
      </c>
      <c r="H470" s="63" t="s">
        <v>915</v>
      </c>
      <c r="I470" s="106">
        <v>1</v>
      </c>
      <c r="J470" s="64" t="s">
        <v>916</v>
      </c>
      <c r="K470" s="143">
        <v>2</v>
      </c>
      <c r="L470" s="58"/>
      <c r="M470" s="58"/>
      <c r="N470" s="102"/>
      <c r="O470" s="102"/>
      <c r="P470" s="102"/>
      <c r="Q470" s="102"/>
      <c r="R470" s="102"/>
      <c r="S470" s="102"/>
      <c r="T470" s="102"/>
      <c r="U470" s="102"/>
      <c r="V470" s="102"/>
      <c r="W470" s="102"/>
      <c r="X470" s="102"/>
      <c r="Y470" s="102"/>
      <c r="Z470" s="102"/>
      <c r="AA470" s="102"/>
      <c r="AB470" s="102"/>
      <c r="AC470" s="102"/>
      <c r="AD470" s="102"/>
      <c r="AE470" s="102"/>
      <c r="AF470" s="102"/>
      <c r="AG470" s="102"/>
      <c r="AH470" s="102"/>
      <c r="AI470" s="102"/>
      <c r="AJ470" s="102"/>
      <c r="AK470" s="102"/>
      <c r="AL470" s="102"/>
      <c r="AM470" s="102"/>
      <c r="AN470" s="102"/>
      <c r="AO470" s="102"/>
      <c r="AP470" s="102"/>
    </row>
    <row r="471" spans="1:42">
      <c r="A471" s="89">
        <v>470</v>
      </c>
      <c r="B471" s="90">
        <v>50102543</v>
      </c>
      <c r="C471" s="91" t="s">
        <v>469</v>
      </c>
      <c r="D471" s="58" t="s">
        <v>845</v>
      </c>
      <c r="E471" s="59">
        <v>34288</v>
      </c>
      <c r="F471" s="92">
        <f ca="1">(TODAY()-Data_Assessment[[#This Row],[BIRTH DATE]])/365.25</f>
        <v>28.344969199178646</v>
      </c>
      <c r="G471" s="62" t="s">
        <v>895</v>
      </c>
      <c r="H471" s="63" t="s">
        <v>915</v>
      </c>
      <c r="I471" s="106">
        <v>1</v>
      </c>
      <c r="J471" s="64" t="s">
        <v>916</v>
      </c>
      <c r="K471" s="143">
        <v>2</v>
      </c>
      <c r="L471" s="58"/>
      <c r="M471" s="58"/>
      <c r="N471" s="102"/>
      <c r="O471" s="102"/>
      <c r="P471" s="102"/>
      <c r="Q471" s="102"/>
      <c r="R471" s="102"/>
      <c r="S471" s="102"/>
      <c r="T471" s="102"/>
      <c r="U471" s="102"/>
      <c r="V471" s="102"/>
      <c r="W471" s="102"/>
      <c r="X471" s="102"/>
      <c r="Y471" s="102"/>
      <c r="Z471" s="102"/>
      <c r="AA471" s="102"/>
      <c r="AB471" s="102"/>
      <c r="AC471" s="102"/>
      <c r="AD471" s="102"/>
      <c r="AE471" s="102"/>
      <c r="AF471" s="102"/>
      <c r="AG471" s="102"/>
      <c r="AH471" s="102"/>
      <c r="AI471" s="102"/>
      <c r="AJ471" s="102"/>
      <c r="AK471" s="102"/>
      <c r="AL471" s="102"/>
      <c r="AM471" s="102"/>
      <c r="AN471" s="102"/>
      <c r="AO471" s="102"/>
      <c r="AP471" s="102"/>
    </row>
    <row r="472" spans="1:42">
      <c r="A472" s="89">
        <v>471</v>
      </c>
      <c r="B472" s="90">
        <v>50030638</v>
      </c>
      <c r="C472" s="91" t="s">
        <v>492</v>
      </c>
      <c r="D472" s="58" t="s">
        <v>845</v>
      </c>
      <c r="E472" s="59">
        <v>25626</v>
      </c>
      <c r="F472" s="92">
        <f ca="1">(TODAY()-Data_Assessment[[#This Row],[BIRTH DATE]])/365.25</f>
        <v>52.060232717316907</v>
      </c>
      <c r="G472" s="62" t="s">
        <v>926</v>
      </c>
      <c r="H472" s="63" t="s">
        <v>927</v>
      </c>
      <c r="I472" s="106">
        <v>4</v>
      </c>
      <c r="J472" s="64" t="s">
        <v>1303</v>
      </c>
      <c r="K472" s="143">
        <v>2</v>
      </c>
      <c r="L472" s="58"/>
      <c r="M472" s="58"/>
      <c r="N472" s="102"/>
      <c r="O472" s="102"/>
      <c r="P472" s="102"/>
      <c r="Q472" s="102"/>
      <c r="R472" s="102"/>
      <c r="S472" s="102"/>
      <c r="T472" s="102"/>
      <c r="U472" s="102"/>
      <c r="V472" s="102"/>
      <c r="W472" s="102"/>
      <c r="X472" s="102"/>
      <c r="Y472" s="102"/>
      <c r="Z472" s="102"/>
      <c r="AA472" s="102"/>
      <c r="AB472" s="102"/>
      <c r="AC472" s="102"/>
      <c r="AD472" s="102"/>
      <c r="AE472" s="102"/>
      <c r="AF472" s="102"/>
      <c r="AG472" s="102"/>
      <c r="AH472" s="102"/>
      <c r="AI472" s="102"/>
      <c r="AJ472" s="102"/>
      <c r="AK472" s="102"/>
      <c r="AL472" s="102"/>
      <c r="AM472" s="102"/>
      <c r="AN472" s="102"/>
      <c r="AO472" s="102"/>
      <c r="AP472" s="102"/>
    </row>
    <row r="473" spans="1:42">
      <c r="A473" s="89">
        <v>472</v>
      </c>
      <c r="B473" s="90">
        <v>50096043</v>
      </c>
      <c r="C473" s="91" t="s">
        <v>383</v>
      </c>
      <c r="D473" s="58" t="s">
        <v>845</v>
      </c>
      <c r="E473" s="59">
        <v>33235</v>
      </c>
      <c r="F473" s="92">
        <f ca="1">(TODAY()-Data_Assessment[[#This Row],[BIRTH DATE]])/365.25</f>
        <v>31.227926078028748</v>
      </c>
      <c r="G473" s="62" t="s">
        <v>895</v>
      </c>
      <c r="H473" s="63" t="s">
        <v>1210</v>
      </c>
      <c r="I473" s="106">
        <v>1</v>
      </c>
      <c r="J473" s="64" t="s">
        <v>1304</v>
      </c>
      <c r="K473" s="143">
        <v>3</v>
      </c>
      <c r="L473" s="58"/>
      <c r="M473" s="58"/>
      <c r="N473" s="102"/>
      <c r="O473" s="102"/>
      <c r="P473" s="102"/>
      <c r="Q473" s="102"/>
      <c r="R473" s="102"/>
      <c r="S473" s="102"/>
      <c r="T473" s="102"/>
      <c r="U473" s="102"/>
      <c r="V473" s="102"/>
      <c r="W473" s="102"/>
      <c r="X473" s="102"/>
      <c r="Y473" s="102"/>
      <c r="Z473" s="102"/>
      <c r="AA473" s="102"/>
      <c r="AB473" s="102"/>
      <c r="AC473" s="102"/>
      <c r="AD473" s="102"/>
      <c r="AE473" s="102"/>
      <c r="AF473" s="102"/>
      <c r="AG473" s="102"/>
      <c r="AH473" s="102"/>
      <c r="AI473" s="102"/>
      <c r="AJ473" s="102"/>
      <c r="AK473" s="102"/>
      <c r="AL473" s="102"/>
      <c r="AM473" s="102"/>
      <c r="AN473" s="102"/>
      <c r="AO473" s="102"/>
      <c r="AP473" s="102"/>
    </row>
    <row r="474" spans="1:42">
      <c r="A474" s="89">
        <v>473</v>
      </c>
      <c r="B474" s="90">
        <v>50030745</v>
      </c>
      <c r="C474" s="91" t="s">
        <v>517</v>
      </c>
      <c r="D474" s="58" t="s">
        <v>845</v>
      </c>
      <c r="E474" s="59">
        <v>26157</v>
      </c>
      <c r="F474" s="92">
        <f ca="1">(TODAY()-Data_Assessment[[#This Row],[BIRTH DATE]])/365.25</f>
        <v>50.606433949349757</v>
      </c>
      <c r="G474" s="62" t="s">
        <v>941</v>
      </c>
      <c r="H474" s="63" t="s">
        <v>942</v>
      </c>
      <c r="I474" s="106">
        <v>2</v>
      </c>
      <c r="J474" s="64" t="s">
        <v>1305</v>
      </c>
      <c r="K474" s="143">
        <v>3</v>
      </c>
      <c r="L474" s="58"/>
      <c r="M474" s="58"/>
      <c r="N474" s="102"/>
      <c r="O474" s="102"/>
      <c r="P474" s="102"/>
      <c r="Q474" s="102"/>
      <c r="R474" s="102"/>
      <c r="S474" s="102"/>
      <c r="T474" s="102"/>
      <c r="U474" s="102"/>
      <c r="V474" s="102"/>
      <c r="W474" s="102"/>
      <c r="X474" s="102"/>
      <c r="Y474" s="102"/>
      <c r="Z474" s="102"/>
      <c r="AA474" s="102"/>
      <c r="AB474" s="102"/>
      <c r="AC474" s="102"/>
      <c r="AD474" s="102"/>
      <c r="AE474" s="102"/>
      <c r="AF474" s="102"/>
      <c r="AG474" s="102"/>
      <c r="AH474" s="102"/>
      <c r="AI474" s="102"/>
      <c r="AJ474" s="102"/>
      <c r="AK474" s="102"/>
      <c r="AL474" s="102"/>
      <c r="AM474" s="102"/>
      <c r="AN474" s="102"/>
      <c r="AO474" s="102"/>
      <c r="AP474" s="102"/>
    </row>
    <row r="475" spans="1:42">
      <c r="A475" s="89">
        <v>474</v>
      </c>
      <c r="B475" s="90">
        <v>50031332</v>
      </c>
      <c r="C475" s="91" t="s">
        <v>520</v>
      </c>
      <c r="D475" s="58" t="s">
        <v>845</v>
      </c>
      <c r="E475" s="59">
        <v>26403</v>
      </c>
      <c r="F475" s="92">
        <f ca="1">(TODAY()-Data_Assessment[[#This Row],[BIRTH DATE]])/365.25</f>
        <v>49.932922655715267</v>
      </c>
      <c r="G475" s="62" t="s">
        <v>941</v>
      </c>
      <c r="H475" s="63" t="s">
        <v>942</v>
      </c>
      <c r="I475" s="106">
        <v>2</v>
      </c>
      <c r="J475" s="64" t="s">
        <v>1306</v>
      </c>
      <c r="K475" s="143">
        <v>3</v>
      </c>
      <c r="L475" s="58"/>
      <c r="M475" s="58"/>
      <c r="N475" s="102"/>
      <c r="O475" s="102"/>
      <c r="P475" s="102"/>
      <c r="Q475" s="102"/>
      <c r="R475" s="102"/>
      <c r="S475" s="102"/>
      <c r="T475" s="102"/>
      <c r="U475" s="102"/>
      <c r="V475" s="102"/>
      <c r="W475" s="102"/>
      <c r="X475" s="102"/>
      <c r="Y475" s="102"/>
      <c r="Z475" s="102"/>
      <c r="AA475" s="102"/>
      <c r="AB475" s="102"/>
      <c r="AC475" s="102"/>
      <c r="AD475" s="102"/>
      <c r="AE475" s="102"/>
      <c r="AF475" s="102"/>
      <c r="AG475" s="102"/>
      <c r="AH475" s="102"/>
      <c r="AI475" s="102"/>
      <c r="AJ475" s="102"/>
      <c r="AK475" s="102"/>
      <c r="AL475" s="102"/>
      <c r="AM475" s="102"/>
      <c r="AN475" s="102"/>
      <c r="AO475" s="102"/>
      <c r="AP475" s="102"/>
    </row>
    <row r="476" spans="1:42">
      <c r="A476" s="89">
        <v>475</v>
      </c>
      <c r="B476" s="90">
        <v>50030760</v>
      </c>
      <c r="C476" s="91" t="s">
        <v>521</v>
      </c>
      <c r="D476" s="58" t="s">
        <v>845</v>
      </c>
      <c r="E476" s="59">
        <v>27639</v>
      </c>
      <c r="F476" s="92">
        <f ca="1">(TODAY()-Data_Assessment[[#This Row],[BIRTH DATE]])/365.25</f>
        <v>46.548939082819984</v>
      </c>
      <c r="G476" s="62" t="s">
        <v>941</v>
      </c>
      <c r="H476" s="63" t="s">
        <v>942</v>
      </c>
      <c r="I476" s="106">
        <v>2</v>
      </c>
      <c r="J476" s="64" t="s">
        <v>1307</v>
      </c>
      <c r="K476" s="143">
        <v>3</v>
      </c>
      <c r="L476" s="58"/>
      <c r="M476" s="58"/>
      <c r="N476" s="102"/>
      <c r="O476" s="102"/>
      <c r="P476" s="102"/>
      <c r="Q476" s="102"/>
      <c r="R476" s="102"/>
      <c r="S476" s="102"/>
      <c r="T476" s="102"/>
      <c r="U476" s="102"/>
      <c r="V476" s="102"/>
      <c r="W476" s="102"/>
      <c r="X476" s="102"/>
      <c r="Y476" s="102"/>
      <c r="Z476" s="102"/>
      <c r="AA476" s="102"/>
      <c r="AB476" s="102"/>
      <c r="AC476" s="102"/>
      <c r="AD476" s="102"/>
      <c r="AE476" s="102"/>
      <c r="AF476" s="102"/>
      <c r="AG476" s="102"/>
      <c r="AH476" s="102"/>
      <c r="AI476" s="102"/>
      <c r="AJ476" s="102"/>
      <c r="AK476" s="102"/>
      <c r="AL476" s="102"/>
      <c r="AM476" s="102"/>
      <c r="AN476" s="102"/>
      <c r="AO476" s="102"/>
      <c r="AP476" s="102"/>
    </row>
    <row r="477" spans="1:42">
      <c r="A477" s="89">
        <v>476</v>
      </c>
      <c r="B477" s="90">
        <v>50030741</v>
      </c>
      <c r="C477" s="91" t="s">
        <v>522</v>
      </c>
      <c r="D477" s="58" t="s">
        <v>845</v>
      </c>
      <c r="E477" s="59">
        <v>24858</v>
      </c>
      <c r="F477" s="92">
        <f ca="1">(TODAY()-Data_Assessment[[#This Row],[BIRTH DATE]])/365.25</f>
        <v>54.162902121834357</v>
      </c>
      <c r="G477" s="62" t="s">
        <v>941</v>
      </c>
      <c r="H477" s="63" t="s">
        <v>942</v>
      </c>
      <c r="I477" s="106">
        <v>2</v>
      </c>
      <c r="J477" s="64" t="s">
        <v>1307</v>
      </c>
      <c r="K477" s="143">
        <v>3</v>
      </c>
      <c r="L477" s="58"/>
      <c r="M477" s="58"/>
      <c r="N477" s="102"/>
      <c r="O477" s="102"/>
      <c r="P477" s="102"/>
      <c r="Q477" s="102"/>
      <c r="R477" s="102"/>
      <c r="S477" s="102"/>
      <c r="T477" s="102"/>
      <c r="U477" s="102"/>
      <c r="V477" s="102"/>
      <c r="W477" s="102"/>
      <c r="X477" s="102"/>
      <c r="Y477" s="102"/>
      <c r="Z477" s="102"/>
      <c r="AA477" s="102"/>
      <c r="AB477" s="102"/>
      <c r="AC477" s="102"/>
      <c r="AD477" s="102"/>
      <c r="AE477" s="102"/>
      <c r="AF477" s="102"/>
      <c r="AG477" s="102"/>
      <c r="AH477" s="102"/>
      <c r="AI477" s="102"/>
      <c r="AJ477" s="102"/>
      <c r="AK477" s="102"/>
      <c r="AL477" s="102"/>
      <c r="AM477" s="102"/>
      <c r="AN477" s="102"/>
      <c r="AO477" s="102"/>
      <c r="AP477" s="102"/>
    </row>
    <row r="478" spans="1:42">
      <c r="A478" s="89">
        <v>477</v>
      </c>
      <c r="B478" s="90">
        <v>50034757</v>
      </c>
      <c r="C478" s="91" t="s">
        <v>387</v>
      </c>
      <c r="D478" s="58" t="s">
        <v>846</v>
      </c>
      <c r="E478" s="59">
        <v>33522</v>
      </c>
      <c r="F478" s="92">
        <f ca="1">(TODAY()-Data_Assessment[[#This Row],[BIRTH DATE]])/365.25</f>
        <v>30.442162902121833</v>
      </c>
      <c r="G478" s="62" t="s">
        <v>895</v>
      </c>
      <c r="H478" s="63" t="s">
        <v>929</v>
      </c>
      <c r="I478" s="106">
        <v>1</v>
      </c>
      <c r="J478" s="64" t="s">
        <v>1308</v>
      </c>
      <c r="K478" s="143">
        <v>4</v>
      </c>
      <c r="L478" s="58"/>
      <c r="M478" s="58"/>
      <c r="N478" s="102"/>
      <c r="O478" s="102"/>
      <c r="P478" s="102"/>
      <c r="Q478" s="102"/>
      <c r="R478" s="102"/>
      <c r="S478" s="102"/>
      <c r="T478" s="102"/>
      <c r="U478" s="102"/>
      <c r="V478" s="102"/>
      <c r="W478" s="102"/>
      <c r="X478" s="102"/>
      <c r="Y478" s="102"/>
      <c r="Z478" s="102"/>
      <c r="AA478" s="102"/>
      <c r="AB478" s="102"/>
      <c r="AC478" s="102"/>
      <c r="AD478" s="102"/>
      <c r="AE478" s="102"/>
      <c r="AF478" s="102"/>
      <c r="AG478" s="102"/>
      <c r="AH478" s="102"/>
      <c r="AI478" s="102"/>
      <c r="AJ478" s="102"/>
      <c r="AK478" s="102"/>
      <c r="AL478" s="102"/>
      <c r="AM478" s="102"/>
      <c r="AN478" s="102"/>
      <c r="AO478" s="102"/>
      <c r="AP478" s="102"/>
    </row>
    <row r="479" spans="1:42">
      <c r="A479" s="89">
        <v>478</v>
      </c>
      <c r="B479" s="90">
        <v>50031337</v>
      </c>
      <c r="C479" s="91" t="s">
        <v>531</v>
      </c>
      <c r="D479" s="58" t="s">
        <v>845</v>
      </c>
      <c r="E479" s="59">
        <v>25816</v>
      </c>
      <c r="F479" s="92">
        <f ca="1">(TODAY()-Data_Assessment[[#This Row],[BIRTH DATE]])/365.25</f>
        <v>51.540041067761805</v>
      </c>
      <c r="G479" s="62" t="s">
        <v>941</v>
      </c>
      <c r="H479" s="63" t="s">
        <v>1238</v>
      </c>
      <c r="I479" s="106">
        <v>2</v>
      </c>
      <c r="J479" s="64" t="s">
        <v>1309</v>
      </c>
      <c r="K479" s="143">
        <v>3</v>
      </c>
      <c r="L479" s="58"/>
      <c r="M479" s="58"/>
      <c r="N479" s="102"/>
      <c r="O479" s="102"/>
      <c r="P479" s="102"/>
      <c r="Q479" s="102"/>
      <c r="R479" s="102"/>
      <c r="S479" s="102"/>
      <c r="T479" s="102"/>
      <c r="U479" s="102"/>
      <c r="V479" s="102"/>
      <c r="W479" s="102"/>
      <c r="X479" s="102"/>
      <c r="Y479" s="102"/>
      <c r="Z479" s="102"/>
      <c r="AA479" s="102"/>
      <c r="AB479" s="102"/>
      <c r="AC479" s="102"/>
      <c r="AD479" s="102"/>
      <c r="AE479" s="102"/>
      <c r="AF479" s="102"/>
      <c r="AG479" s="102"/>
      <c r="AH479" s="102"/>
      <c r="AI479" s="102"/>
      <c r="AJ479" s="102"/>
      <c r="AK479" s="102"/>
      <c r="AL479" s="102"/>
      <c r="AM479" s="102"/>
      <c r="AN479" s="102"/>
      <c r="AO479" s="102"/>
      <c r="AP479" s="102"/>
    </row>
    <row r="480" spans="1:42">
      <c r="A480" s="89">
        <v>479</v>
      </c>
      <c r="B480" s="90">
        <v>50030774</v>
      </c>
      <c r="C480" s="91" t="s">
        <v>388</v>
      </c>
      <c r="D480" s="58" t="s">
        <v>845</v>
      </c>
      <c r="E480" s="59">
        <v>25520</v>
      </c>
      <c r="F480" s="92">
        <f ca="1">(TODAY()-Data_Assessment[[#This Row],[BIRTH DATE]])/365.25</f>
        <v>52.350444900752912</v>
      </c>
      <c r="G480" s="62" t="s">
        <v>895</v>
      </c>
      <c r="H480" s="63" t="s">
        <v>929</v>
      </c>
      <c r="I480" s="106">
        <v>1</v>
      </c>
      <c r="J480" s="64" t="s">
        <v>1213</v>
      </c>
      <c r="K480" s="143">
        <v>3</v>
      </c>
      <c r="L480" s="58"/>
      <c r="M480" s="58"/>
      <c r="N480" s="102"/>
      <c r="O480" s="102"/>
      <c r="P480" s="102"/>
      <c r="Q480" s="102"/>
      <c r="R480" s="102"/>
      <c r="S480" s="102"/>
      <c r="T480" s="102"/>
      <c r="U480" s="102"/>
      <c r="V480" s="102"/>
      <c r="W480" s="102"/>
      <c r="X480" s="102"/>
      <c r="Y480" s="102"/>
      <c r="Z480" s="102"/>
      <c r="AA480" s="102"/>
      <c r="AB480" s="102"/>
      <c r="AC480" s="102"/>
      <c r="AD480" s="102"/>
      <c r="AE480" s="102"/>
      <c r="AF480" s="102"/>
      <c r="AG480" s="102"/>
      <c r="AH480" s="102"/>
      <c r="AI480" s="102"/>
      <c r="AJ480" s="102"/>
      <c r="AK480" s="102"/>
      <c r="AL480" s="102"/>
      <c r="AM480" s="102"/>
      <c r="AN480" s="102"/>
      <c r="AO480" s="102"/>
      <c r="AP480" s="102"/>
    </row>
    <row r="481" spans="1:42">
      <c r="A481" s="89">
        <v>480</v>
      </c>
      <c r="B481" s="90">
        <v>50030673</v>
      </c>
      <c r="C481" s="91" t="s">
        <v>532</v>
      </c>
      <c r="D481" s="58" t="s">
        <v>845</v>
      </c>
      <c r="E481" s="59">
        <v>25597</v>
      </c>
      <c r="F481" s="92">
        <f ca="1">(TODAY()-Data_Assessment[[#This Row],[BIRTH DATE]])/365.25</f>
        <v>52.139630390143736</v>
      </c>
      <c r="G481" s="62" t="s">
        <v>941</v>
      </c>
      <c r="H481" s="63" t="s">
        <v>1238</v>
      </c>
      <c r="I481" s="106">
        <v>2</v>
      </c>
      <c r="J481" s="64" t="s">
        <v>1310</v>
      </c>
      <c r="K481" s="143">
        <v>3</v>
      </c>
      <c r="L481" s="58"/>
      <c r="M481" s="58"/>
      <c r="N481" s="102"/>
      <c r="O481" s="102"/>
      <c r="P481" s="102"/>
      <c r="Q481" s="102"/>
      <c r="R481" s="102"/>
      <c r="S481" s="102"/>
      <c r="T481" s="102"/>
      <c r="U481" s="102"/>
      <c r="V481" s="102"/>
      <c r="W481" s="102"/>
      <c r="X481" s="102"/>
      <c r="Y481" s="102"/>
      <c r="Z481" s="102"/>
      <c r="AA481" s="102"/>
      <c r="AB481" s="102"/>
      <c r="AC481" s="102"/>
      <c r="AD481" s="102"/>
      <c r="AE481" s="102"/>
      <c r="AF481" s="102"/>
      <c r="AG481" s="102"/>
      <c r="AH481" s="102"/>
      <c r="AI481" s="102"/>
      <c r="AJ481" s="102"/>
      <c r="AK481" s="102"/>
      <c r="AL481" s="102"/>
      <c r="AM481" s="102"/>
      <c r="AN481" s="102"/>
      <c r="AO481" s="102"/>
      <c r="AP481" s="102"/>
    </row>
    <row r="482" spans="1:42">
      <c r="A482" s="89">
        <v>481</v>
      </c>
      <c r="B482" s="90">
        <v>50031326</v>
      </c>
      <c r="C482" s="91" t="s">
        <v>540</v>
      </c>
      <c r="D482" s="58" t="s">
        <v>845</v>
      </c>
      <c r="E482" s="59">
        <v>25350</v>
      </c>
      <c r="F482" s="92">
        <f ca="1">(TODAY()-Data_Assessment[[#This Row],[BIRTH DATE]])/365.25</f>
        <v>52.815879534565369</v>
      </c>
      <c r="G482" s="62" t="s">
        <v>941</v>
      </c>
      <c r="H482" s="63" t="s">
        <v>1241</v>
      </c>
      <c r="I482" s="106">
        <v>2</v>
      </c>
      <c r="J482" s="64" t="s">
        <v>1311</v>
      </c>
      <c r="K482" s="143">
        <v>4</v>
      </c>
      <c r="L482" s="58"/>
      <c r="M482" s="58"/>
      <c r="N482" s="102"/>
      <c r="O482" s="102"/>
      <c r="P482" s="102"/>
      <c r="Q482" s="102"/>
      <c r="R482" s="102"/>
      <c r="S482" s="102"/>
      <c r="T482" s="102"/>
      <c r="U482" s="102"/>
      <c r="V482" s="102"/>
      <c r="W482" s="102"/>
      <c r="X482" s="102"/>
      <c r="Y482" s="102"/>
      <c r="Z482" s="102"/>
      <c r="AA482" s="102"/>
      <c r="AB482" s="102"/>
      <c r="AC482" s="102"/>
      <c r="AD482" s="102"/>
      <c r="AE482" s="102"/>
      <c r="AF482" s="102"/>
      <c r="AG482" s="102"/>
      <c r="AH482" s="102"/>
      <c r="AI482" s="102"/>
      <c r="AJ482" s="102"/>
      <c r="AK482" s="102"/>
      <c r="AL482" s="102"/>
      <c r="AM482" s="102"/>
      <c r="AN482" s="102"/>
      <c r="AO482" s="102"/>
      <c r="AP482" s="102"/>
    </row>
    <row r="483" spans="1:42">
      <c r="A483" s="89">
        <v>482</v>
      </c>
      <c r="B483" s="90">
        <v>50031363</v>
      </c>
      <c r="C483" s="91" t="s">
        <v>541</v>
      </c>
      <c r="D483" s="58" t="s">
        <v>845</v>
      </c>
      <c r="E483" s="59">
        <v>30547</v>
      </c>
      <c r="F483" s="92">
        <f ca="1">(TODAY()-Data_Assessment[[#This Row],[BIRTH DATE]])/365.25</f>
        <v>38.587268993839835</v>
      </c>
      <c r="G483" s="62" t="s">
        <v>941</v>
      </c>
      <c r="H483" s="63" t="s">
        <v>1241</v>
      </c>
      <c r="I483" s="106">
        <v>2</v>
      </c>
      <c r="J483" s="64" t="s">
        <v>1312</v>
      </c>
      <c r="K483" s="143">
        <v>4</v>
      </c>
      <c r="L483" s="58"/>
      <c r="M483" s="58"/>
      <c r="N483" s="102"/>
      <c r="O483" s="102"/>
      <c r="P483" s="102"/>
      <c r="Q483" s="102"/>
      <c r="R483" s="102"/>
      <c r="S483" s="102"/>
      <c r="T483" s="102"/>
      <c r="U483" s="102"/>
      <c r="V483" s="102"/>
      <c r="W483" s="102"/>
      <c r="X483" s="102"/>
      <c r="Y483" s="102"/>
      <c r="Z483" s="102"/>
      <c r="AA483" s="102"/>
      <c r="AB483" s="102"/>
      <c r="AC483" s="102"/>
      <c r="AD483" s="102"/>
      <c r="AE483" s="102"/>
      <c r="AF483" s="102"/>
      <c r="AG483" s="102"/>
      <c r="AH483" s="102"/>
      <c r="AI483" s="102"/>
      <c r="AJ483" s="102"/>
      <c r="AK483" s="102"/>
      <c r="AL483" s="102"/>
      <c r="AM483" s="102"/>
      <c r="AN483" s="102"/>
      <c r="AO483" s="102"/>
      <c r="AP483" s="102"/>
    </row>
    <row r="484" spans="1:42">
      <c r="A484" s="89">
        <v>483</v>
      </c>
      <c r="B484" s="90">
        <v>50031366</v>
      </c>
      <c r="C484" s="91" t="s">
        <v>549</v>
      </c>
      <c r="D484" s="58" t="s">
        <v>845</v>
      </c>
      <c r="E484" s="59">
        <v>26610</v>
      </c>
      <c r="F484" s="92">
        <f ca="1">(TODAY()-Data_Assessment[[#This Row],[BIRTH DATE]])/365.25</f>
        <v>49.366187542778917</v>
      </c>
      <c r="G484" s="62" t="s">
        <v>941</v>
      </c>
      <c r="H484" s="63" t="s">
        <v>945</v>
      </c>
      <c r="I484" s="106">
        <v>2</v>
      </c>
      <c r="J484" s="64" t="s">
        <v>1313</v>
      </c>
      <c r="K484" s="143">
        <v>4</v>
      </c>
      <c r="L484" s="58"/>
      <c r="M484" s="58"/>
      <c r="N484" s="102"/>
      <c r="O484" s="102"/>
      <c r="P484" s="102"/>
      <c r="Q484" s="102"/>
      <c r="R484" s="102"/>
      <c r="S484" s="102"/>
      <c r="T484" s="102"/>
      <c r="U484" s="102"/>
      <c r="V484" s="102"/>
      <c r="W484" s="102"/>
      <c r="X484" s="102"/>
      <c r="Y484" s="102"/>
      <c r="Z484" s="102"/>
      <c r="AA484" s="102"/>
      <c r="AB484" s="102"/>
      <c r="AC484" s="102"/>
      <c r="AD484" s="102"/>
      <c r="AE484" s="102"/>
      <c r="AF484" s="102"/>
      <c r="AG484" s="102"/>
      <c r="AH484" s="102"/>
      <c r="AI484" s="102"/>
      <c r="AJ484" s="102"/>
      <c r="AK484" s="102"/>
      <c r="AL484" s="102"/>
      <c r="AM484" s="102"/>
      <c r="AN484" s="102"/>
      <c r="AO484" s="102"/>
      <c r="AP484" s="102"/>
    </row>
    <row r="485" spans="1:42">
      <c r="A485" s="89">
        <v>484</v>
      </c>
      <c r="B485" s="90">
        <v>50030735</v>
      </c>
      <c r="C485" s="91" t="s">
        <v>554</v>
      </c>
      <c r="D485" s="58" t="s">
        <v>845</v>
      </c>
      <c r="E485" s="59">
        <v>26031</v>
      </c>
      <c r="F485" s="92">
        <f ca="1">(TODAY()-Data_Assessment[[#This Row],[BIRTH DATE]])/365.25</f>
        <v>50.951403148528406</v>
      </c>
      <c r="G485" s="62" t="s">
        <v>941</v>
      </c>
      <c r="H485" s="63" t="s">
        <v>1314</v>
      </c>
      <c r="I485" s="106">
        <v>2</v>
      </c>
      <c r="J485" s="64" t="s">
        <v>1315</v>
      </c>
      <c r="K485" s="143">
        <v>3</v>
      </c>
      <c r="L485" s="58"/>
      <c r="M485" s="58"/>
      <c r="N485" s="102"/>
      <c r="O485" s="102"/>
      <c r="P485" s="102"/>
      <c r="Q485" s="102"/>
      <c r="R485" s="102"/>
      <c r="S485" s="102"/>
      <c r="T485" s="102"/>
      <c r="U485" s="102"/>
      <c r="V485" s="102"/>
      <c r="W485" s="102"/>
      <c r="X485" s="102"/>
      <c r="Y485" s="102"/>
      <c r="Z485" s="102"/>
      <c r="AA485" s="102"/>
      <c r="AB485" s="102"/>
      <c r="AC485" s="102"/>
      <c r="AD485" s="102"/>
      <c r="AE485" s="102"/>
      <c r="AF485" s="102"/>
      <c r="AG485" s="102"/>
      <c r="AH485" s="102"/>
      <c r="AI485" s="102"/>
      <c r="AJ485" s="102"/>
      <c r="AK485" s="102"/>
      <c r="AL485" s="102"/>
      <c r="AM485" s="102"/>
      <c r="AN485" s="102"/>
      <c r="AO485" s="102"/>
      <c r="AP485" s="102"/>
    </row>
    <row r="486" spans="1:42">
      <c r="A486" s="89">
        <v>485</v>
      </c>
      <c r="B486" s="90">
        <v>50031087</v>
      </c>
      <c r="C486" s="91" t="s">
        <v>392</v>
      </c>
      <c r="D486" s="58" t="s">
        <v>845</v>
      </c>
      <c r="E486" s="59">
        <v>24957</v>
      </c>
      <c r="F486" s="92">
        <f ca="1">(TODAY()-Data_Assessment[[#This Row],[BIRTH DATE]])/365.25</f>
        <v>53.891854893908281</v>
      </c>
      <c r="G486" s="62" t="s">
        <v>895</v>
      </c>
      <c r="H486" s="63" t="s">
        <v>902</v>
      </c>
      <c r="I486" s="106">
        <v>1</v>
      </c>
      <c r="J486" s="64" t="s">
        <v>1316</v>
      </c>
      <c r="K486" s="143">
        <v>3</v>
      </c>
      <c r="L486" s="58"/>
      <c r="M486" s="58"/>
      <c r="N486" s="102"/>
      <c r="O486" s="102"/>
      <c r="P486" s="102"/>
      <c r="Q486" s="102"/>
      <c r="R486" s="102"/>
      <c r="S486" s="102"/>
      <c r="T486" s="102"/>
      <c r="U486" s="102"/>
      <c r="V486" s="102"/>
      <c r="W486" s="102"/>
      <c r="X486" s="102"/>
      <c r="Y486" s="102"/>
      <c r="Z486" s="102"/>
      <c r="AA486" s="102"/>
      <c r="AB486" s="102"/>
      <c r="AC486" s="102"/>
      <c r="AD486" s="102"/>
      <c r="AE486" s="102"/>
      <c r="AF486" s="102"/>
      <c r="AG486" s="102"/>
      <c r="AH486" s="102"/>
      <c r="AI486" s="102"/>
      <c r="AJ486" s="102"/>
      <c r="AK486" s="102"/>
      <c r="AL486" s="102"/>
      <c r="AM486" s="102"/>
      <c r="AN486" s="102"/>
      <c r="AO486" s="102"/>
      <c r="AP486" s="102"/>
    </row>
    <row r="487" spans="1:42">
      <c r="A487" s="89">
        <v>486</v>
      </c>
      <c r="B487" s="90">
        <v>50031352</v>
      </c>
      <c r="C487" s="91" t="s">
        <v>555</v>
      </c>
      <c r="D487" s="58" t="s">
        <v>845</v>
      </c>
      <c r="E487" s="59">
        <v>25275</v>
      </c>
      <c r="F487" s="92">
        <f ca="1">(TODAY()-Data_Assessment[[#This Row],[BIRTH DATE]])/365.25</f>
        <v>53.021218343600275</v>
      </c>
      <c r="G487" s="62" t="s">
        <v>941</v>
      </c>
      <c r="H487" s="63" t="s">
        <v>1314</v>
      </c>
      <c r="I487" s="106">
        <v>2</v>
      </c>
      <c r="J487" s="64" t="s">
        <v>1317</v>
      </c>
      <c r="K487" s="143">
        <v>3</v>
      </c>
      <c r="L487" s="58"/>
      <c r="M487" s="58"/>
      <c r="N487" s="102"/>
      <c r="O487" s="102"/>
      <c r="P487" s="102"/>
      <c r="Q487" s="102"/>
      <c r="R487" s="102"/>
      <c r="S487" s="102"/>
      <c r="T487" s="102"/>
      <c r="U487" s="102"/>
      <c r="V487" s="102"/>
      <c r="W487" s="102"/>
      <c r="X487" s="102"/>
      <c r="Y487" s="102"/>
      <c r="Z487" s="102"/>
      <c r="AA487" s="102"/>
      <c r="AB487" s="102"/>
      <c r="AC487" s="102"/>
      <c r="AD487" s="102"/>
      <c r="AE487" s="102"/>
      <c r="AF487" s="102"/>
      <c r="AG487" s="102"/>
      <c r="AH487" s="102"/>
      <c r="AI487" s="102"/>
      <c r="AJ487" s="102"/>
      <c r="AK487" s="102"/>
      <c r="AL487" s="102"/>
      <c r="AM487" s="102"/>
      <c r="AN487" s="102"/>
      <c r="AO487" s="102"/>
      <c r="AP487" s="102"/>
    </row>
    <row r="488" spans="1:42">
      <c r="A488" s="89">
        <v>487</v>
      </c>
      <c r="B488" s="90">
        <v>50031350</v>
      </c>
      <c r="C488" s="91" t="s">
        <v>564</v>
      </c>
      <c r="D488" s="58" t="s">
        <v>845</v>
      </c>
      <c r="E488" s="59">
        <v>24721</v>
      </c>
      <c r="F488" s="92">
        <f ca="1">(TODAY()-Data_Assessment[[#This Row],[BIRTH DATE]])/365.25</f>
        <v>54.53798767967146</v>
      </c>
      <c r="G488" s="62" t="s">
        <v>919</v>
      </c>
      <c r="H488" s="63" t="s">
        <v>1318</v>
      </c>
      <c r="I488" s="106">
        <v>1</v>
      </c>
      <c r="J488" s="64" t="s">
        <v>1319</v>
      </c>
      <c r="K488" s="143">
        <v>4</v>
      </c>
      <c r="L488" s="58"/>
      <c r="M488" s="58"/>
      <c r="N488" s="102"/>
      <c r="O488" s="102"/>
      <c r="P488" s="102"/>
      <c r="Q488" s="102"/>
      <c r="R488" s="102"/>
      <c r="S488" s="102"/>
      <c r="T488" s="102"/>
      <c r="U488" s="102"/>
      <c r="V488" s="102"/>
      <c r="W488" s="102"/>
      <c r="X488" s="102"/>
      <c r="Y488" s="102"/>
      <c r="Z488" s="102"/>
      <c r="AA488" s="102"/>
      <c r="AB488" s="102"/>
      <c r="AC488" s="102"/>
      <c r="AD488" s="102"/>
      <c r="AE488" s="102"/>
      <c r="AF488" s="102"/>
      <c r="AG488" s="102"/>
      <c r="AH488" s="102"/>
      <c r="AI488" s="102"/>
      <c r="AJ488" s="102"/>
      <c r="AK488" s="102"/>
      <c r="AL488" s="102"/>
      <c r="AM488" s="102"/>
      <c r="AN488" s="102"/>
      <c r="AO488" s="102"/>
      <c r="AP488" s="102"/>
    </row>
    <row r="489" spans="1:42">
      <c r="A489" s="89">
        <v>488</v>
      </c>
      <c r="B489" s="90">
        <v>50030725</v>
      </c>
      <c r="C489" s="91" t="s">
        <v>884</v>
      </c>
      <c r="D489" s="58" t="s">
        <v>845</v>
      </c>
      <c r="E489" s="59">
        <v>25486</v>
      </c>
      <c r="F489" s="92">
        <f ca="1">(TODAY()-Data_Assessment[[#This Row],[BIRTH DATE]])/365.25</f>
        <v>52.4435318275154</v>
      </c>
      <c r="G489" s="62" t="s">
        <v>919</v>
      </c>
      <c r="H489" s="63" t="s">
        <v>1318</v>
      </c>
      <c r="I489" s="106">
        <v>1</v>
      </c>
      <c r="J489" s="64" t="s">
        <v>1320</v>
      </c>
      <c r="K489" s="143">
        <v>3</v>
      </c>
      <c r="L489" s="58"/>
      <c r="M489" s="58"/>
      <c r="N489" s="102"/>
      <c r="O489" s="102"/>
      <c r="P489" s="102"/>
      <c r="Q489" s="102"/>
      <c r="R489" s="102"/>
      <c r="S489" s="102"/>
      <c r="T489" s="102"/>
      <c r="U489" s="102"/>
      <c r="V489" s="102"/>
      <c r="W489" s="102"/>
      <c r="X489" s="102"/>
      <c r="Y489" s="102"/>
      <c r="Z489" s="102"/>
      <c r="AA489" s="102"/>
      <c r="AB489" s="102"/>
      <c r="AC489" s="102"/>
      <c r="AD489" s="102"/>
      <c r="AE489" s="102"/>
      <c r="AF489" s="102"/>
      <c r="AG489" s="102"/>
      <c r="AH489" s="102"/>
      <c r="AI489" s="102"/>
      <c r="AJ489" s="102"/>
      <c r="AK489" s="102"/>
      <c r="AL489" s="102"/>
      <c r="AM489" s="102"/>
      <c r="AN489" s="102"/>
      <c r="AO489" s="102"/>
      <c r="AP489" s="102"/>
    </row>
    <row r="490" spans="1:42">
      <c r="A490" s="89">
        <v>489</v>
      </c>
      <c r="B490" s="90">
        <v>50030698</v>
      </c>
      <c r="C490" s="91" t="s">
        <v>570</v>
      </c>
      <c r="D490" s="58" t="s">
        <v>845</v>
      </c>
      <c r="E490" s="59">
        <v>25826</v>
      </c>
      <c r="F490" s="92">
        <f ca="1">(TODAY()-Data_Assessment[[#This Row],[BIRTH DATE]])/365.25</f>
        <v>51.512662559890487</v>
      </c>
      <c r="G490" s="62" t="s">
        <v>919</v>
      </c>
      <c r="H490" s="63" t="s">
        <v>1086</v>
      </c>
      <c r="I490" s="106">
        <v>1</v>
      </c>
      <c r="J490" s="64" t="s">
        <v>1321</v>
      </c>
      <c r="K490" s="143">
        <v>3</v>
      </c>
      <c r="L490" s="58"/>
      <c r="M490" s="58"/>
      <c r="N490" s="102"/>
      <c r="O490" s="102"/>
      <c r="P490" s="102"/>
      <c r="Q490" s="102"/>
      <c r="R490" s="102"/>
      <c r="S490" s="102"/>
      <c r="T490" s="102"/>
      <c r="U490" s="102"/>
      <c r="V490" s="102"/>
      <c r="W490" s="102"/>
      <c r="X490" s="102"/>
      <c r="Y490" s="102"/>
      <c r="Z490" s="102"/>
      <c r="AA490" s="102"/>
      <c r="AB490" s="102"/>
      <c r="AC490" s="102"/>
      <c r="AD490" s="102"/>
      <c r="AE490" s="102"/>
      <c r="AF490" s="102"/>
      <c r="AG490" s="102"/>
      <c r="AH490" s="102"/>
      <c r="AI490" s="102"/>
      <c r="AJ490" s="102"/>
      <c r="AK490" s="102"/>
      <c r="AL490" s="102"/>
      <c r="AM490" s="102"/>
      <c r="AN490" s="102"/>
      <c r="AO490" s="102"/>
      <c r="AP490" s="102"/>
    </row>
    <row r="491" spans="1:42">
      <c r="A491" s="89">
        <v>490</v>
      </c>
      <c r="B491" s="90">
        <v>50045062</v>
      </c>
      <c r="C491" s="91" t="s">
        <v>396</v>
      </c>
      <c r="D491" s="58" t="s">
        <v>845</v>
      </c>
      <c r="E491" s="59">
        <v>33517</v>
      </c>
      <c r="F491" s="92">
        <f ca="1">(TODAY()-Data_Assessment[[#This Row],[BIRTH DATE]])/365.25</f>
        <v>30.455852156057496</v>
      </c>
      <c r="G491" s="62" t="s">
        <v>895</v>
      </c>
      <c r="H491" s="63" t="s">
        <v>902</v>
      </c>
      <c r="I491" s="106">
        <v>1</v>
      </c>
      <c r="J491" s="64" t="s">
        <v>1322</v>
      </c>
      <c r="K491" s="143">
        <v>3</v>
      </c>
      <c r="L491" s="58"/>
      <c r="M491" s="58"/>
      <c r="N491" s="102"/>
      <c r="O491" s="102"/>
      <c r="P491" s="102"/>
      <c r="Q491" s="102"/>
      <c r="R491" s="102"/>
      <c r="S491" s="102"/>
      <c r="T491" s="102"/>
      <c r="U491" s="102"/>
      <c r="V491" s="102"/>
      <c r="W491" s="102"/>
      <c r="X491" s="102"/>
      <c r="Y491" s="102"/>
      <c r="Z491" s="102"/>
      <c r="AA491" s="102"/>
      <c r="AB491" s="102"/>
      <c r="AC491" s="102"/>
      <c r="AD491" s="102"/>
      <c r="AE491" s="102"/>
      <c r="AF491" s="102"/>
      <c r="AG491" s="102"/>
      <c r="AH491" s="102"/>
      <c r="AI491" s="102"/>
      <c r="AJ491" s="102"/>
      <c r="AK491" s="102"/>
      <c r="AL491" s="102"/>
      <c r="AM491" s="102"/>
      <c r="AN491" s="102"/>
      <c r="AO491" s="102"/>
      <c r="AP491" s="102"/>
    </row>
    <row r="492" spans="1:42">
      <c r="A492" s="89">
        <v>491</v>
      </c>
      <c r="B492" s="90">
        <v>50031345</v>
      </c>
      <c r="C492" s="91" t="s">
        <v>571</v>
      </c>
      <c r="D492" s="58" t="s">
        <v>845</v>
      </c>
      <c r="E492" s="59">
        <v>25067</v>
      </c>
      <c r="F492" s="92">
        <f ca="1">(TODAY()-Data_Assessment[[#This Row],[BIRTH DATE]])/365.25</f>
        <v>53.590691307323752</v>
      </c>
      <c r="G492" s="62" t="s">
        <v>919</v>
      </c>
      <c r="H492" s="63" t="s">
        <v>1086</v>
      </c>
      <c r="I492" s="106">
        <v>1</v>
      </c>
      <c r="J492" s="64" t="s">
        <v>1323</v>
      </c>
      <c r="K492" s="143">
        <v>3</v>
      </c>
      <c r="L492" s="58"/>
      <c r="M492" s="58"/>
      <c r="N492" s="102"/>
      <c r="O492" s="102"/>
      <c r="P492" s="102"/>
      <c r="Q492" s="102"/>
      <c r="R492" s="102"/>
      <c r="S492" s="102"/>
      <c r="T492" s="102"/>
      <c r="U492" s="102"/>
      <c r="V492" s="102"/>
      <c r="W492" s="102"/>
      <c r="X492" s="102"/>
      <c r="Y492" s="102"/>
      <c r="Z492" s="102"/>
      <c r="AA492" s="102"/>
      <c r="AB492" s="102"/>
      <c r="AC492" s="102"/>
      <c r="AD492" s="102"/>
      <c r="AE492" s="102"/>
      <c r="AF492" s="102"/>
      <c r="AG492" s="102"/>
      <c r="AH492" s="102"/>
      <c r="AI492" s="102"/>
      <c r="AJ492" s="102"/>
      <c r="AK492" s="102"/>
      <c r="AL492" s="102"/>
      <c r="AM492" s="102"/>
      <c r="AN492" s="102"/>
      <c r="AO492" s="102"/>
      <c r="AP492" s="102"/>
    </row>
    <row r="493" spans="1:42">
      <c r="A493" s="89">
        <v>492</v>
      </c>
      <c r="B493" s="90">
        <v>50031325</v>
      </c>
      <c r="C493" s="91" t="s">
        <v>580</v>
      </c>
      <c r="D493" s="58" t="s">
        <v>845</v>
      </c>
      <c r="E493" s="59">
        <v>25773</v>
      </c>
      <c r="F493" s="92">
        <f ca="1">(TODAY()-Data_Assessment[[#This Row],[BIRTH DATE]])/365.25</f>
        <v>51.657768651608485</v>
      </c>
      <c r="G493" s="62" t="s">
        <v>919</v>
      </c>
      <c r="H493" s="63" t="s">
        <v>1324</v>
      </c>
      <c r="I493" s="106">
        <v>1</v>
      </c>
      <c r="J493" s="64" t="s">
        <v>1325</v>
      </c>
      <c r="K493" s="143">
        <v>4</v>
      </c>
      <c r="L493" s="58"/>
      <c r="M493" s="58"/>
      <c r="N493" s="102"/>
      <c r="O493" s="102"/>
      <c r="P493" s="102"/>
      <c r="Q493" s="102"/>
      <c r="R493" s="102"/>
      <c r="S493" s="102"/>
      <c r="T493" s="102"/>
      <c r="U493" s="102"/>
      <c r="V493" s="102"/>
      <c r="W493" s="102"/>
      <c r="X493" s="102"/>
      <c r="Y493" s="102"/>
      <c r="Z493" s="102"/>
      <c r="AA493" s="102"/>
      <c r="AB493" s="102"/>
      <c r="AC493" s="102"/>
      <c r="AD493" s="102"/>
      <c r="AE493" s="102"/>
      <c r="AF493" s="102"/>
      <c r="AG493" s="102"/>
      <c r="AH493" s="102"/>
      <c r="AI493" s="102"/>
      <c r="AJ493" s="102"/>
      <c r="AK493" s="102"/>
      <c r="AL493" s="102"/>
      <c r="AM493" s="102"/>
      <c r="AN493" s="102"/>
      <c r="AO493" s="102"/>
      <c r="AP493" s="102"/>
    </row>
    <row r="494" spans="1:42">
      <c r="A494" s="89">
        <v>493</v>
      </c>
      <c r="B494" s="90">
        <v>50030776</v>
      </c>
      <c r="C494" s="91" t="s">
        <v>581</v>
      </c>
      <c r="D494" s="58" t="s">
        <v>845</v>
      </c>
      <c r="E494" s="59">
        <v>26192</v>
      </c>
      <c r="F494" s="92">
        <f ca="1">(TODAY()-Data_Assessment[[#This Row],[BIRTH DATE]])/365.25</f>
        <v>50.510609171800134</v>
      </c>
      <c r="G494" s="62" t="s">
        <v>919</v>
      </c>
      <c r="H494" s="63" t="s">
        <v>1324</v>
      </c>
      <c r="I494" s="106">
        <v>1</v>
      </c>
      <c r="J494" s="64" t="s">
        <v>1326</v>
      </c>
      <c r="K494" s="143">
        <v>3</v>
      </c>
      <c r="L494" s="58"/>
      <c r="M494" s="58"/>
      <c r="N494" s="102"/>
      <c r="O494" s="102"/>
      <c r="P494" s="102"/>
      <c r="Q494" s="102"/>
      <c r="R494" s="102"/>
      <c r="S494" s="102"/>
      <c r="T494" s="102"/>
      <c r="U494" s="102"/>
      <c r="V494" s="102"/>
      <c r="W494" s="102"/>
      <c r="X494" s="102"/>
      <c r="Y494" s="102"/>
      <c r="Z494" s="102"/>
      <c r="AA494" s="102"/>
      <c r="AB494" s="102"/>
      <c r="AC494" s="102"/>
      <c r="AD494" s="102"/>
      <c r="AE494" s="102"/>
      <c r="AF494" s="102"/>
      <c r="AG494" s="102"/>
      <c r="AH494" s="102"/>
      <c r="AI494" s="102"/>
      <c r="AJ494" s="102"/>
      <c r="AK494" s="102"/>
      <c r="AL494" s="102"/>
      <c r="AM494" s="102"/>
      <c r="AN494" s="102"/>
      <c r="AO494" s="102"/>
      <c r="AP494" s="102"/>
    </row>
    <row r="495" spans="1:42">
      <c r="A495" s="89">
        <v>494</v>
      </c>
      <c r="B495" s="90">
        <v>50030697</v>
      </c>
      <c r="C495" s="91" t="s">
        <v>588</v>
      </c>
      <c r="D495" s="58" t="s">
        <v>845</v>
      </c>
      <c r="E495" s="59">
        <v>25365</v>
      </c>
      <c r="F495" s="92">
        <f ca="1">(TODAY()-Data_Assessment[[#This Row],[BIRTH DATE]])/365.25</f>
        <v>52.774811772758383</v>
      </c>
      <c r="G495" s="62" t="s">
        <v>919</v>
      </c>
      <c r="H495" s="63" t="s">
        <v>1327</v>
      </c>
      <c r="I495" s="106">
        <v>1</v>
      </c>
      <c r="J495" s="64" t="s">
        <v>1328</v>
      </c>
      <c r="K495" s="143">
        <v>3</v>
      </c>
      <c r="L495" s="58"/>
      <c r="M495" s="58"/>
      <c r="N495" s="102"/>
      <c r="O495" s="102"/>
      <c r="P495" s="102"/>
      <c r="Q495" s="102"/>
      <c r="R495" s="102"/>
      <c r="S495" s="102"/>
      <c r="T495" s="102"/>
      <c r="U495" s="102"/>
      <c r="V495" s="102"/>
      <c r="W495" s="102"/>
      <c r="X495" s="102"/>
      <c r="Y495" s="102"/>
      <c r="Z495" s="102"/>
      <c r="AA495" s="102"/>
      <c r="AB495" s="102"/>
      <c r="AC495" s="102"/>
      <c r="AD495" s="102"/>
      <c r="AE495" s="102"/>
      <c r="AF495" s="102"/>
      <c r="AG495" s="102"/>
      <c r="AH495" s="102"/>
      <c r="AI495" s="102"/>
      <c r="AJ495" s="102"/>
      <c r="AK495" s="102"/>
      <c r="AL495" s="102"/>
      <c r="AM495" s="102"/>
      <c r="AN495" s="102"/>
      <c r="AO495" s="102"/>
      <c r="AP495" s="102"/>
    </row>
    <row r="496" spans="1:42">
      <c r="A496" s="89">
        <v>495</v>
      </c>
      <c r="B496" s="90">
        <v>50030662</v>
      </c>
      <c r="C496" s="91" t="s">
        <v>589</v>
      </c>
      <c r="D496" s="58" t="s">
        <v>845</v>
      </c>
      <c r="E496" s="59">
        <v>25543</v>
      </c>
      <c r="F496" s="92">
        <f ca="1">(TODAY()-Data_Assessment[[#This Row],[BIRTH DATE]])/365.25</f>
        <v>52.28747433264887</v>
      </c>
      <c r="G496" s="62" t="s">
        <v>919</v>
      </c>
      <c r="H496" s="63" t="s">
        <v>1327</v>
      </c>
      <c r="I496" s="106">
        <v>1</v>
      </c>
      <c r="J496" s="64" t="s">
        <v>1329</v>
      </c>
      <c r="K496" s="143">
        <v>3</v>
      </c>
      <c r="L496" s="58"/>
      <c r="M496" s="58"/>
      <c r="N496" s="102"/>
      <c r="O496" s="102"/>
      <c r="P496" s="102"/>
      <c r="Q496" s="102"/>
      <c r="R496" s="102"/>
      <c r="S496" s="102"/>
      <c r="T496" s="102"/>
      <c r="U496" s="102"/>
      <c r="V496" s="102"/>
      <c r="W496" s="102"/>
      <c r="X496" s="102"/>
      <c r="Y496" s="102"/>
      <c r="Z496" s="102"/>
      <c r="AA496" s="102"/>
      <c r="AB496" s="102"/>
      <c r="AC496" s="102"/>
      <c r="AD496" s="102"/>
      <c r="AE496" s="102"/>
      <c r="AF496" s="102"/>
      <c r="AG496" s="102"/>
      <c r="AH496" s="102"/>
      <c r="AI496" s="102"/>
      <c r="AJ496" s="102"/>
      <c r="AK496" s="102"/>
      <c r="AL496" s="102"/>
      <c r="AM496" s="102"/>
      <c r="AN496" s="102"/>
      <c r="AO496" s="102"/>
      <c r="AP496" s="102"/>
    </row>
    <row r="497" spans="1:42">
      <c r="A497" s="89">
        <v>496</v>
      </c>
      <c r="B497" s="90">
        <v>50031420</v>
      </c>
      <c r="C497" s="91" t="s">
        <v>400</v>
      </c>
      <c r="D497" s="58" t="s">
        <v>845</v>
      </c>
      <c r="E497" s="59">
        <v>26028</v>
      </c>
      <c r="F497" s="92">
        <f ca="1">(TODAY()-Data_Assessment[[#This Row],[BIRTH DATE]])/365.25</f>
        <v>50.959616700889804</v>
      </c>
      <c r="G497" s="62" t="s">
        <v>895</v>
      </c>
      <c r="H497" s="63" t="s">
        <v>906</v>
      </c>
      <c r="I497" s="106">
        <v>1</v>
      </c>
      <c r="J497" s="64" t="s">
        <v>1330</v>
      </c>
      <c r="K497" s="143">
        <v>4</v>
      </c>
      <c r="L497" s="58"/>
      <c r="M497" s="58"/>
      <c r="N497" s="102"/>
      <c r="O497" s="102"/>
      <c r="P497" s="102"/>
      <c r="Q497" s="102"/>
      <c r="R497" s="102"/>
      <c r="S497" s="102"/>
      <c r="T497" s="102"/>
      <c r="U497" s="102"/>
      <c r="V497" s="102"/>
      <c r="W497" s="102"/>
      <c r="X497" s="102"/>
      <c r="Y497" s="102"/>
      <c r="Z497" s="102"/>
      <c r="AA497" s="102"/>
      <c r="AB497" s="102"/>
      <c r="AC497" s="102"/>
      <c r="AD497" s="102"/>
      <c r="AE497" s="102"/>
      <c r="AF497" s="102"/>
      <c r="AG497" s="102"/>
      <c r="AH497" s="102"/>
      <c r="AI497" s="102"/>
      <c r="AJ497" s="102"/>
      <c r="AK497" s="102"/>
      <c r="AL497" s="102"/>
      <c r="AM497" s="102"/>
      <c r="AN497" s="102"/>
      <c r="AO497" s="102"/>
      <c r="AP497" s="102"/>
    </row>
    <row r="498" spans="1:42">
      <c r="A498" s="89">
        <v>497</v>
      </c>
      <c r="B498" s="90">
        <v>50030771</v>
      </c>
      <c r="C498" s="91" t="s">
        <v>885</v>
      </c>
      <c r="D498" s="58" t="s">
        <v>845</v>
      </c>
      <c r="E498" s="59">
        <v>25501</v>
      </c>
      <c r="F498" s="92">
        <f ca="1">(TODAY()-Data_Assessment[[#This Row],[BIRTH DATE]])/365.25</f>
        <v>52.402464065708422</v>
      </c>
      <c r="G498" s="62" t="s">
        <v>919</v>
      </c>
      <c r="H498" s="63" t="s">
        <v>1248</v>
      </c>
      <c r="I498" s="106">
        <v>1</v>
      </c>
      <c r="J498" s="64" t="s">
        <v>1331</v>
      </c>
      <c r="K498" s="143">
        <v>4</v>
      </c>
      <c r="L498" s="58"/>
      <c r="M498" s="58"/>
      <c r="N498" s="102"/>
      <c r="O498" s="102"/>
      <c r="P498" s="102"/>
      <c r="Q498" s="102"/>
      <c r="R498" s="102"/>
      <c r="S498" s="102"/>
      <c r="T498" s="102"/>
      <c r="U498" s="102"/>
      <c r="V498" s="102"/>
      <c r="W498" s="102"/>
      <c r="X498" s="102"/>
      <c r="Y498" s="102"/>
      <c r="Z498" s="102"/>
      <c r="AA498" s="102"/>
      <c r="AB498" s="102"/>
      <c r="AC498" s="102"/>
      <c r="AD498" s="102"/>
      <c r="AE498" s="102"/>
      <c r="AF498" s="102"/>
      <c r="AG498" s="102"/>
      <c r="AH498" s="102"/>
      <c r="AI498" s="102"/>
      <c r="AJ498" s="102"/>
      <c r="AK498" s="102"/>
      <c r="AL498" s="102"/>
      <c r="AM498" s="102"/>
      <c r="AN498" s="102"/>
      <c r="AO498" s="102"/>
      <c r="AP498" s="102"/>
    </row>
    <row r="499" spans="1:42">
      <c r="A499" s="89">
        <v>498</v>
      </c>
      <c r="B499" s="90">
        <v>50031289</v>
      </c>
      <c r="C499" s="91" t="s">
        <v>595</v>
      </c>
      <c r="D499" s="58" t="s">
        <v>845</v>
      </c>
      <c r="E499" s="59">
        <v>25169</v>
      </c>
      <c r="F499" s="92">
        <f ca="1">(TODAY()-Data_Assessment[[#This Row],[BIRTH DATE]])/365.25</f>
        <v>53.311430527036279</v>
      </c>
      <c r="G499" s="62" t="s">
        <v>919</v>
      </c>
      <c r="H499" s="63" t="s">
        <v>1332</v>
      </c>
      <c r="I499" s="106">
        <v>1</v>
      </c>
      <c r="J499" s="64" t="s">
        <v>1333</v>
      </c>
      <c r="K499" s="143">
        <v>3</v>
      </c>
      <c r="L499" s="58"/>
      <c r="M499" s="58"/>
      <c r="N499" s="102"/>
      <c r="O499" s="102"/>
      <c r="P499" s="102"/>
      <c r="Q499" s="102"/>
      <c r="R499" s="102"/>
      <c r="S499" s="102"/>
      <c r="T499" s="102"/>
      <c r="U499" s="102"/>
      <c r="V499" s="102"/>
      <c r="W499" s="102"/>
      <c r="X499" s="102"/>
      <c r="Y499" s="102"/>
      <c r="Z499" s="102"/>
      <c r="AA499" s="102"/>
      <c r="AB499" s="102"/>
      <c r="AC499" s="102"/>
      <c r="AD499" s="102"/>
      <c r="AE499" s="102"/>
      <c r="AF499" s="102"/>
      <c r="AG499" s="102"/>
      <c r="AH499" s="102"/>
      <c r="AI499" s="102"/>
      <c r="AJ499" s="102"/>
      <c r="AK499" s="102"/>
      <c r="AL499" s="102"/>
      <c r="AM499" s="102"/>
      <c r="AN499" s="102"/>
      <c r="AO499" s="102"/>
      <c r="AP499" s="102"/>
    </row>
    <row r="500" spans="1:42">
      <c r="A500" s="89">
        <v>499</v>
      </c>
      <c r="B500" s="90">
        <v>50129832</v>
      </c>
      <c r="C500" s="91" t="s">
        <v>402</v>
      </c>
      <c r="D500" s="58" t="s">
        <v>845</v>
      </c>
      <c r="E500" s="59">
        <v>33882</v>
      </c>
      <c r="F500" s="92">
        <f ca="1">(TODAY()-Data_Assessment[[#This Row],[BIRTH DATE]])/365.25</f>
        <v>29.456536618754278</v>
      </c>
      <c r="G500" s="62" t="s">
        <v>895</v>
      </c>
      <c r="H500" s="63" t="s">
        <v>906</v>
      </c>
      <c r="I500" s="106">
        <v>1</v>
      </c>
      <c r="J500" s="64" t="s">
        <v>1334</v>
      </c>
      <c r="K500" s="143">
        <v>4</v>
      </c>
      <c r="L500" s="58"/>
      <c r="M500" s="58"/>
      <c r="N500" s="102"/>
      <c r="O500" s="102"/>
      <c r="P500" s="102"/>
      <c r="Q500" s="102"/>
      <c r="R500" s="102"/>
      <c r="S500" s="102"/>
      <c r="T500" s="102"/>
      <c r="U500" s="102"/>
      <c r="V500" s="102"/>
      <c r="W500" s="102"/>
      <c r="X500" s="102"/>
      <c r="Y500" s="102"/>
      <c r="Z500" s="102"/>
      <c r="AA500" s="102"/>
      <c r="AB500" s="102"/>
      <c r="AC500" s="102"/>
      <c r="AD500" s="102"/>
      <c r="AE500" s="102"/>
      <c r="AF500" s="102"/>
      <c r="AG500" s="102"/>
      <c r="AH500" s="102"/>
      <c r="AI500" s="102"/>
      <c r="AJ500" s="102"/>
      <c r="AK500" s="102"/>
      <c r="AL500" s="102"/>
      <c r="AM500" s="102"/>
      <c r="AN500" s="102"/>
      <c r="AO500" s="102"/>
      <c r="AP500" s="102"/>
    </row>
    <row r="501" spans="1:42">
      <c r="A501" s="89">
        <v>500</v>
      </c>
      <c r="B501" s="90">
        <v>50031364</v>
      </c>
      <c r="C501" s="91" t="s">
        <v>596</v>
      </c>
      <c r="D501" s="58" t="s">
        <v>845</v>
      </c>
      <c r="E501" s="59">
        <v>31353</v>
      </c>
      <c r="F501" s="92">
        <f ca="1">(TODAY()-Data_Assessment[[#This Row],[BIRTH DATE]])/365.25</f>
        <v>36.380561259411365</v>
      </c>
      <c r="G501" s="62" t="s">
        <v>919</v>
      </c>
      <c r="H501" s="63" t="s">
        <v>1332</v>
      </c>
      <c r="I501" s="106">
        <v>1</v>
      </c>
      <c r="J501" s="64" t="s">
        <v>1335</v>
      </c>
      <c r="K501" s="143">
        <v>4</v>
      </c>
      <c r="L501" s="58"/>
      <c r="M501" s="58"/>
      <c r="N501" s="102"/>
      <c r="O501" s="102"/>
      <c r="P501" s="102"/>
      <c r="Q501" s="102"/>
      <c r="R501" s="102"/>
      <c r="S501" s="102"/>
      <c r="T501" s="102"/>
      <c r="U501" s="102"/>
      <c r="V501" s="102"/>
      <c r="W501" s="102"/>
      <c r="X501" s="102"/>
      <c r="Y501" s="102"/>
      <c r="Z501" s="102"/>
      <c r="AA501" s="102"/>
      <c r="AB501" s="102"/>
      <c r="AC501" s="102"/>
      <c r="AD501" s="102"/>
      <c r="AE501" s="102"/>
      <c r="AF501" s="102"/>
      <c r="AG501" s="102"/>
      <c r="AH501" s="102"/>
      <c r="AI501" s="102"/>
      <c r="AJ501" s="102"/>
      <c r="AK501" s="102"/>
      <c r="AL501" s="102"/>
      <c r="AM501" s="102"/>
      <c r="AN501" s="102"/>
      <c r="AO501" s="102"/>
      <c r="AP501" s="102"/>
    </row>
    <row r="502" spans="1:42">
      <c r="A502" s="89">
        <v>501</v>
      </c>
      <c r="B502" s="90">
        <v>50030761</v>
      </c>
      <c r="C502" s="91" t="s">
        <v>606</v>
      </c>
      <c r="D502" s="58" t="s">
        <v>846</v>
      </c>
      <c r="E502" s="59">
        <v>25382</v>
      </c>
      <c r="F502" s="92">
        <f ca="1">(TODAY()-Data_Assessment[[#This Row],[BIRTH DATE]])/365.25</f>
        <v>52.728268309377142</v>
      </c>
      <c r="G502" s="62" t="s">
        <v>919</v>
      </c>
      <c r="H502" s="63" t="s">
        <v>1250</v>
      </c>
      <c r="I502" s="106">
        <v>1</v>
      </c>
      <c r="J502" s="64" t="s">
        <v>1336</v>
      </c>
      <c r="K502" s="143">
        <v>3</v>
      </c>
      <c r="L502" s="58"/>
      <c r="M502" s="58"/>
      <c r="N502" s="102"/>
      <c r="O502" s="102"/>
      <c r="P502" s="102"/>
      <c r="Q502" s="102"/>
      <c r="R502" s="102"/>
      <c r="S502" s="102"/>
      <c r="T502" s="102"/>
      <c r="U502" s="102"/>
      <c r="V502" s="102"/>
      <c r="W502" s="102"/>
      <c r="X502" s="102"/>
      <c r="Y502" s="102"/>
      <c r="Z502" s="102"/>
      <c r="AA502" s="102"/>
      <c r="AB502" s="102"/>
      <c r="AC502" s="102"/>
      <c r="AD502" s="102"/>
      <c r="AE502" s="102"/>
      <c r="AF502" s="102"/>
      <c r="AG502" s="102"/>
      <c r="AH502" s="102"/>
      <c r="AI502" s="102"/>
      <c r="AJ502" s="102"/>
      <c r="AK502" s="102"/>
      <c r="AL502" s="102"/>
      <c r="AM502" s="102"/>
      <c r="AN502" s="102"/>
      <c r="AO502" s="102"/>
      <c r="AP502" s="102"/>
    </row>
    <row r="503" spans="1:42">
      <c r="A503" s="89">
        <v>502</v>
      </c>
      <c r="B503" s="90">
        <v>50049432</v>
      </c>
      <c r="C503" s="91" t="s">
        <v>609</v>
      </c>
      <c r="D503" s="58" t="s">
        <v>845</v>
      </c>
      <c r="E503" s="59">
        <v>33436</v>
      </c>
      <c r="F503" s="92">
        <f ca="1">(TODAY()-Data_Assessment[[#This Row],[BIRTH DATE]])/365.25</f>
        <v>30.677618069815196</v>
      </c>
      <c r="G503" s="62" t="s">
        <v>919</v>
      </c>
      <c r="H503" s="63" t="s">
        <v>1250</v>
      </c>
      <c r="I503" s="106">
        <v>1</v>
      </c>
      <c r="J503" s="64" t="s">
        <v>1251</v>
      </c>
      <c r="K503" s="143">
        <v>2</v>
      </c>
      <c r="L503" s="58"/>
      <c r="M503" s="58"/>
      <c r="N503" s="102"/>
      <c r="O503" s="102"/>
      <c r="P503" s="102"/>
      <c r="Q503" s="102"/>
      <c r="R503" s="102"/>
      <c r="S503" s="102"/>
      <c r="T503" s="102"/>
      <c r="U503" s="102"/>
      <c r="V503" s="102"/>
      <c r="W503" s="102"/>
      <c r="X503" s="102"/>
      <c r="Y503" s="102"/>
      <c r="Z503" s="102"/>
      <c r="AA503" s="102"/>
      <c r="AB503" s="102"/>
      <c r="AC503" s="102"/>
      <c r="AD503" s="102"/>
      <c r="AE503" s="102"/>
      <c r="AF503" s="102"/>
      <c r="AG503" s="102"/>
      <c r="AH503" s="102"/>
      <c r="AI503" s="102"/>
      <c r="AJ503" s="102"/>
      <c r="AK503" s="102"/>
      <c r="AL503" s="102"/>
      <c r="AM503" s="102"/>
      <c r="AN503" s="102"/>
      <c r="AO503" s="102"/>
      <c r="AP503" s="102"/>
    </row>
    <row r="504" spans="1:42">
      <c r="A504" s="89">
        <v>503</v>
      </c>
      <c r="B504" s="90">
        <v>50102541</v>
      </c>
      <c r="C504" s="91" t="s">
        <v>611</v>
      </c>
      <c r="D504" s="58" t="s">
        <v>845</v>
      </c>
      <c r="E504" s="59">
        <v>34608</v>
      </c>
      <c r="F504" s="92">
        <f ca="1">(TODAY()-Data_Assessment[[#This Row],[BIRTH DATE]])/365.25</f>
        <v>27.468856947296374</v>
      </c>
      <c r="G504" s="62" t="s">
        <v>919</v>
      </c>
      <c r="H504" s="63" t="s">
        <v>1250</v>
      </c>
      <c r="I504" s="106">
        <v>1</v>
      </c>
      <c r="J504" s="64" t="s">
        <v>1251</v>
      </c>
      <c r="K504" s="143">
        <v>3</v>
      </c>
      <c r="L504" s="58"/>
      <c r="M504" s="58"/>
      <c r="N504" s="102"/>
      <c r="O504" s="102"/>
      <c r="P504" s="102"/>
      <c r="Q504" s="102"/>
      <c r="R504" s="102"/>
      <c r="S504" s="102"/>
      <c r="T504" s="102"/>
      <c r="U504" s="102"/>
      <c r="V504" s="102"/>
      <c r="W504" s="102"/>
      <c r="X504" s="102"/>
      <c r="Y504" s="102"/>
      <c r="Z504" s="102"/>
      <c r="AA504" s="102"/>
      <c r="AB504" s="102"/>
      <c r="AC504" s="102"/>
      <c r="AD504" s="102"/>
      <c r="AE504" s="102"/>
      <c r="AF504" s="102"/>
      <c r="AG504" s="102"/>
      <c r="AH504" s="102"/>
      <c r="AI504" s="102"/>
      <c r="AJ504" s="102"/>
      <c r="AK504" s="102"/>
      <c r="AL504" s="102"/>
      <c r="AM504" s="102"/>
      <c r="AN504" s="102"/>
      <c r="AO504" s="102"/>
      <c r="AP504" s="102"/>
    </row>
    <row r="505" spans="1:42">
      <c r="A505" s="89">
        <v>504</v>
      </c>
      <c r="B505" s="90">
        <v>50031069</v>
      </c>
      <c r="C505" s="91" t="s">
        <v>612</v>
      </c>
      <c r="D505" s="58" t="s">
        <v>845</v>
      </c>
      <c r="E505" s="59">
        <v>26126</v>
      </c>
      <c r="F505" s="92">
        <f ca="1">(TODAY()-Data_Assessment[[#This Row],[BIRTH DATE]])/365.25</f>
        <v>50.691307323750856</v>
      </c>
      <c r="G505" s="62" t="s">
        <v>919</v>
      </c>
      <c r="H505" s="63" t="s">
        <v>1337</v>
      </c>
      <c r="I505" s="106">
        <v>1</v>
      </c>
      <c r="J505" s="64" t="s">
        <v>1338</v>
      </c>
      <c r="K505" s="143">
        <v>4</v>
      </c>
      <c r="L505" s="58"/>
      <c r="M505" s="58"/>
      <c r="N505" s="102"/>
      <c r="O505" s="102"/>
      <c r="P505" s="102"/>
      <c r="Q505" s="102"/>
      <c r="R505" s="102"/>
      <c r="S505" s="102"/>
      <c r="T505" s="102"/>
      <c r="U505" s="102"/>
      <c r="V505" s="102"/>
      <c r="W505" s="102"/>
      <c r="X505" s="102"/>
      <c r="Y505" s="102"/>
      <c r="Z505" s="102"/>
      <c r="AA505" s="102"/>
      <c r="AB505" s="102"/>
      <c r="AC505" s="102"/>
      <c r="AD505" s="102"/>
      <c r="AE505" s="102"/>
      <c r="AF505" s="102"/>
      <c r="AG505" s="102"/>
      <c r="AH505" s="102"/>
      <c r="AI505" s="102"/>
      <c r="AJ505" s="102"/>
      <c r="AK505" s="102"/>
      <c r="AL505" s="102"/>
      <c r="AM505" s="102"/>
      <c r="AN505" s="102"/>
      <c r="AO505" s="102"/>
      <c r="AP505" s="102"/>
    </row>
    <row r="506" spans="1:42">
      <c r="A506" s="89">
        <v>505</v>
      </c>
      <c r="B506" s="90">
        <v>50030677</v>
      </c>
      <c r="C506" s="91" t="s">
        <v>613</v>
      </c>
      <c r="D506" s="58" t="s">
        <v>845</v>
      </c>
      <c r="E506" s="59">
        <v>27163</v>
      </c>
      <c r="F506" s="92">
        <f ca="1">(TODAY()-Data_Assessment[[#This Row],[BIRTH DATE]])/365.25</f>
        <v>47.852156057494867</v>
      </c>
      <c r="G506" s="62" t="s">
        <v>919</v>
      </c>
      <c r="H506" s="63" t="s">
        <v>1337</v>
      </c>
      <c r="I506" s="106">
        <v>1</v>
      </c>
      <c r="J506" s="64" t="s">
        <v>1339</v>
      </c>
      <c r="K506" s="143">
        <v>3</v>
      </c>
      <c r="L506" s="58"/>
      <c r="M506" s="58"/>
      <c r="N506" s="102"/>
      <c r="O506" s="102"/>
      <c r="P506" s="102"/>
      <c r="Q506" s="102"/>
      <c r="R506" s="102"/>
      <c r="S506" s="102"/>
      <c r="T506" s="102"/>
      <c r="U506" s="102"/>
      <c r="V506" s="102"/>
      <c r="W506" s="102"/>
      <c r="X506" s="102"/>
      <c r="Y506" s="102"/>
      <c r="Z506" s="102"/>
      <c r="AA506" s="102"/>
      <c r="AB506" s="102"/>
      <c r="AC506" s="102"/>
      <c r="AD506" s="102"/>
      <c r="AE506" s="102"/>
      <c r="AF506" s="102"/>
      <c r="AG506" s="102"/>
      <c r="AH506" s="102"/>
      <c r="AI506" s="102"/>
      <c r="AJ506" s="102"/>
      <c r="AK506" s="102"/>
      <c r="AL506" s="102"/>
      <c r="AM506" s="102"/>
      <c r="AN506" s="102"/>
      <c r="AO506" s="102"/>
      <c r="AP506" s="102"/>
    </row>
    <row r="507" spans="1:42">
      <c r="A507" s="89">
        <v>506</v>
      </c>
      <c r="B507" s="90">
        <v>50041857</v>
      </c>
      <c r="C507" s="91" t="s">
        <v>619</v>
      </c>
      <c r="D507" s="58" t="s">
        <v>845</v>
      </c>
      <c r="E507" s="59">
        <v>27271</v>
      </c>
      <c r="F507" s="92">
        <f ca="1">(TODAY()-Data_Assessment[[#This Row],[BIRTH DATE]])/365.25</f>
        <v>47.5564681724846</v>
      </c>
      <c r="G507" s="62" t="s">
        <v>919</v>
      </c>
      <c r="H507" s="63" t="s">
        <v>1337</v>
      </c>
      <c r="I507" s="106">
        <v>1</v>
      </c>
      <c r="J507" s="64" t="s">
        <v>1340</v>
      </c>
      <c r="K507" s="143">
        <v>4</v>
      </c>
      <c r="L507" s="58"/>
      <c r="M507" s="58"/>
      <c r="N507" s="102"/>
      <c r="O507" s="102"/>
      <c r="P507" s="102"/>
      <c r="Q507" s="102"/>
      <c r="R507" s="102"/>
      <c r="S507" s="102"/>
      <c r="T507" s="102"/>
      <c r="U507" s="102"/>
      <c r="V507" s="102"/>
      <c r="W507" s="102"/>
      <c r="X507" s="102"/>
      <c r="Y507" s="102"/>
      <c r="Z507" s="102"/>
      <c r="AA507" s="102"/>
      <c r="AB507" s="102"/>
      <c r="AC507" s="102"/>
      <c r="AD507" s="102"/>
      <c r="AE507" s="102"/>
      <c r="AF507" s="102"/>
      <c r="AG507" s="102"/>
      <c r="AH507" s="102"/>
      <c r="AI507" s="102"/>
      <c r="AJ507" s="102"/>
      <c r="AK507" s="102"/>
      <c r="AL507" s="102"/>
      <c r="AM507" s="102"/>
      <c r="AN507" s="102"/>
      <c r="AO507" s="102"/>
      <c r="AP507" s="102"/>
    </row>
    <row r="508" spans="1:42">
      <c r="A508" s="89">
        <v>507</v>
      </c>
      <c r="B508" s="90">
        <v>50030654</v>
      </c>
      <c r="C508" s="91" t="s">
        <v>620</v>
      </c>
      <c r="D508" s="58" t="s">
        <v>845</v>
      </c>
      <c r="E508" s="59">
        <v>25709</v>
      </c>
      <c r="F508" s="92">
        <f ca="1">(TODAY()-Data_Assessment[[#This Row],[BIRTH DATE]])/365.25</f>
        <v>51.832991101984945</v>
      </c>
      <c r="G508" s="62" t="s">
        <v>919</v>
      </c>
      <c r="H508" s="63" t="s">
        <v>1341</v>
      </c>
      <c r="I508" s="106">
        <v>1</v>
      </c>
      <c r="J508" s="64" t="s">
        <v>1342</v>
      </c>
      <c r="K508" s="143">
        <v>4</v>
      </c>
      <c r="L508" s="58"/>
      <c r="M508" s="58"/>
      <c r="N508" s="102"/>
      <c r="O508" s="102"/>
      <c r="P508" s="102"/>
      <c r="Q508" s="102"/>
      <c r="R508" s="102"/>
      <c r="S508" s="102"/>
      <c r="T508" s="102"/>
      <c r="U508" s="102"/>
      <c r="V508" s="102"/>
      <c r="W508" s="102"/>
      <c r="X508" s="102"/>
      <c r="Y508" s="102"/>
      <c r="Z508" s="102"/>
      <c r="AA508" s="102"/>
      <c r="AB508" s="102"/>
      <c r="AC508" s="102"/>
      <c r="AD508" s="102"/>
      <c r="AE508" s="102"/>
      <c r="AF508" s="102"/>
      <c r="AG508" s="102"/>
      <c r="AH508" s="102"/>
      <c r="AI508" s="102"/>
      <c r="AJ508" s="102"/>
      <c r="AK508" s="102"/>
      <c r="AL508" s="102"/>
      <c r="AM508" s="102"/>
      <c r="AN508" s="102"/>
      <c r="AO508" s="102"/>
      <c r="AP508" s="102"/>
    </row>
    <row r="509" spans="1:42">
      <c r="A509" s="89">
        <v>508</v>
      </c>
      <c r="B509" s="90">
        <v>50031329</v>
      </c>
      <c r="C509" s="91" t="s">
        <v>621</v>
      </c>
      <c r="D509" s="58" t="s">
        <v>845</v>
      </c>
      <c r="E509" s="59">
        <v>27750</v>
      </c>
      <c r="F509" s="92">
        <f ca="1">(TODAY()-Data_Assessment[[#This Row],[BIRTH DATE]])/365.25</f>
        <v>46.245037645448321</v>
      </c>
      <c r="G509" s="62" t="s">
        <v>919</v>
      </c>
      <c r="H509" s="63" t="s">
        <v>1341</v>
      </c>
      <c r="I509" s="106">
        <v>1</v>
      </c>
      <c r="J509" s="64" t="s">
        <v>1343</v>
      </c>
      <c r="K509" s="143">
        <v>3</v>
      </c>
      <c r="L509" s="58"/>
      <c r="M509" s="58"/>
      <c r="N509" s="102"/>
      <c r="O509" s="102"/>
      <c r="P509" s="102"/>
      <c r="Q509" s="102"/>
      <c r="R509" s="102"/>
      <c r="S509" s="102"/>
      <c r="T509" s="102"/>
      <c r="U509" s="102"/>
      <c r="V509" s="102"/>
      <c r="W509" s="102"/>
      <c r="X509" s="102"/>
      <c r="Y509" s="102"/>
      <c r="Z509" s="102"/>
      <c r="AA509" s="102"/>
      <c r="AB509" s="102"/>
      <c r="AC509" s="102"/>
      <c r="AD509" s="102"/>
      <c r="AE509" s="102"/>
      <c r="AF509" s="102"/>
      <c r="AG509" s="102"/>
      <c r="AH509" s="102"/>
      <c r="AI509" s="102"/>
      <c r="AJ509" s="102"/>
      <c r="AK509" s="102"/>
      <c r="AL509" s="102"/>
      <c r="AM509" s="102"/>
      <c r="AN509" s="102"/>
      <c r="AO509" s="102"/>
      <c r="AP509" s="102"/>
    </row>
    <row r="510" spans="1:42">
      <c r="A510" s="89">
        <v>509</v>
      </c>
      <c r="B510" s="90">
        <v>50030733</v>
      </c>
      <c r="C510" s="91" t="s">
        <v>883</v>
      </c>
      <c r="D510" s="58" t="s">
        <v>845</v>
      </c>
      <c r="E510" s="59">
        <v>26070</v>
      </c>
      <c r="F510" s="92">
        <f ca="1">(TODAY()-Data_Assessment[[#This Row],[BIRTH DATE]])/365.25</f>
        <v>50.844626967830251</v>
      </c>
      <c r="G510" s="62" t="s">
        <v>919</v>
      </c>
      <c r="H510" s="63" t="s">
        <v>1344</v>
      </c>
      <c r="I510" s="106">
        <v>1</v>
      </c>
      <c r="J510" s="64" t="s">
        <v>1345</v>
      </c>
      <c r="K510" s="143">
        <v>3</v>
      </c>
      <c r="L510" s="58"/>
      <c r="M510" s="58"/>
      <c r="N510" s="102"/>
      <c r="O510" s="102"/>
      <c r="P510" s="102"/>
      <c r="Q510" s="102"/>
      <c r="R510" s="102"/>
      <c r="S510" s="102"/>
      <c r="T510" s="102"/>
      <c r="U510" s="102"/>
      <c r="V510" s="102"/>
      <c r="W510" s="102"/>
      <c r="X510" s="102"/>
      <c r="Y510" s="102"/>
      <c r="Z510" s="102"/>
      <c r="AA510" s="102"/>
      <c r="AB510" s="102"/>
      <c r="AC510" s="102"/>
      <c r="AD510" s="102"/>
      <c r="AE510" s="102"/>
      <c r="AF510" s="102"/>
      <c r="AG510" s="102"/>
      <c r="AH510" s="102"/>
      <c r="AI510" s="102"/>
      <c r="AJ510" s="102"/>
      <c r="AK510" s="102"/>
      <c r="AL510" s="102"/>
      <c r="AM510" s="102"/>
      <c r="AN510" s="102"/>
      <c r="AO510" s="102"/>
      <c r="AP510" s="102"/>
    </row>
    <row r="511" spans="1:42">
      <c r="A511" s="89">
        <v>510</v>
      </c>
      <c r="B511" s="90">
        <v>50031607</v>
      </c>
      <c r="C511" s="91" t="s">
        <v>625</v>
      </c>
      <c r="D511" s="58" t="s">
        <v>845</v>
      </c>
      <c r="E511" s="59">
        <v>31666</v>
      </c>
      <c r="F511" s="92">
        <f ca="1">(TODAY()-Data_Assessment[[#This Row],[BIRTH DATE]])/365.25</f>
        <v>35.523613963039011</v>
      </c>
      <c r="G511" s="62" t="s">
        <v>919</v>
      </c>
      <c r="H511" s="63" t="s">
        <v>1344</v>
      </c>
      <c r="I511" s="106">
        <v>1</v>
      </c>
      <c r="J511" s="64" t="s">
        <v>1346</v>
      </c>
      <c r="K511" s="143">
        <v>3</v>
      </c>
      <c r="L511" s="58"/>
      <c r="M511" s="58"/>
      <c r="N511" s="102"/>
      <c r="O511" s="102"/>
      <c r="P511" s="102"/>
      <c r="Q511" s="102"/>
      <c r="R511" s="102"/>
      <c r="S511" s="102"/>
      <c r="T511" s="102"/>
      <c r="U511" s="102"/>
      <c r="V511" s="102"/>
      <c r="W511" s="102"/>
      <c r="X511" s="102"/>
      <c r="Y511" s="102"/>
      <c r="Z511" s="102"/>
      <c r="AA511" s="102"/>
      <c r="AB511" s="102"/>
      <c r="AC511" s="102"/>
      <c r="AD511" s="102"/>
      <c r="AE511" s="102"/>
      <c r="AF511" s="102"/>
      <c r="AG511" s="102"/>
      <c r="AH511" s="102"/>
      <c r="AI511" s="102"/>
      <c r="AJ511" s="102"/>
      <c r="AK511" s="102"/>
      <c r="AL511" s="102"/>
      <c r="AM511" s="102"/>
      <c r="AN511" s="102"/>
      <c r="AO511" s="102"/>
      <c r="AP511" s="102"/>
    </row>
    <row r="512" spans="1:42">
      <c r="A512" s="89">
        <v>511</v>
      </c>
      <c r="B512" s="90">
        <v>50041827</v>
      </c>
      <c r="C512" s="91" t="s">
        <v>626</v>
      </c>
      <c r="D512" s="58" t="s">
        <v>845</v>
      </c>
      <c r="E512" s="59">
        <v>31699</v>
      </c>
      <c r="F512" s="92">
        <f ca="1">(TODAY()-Data_Assessment[[#This Row],[BIRTH DATE]])/365.25</f>
        <v>35.433264887063658</v>
      </c>
      <c r="G512" s="62" t="s">
        <v>919</v>
      </c>
      <c r="H512" s="63" t="s">
        <v>1344</v>
      </c>
      <c r="I512" s="106">
        <v>1</v>
      </c>
      <c r="J512" s="64" t="s">
        <v>1346</v>
      </c>
      <c r="K512" s="143">
        <v>3</v>
      </c>
      <c r="L512" s="58"/>
      <c r="M512" s="58"/>
      <c r="N512" s="102"/>
      <c r="O512" s="102"/>
      <c r="P512" s="102"/>
      <c r="Q512" s="102"/>
      <c r="R512" s="102"/>
      <c r="S512" s="102"/>
      <c r="T512" s="102"/>
      <c r="U512" s="102"/>
      <c r="V512" s="102"/>
      <c r="W512" s="102"/>
      <c r="X512" s="102"/>
      <c r="Y512" s="102"/>
      <c r="Z512" s="102"/>
      <c r="AA512" s="102"/>
      <c r="AB512" s="102"/>
      <c r="AC512" s="102"/>
      <c r="AD512" s="102"/>
      <c r="AE512" s="102"/>
      <c r="AF512" s="102"/>
      <c r="AG512" s="102"/>
      <c r="AH512" s="102"/>
      <c r="AI512" s="102"/>
      <c r="AJ512" s="102"/>
      <c r="AK512" s="102"/>
      <c r="AL512" s="102"/>
      <c r="AM512" s="102"/>
      <c r="AN512" s="102"/>
      <c r="AO512" s="102"/>
      <c r="AP512" s="102"/>
    </row>
    <row r="513" spans="1:42">
      <c r="A513" s="89">
        <v>512</v>
      </c>
      <c r="B513" s="90">
        <v>50031009</v>
      </c>
      <c r="C513" s="91" t="s">
        <v>878</v>
      </c>
      <c r="D513" s="58" t="s">
        <v>845</v>
      </c>
      <c r="E513" s="59">
        <v>27230</v>
      </c>
      <c r="F513" s="92">
        <f ca="1">(TODAY()-Data_Assessment[[#This Row],[BIRTH DATE]])/365.25</f>
        <v>47.668720054757017</v>
      </c>
      <c r="G513" s="62" t="s">
        <v>895</v>
      </c>
      <c r="H513" s="63" t="s">
        <v>1219</v>
      </c>
      <c r="I513" s="106">
        <v>1</v>
      </c>
      <c r="J513" s="64" t="s">
        <v>1347</v>
      </c>
      <c r="K513" s="143">
        <v>3</v>
      </c>
      <c r="L513" s="58"/>
      <c r="M513" s="58"/>
      <c r="N513" s="102"/>
      <c r="O513" s="102"/>
      <c r="P513" s="102"/>
      <c r="Q513" s="102"/>
      <c r="R513" s="102"/>
      <c r="S513" s="102"/>
      <c r="T513" s="102"/>
      <c r="U513" s="102"/>
      <c r="V513" s="102"/>
      <c r="W513" s="102"/>
      <c r="X513" s="102"/>
      <c r="Y513" s="102"/>
      <c r="Z513" s="102"/>
      <c r="AA513" s="102"/>
      <c r="AB513" s="102"/>
      <c r="AC513" s="102"/>
      <c r="AD513" s="102"/>
      <c r="AE513" s="102"/>
      <c r="AF513" s="102"/>
      <c r="AG513" s="102"/>
      <c r="AH513" s="102"/>
      <c r="AI513" s="102"/>
      <c r="AJ513" s="102"/>
      <c r="AK513" s="102"/>
      <c r="AL513" s="102"/>
      <c r="AM513" s="102"/>
      <c r="AN513" s="102"/>
      <c r="AO513" s="102"/>
      <c r="AP513" s="102"/>
    </row>
    <row r="514" spans="1:42">
      <c r="A514" s="89">
        <v>513</v>
      </c>
      <c r="B514" s="90">
        <v>50112880</v>
      </c>
      <c r="C514" s="91" t="s">
        <v>627</v>
      </c>
      <c r="D514" s="58" t="s">
        <v>845</v>
      </c>
      <c r="E514" s="59">
        <v>34223</v>
      </c>
      <c r="F514" s="92">
        <f ca="1">(TODAY()-Data_Assessment[[#This Row],[BIRTH DATE]])/365.25</f>
        <v>28.522929500342233</v>
      </c>
      <c r="G514" s="62" t="s">
        <v>919</v>
      </c>
      <c r="H514" s="63" t="s">
        <v>1344</v>
      </c>
      <c r="I514" s="106">
        <v>1</v>
      </c>
      <c r="J514" s="64" t="s">
        <v>1346</v>
      </c>
      <c r="K514" s="143">
        <v>2</v>
      </c>
      <c r="L514" s="58"/>
      <c r="M514" s="58"/>
      <c r="N514" s="102"/>
      <c r="O514" s="102"/>
      <c r="P514" s="102"/>
      <c r="Q514" s="102"/>
      <c r="R514" s="102"/>
      <c r="S514" s="102"/>
      <c r="T514" s="102"/>
      <c r="U514" s="102"/>
      <c r="V514" s="102"/>
      <c r="W514" s="102"/>
      <c r="X514" s="102"/>
      <c r="Y514" s="102"/>
      <c r="Z514" s="102"/>
      <c r="AA514" s="102"/>
      <c r="AB514" s="102"/>
      <c r="AC514" s="102"/>
      <c r="AD514" s="102"/>
      <c r="AE514" s="102"/>
      <c r="AF514" s="102"/>
      <c r="AG514" s="102"/>
      <c r="AH514" s="102"/>
      <c r="AI514" s="102"/>
      <c r="AJ514" s="102"/>
      <c r="AK514" s="102"/>
      <c r="AL514" s="102"/>
      <c r="AM514" s="102"/>
      <c r="AN514" s="102"/>
      <c r="AO514" s="102"/>
      <c r="AP514" s="102"/>
    </row>
    <row r="515" spans="1:42">
      <c r="A515" s="89">
        <v>514</v>
      </c>
      <c r="B515" s="90">
        <v>50035637</v>
      </c>
      <c r="C515" s="91" t="s">
        <v>628</v>
      </c>
      <c r="D515" s="58" t="s">
        <v>845</v>
      </c>
      <c r="E515" s="59">
        <v>32813</v>
      </c>
      <c r="F515" s="92">
        <f ca="1">(TODAY()-Data_Assessment[[#This Row],[BIRTH DATE]])/365.25</f>
        <v>32.383299110198493</v>
      </c>
      <c r="G515" s="62" t="s">
        <v>919</v>
      </c>
      <c r="H515" s="63" t="s">
        <v>1348</v>
      </c>
      <c r="I515" s="106">
        <v>1</v>
      </c>
      <c r="J515" s="64" t="s">
        <v>1349</v>
      </c>
      <c r="K515" s="143">
        <v>3</v>
      </c>
      <c r="L515" s="58"/>
      <c r="M515" s="58"/>
      <c r="N515" s="102"/>
      <c r="O515" s="102"/>
      <c r="P515" s="102"/>
      <c r="Q515" s="102"/>
      <c r="R515" s="102"/>
      <c r="S515" s="102"/>
      <c r="T515" s="102"/>
      <c r="U515" s="102"/>
      <c r="V515" s="102"/>
      <c r="W515" s="102"/>
      <c r="X515" s="102"/>
      <c r="Y515" s="102"/>
      <c r="Z515" s="102"/>
      <c r="AA515" s="102"/>
      <c r="AB515" s="102"/>
      <c r="AC515" s="102"/>
      <c r="AD515" s="102"/>
      <c r="AE515" s="102"/>
      <c r="AF515" s="102"/>
      <c r="AG515" s="102"/>
      <c r="AH515" s="102"/>
      <c r="AI515" s="102"/>
      <c r="AJ515" s="102"/>
      <c r="AK515" s="102"/>
      <c r="AL515" s="102"/>
      <c r="AM515" s="102"/>
      <c r="AN515" s="102"/>
      <c r="AO515" s="102"/>
      <c r="AP515" s="102"/>
    </row>
    <row r="516" spans="1:42">
      <c r="A516" s="89">
        <v>515</v>
      </c>
      <c r="B516" s="90">
        <v>50030738</v>
      </c>
      <c r="C516" s="91" t="s">
        <v>629</v>
      </c>
      <c r="D516" s="58" t="s">
        <v>845</v>
      </c>
      <c r="E516" s="59">
        <v>24577</v>
      </c>
      <c r="F516" s="92">
        <f ca="1">(TODAY()-Data_Assessment[[#This Row],[BIRTH DATE]])/365.25</f>
        <v>54.932238193018478</v>
      </c>
      <c r="G516" s="62" t="s">
        <v>919</v>
      </c>
      <c r="H516" s="63" t="s">
        <v>1348</v>
      </c>
      <c r="I516" s="106">
        <v>1</v>
      </c>
      <c r="J516" s="64" t="s">
        <v>1350</v>
      </c>
      <c r="K516" s="143">
        <v>2</v>
      </c>
      <c r="L516" s="58"/>
      <c r="M516" s="58"/>
      <c r="N516" s="102"/>
      <c r="O516" s="102"/>
      <c r="P516" s="102"/>
      <c r="Q516" s="102"/>
      <c r="R516" s="102"/>
      <c r="S516" s="102"/>
      <c r="T516" s="102"/>
      <c r="U516" s="102"/>
      <c r="V516" s="102"/>
      <c r="W516" s="102"/>
      <c r="X516" s="102"/>
      <c r="Y516" s="102"/>
      <c r="Z516" s="102"/>
      <c r="AA516" s="102"/>
      <c r="AB516" s="102"/>
      <c r="AC516" s="102"/>
      <c r="AD516" s="102"/>
      <c r="AE516" s="102"/>
      <c r="AF516" s="102"/>
      <c r="AG516" s="102"/>
      <c r="AH516" s="102"/>
      <c r="AI516" s="102"/>
      <c r="AJ516" s="102"/>
      <c r="AK516" s="102"/>
      <c r="AL516" s="102"/>
      <c r="AM516" s="102"/>
      <c r="AN516" s="102"/>
      <c r="AO516" s="102"/>
      <c r="AP516" s="102"/>
    </row>
    <row r="517" spans="1:42">
      <c r="A517" s="89">
        <v>516</v>
      </c>
      <c r="B517" s="90">
        <v>50047397</v>
      </c>
      <c r="C517" s="91" t="s">
        <v>1351</v>
      </c>
      <c r="D517" s="58" t="s">
        <v>845</v>
      </c>
      <c r="E517" s="59">
        <v>33755</v>
      </c>
      <c r="F517" s="92">
        <f ca="1">(TODAY()-Data_Assessment[[#This Row],[BIRTH DATE]])/365.25</f>
        <v>29.804243668720055</v>
      </c>
      <c r="G517" s="62" t="s">
        <v>895</v>
      </c>
      <c r="H517" s="63" t="s">
        <v>1219</v>
      </c>
      <c r="I517" s="106">
        <v>1</v>
      </c>
      <c r="J517" s="64" t="s">
        <v>1220</v>
      </c>
      <c r="K517" s="143">
        <v>3</v>
      </c>
      <c r="L517" s="58"/>
      <c r="M517" s="58"/>
      <c r="N517" s="102"/>
      <c r="O517" s="102"/>
      <c r="P517" s="102"/>
      <c r="Q517" s="102"/>
      <c r="R517" s="102"/>
      <c r="S517" s="102"/>
      <c r="T517" s="102"/>
      <c r="U517" s="102"/>
      <c r="V517" s="102"/>
      <c r="W517" s="102"/>
      <c r="X517" s="102"/>
      <c r="Y517" s="102"/>
      <c r="Z517" s="102"/>
      <c r="AA517" s="102"/>
      <c r="AB517" s="102"/>
      <c r="AC517" s="102"/>
      <c r="AD517" s="102"/>
      <c r="AE517" s="102"/>
      <c r="AF517" s="102"/>
      <c r="AG517" s="102"/>
      <c r="AH517" s="102"/>
      <c r="AI517" s="102"/>
      <c r="AJ517" s="102"/>
      <c r="AK517" s="102"/>
      <c r="AL517" s="102"/>
      <c r="AM517" s="102"/>
      <c r="AN517" s="102"/>
      <c r="AO517" s="102"/>
      <c r="AP517" s="102"/>
    </row>
    <row r="518" spans="1:42">
      <c r="A518" s="89">
        <v>517</v>
      </c>
      <c r="B518" s="90">
        <v>50030706</v>
      </c>
      <c r="C518" s="91" t="s">
        <v>630</v>
      </c>
      <c r="D518" s="58" t="s">
        <v>845</v>
      </c>
      <c r="E518" s="59">
        <v>26529</v>
      </c>
      <c r="F518" s="92">
        <f ca="1">(TODAY()-Data_Assessment[[#This Row],[BIRTH DATE]])/365.25</f>
        <v>49.587953456536617</v>
      </c>
      <c r="G518" s="62" t="s">
        <v>919</v>
      </c>
      <c r="H518" s="63" t="s">
        <v>1348</v>
      </c>
      <c r="I518" s="106">
        <v>1</v>
      </c>
      <c r="J518" s="64" t="s">
        <v>1350</v>
      </c>
      <c r="K518" s="143">
        <v>2</v>
      </c>
      <c r="L518" s="58"/>
      <c r="M518" s="58"/>
      <c r="N518" s="102"/>
      <c r="O518" s="102"/>
      <c r="P518" s="102"/>
      <c r="Q518" s="102"/>
      <c r="R518" s="102"/>
      <c r="S518" s="102"/>
      <c r="T518" s="102"/>
      <c r="U518" s="102"/>
      <c r="V518" s="102"/>
      <c r="W518" s="102"/>
      <c r="X518" s="102"/>
      <c r="Y518" s="102"/>
      <c r="Z518" s="102"/>
      <c r="AA518" s="102"/>
      <c r="AB518" s="102"/>
      <c r="AC518" s="102"/>
      <c r="AD518" s="102"/>
      <c r="AE518" s="102"/>
      <c r="AF518" s="102"/>
      <c r="AG518" s="102"/>
      <c r="AH518" s="102"/>
      <c r="AI518" s="102"/>
      <c r="AJ518" s="102"/>
      <c r="AK518" s="102"/>
      <c r="AL518" s="102"/>
      <c r="AM518" s="102"/>
      <c r="AN518" s="102"/>
      <c r="AO518" s="102"/>
      <c r="AP518" s="102"/>
    </row>
    <row r="519" spans="1:42">
      <c r="A519" s="89">
        <v>518</v>
      </c>
      <c r="B519" s="90">
        <v>50030694</v>
      </c>
      <c r="C519" s="91" t="s">
        <v>632</v>
      </c>
      <c r="D519" s="58" t="s">
        <v>845</v>
      </c>
      <c r="E519" s="59">
        <v>25070</v>
      </c>
      <c r="F519" s="92">
        <f ca="1">(TODAY()-Data_Assessment[[#This Row],[BIRTH DATE]])/365.25</f>
        <v>53.582477754962355</v>
      </c>
      <c r="G519" s="62" t="s">
        <v>919</v>
      </c>
      <c r="H519" s="63" t="s">
        <v>1352</v>
      </c>
      <c r="I519" s="106">
        <v>1</v>
      </c>
      <c r="J519" s="64" t="s">
        <v>1353</v>
      </c>
      <c r="K519" s="143">
        <v>3</v>
      </c>
      <c r="L519" s="58"/>
      <c r="M519" s="58"/>
      <c r="N519" s="102"/>
      <c r="O519" s="102"/>
      <c r="P519" s="102"/>
      <c r="Q519" s="102"/>
      <c r="R519" s="102"/>
      <c r="S519" s="102"/>
      <c r="T519" s="102"/>
      <c r="U519" s="102"/>
      <c r="V519" s="102"/>
      <c r="W519" s="102"/>
      <c r="X519" s="102"/>
      <c r="Y519" s="102"/>
      <c r="Z519" s="102"/>
      <c r="AA519" s="102"/>
      <c r="AB519" s="102"/>
      <c r="AC519" s="102"/>
      <c r="AD519" s="102"/>
      <c r="AE519" s="102"/>
      <c r="AF519" s="102"/>
      <c r="AG519" s="102"/>
      <c r="AH519" s="102"/>
      <c r="AI519" s="102"/>
      <c r="AJ519" s="102"/>
      <c r="AK519" s="102"/>
      <c r="AL519" s="102"/>
      <c r="AM519" s="102"/>
      <c r="AN519" s="102"/>
      <c r="AO519" s="102"/>
      <c r="AP519" s="102"/>
    </row>
    <row r="520" spans="1:42">
      <c r="A520" s="89">
        <v>519</v>
      </c>
      <c r="B520" s="90">
        <v>50031280</v>
      </c>
      <c r="C520" s="91" t="s">
        <v>635</v>
      </c>
      <c r="D520" s="58" t="s">
        <v>845</v>
      </c>
      <c r="E520" s="59">
        <v>24513</v>
      </c>
      <c r="F520" s="92">
        <f ca="1">(TODAY()-Data_Assessment[[#This Row],[BIRTH DATE]])/365.25</f>
        <v>55.107460643394937</v>
      </c>
      <c r="G520" s="62" t="s">
        <v>919</v>
      </c>
      <c r="H520" s="63" t="s">
        <v>1352</v>
      </c>
      <c r="I520" s="106">
        <v>1</v>
      </c>
      <c r="J520" s="64" t="s">
        <v>1354</v>
      </c>
      <c r="K520" s="143">
        <v>3</v>
      </c>
      <c r="L520" s="58"/>
      <c r="M520" s="58"/>
      <c r="N520" s="102"/>
      <c r="O520" s="102"/>
      <c r="P520" s="102"/>
      <c r="Q520" s="102"/>
      <c r="R520" s="102"/>
      <c r="S520" s="102"/>
      <c r="T520" s="102"/>
      <c r="U520" s="102"/>
      <c r="V520" s="102"/>
      <c r="W520" s="102"/>
      <c r="X520" s="102"/>
      <c r="Y520" s="102"/>
      <c r="Z520" s="102"/>
      <c r="AA520" s="102"/>
      <c r="AB520" s="102"/>
      <c r="AC520" s="102"/>
      <c r="AD520" s="102"/>
      <c r="AE520" s="102"/>
      <c r="AF520" s="102"/>
      <c r="AG520" s="102"/>
      <c r="AH520" s="102"/>
      <c r="AI520" s="102"/>
      <c r="AJ520" s="102"/>
      <c r="AK520" s="102"/>
      <c r="AL520" s="102"/>
      <c r="AM520" s="102"/>
      <c r="AN520" s="102"/>
      <c r="AO520" s="102"/>
      <c r="AP520" s="102"/>
    </row>
    <row r="521" spans="1:42">
      <c r="A521" s="89">
        <v>520</v>
      </c>
      <c r="B521" s="90">
        <v>50114027</v>
      </c>
      <c r="C521" s="91" t="s">
        <v>417</v>
      </c>
      <c r="D521" s="58" t="s">
        <v>845</v>
      </c>
      <c r="E521" s="59">
        <v>32089</v>
      </c>
      <c r="F521" s="92">
        <f ca="1">(TODAY()-Data_Assessment[[#This Row],[BIRTH DATE]])/365.25</f>
        <v>34.365503080082135</v>
      </c>
      <c r="G521" s="62" t="s">
        <v>895</v>
      </c>
      <c r="H521" s="63" t="s">
        <v>1219</v>
      </c>
      <c r="I521" s="106">
        <v>1</v>
      </c>
      <c r="J521" s="64" t="s">
        <v>1355</v>
      </c>
      <c r="K521" s="143">
        <v>3</v>
      </c>
      <c r="L521" s="58"/>
      <c r="M521" s="58"/>
      <c r="N521" s="102"/>
      <c r="O521" s="102"/>
      <c r="P521" s="102"/>
      <c r="Q521" s="102"/>
      <c r="R521" s="102"/>
      <c r="S521" s="102"/>
      <c r="T521" s="102"/>
      <c r="U521" s="102"/>
      <c r="V521" s="102"/>
      <c r="W521" s="102"/>
      <c r="X521" s="102"/>
      <c r="Y521" s="102"/>
      <c r="Z521" s="102"/>
      <c r="AA521" s="102"/>
      <c r="AB521" s="102"/>
      <c r="AC521" s="102"/>
      <c r="AD521" s="102"/>
      <c r="AE521" s="102"/>
      <c r="AF521" s="102"/>
      <c r="AG521" s="102"/>
      <c r="AH521" s="102"/>
      <c r="AI521" s="102"/>
      <c r="AJ521" s="102"/>
      <c r="AK521" s="102"/>
      <c r="AL521" s="102"/>
      <c r="AM521" s="102"/>
      <c r="AN521" s="102"/>
      <c r="AO521" s="102"/>
      <c r="AP521" s="102"/>
    </row>
    <row r="522" spans="1:42">
      <c r="A522" s="89">
        <v>521</v>
      </c>
      <c r="B522" s="90">
        <v>50031335</v>
      </c>
      <c r="C522" s="91" t="s">
        <v>637</v>
      </c>
      <c r="D522" s="58" t="s">
        <v>845</v>
      </c>
      <c r="E522" s="59">
        <v>27337</v>
      </c>
      <c r="F522" s="92">
        <f ca="1">(TODAY()-Data_Assessment[[#This Row],[BIRTH DATE]])/365.25</f>
        <v>47.375770020533878</v>
      </c>
      <c r="G522" s="62" t="s">
        <v>919</v>
      </c>
      <c r="H522" s="63" t="s">
        <v>1352</v>
      </c>
      <c r="I522" s="106">
        <v>1</v>
      </c>
      <c r="J522" s="64" t="s">
        <v>1356</v>
      </c>
      <c r="K522" s="143">
        <v>2</v>
      </c>
      <c r="L522" s="58"/>
      <c r="M522" s="58"/>
      <c r="N522" s="102"/>
      <c r="O522" s="102"/>
      <c r="P522" s="102"/>
      <c r="Q522" s="102"/>
      <c r="R522" s="102"/>
      <c r="S522" s="102"/>
      <c r="T522" s="102"/>
      <c r="U522" s="102"/>
      <c r="V522" s="102"/>
      <c r="W522" s="102"/>
      <c r="X522" s="102"/>
      <c r="Y522" s="102"/>
      <c r="Z522" s="102"/>
      <c r="AA522" s="102"/>
      <c r="AB522" s="102"/>
      <c r="AC522" s="102"/>
      <c r="AD522" s="102"/>
      <c r="AE522" s="102"/>
      <c r="AF522" s="102"/>
      <c r="AG522" s="102"/>
      <c r="AH522" s="102"/>
      <c r="AI522" s="102"/>
      <c r="AJ522" s="102"/>
      <c r="AK522" s="102"/>
      <c r="AL522" s="102"/>
      <c r="AM522" s="102"/>
      <c r="AN522" s="102"/>
      <c r="AO522" s="102"/>
      <c r="AP522" s="102"/>
    </row>
    <row r="523" spans="1:42">
      <c r="A523" s="89">
        <v>522</v>
      </c>
      <c r="B523" s="90">
        <v>50030729</v>
      </c>
      <c r="C523" s="91" t="s">
        <v>881</v>
      </c>
      <c r="D523" s="58" t="s">
        <v>845</v>
      </c>
      <c r="E523" s="59">
        <v>27012</v>
      </c>
      <c r="F523" s="92">
        <f ca="1">(TODAY()-Data_Assessment[[#This Row],[BIRTH DATE]])/365.25</f>
        <v>48.265571526351813</v>
      </c>
      <c r="G523" s="62" t="s">
        <v>919</v>
      </c>
      <c r="H523" s="63" t="s">
        <v>1357</v>
      </c>
      <c r="I523" s="106">
        <v>1</v>
      </c>
      <c r="J523" s="64" t="s">
        <v>1358</v>
      </c>
      <c r="K523" s="143">
        <v>3</v>
      </c>
      <c r="L523" s="58"/>
      <c r="M523" s="58"/>
      <c r="N523" s="102"/>
      <c r="O523" s="102"/>
      <c r="P523" s="102"/>
      <c r="Q523" s="102"/>
      <c r="R523" s="102"/>
      <c r="S523" s="102"/>
      <c r="T523" s="102"/>
      <c r="U523" s="102"/>
      <c r="V523" s="102"/>
      <c r="W523" s="102"/>
      <c r="X523" s="102"/>
      <c r="Y523" s="102"/>
      <c r="Z523" s="102"/>
      <c r="AA523" s="102"/>
      <c r="AB523" s="102"/>
      <c r="AC523" s="102"/>
      <c r="AD523" s="102"/>
      <c r="AE523" s="102"/>
      <c r="AF523" s="102"/>
      <c r="AG523" s="102"/>
      <c r="AH523" s="102"/>
      <c r="AI523" s="102"/>
      <c r="AJ523" s="102"/>
      <c r="AK523" s="102"/>
      <c r="AL523" s="102"/>
      <c r="AM523" s="102"/>
      <c r="AN523" s="102"/>
      <c r="AO523" s="102"/>
      <c r="AP523" s="102"/>
    </row>
    <row r="524" spans="1:42">
      <c r="A524" s="89">
        <v>523</v>
      </c>
      <c r="B524" s="90">
        <v>50031117</v>
      </c>
      <c r="C524" s="91" t="s">
        <v>419</v>
      </c>
      <c r="D524" s="58" t="s">
        <v>846</v>
      </c>
      <c r="E524" s="59">
        <v>24525</v>
      </c>
      <c r="F524" s="92">
        <f ca="1">(TODAY()-Data_Assessment[[#This Row],[BIRTH DATE]])/365.25</f>
        <v>55.074606433949349</v>
      </c>
      <c r="G524" s="62" t="s">
        <v>895</v>
      </c>
      <c r="H524" s="63" t="s">
        <v>1225</v>
      </c>
      <c r="I524" s="106">
        <v>1</v>
      </c>
      <c r="J524" s="64" t="s">
        <v>1359</v>
      </c>
      <c r="K524" s="143">
        <v>3</v>
      </c>
      <c r="L524" s="58"/>
      <c r="M524" s="58"/>
      <c r="N524" s="102"/>
      <c r="O524" s="102"/>
      <c r="P524" s="102"/>
      <c r="Q524" s="102"/>
      <c r="R524" s="102"/>
      <c r="S524" s="102"/>
      <c r="T524" s="102"/>
      <c r="U524" s="102"/>
      <c r="V524" s="102"/>
      <c r="W524" s="102"/>
      <c r="X524" s="102"/>
      <c r="Y524" s="102"/>
      <c r="Z524" s="102"/>
      <c r="AA524" s="102"/>
      <c r="AB524" s="102"/>
      <c r="AC524" s="102"/>
      <c r="AD524" s="102"/>
      <c r="AE524" s="102"/>
      <c r="AF524" s="102"/>
      <c r="AG524" s="102"/>
      <c r="AH524" s="102"/>
      <c r="AI524" s="102"/>
      <c r="AJ524" s="102"/>
      <c r="AK524" s="102"/>
      <c r="AL524" s="102"/>
      <c r="AM524" s="102"/>
      <c r="AN524" s="102"/>
      <c r="AO524" s="102"/>
      <c r="AP524" s="102"/>
    </row>
    <row r="525" spans="1:42">
      <c r="A525" s="89">
        <v>524</v>
      </c>
      <c r="B525" s="90">
        <v>50030758</v>
      </c>
      <c r="C525" s="91" t="s">
        <v>882</v>
      </c>
      <c r="D525" s="58" t="s">
        <v>845</v>
      </c>
      <c r="E525" s="59">
        <v>29592</v>
      </c>
      <c r="F525" s="92">
        <f ca="1">(TODAY()-Data_Assessment[[#This Row],[BIRTH DATE]])/365.25</f>
        <v>41.201916495550989</v>
      </c>
      <c r="G525" s="62" t="s">
        <v>919</v>
      </c>
      <c r="H525" s="63" t="s">
        <v>1252</v>
      </c>
      <c r="I525" s="106">
        <v>1</v>
      </c>
      <c r="J525" s="64" t="s">
        <v>1253</v>
      </c>
      <c r="K525" s="143">
        <v>3</v>
      </c>
      <c r="L525" s="58"/>
      <c r="M525" s="58"/>
      <c r="N525" s="102"/>
      <c r="O525" s="102"/>
      <c r="P525" s="102"/>
      <c r="Q525" s="102"/>
      <c r="R525" s="102"/>
      <c r="S525" s="102"/>
      <c r="T525" s="102"/>
      <c r="U525" s="102"/>
      <c r="V525" s="102"/>
      <c r="W525" s="102"/>
      <c r="X525" s="102"/>
      <c r="Y525" s="102"/>
      <c r="Z525" s="102"/>
      <c r="AA525" s="102"/>
      <c r="AB525" s="102"/>
      <c r="AC525" s="102"/>
      <c r="AD525" s="102"/>
      <c r="AE525" s="102"/>
      <c r="AF525" s="102"/>
      <c r="AG525" s="102"/>
      <c r="AH525" s="102"/>
      <c r="AI525" s="102"/>
      <c r="AJ525" s="102"/>
      <c r="AK525" s="102"/>
      <c r="AL525" s="102"/>
      <c r="AM525" s="102"/>
      <c r="AN525" s="102"/>
      <c r="AO525" s="102"/>
      <c r="AP525" s="102"/>
    </row>
    <row r="526" spans="1:42">
      <c r="A526" s="89">
        <v>525</v>
      </c>
      <c r="B526" s="90">
        <v>50049433</v>
      </c>
      <c r="C526" s="91" t="s">
        <v>639</v>
      </c>
      <c r="D526" s="58" t="s">
        <v>845</v>
      </c>
      <c r="E526" s="59">
        <v>33979</v>
      </c>
      <c r="F526" s="92">
        <f ca="1">(TODAY()-Data_Assessment[[#This Row],[BIRTH DATE]])/365.25</f>
        <v>29.190965092402465</v>
      </c>
      <c r="G526" s="62" t="s">
        <v>919</v>
      </c>
      <c r="H526" s="63" t="s">
        <v>1252</v>
      </c>
      <c r="I526" s="106">
        <v>1</v>
      </c>
      <c r="J526" s="64" t="s">
        <v>1253</v>
      </c>
      <c r="K526" s="143">
        <v>2</v>
      </c>
      <c r="L526" s="58"/>
      <c r="M526" s="58"/>
      <c r="N526" s="102"/>
      <c r="O526" s="102"/>
      <c r="P526" s="102"/>
      <c r="Q526" s="102"/>
      <c r="R526" s="102"/>
      <c r="S526" s="102"/>
      <c r="T526" s="102"/>
      <c r="U526" s="102"/>
      <c r="V526" s="102"/>
      <c r="W526" s="102"/>
      <c r="X526" s="102"/>
      <c r="Y526" s="102"/>
      <c r="Z526" s="102"/>
      <c r="AA526" s="102"/>
      <c r="AB526" s="102"/>
      <c r="AC526" s="102"/>
      <c r="AD526" s="102"/>
      <c r="AE526" s="102"/>
      <c r="AF526" s="102"/>
      <c r="AG526" s="102"/>
      <c r="AH526" s="102"/>
      <c r="AI526" s="102"/>
      <c r="AJ526" s="102"/>
      <c r="AK526" s="102"/>
      <c r="AL526" s="102"/>
      <c r="AM526" s="102"/>
      <c r="AN526" s="102"/>
      <c r="AO526" s="102"/>
      <c r="AP526" s="102"/>
    </row>
    <row r="527" spans="1:42">
      <c r="A527" s="89">
        <v>526</v>
      </c>
      <c r="B527" s="90">
        <v>50031515</v>
      </c>
      <c r="C527" s="91" t="s">
        <v>421</v>
      </c>
      <c r="D527" s="58" t="s">
        <v>845</v>
      </c>
      <c r="E527" s="59">
        <v>24577</v>
      </c>
      <c r="F527" s="92">
        <f ca="1">(TODAY()-Data_Assessment[[#This Row],[BIRTH DATE]])/365.25</f>
        <v>54.932238193018478</v>
      </c>
      <c r="G527" s="62" t="s">
        <v>895</v>
      </c>
      <c r="H527" s="63" t="s">
        <v>909</v>
      </c>
      <c r="I527" s="106">
        <v>1</v>
      </c>
      <c r="J527" s="64" t="s">
        <v>1360</v>
      </c>
      <c r="K527" s="143">
        <v>4</v>
      </c>
      <c r="L527" s="58"/>
      <c r="M527" s="58"/>
      <c r="N527" s="102"/>
      <c r="O527" s="102"/>
      <c r="P527" s="102"/>
      <c r="Q527" s="102"/>
      <c r="R527" s="102"/>
      <c r="S527" s="102"/>
      <c r="T527" s="102"/>
      <c r="U527" s="102"/>
      <c r="V527" s="102"/>
      <c r="W527" s="102"/>
      <c r="X527" s="102"/>
      <c r="Y527" s="102"/>
      <c r="Z527" s="102"/>
      <c r="AA527" s="102"/>
      <c r="AB527" s="102"/>
      <c r="AC527" s="102"/>
      <c r="AD527" s="102"/>
      <c r="AE527" s="102"/>
      <c r="AF527" s="102"/>
      <c r="AG527" s="102"/>
      <c r="AH527" s="102"/>
      <c r="AI527" s="102"/>
      <c r="AJ527" s="102"/>
      <c r="AK527" s="102"/>
      <c r="AL527" s="102"/>
      <c r="AM527" s="102"/>
      <c r="AN527" s="102"/>
      <c r="AO527" s="102"/>
      <c r="AP527" s="102"/>
    </row>
    <row r="528" spans="1:42">
      <c r="A528" s="89">
        <v>527</v>
      </c>
      <c r="B528" s="90">
        <v>50030656</v>
      </c>
      <c r="C528" s="91" t="s">
        <v>644</v>
      </c>
      <c r="D528" s="58" t="s">
        <v>845</v>
      </c>
      <c r="E528" s="59">
        <v>25895</v>
      </c>
      <c r="F528" s="92">
        <f ca="1">(TODAY()-Data_Assessment[[#This Row],[BIRTH DATE]])/365.25</f>
        <v>51.323750855578368</v>
      </c>
      <c r="G528" s="62" t="s">
        <v>919</v>
      </c>
      <c r="H528" s="63" t="s">
        <v>957</v>
      </c>
      <c r="I528" s="106">
        <v>1</v>
      </c>
      <c r="J528" s="64" t="s">
        <v>1361</v>
      </c>
      <c r="K528" s="143">
        <v>3</v>
      </c>
      <c r="L528" s="58"/>
      <c r="M528" s="58"/>
      <c r="N528" s="102"/>
      <c r="O528" s="102"/>
      <c r="P528" s="102"/>
      <c r="Q528" s="102"/>
      <c r="R528" s="102"/>
      <c r="S528" s="102"/>
      <c r="T528" s="102"/>
      <c r="U528" s="102"/>
      <c r="V528" s="102"/>
      <c r="W528" s="102"/>
      <c r="X528" s="102"/>
      <c r="Y528" s="102"/>
      <c r="Z528" s="102"/>
      <c r="AA528" s="102"/>
      <c r="AB528" s="102"/>
      <c r="AC528" s="102"/>
      <c r="AD528" s="102"/>
      <c r="AE528" s="102"/>
      <c r="AF528" s="102"/>
      <c r="AG528" s="102"/>
      <c r="AH528" s="102"/>
      <c r="AI528" s="102"/>
      <c r="AJ528" s="102"/>
      <c r="AK528" s="102"/>
      <c r="AL528" s="102"/>
      <c r="AM528" s="102"/>
      <c r="AN528" s="102"/>
      <c r="AO528" s="102"/>
      <c r="AP528" s="102"/>
    </row>
    <row r="529" spans="1:42">
      <c r="A529" s="89">
        <v>528</v>
      </c>
      <c r="B529" s="90">
        <v>50031341</v>
      </c>
      <c r="C529" s="91" t="s">
        <v>648</v>
      </c>
      <c r="D529" s="58" t="s">
        <v>845</v>
      </c>
      <c r="E529" s="59">
        <v>26921</v>
      </c>
      <c r="F529" s="92">
        <f ca="1">(TODAY()-Data_Assessment[[#This Row],[BIRTH DATE]])/365.25</f>
        <v>48.514715947980832</v>
      </c>
      <c r="G529" s="62" t="s">
        <v>919</v>
      </c>
      <c r="H529" s="63" t="s">
        <v>1255</v>
      </c>
      <c r="I529" s="106">
        <v>1</v>
      </c>
      <c r="J529" s="64" t="s">
        <v>1362</v>
      </c>
      <c r="K529" s="143">
        <v>3</v>
      </c>
      <c r="L529" s="58"/>
      <c r="M529" s="58"/>
      <c r="N529" s="102"/>
      <c r="O529" s="102"/>
      <c r="P529" s="102"/>
      <c r="Q529" s="102"/>
      <c r="R529" s="102"/>
      <c r="S529" s="102"/>
      <c r="T529" s="102"/>
      <c r="U529" s="102"/>
      <c r="V529" s="102"/>
      <c r="W529" s="102"/>
      <c r="X529" s="102"/>
      <c r="Y529" s="102"/>
      <c r="Z529" s="102"/>
      <c r="AA529" s="102"/>
      <c r="AB529" s="102"/>
      <c r="AC529" s="102"/>
      <c r="AD529" s="102"/>
      <c r="AE529" s="102"/>
      <c r="AF529" s="102"/>
      <c r="AG529" s="102"/>
      <c r="AH529" s="102"/>
      <c r="AI529" s="102"/>
      <c r="AJ529" s="102"/>
      <c r="AK529" s="102"/>
      <c r="AL529" s="102"/>
      <c r="AM529" s="102"/>
      <c r="AN529" s="102"/>
      <c r="AO529" s="102"/>
      <c r="AP529" s="102"/>
    </row>
    <row r="530" spans="1:42">
      <c r="A530" s="89">
        <v>529</v>
      </c>
      <c r="B530" s="90">
        <v>50037952</v>
      </c>
      <c r="C530" s="91" t="s">
        <v>422</v>
      </c>
      <c r="D530" s="58" t="s">
        <v>845</v>
      </c>
      <c r="E530" s="59">
        <v>32258</v>
      </c>
      <c r="F530" s="92">
        <f ca="1">(TODAY()-Data_Assessment[[#This Row],[BIRTH DATE]])/365.25</f>
        <v>33.902806297056813</v>
      </c>
      <c r="G530" s="62" t="s">
        <v>895</v>
      </c>
      <c r="H530" s="63" t="s">
        <v>909</v>
      </c>
      <c r="I530" s="106">
        <v>1</v>
      </c>
      <c r="J530" s="64" t="s">
        <v>1363</v>
      </c>
      <c r="K530" s="143">
        <v>4</v>
      </c>
      <c r="L530" s="58"/>
      <c r="M530" s="58"/>
      <c r="N530" s="102"/>
      <c r="O530" s="102"/>
      <c r="P530" s="102"/>
      <c r="Q530" s="102"/>
      <c r="R530" s="102"/>
      <c r="S530" s="102"/>
      <c r="T530" s="102"/>
      <c r="U530" s="102"/>
      <c r="V530" s="102"/>
      <c r="W530" s="102"/>
      <c r="X530" s="102"/>
      <c r="Y530" s="102"/>
      <c r="Z530" s="102"/>
      <c r="AA530" s="102"/>
      <c r="AB530" s="102"/>
      <c r="AC530" s="102"/>
      <c r="AD530" s="102"/>
      <c r="AE530" s="102"/>
      <c r="AF530" s="102"/>
      <c r="AG530" s="102"/>
      <c r="AH530" s="102"/>
      <c r="AI530" s="102"/>
      <c r="AJ530" s="102"/>
      <c r="AK530" s="102"/>
      <c r="AL530" s="102"/>
      <c r="AM530" s="102"/>
      <c r="AN530" s="102"/>
      <c r="AO530" s="102"/>
      <c r="AP530" s="102"/>
    </row>
    <row r="531" spans="1:42">
      <c r="A531" s="89">
        <v>530</v>
      </c>
      <c r="B531" s="90">
        <v>50040853</v>
      </c>
      <c r="C531" s="91" t="s">
        <v>650</v>
      </c>
      <c r="D531" s="58" t="s">
        <v>845</v>
      </c>
      <c r="E531" s="59">
        <v>32874</v>
      </c>
      <c r="F531" s="92">
        <f ca="1">(TODAY()-Data_Assessment[[#This Row],[BIRTH DATE]])/365.25</f>
        <v>32.216290212183438</v>
      </c>
      <c r="G531" s="62" t="s">
        <v>919</v>
      </c>
      <c r="H531" s="63" t="s">
        <v>1255</v>
      </c>
      <c r="I531" s="106">
        <v>1</v>
      </c>
      <c r="J531" s="64" t="s">
        <v>1256</v>
      </c>
      <c r="K531" s="143">
        <v>4</v>
      </c>
      <c r="L531" s="58"/>
      <c r="M531" s="58"/>
      <c r="N531" s="102"/>
      <c r="O531" s="102"/>
      <c r="P531" s="102"/>
      <c r="Q531" s="102"/>
      <c r="R531" s="102"/>
      <c r="S531" s="102"/>
      <c r="T531" s="102"/>
      <c r="U531" s="102"/>
      <c r="V531" s="102"/>
      <c r="W531" s="102"/>
      <c r="X531" s="102"/>
      <c r="Y531" s="102"/>
      <c r="Z531" s="102"/>
      <c r="AA531" s="102"/>
      <c r="AB531" s="102"/>
      <c r="AC531" s="102"/>
      <c r="AD531" s="102"/>
      <c r="AE531" s="102"/>
      <c r="AF531" s="102"/>
      <c r="AG531" s="102"/>
      <c r="AH531" s="102"/>
      <c r="AI531" s="102"/>
      <c r="AJ531" s="102"/>
      <c r="AK531" s="102"/>
      <c r="AL531" s="102"/>
      <c r="AM531" s="102"/>
      <c r="AN531" s="102"/>
      <c r="AO531" s="102"/>
      <c r="AP531" s="102"/>
    </row>
    <row r="532" spans="1:42">
      <c r="A532" s="89">
        <v>531</v>
      </c>
      <c r="B532" s="90">
        <v>50111250</v>
      </c>
      <c r="C532" s="91" t="s">
        <v>423</v>
      </c>
      <c r="D532" s="58" t="s">
        <v>846</v>
      </c>
      <c r="E532" s="59">
        <v>31801</v>
      </c>
      <c r="F532" s="92">
        <f ca="1">(TODAY()-Data_Assessment[[#This Row],[BIRTH DATE]])/365.25</f>
        <v>35.154004106776178</v>
      </c>
      <c r="G532" s="62" t="s">
        <v>895</v>
      </c>
      <c r="H532" s="63" t="s">
        <v>899</v>
      </c>
      <c r="I532" s="106">
        <v>1</v>
      </c>
      <c r="J532" s="64" t="s">
        <v>1364</v>
      </c>
      <c r="K532" s="143">
        <v>3</v>
      </c>
      <c r="L532" s="58"/>
      <c r="M532" s="58"/>
      <c r="N532" s="102"/>
      <c r="O532" s="102"/>
      <c r="P532" s="102"/>
      <c r="Q532" s="102"/>
      <c r="R532" s="102"/>
      <c r="S532" s="102"/>
      <c r="T532" s="102"/>
      <c r="U532" s="102"/>
      <c r="V532" s="102"/>
      <c r="W532" s="102"/>
      <c r="X532" s="102"/>
      <c r="Y532" s="102"/>
      <c r="Z532" s="102"/>
      <c r="AA532" s="102"/>
      <c r="AB532" s="102"/>
      <c r="AC532" s="102"/>
      <c r="AD532" s="102"/>
      <c r="AE532" s="102"/>
      <c r="AF532" s="102"/>
      <c r="AG532" s="102"/>
      <c r="AH532" s="102"/>
      <c r="AI532" s="102"/>
      <c r="AJ532" s="102"/>
      <c r="AK532" s="102"/>
      <c r="AL532" s="102"/>
      <c r="AM532" s="102"/>
      <c r="AN532" s="102"/>
      <c r="AO532" s="102"/>
      <c r="AP532" s="102"/>
    </row>
    <row r="533" spans="1:42">
      <c r="A533" s="89">
        <v>532</v>
      </c>
      <c r="B533" s="90">
        <v>50031022</v>
      </c>
      <c r="C533" s="91" t="s">
        <v>654</v>
      </c>
      <c r="D533" s="58" t="s">
        <v>845</v>
      </c>
      <c r="E533" s="59">
        <v>24998</v>
      </c>
      <c r="F533" s="92">
        <f ca="1">(TODAY()-Data_Assessment[[#This Row],[BIRTH DATE]])/365.25</f>
        <v>53.779603011635864</v>
      </c>
      <c r="G533" s="62" t="s">
        <v>919</v>
      </c>
      <c r="H533" s="63" t="s">
        <v>1365</v>
      </c>
      <c r="I533" s="106">
        <v>1</v>
      </c>
      <c r="J533" s="64" t="s">
        <v>1366</v>
      </c>
      <c r="K533" s="143">
        <v>3</v>
      </c>
      <c r="L533" s="58"/>
      <c r="M533" s="58"/>
      <c r="N533" s="102"/>
      <c r="O533" s="102"/>
      <c r="P533" s="102"/>
      <c r="Q533" s="102"/>
      <c r="R533" s="102"/>
      <c r="S533" s="102"/>
      <c r="T533" s="102"/>
      <c r="U533" s="102"/>
      <c r="V533" s="102"/>
      <c r="W533" s="102"/>
      <c r="X533" s="102"/>
      <c r="Y533" s="102"/>
      <c r="Z533" s="102"/>
      <c r="AA533" s="102"/>
      <c r="AB533" s="102"/>
      <c r="AC533" s="102"/>
      <c r="AD533" s="102"/>
      <c r="AE533" s="102"/>
      <c r="AF533" s="102"/>
      <c r="AG533" s="102"/>
      <c r="AH533" s="102"/>
      <c r="AI533" s="102"/>
      <c r="AJ533" s="102"/>
      <c r="AK533" s="102"/>
      <c r="AL533" s="102"/>
      <c r="AM533" s="102"/>
      <c r="AN533" s="102"/>
      <c r="AO533" s="102"/>
      <c r="AP533" s="102"/>
    </row>
    <row r="534" spans="1:42">
      <c r="A534" s="89">
        <v>533</v>
      </c>
      <c r="B534" s="90">
        <v>50031032</v>
      </c>
      <c r="C534" s="91" t="s">
        <v>424</v>
      </c>
      <c r="D534" s="58" t="s">
        <v>845</v>
      </c>
      <c r="E534" s="59">
        <v>25250</v>
      </c>
      <c r="F534" s="92">
        <f ca="1">(TODAY()-Data_Assessment[[#This Row],[BIRTH DATE]])/365.25</f>
        <v>53.089664613278579</v>
      </c>
      <c r="G534" s="62" t="s">
        <v>895</v>
      </c>
      <c r="H534" s="63" t="s">
        <v>1227</v>
      </c>
      <c r="I534" s="106">
        <v>1</v>
      </c>
      <c r="J534" s="64" t="s">
        <v>1367</v>
      </c>
      <c r="K534" s="143">
        <v>3</v>
      </c>
      <c r="L534" s="58"/>
      <c r="M534" s="58"/>
      <c r="N534" s="102"/>
      <c r="O534" s="102"/>
      <c r="P534" s="102"/>
      <c r="Q534" s="102"/>
      <c r="R534" s="102"/>
      <c r="S534" s="102"/>
      <c r="T534" s="102"/>
      <c r="U534" s="102"/>
      <c r="V534" s="102"/>
      <c r="W534" s="102"/>
      <c r="X534" s="102"/>
      <c r="Y534" s="102"/>
      <c r="Z534" s="102"/>
      <c r="AA534" s="102"/>
      <c r="AB534" s="102"/>
      <c r="AC534" s="102"/>
      <c r="AD534" s="102"/>
      <c r="AE534" s="102"/>
      <c r="AF534" s="102"/>
      <c r="AG534" s="102"/>
      <c r="AH534" s="102"/>
      <c r="AI534" s="102"/>
      <c r="AJ534" s="102"/>
      <c r="AK534" s="102"/>
      <c r="AL534" s="102"/>
      <c r="AM534" s="102"/>
      <c r="AN534" s="102"/>
      <c r="AO534" s="102"/>
      <c r="AP534" s="102"/>
    </row>
    <row r="535" spans="1:42">
      <c r="A535" s="89">
        <v>534</v>
      </c>
      <c r="B535" s="90">
        <v>50086745</v>
      </c>
      <c r="C535" s="91" t="s">
        <v>656</v>
      </c>
      <c r="D535" s="58" t="s">
        <v>845</v>
      </c>
      <c r="E535" s="59">
        <v>32954</v>
      </c>
      <c r="F535" s="92">
        <f ca="1">(TODAY()-Data_Assessment[[#This Row],[BIRTH DATE]])/365.25</f>
        <v>31.997262149212869</v>
      </c>
      <c r="G535" s="62" t="s">
        <v>919</v>
      </c>
      <c r="H535" s="63" t="s">
        <v>1365</v>
      </c>
      <c r="I535" s="106">
        <v>1</v>
      </c>
      <c r="J535" s="64" t="s">
        <v>1368</v>
      </c>
      <c r="K535" s="143">
        <v>3</v>
      </c>
      <c r="L535" s="58"/>
      <c r="M535" s="58"/>
      <c r="N535" s="102"/>
      <c r="O535" s="102"/>
      <c r="P535" s="102"/>
      <c r="Q535" s="102"/>
      <c r="R535" s="102"/>
      <c r="S535" s="102"/>
      <c r="T535" s="102"/>
      <c r="U535" s="102"/>
      <c r="V535" s="102"/>
      <c r="W535" s="102"/>
      <c r="X535" s="102"/>
      <c r="Y535" s="102"/>
      <c r="Z535" s="102"/>
      <c r="AA535" s="102"/>
      <c r="AB535" s="102"/>
      <c r="AC535" s="102"/>
      <c r="AD535" s="102"/>
      <c r="AE535" s="102"/>
      <c r="AF535" s="102"/>
      <c r="AG535" s="102"/>
      <c r="AH535" s="102"/>
      <c r="AI535" s="102"/>
      <c r="AJ535" s="102"/>
      <c r="AK535" s="102"/>
      <c r="AL535" s="102"/>
      <c r="AM535" s="102"/>
      <c r="AN535" s="102"/>
      <c r="AO535" s="102"/>
      <c r="AP535" s="102"/>
    </row>
    <row r="536" spans="1:42">
      <c r="A536" s="89">
        <v>535</v>
      </c>
      <c r="B536" s="90">
        <v>50037964</v>
      </c>
      <c r="C536" s="91" t="s">
        <v>425</v>
      </c>
      <c r="D536" s="58" t="s">
        <v>845</v>
      </c>
      <c r="E536" s="59">
        <v>28453</v>
      </c>
      <c r="F536" s="92">
        <f ca="1">(TODAY()-Data_Assessment[[#This Row],[BIRTH DATE]])/365.25</f>
        <v>44.320328542094458</v>
      </c>
      <c r="G536" s="62" t="s">
        <v>895</v>
      </c>
      <c r="H536" s="63" t="s">
        <v>1227</v>
      </c>
      <c r="I536" s="106">
        <v>1</v>
      </c>
      <c r="J536" s="64" t="s">
        <v>1369</v>
      </c>
      <c r="K536" s="143">
        <v>2</v>
      </c>
      <c r="L536" s="58"/>
      <c r="M536" s="58"/>
      <c r="N536" s="102"/>
      <c r="O536" s="102"/>
      <c r="P536" s="102"/>
      <c r="Q536" s="102"/>
      <c r="R536" s="102"/>
      <c r="S536" s="102"/>
      <c r="T536" s="102"/>
      <c r="U536" s="102"/>
      <c r="V536" s="102"/>
      <c r="W536" s="102"/>
      <c r="X536" s="102"/>
      <c r="Y536" s="102"/>
      <c r="Z536" s="102"/>
      <c r="AA536" s="102"/>
      <c r="AB536" s="102"/>
      <c r="AC536" s="102"/>
      <c r="AD536" s="102"/>
      <c r="AE536" s="102"/>
      <c r="AF536" s="102"/>
      <c r="AG536" s="102"/>
      <c r="AH536" s="102"/>
      <c r="AI536" s="102"/>
      <c r="AJ536" s="102"/>
      <c r="AK536" s="102"/>
      <c r="AL536" s="102"/>
      <c r="AM536" s="102"/>
      <c r="AN536" s="102"/>
      <c r="AO536" s="102"/>
      <c r="AP536" s="102"/>
    </row>
    <row r="537" spans="1:42">
      <c r="A537" s="89">
        <v>536</v>
      </c>
      <c r="B537" s="90">
        <v>50031486</v>
      </c>
      <c r="C537" s="91" t="s">
        <v>657</v>
      </c>
      <c r="D537" s="58" t="s">
        <v>845</v>
      </c>
      <c r="E537" s="59">
        <v>25307</v>
      </c>
      <c r="F537" s="92">
        <f ca="1">(TODAY()-Data_Assessment[[#This Row],[BIRTH DATE]])/365.25</f>
        <v>52.933607118412048</v>
      </c>
      <c r="G537" s="62" t="s">
        <v>919</v>
      </c>
      <c r="H537" s="63" t="s">
        <v>1370</v>
      </c>
      <c r="I537" s="106">
        <v>1</v>
      </c>
      <c r="J537" s="64" t="s">
        <v>1371</v>
      </c>
      <c r="K537" s="143">
        <v>3</v>
      </c>
      <c r="L537" s="58"/>
      <c r="M537" s="58"/>
      <c r="N537" s="102"/>
      <c r="O537" s="102"/>
      <c r="P537" s="102"/>
      <c r="Q537" s="102"/>
      <c r="R537" s="102"/>
      <c r="S537" s="102"/>
      <c r="T537" s="102"/>
      <c r="U537" s="102"/>
      <c r="V537" s="102"/>
      <c r="W537" s="102"/>
      <c r="X537" s="102"/>
      <c r="Y537" s="102"/>
      <c r="Z537" s="102"/>
      <c r="AA537" s="102"/>
      <c r="AB537" s="102"/>
      <c r="AC537" s="102"/>
      <c r="AD537" s="102"/>
      <c r="AE537" s="102"/>
      <c r="AF537" s="102"/>
      <c r="AG537" s="102"/>
      <c r="AH537" s="102"/>
      <c r="AI537" s="102"/>
      <c r="AJ537" s="102"/>
      <c r="AK537" s="102"/>
      <c r="AL537" s="102"/>
      <c r="AM537" s="102"/>
      <c r="AN537" s="102"/>
      <c r="AO537" s="102"/>
      <c r="AP537" s="102"/>
    </row>
    <row r="538" spans="1:42">
      <c r="A538" s="89">
        <v>537</v>
      </c>
      <c r="B538" s="90">
        <v>50030651</v>
      </c>
      <c r="C538" s="91" t="s">
        <v>658</v>
      </c>
      <c r="D538" s="58" t="s">
        <v>845</v>
      </c>
      <c r="E538" s="59">
        <v>26826</v>
      </c>
      <c r="F538" s="92">
        <f ca="1">(TODAY()-Data_Assessment[[#This Row],[BIRTH DATE]])/365.25</f>
        <v>48.774811772758383</v>
      </c>
      <c r="G538" s="62" t="s">
        <v>919</v>
      </c>
      <c r="H538" s="63" t="s">
        <v>1370</v>
      </c>
      <c r="I538" s="106">
        <v>1</v>
      </c>
      <c r="J538" s="64" t="s">
        <v>1372</v>
      </c>
      <c r="K538" s="143">
        <v>2</v>
      </c>
      <c r="L538" s="58"/>
      <c r="M538" s="58"/>
      <c r="N538" s="102"/>
      <c r="O538" s="102"/>
      <c r="P538" s="102"/>
      <c r="Q538" s="102"/>
      <c r="R538" s="102"/>
      <c r="S538" s="102"/>
      <c r="T538" s="102"/>
      <c r="U538" s="102"/>
      <c r="V538" s="102"/>
      <c r="W538" s="102"/>
      <c r="X538" s="102"/>
      <c r="Y538" s="102"/>
      <c r="Z538" s="102"/>
      <c r="AA538" s="102"/>
      <c r="AB538" s="102"/>
      <c r="AC538" s="102"/>
      <c r="AD538" s="102"/>
      <c r="AE538" s="102"/>
      <c r="AF538" s="102"/>
      <c r="AG538" s="102"/>
      <c r="AH538" s="102"/>
      <c r="AI538" s="102"/>
      <c r="AJ538" s="102"/>
      <c r="AK538" s="102"/>
      <c r="AL538" s="102"/>
      <c r="AM538" s="102"/>
      <c r="AN538" s="102"/>
      <c r="AO538" s="102"/>
      <c r="AP538" s="102"/>
    </row>
    <row r="539" spans="1:42">
      <c r="A539" s="89">
        <v>538</v>
      </c>
      <c r="B539" s="90">
        <v>50045069</v>
      </c>
      <c r="C539" s="91" t="s">
        <v>659</v>
      </c>
      <c r="D539" s="58" t="s">
        <v>845</v>
      </c>
      <c r="E539" s="59">
        <v>31967</v>
      </c>
      <c r="F539" s="92">
        <f ca="1">(TODAY()-Data_Assessment[[#This Row],[BIRTH DATE]])/365.25</f>
        <v>34.699520876112253</v>
      </c>
      <c r="G539" s="62" t="s">
        <v>919</v>
      </c>
      <c r="H539" s="63" t="s">
        <v>1370</v>
      </c>
      <c r="I539" s="106">
        <v>1</v>
      </c>
      <c r="J539" s="64" t="s">
        <v>1373</v>
      </c>
      <c r="K539" s="143">
        <v>3</v>
      </c>
      <c r="L539" s="58"/>
      <c r="M539" s="58"/>
      <c r="N539" s="102"/>
      <c r="O539" s="102"/>
      <c r="P539" s="102"/>
      <c r="Q539" s="102"/>
      <c r="R539" s="102"/>
      <c r="S539" s="102"/>
      <c r="T539" s="102"/>
      <c r="U539" s="102"/>
      <c r="V539" s="102"/>
      <c r="W539" s="102"/>
      <c r="X539" s="102"/>
      <c r="Y539" s="102"/>
      <c r="Z539" s="102"/>
      <c r="AA539" s="102"/>
      <c r="AB539" s="102"/>
      <c r="AC539" s="102"/>
      <c r="AD539" s="102"/>
      <c r="AE539" s="102"/>
      <c r="AF539" s="102"/>
      <c r="AG539" s="102"/>
      <c r="AH539" s="102"/>
      <c r="AI539" s="102"/>
      <c r="AJ539" s="102"/>
      <c r="AK539" s="102"/>
      <c r="AL539" s="102"/>
      <c r="AM539" s="102"/>
      <c r="AN539" s="102"/>
      <c r="AO539" s="102"/>
      <c r="AP539" s="102"/>
    </row>
    <row r="540" spans="1:42">
      <c r="A540" s="89">
        <v>539</v>
      </c>
      <c r="B540" s="90">
        <v>50031089</v>
      </c>
      <c r="C540" s="91" t="s">
        <v>428</v>
      </c>
      <c r="D540" s="58" t="s">
        <v>845</v>
      </c>
      <c r="E540" s="59">
        <v>27301</v>
      </c>
      <c r="F540" s="92">
        <f ca="1">(TODAY()-Data_Assessment[[#This Row],[BIRTH DATE]])/365.25</f>
        <v>47.474332648870636</v>
      </c>
      <c r="G540" s="62" t="s">
        <v>895</v>
      </c>
      <c r="H540" s="63" t="s">
        <v>1229</v>
      </c>
      <c r="I540" s="106">
        <v>1</v>
      </c>
      <c r="J540" s="64" t="s">
        <v>1374</v>
      </c>
      <c r="K540" s="143">
        <v>4</v>
      </c>
      <c r="L540" s="58"/>
      <c r="M540" s="58"/>
      <c r="N540" s="102"/>
      <c r="O540" s="102"/>
      <c r="P540" s="102"/>
      <c r="Q540" s="102"/>
      <c r="R540" s="102"/>
      <c r="S540" s="102"/>
      <c r="T540" s="102"/>
      <c r="U540" s="102"/>
      <c r="V540" s="102"/>
      <c r="W540" s="102"/>
      <c r="X540" s="102"/>
      <c r="Y540" s="102"/>
      <c r="Z540" s="102"/>
      <c r="AA540" s="102"/>
      <c r="AB540" s="102"/>
      <c r="AC540" s="102"/>
      <c r="AD540" s="102"/>
      <c r="AE540" s="102"/>
      <c r="AF540" s="102"/>
      <c r="AG540" s="102"/>
      <c r="AH540" s="102"/>
      <c r="AI540" s="102"/>
      <c r="AJ540" s="102"/>
      <c r="AK540" s="102"/>
      <c r="AL540" s="102"/>
      <c r="AM540" s="102"/>
      <c r="AN540" s="102"/>
      <c r="AO540" s="102"/>
      <c r="AP540" s="102"/>
    </row>
    <row r="541" spans="1:42">
      <c r="A541" s="89">
        <v>540</v>
      </c>
      <c r="B541" s="90">
        <v>50030755</v>
      </c>
      <c r="C541" s="91" t="s">
        <v>664</v>
      </c>
      <c r="D541" s="58" t="s">
        <v>845</v>
      </c>
      <c r="E541" s="59">
        <v>25001</v>
      </c>
      <c r="F541" s="92">
        <f ca="1">(TODAY()-Data_Assessment[[#This Row],[BIRTH DATE]])/365.25</f>
        <v>53.771389459274467</v>
      </c>
      <c r="G541" s="62" t="s">
        <v>919</v>
      </c>
      <c r="H541" s="63" t="s">
        <v>1257</v>
      </c>
      <c r="I541" s="106">
        <v>1</v>
      </c>
      <c r="J541" s="64" t="s">
        <v>1375</v>
      </c>
      <c r="K541" s="143">
        <v>3</v>
      </c>
      <c r="L541" s="58"/>
      <c r="M541" s="58"/>
      <c r="N541" s="102"/>
      <c r="O541" s="102"/>
      <c r="P541" s="102"/>
      <c r="Q541" s="102"/>
      <c r="R541" s="102"/>
      <c r="S541" s="102"/>
      <c r="T541" s="102"/>
      <c r="U541" s="102"/>
      <c r="V541" s="102"/>
      <c r="W541" s="102"/>
      <c r="X541" s="102"/>
      <c r="Y541" s="102"/>
      <c r="Z541" s="102"/>
      <c r="AA541" s="102"/>
      <c r="AB541" s="102"/>
      <c r="AC541" s="102"/>
      <c r="AD541" s="102"/>
      <c r="AE541" s="102"/>
      <c r="AF541" s="102"/>
      <c r="AG541" s="102"/>
      <c r="AH541" s="102"/>
      <c r="AI541" s="102"/>
      <c r="AJ541" s="102"/>
      <c r="AK541" s="102"/>
      <c r="AL541" s="102"/>
      <c r="AM541" s="102"/>
      <c r="AN541" s="102"/>
      <c r="AO541" s="102"/>
      <c r="AP541" s="102"/>
    </row>
    <row r="542" spans="1:42">
      <c r="A542" s="89">
        <v>541</v>
      </c>
      <c r="B542" s="90">
        <v>50047135</v>
      </c>
      <c r="C542" s="91" t="s">
        <v>429</v>
      </c>
      <c r="D542" s="58" t="s">
        <v>845</v>
      </c>
      <c r="E542" s="59">
        <v>32682</v>
      </c>
      <c r="F542" s="92">
        <f ca="1">(TODAY()-Data_Assessment[[#This Row],[BIRTH DATE]])/365.25</f>
        <v>32.741957563312802</v>
      </c>
      <c r="G542" s="62" t="s">
        <v>895</v>
      </c>
      <c r="H542" s="63" t="s">
        <v>1229</v>
      </c>
      <c r="I542" s="106">
        <v>1</v>
      </c>
      <c r="J542" s="64" t="s">
        <v>1376</v>
      </c>
      <c r="K542" s="143">
        <v>3</v>
      </c>
      <c r="L542" s="58"/>
      <c r="M542" s="58"/>
      <c r="N542" s="102"/>
      <c r="O542" s="102"/>
      <c r="P542" s="102"/>
      <c r="Q542" s="102"/>
      <c r="R542" s="102"/>
      <c r="S542" s="102"/>
      <c r="T542" s="102"/>
      <c r="U542" s="102"/>
      <c r="V542" s="102"/>
      <c r="W542" s="102"/>
      <c r="X542" s="102"/>
      <c r="Y542" s="102"/>
      <c r="Z542" s="102"/>
      <c r="AA542" s="102"/>
      <c r="AB542" s="102"/>
      <c r="AC542" s="102"/>
      <c r="AD542" s="102"/>
      <c r="AE542" s="102"/>
      <c r="AF542" s="102"/>
      <c r="AG542" s="102"/>
      <c r="AH542" s="102"/>
      <c r="AI542" s="102"/>
      <c r="AJ542" s="102"/>
      <c r="AK542" s="102"/>
      <c r="AL542" s="102"/>
      <c r="AM542" s="102"/>
      <c r="AN542" s="102"/>
      <c r="AO542" s="102"/>
      <c r="AP542" s="102"/>
    </row>
    <row r="543" spans="1:42">
      <c r="A543" s="89">
        <v>542</v>
      </c>
      <c r="B543" s="90">
        <v>50031056</v>
      </c>
      <c r="C543" s="91" t="s">
        <v>665</v>
      </c>
      <c r="D543" s="58" t="s">
        <v>845</v>
      </c>
      <c r="E543" s="59">
        <v>26416</v>
      </c>
      <c r="F543" s="92">
        <f ca="1">(TODAY()-Data_Assessment[[#This Row],[BIRTH DATE]])/365.25</f>
        <v>49.897330595482543</v>
      </c>
      <c r="G543" s="62" t="s">
        <v>919</v>
      </c>
      <c r="H543" s="63" t="s">
        <v>1257</v>
      </c>
      <c r="I543" s="106">
        <v>1</v>
      </c>
      <c r="J543" s="64" t="s">
        <v>1377</v>
      </c>
      <c r="K543" s="143">
        <v>3</v>
      </c>
      <c r="L543" s="58"/>
      <c r="M543" s="58"/>
      <c r="N543" s="102"/>
      <c r="O543" s="102"/>
      <c r="P543" s="102"/>
      <c r="Q543" s="102"/>
      <c r="R543" s="102"/>
      <c r="S543" s="102"/>
      <c r="T543" s="102"/>
      <c r="U543" s="102"/>
      <c r="V543" s="102"/>
      <c r="W543" s="102"/>
      <c r="X543" s="102"/>
      <c r="Y543" s="102"/>
      <c r="Z543" s="102"/>
      <c r="AA543" s="102"/>
      <c r="AB543" s="102"/>
      <c r="AC543" s="102"/>
      <c r="AD543" s="102"/>
      <c r="AE543" s="102"/>
      <c r="AF543" s="102"/>
      <c r="AG543" s="102"/>
      <c r="AH543" s="102"/>
      <c r="AI543" s="102"/>
      <c r="AJ543" s="102"/>
      <c r="AK543" s="102"/>
      <c r="AL543" s="102"/>
      <c r="AM543" s="102"/>
      <c r="AN543" s="102"/>
      <c r="AO543" s="102"/>
      <c r="AP543" s="102"/>
    </row>
    <row r="544" spans="1:42">
      <c r="A544" s="89">
        <v>543</v>
      </c>
      <c r="B544" s="90">
        <v>50037962</v>
      </c>
      <c r="C544" s="91" t="s">
        <v>430</v>
      </c>
      <c r="D544" s="58" t="s">
        <v>845</v>
      </c>
      <c r="E544" s="59">
        <v>32657</v>
      </c>
      <c r="F544" s="92">
        <f ca="1">(TODAY()-Data_Assessment[[#This Row],[BIRTH DATE]])/365.25</f>
        <v>32.810403832991099</v>
      </c>
      <c r="G544" s="62" t="s">
        <v>895</v>
      </c>
      <c r="H544" s="63" t="s">
        <v>1229</v>
      </c>
      <c r="I544" s="106">
        <v>1</v>
      </c>
      <c r="J544" s="64" t="s">
        <v>1378</v>
      </c>
      <c r="K544" s="143">
        <v>3</v>
      </c>
      <c r="L544" s="58"/>
      <c r="M544" s="58"/>
      <c r="N544" s="102"/>
      <c r="O544" s="102"/>
      <c r="P544" s="102"/>
      <c r="Q544" s="102"/>
      <c r="R544" s="102"/>
      <c r="S544" s="102"/>
      <c r="T544" s="102"/>
      <c r="U544" s="102"/>
      <c r="V544" s="102"/>
      <c r="W544" s="102"/>
      <c r="X544" s="102"/>
      <c r="Y544" s="102"/>
      <c r="Z544" s="102"/>
      <c r="AA544" s="102"/>
      <c r="AB544" s="102"/>
      <c r="AC544" s="102"/>
      <c r="AD544" s="102"/>
      <c r="AE544" s="102"/>
      <c r="AF544" s="102"/>
      <c r="AG544" s="102"/>
      <c r="AH544" s="102"/>
      <c r="AI544" s="102"/>
      <c r="AJ544" s="102"/>
      <c r="AK544" s="102"/>
      <c r="AL544" s="102"/>
      <c r="AM544" s="102"/>
      <c r="AN544" s="102"/>
      <c r="AO544" s="102"/>
      <c r="AP544" s="102"/>
    </row>
    <row r="545" spans="1:42">
      <c r="A545" s="89">
        <v>544</v>
      </c>
      <c r="B545" s="90">
        <v>50030731</v>
      </c>
      <c r="C545" s="91" t="s">
        <v>668</v>
      </c>
      <c r="D545" s="58" t="s">
        <v>845</v>
      </c>
      <c r="E545" s="59">
        <v>29542</v>
      </c>
      <c r="F545" s="92">
        <f ca="1">(TODAY()-Data_Assessment[[#This Row],[BIRTH DATE]])/365.25</f>
        <v>41.338809034907598</v>
      </c>
      <c r="G545" s="62" t="s">
        <v>919</v>
      </c>
      <c r="H545" s="63" t="s">
        <v>1257</v>
      </c>
      <c r="I545" s="106">
        <v>1</v>
      </c>
      <c r="J545" s="64" t="s">
        <v>1258</v>
      </c>
      <c r="K545" s="143">
        <v>3</v>
      </c>
      <c r="L545" s="58"/>
      <c r="M545" s="58"/>
      <c r="N545" s="102"/>
      <c r="O545" s="102"/>
      <c r="P545" s="102"/>
      <c r="Q545" s="102"/>
      <c r="R545" s="102"/>
      <c r="S545" s="102"/>
      <c r="T545" s="102"/>
      <c r="U545" s="102"/>
      <c r="V545" s="102"/>
      <c r="W545" s="102"/>
      <c r="X545" s="102"/>
      <c r="Y545" s="102"/>
      <c r="Z545" s="102"/>
      <c r="AA545" s="102"/>
      <c r="AB545" s="102"/>
      <c r="AC545" s="102"/>
      <c r="AD545" s="102"/>
      <c r="AE545" s="102"/>
      <c r="AF545" s="102"/>
      <c r="AG545" s="102"/>
      <c r="AH545" s="102"/>
      <c r="AI545" s="102"/>
      <c r="AJ545" s="102"/>
      <c r="AK545" s="102"/>
      <c r="AL545" s="102"/>
      <c r="AM545" s="102"/>
      <c r="AN545" s="102"/>
      <c r="AO545" s="102"/>
      <c r="AP545" s="102"/>
    </row>
    <row r="546" spans="1:42">
      <c r="A546" s="89">
        <v>545</v>
      </c>
      <c r="B546" s="90">
        <v>50030649</v>
      </c>
      <c r="C546" s="91" t="s">
        <v>888</v>
      </c>
      <c r="D546" s="58" t="s">
        <v>845</v>
      </c>
      <c r="E546" s="59">
        <v>32626</v>
      </c>
      <c r="F546" s="92">
        <f ca="1">(TODAY()-Data_Assessment[[#This Row],[BIRTH DATE]])/365.25</f>
        <v>32.895277207392198</v>
      </c>
      <c r="G546" s="62" t="s">
        <v>919</v>
      </c>
      <c r="H546" s="63" t="s">
        <v>1257</v>
      </c>
      <c r="I546" s="106">
        <v>1</v>
      </c>
      <c r="J546" s="64" t="s">
        <v>1258</v>
      </c>
      <c r="K546" s="143">
        <v>3</v>
      </c>
      <c r="L546" s="58"/>
      <c r="M546" s="58"/>
      <c r="N546" s="102"/>
      <c r="O546" s="102"/>
      <c r="P546" s="102"/>
      <c r="Q546" s="102"/>
      <c r="R546" s="102"/>
      <c r="S546" s="102"/>
      <c r="T546" s="102"/>
      <c r="U546" s="102"/>
      <c r="V546" s="102"/>
      <c r="W546" s="102"/>
      <c r="X546" s="102"/>
      <c r="Y546" s="102"/>
      <c r="Z546" s="102"/>
      <c r="AA546" s="102"/>
      <c r="AB546" s="102"/>
      <c r="AC546" s="102"/>
      <c r="AD546" s="102"/>
      <c r="AE546" s="102"/>
      <c r="AF546" s="102"/>
      <c r="AG546" s="102"/>
      <c r="AH546" s="102"/>
      <c r="AI546" s="102"/>
      <c r="AJ546" s="102"/>
      <c r="AK546" s="102"/>
      <c r="AL546" s="102"/>
      <c r="AM546" s="102"/>
      <c r="AN546" s="102"/>
      <c r="AO546" s="102"/>
      <c r="AP546" s="102"/>
    </row>
    <row r="547" spans="1:42">
      <c r="A547" s="89">
        <v>546</v>
      </c>
      <c r="B547" s="90">
        <v>50031015</v>
      </c>
      <c r="C547" s="91" t="s">
        <v>672</v>
      </c>
      <c r="D547" s="58" t="s">
        <v>845</v>
      </c>
      <c r="E547" s="59">
        <v>24597</v>
      </c>
      <c r="F547" s="92">
        <f ca="1">(TODAY()-Data_Assessment[[#This Row],[BIRTH DATE]])/365.25</f>
        <v>54.87748117727584</v>
      </c>
      <c r="G547" s="62" t="s">
        <v>919</v>
      </c>
      <c r="H547" s="63" t="s">
        <v>950</v>
      </c>
      <c r="I547" s="106">
        <v>1</v>
      </c>
      <c r="J547" s="64" t="s">
        <v>1379</v>
      </c>
      <c r="K547" s="143">
        <v>3</v>
      </c>
      <c r="L547" s="58"/>
      <c r="M547" s="58"/>
      <c r="N547" s="102"/>
      <c r="O547" s="102"/>
      <c r="P547" s="102"/>
      <c r="Q547" s="102"/>
      <c r="R547" s="102"/>
      <c r="S547" s="102"/>
      <c r="T547" s="102"/>
      <c r="U547" s="102"/>
      <c r="V547" s="102"/>
      <c r="W547" s="102"/>
      <c r="X547" s="102"/>
      <c r="Y547" s="102"/>
      <c r="Z547" s="102"/>
      <c r="AA547" s="102"/>
      <c r="AB547" s="102"/>
      <c r="AC547" s="102"/>
      <c r="AD547" s="102"/>
      <c r="AE547" s="102"/>
      <c r="AF547" s="102"/>
      <c r="AG547" s="102"/>
      <c r="AH547" s="102"/>
      <c r="AI547" s="102"/>
      <c r="AJ547" s="102"/>
      <c r="AK547" s="102"/>
      <c r="AL547" s="102"/>
      <c r="AM547" s="102"/>
      <c r="AN547" s="102"/>
      <c r="AO547" s="102"/>
      <c r="AP547" s="102"/>
    </row>
    <row r="548" spans="1:42">
      <c r="A548" s="89">
        <v>547</v>
      </c>
      <c r="B548" s="90">
        <v>50031013</v>
      </c>
      <c r="C548" s="91" t="s">
        <v>865</v>
      </c>
      <c r="D548" s="58" t="s">
        <v>845</v>
      </c>
      <c r="E548" s="59">
        <v>25789</v>
      </c>
      <c r="F548" s="92">
        <f ca="1">(TODAY()-Data_Assessment[[#This Row],[BIRTH DATE]])/365.25</f>
        <v>51.613963039014372</v>
      </c>
      <c r="G548" s="62" t="s">
        <v>895</v>
      </c>
      <c r="H548" s="63" t="s">
        <v>932</v>
      </c>
      <c r="I548" s="106">
        <v>1</v>
      </c>
      <c r="J548" s="64" t="s">
        <v>1380</v>
      </c>
      <c r="K548" s="143">
        <v>5</v>
      </c>
      <c r="L548" s="58"/>
      <c r="M548" s="58"/>
      <c r="N548" s="102"/>
      <c r="O548" s="102"/>
      <c r="P548" s="102"/>
      <c r="Q548" s="102"/>
      <c r="R548" s="102"/>
      <c r="S548" s="102"/>
      <c r="T548" s="102"/>
      <c r="U548" s="102"/>
      <c r="V548" s="102"/>
      <c r="W548" s="102"/>
      <c r="X548" s="102"/>
      <c r="Y548" s="102"/>
      <c r="Z548" s="102"/>
      <c r="AA548" s="102"/>
      <c r="AB548" s="102"/>
      <c r="AC548" s="102"/>
      <c r="AD548" s="102"/>
      <c r="AE548" s="102"/>
      <c r="AF548" s="102"/>
      <c r="AG548" s="102"/>
      <c r="AH548" s="102"/>
      <c r="AI548" s="102"/>
      <c r="AJ548" s="102"/>
      <c r="AK548" s="102"/>
      <c r="AL548" s="102"/>
      <c r="AM548" s="102"/>
      <c r="AN548" s="102"/>
      <c r="AO548" s="102"/>
      <c r="AP548" s="102"/>
    </row>
    <row r="549" spans="1:42">
      <c r="A549" s="89">
        <v>548</v>
      </c>
      <c r="B549" s="90">
        <v>50030704</v>
      </c>
      <c r="C549" s="91" t="s">
        <v>678</v>
      </c>
      <c r="D549" s="58" t="s">
        <v>845</v>
      </c>
      <c r="E549" s="59">
        <v>26329</v>
      </c>
      <c r="F549" s="92">
        <f ca="1">(TODAY()-Data_Assessment[[#This Row],[BIRTH DATE]])/365.25</f>
        <v>50.135523613963038</v>
      </c>
      <c r="G549" s="62" t="s">
        <v>919</v>
      </c>
      <c r="H549" s="63" t="s">
        <v>1259</v>
      </c>
      <c r="I549" s="106">
        <v>1</v>
      </c>
      <c r="J549" s="64" t="s">
        <v>1381</v>
      </c>
      <c r="K549" s="143">
        <v>3</v>
      </c>
      <c r="L549" s="58"/>
      <c r="M549" s="58"/>
      <c r="N549" s="102"/>
      <c r="O549" s="102"/>
      <c r="P549" s="102"/>
      <c r="Q549" s="102"/>
      <c r="R549" s="102"/>
      <c r="S549" s="102"/>
      <c r="T549" s="102"/>
      <c r="U549" s="102"/>
      <c r="V549" s="102"/>
      <c r="W549" s="102"/>
      <c r="X549" s="102"/>
      <c r="Y549" s="102"/>
      <c r="Z549" s="102"/>
      <c r="AA549" s="102"/>
      <c r="AB549" s="102"/>
      <c r="AC549" s="102"/>
      <c r="AD549" s="102"/>
      <c r="AE549" s="102"/>
      <c r="AF549" s="102"/>
      <c r="AG549" s="102"/>
      <c r="AH549" s="102"/>
      <c r="AI549" s="102"/>
      <c r="AJ549" s="102"/>
      <c r="AK549" s="102"/>
      <c r="AL549" s="102"/>
      <c r="AM549" s="102"/>
      <c r="AN549" s="102"/>
      <c r="AO549" s="102"/>
      <c r="AP549" s="102"/>
    </row>
    <row r="550" spans="1:42">
      <c r="A550" s="89">
        <v>549</v>
      </c>
      <c r="B550" s="90">
        <v>50031319</v>
      </c>
      <c r="C550" s="91" t="s">
        <v>870</v>
      </c>
      <c r="D550" s="58" t="s">
        <v>845</v>
      </c>
      <c r="E550" s="59">
        <v>24636</v>
      </c>
      <c r="F550" s="92">
        <f ca="1">(TODAY()-Data_Assessment[[#This Row],[BIRTH DATE]])/365.25</f>
        <v>54.770704996577685</v>
      </c>
      <c r="G550" s="62" t="s">
        <v>895</v>
      </c>
      <c r="H550" s="63" t="s">
        <v>932</v>
      </c>
      <c r="I550" s="106">
        <v>1</v>
      </c>
      <c r="J550" s="64" t="s">
        <v>1382</v>
      </c>
      <c r="K550" s="143">
        <v>3</v>
      </c>
      <c r="L550" s="58"/>
      <c r="M550" s="58"/>
      <c r="N550" s="102"/>
      <c r="O550" s="102"/>
      <c r="P550" s="102"/>
      <c r="Q550" s="102"/>
      <c r="R550" s="102"/>
      <c r="S550" s="102"/>
      <c r="T550" s="102"/>
      <c r="U550" s="102"/>
      <c r="V550" s="102"/>
      <c r="W550" s="102"/>
      <c r="X550" s="102"/>
      <c r="Y550" s="102"/>
      <c r="Z550" s="102"/>
      <c r="AA550" s="102"/>
      <c r="AB550" s="102"/>
      <c r="AC550" s="102"/>
      <c r="AD550" s="102"/>
      <c r="AE550" s="102"/>
      <c r="AF550" s="102"/>
      <c r="AG550" s="102"/>
      <c r="AH550" s="102"/>
      <c r="AI550" s="102"/>
      <c r="AJ550" s="102"/>
      <c r="AK550" s="102"/>
      <c r="AL550" s="102"/>
      <c r="AM550" s="102"/>
      <c r="AN550" s="102"/>
      <c r="AO550" s="102"/>
      <c r="AP550" s="102"/>
    </row>
    <row r="551" spans="1:42">
      <c r="A551" s="89">
        <v>550</v>
      </c>
      <c r="B551" s="90">
        <v>50031292</v>
      </c>
      <c r="C551" s="91" t="s">
        <v>679</v>
      </c>
      <c r="D551" s="58" t="s">
        <v>845</v>
      </c>
      <c r="E551" s="59">
        <v>25725</v>
      </c>
      <c r="F551" s="92">
        <f ca="1">(TODAY()-Data_Assessment[[#This Row],[BIRTH DATE]])/365.25</f>
        <v>51.789185489390832</v>
      </c>
      <c r="G551" s="62" t="s">
        <v>919</v>
      </c>
      <c r="H551" s="63" t="s">
        <v>1259</v>
      </c>
      <c r="I551" s="106">
        <v>1</v>
      </c>
      <c r="J551" s="64" t="s">
        <v>1383</v>
      </c>
      <c r="K551" s="143">
        <v>3</v>
      </c>
      <c r="L551" s="58"/>
      <c r="M551" s="58"/>
      <c r="N551" s="102"/>
      <c r="O551" s="102"/>
      <c r="P551" s="102"/>
      <c r="Q551" s="102"/>
      <c r="R551" s="102"/>
      <c r="S551" s="102"/>
      <c r="T551" s="102"/>
      <c r="U551" s="102"/>
      <c r="V551" s="102"/>
      <c r="W551" s="102"/>
      <c r="X551" s="102"/>
      <c r="Y551" s="102"/>
      <c r="Z551" s="102"/>
      <c r="AA551" s="102"/>
      <c r="AB551" s="102"/>
      <c r="AC551" s="102"/>
      <c r="AD551" s="102"/>
      <c r="AE551" s="102"/>
      <c r="AF551" s="102"/>
      <c r="AG551" s="102"/>
      <c r="AH551" s="102"/>
      <c r="AI551" s="102"/>
      <c r="AJ551" s="102"/>
      <c r="AK551" s="102"/>
      <c r="AL551" s="102"/>
      <c r="AM551" s="102"/>
      <c r="AN551" s="102"/>
      <c r="AO551" s="102"/>
      <c r="AP551" s="102"/>
    </row>
    <row r="552" spans="1:42">
      <c r="A552" s="89">
        <v>551</v>
      </c>
      <c r="B552" s="90">
        <v>50030657</v>
      </c>
      <c r="C552" s="91" t="s">
        <v>433</v>
      </c>
      <c r="D552" s="58" t="s">
        <v>845</v>
      </c>
      <c r="E552" s="59">
        <v>25075</v>
      </c>
      <c r="F552" s="92">
        <f ca="1">(TODAY()-Data_Assessment[[#This Row],[BIRTH DATE]])/365.25</f>
        <v>53.568788501026695</v>
      </c>
      <c r="G552" s="62" t="s">
        <v>895</v>
      </c>
      <c r="H552" s="63" t="s">
        <v>932</v>
      </c>
      <c r="I552" s="106">
        <v>1</v>
      </c>
      <c r="J552" s="64" t="s">
        <v>1384</v>
      </c>
      <c r="K552" s="143">
        <v>3</v>
      </c>
      <c r="L552" s="58"/>
      <c r="M552" s="58"/>
      <c r="N552" s="102"/>
      <c r="O552" s="102"/>
      <c r="P552" s="102"/>
      <c r="Q552" s="102"/>
      <c r="R552" s="102"/>
      <c r="S552" s="102"/>
      <c r="T552" s="102"/>
      <c r="U552" s="102"/>
      <c r="V552" s="102"/>
      <c r="W552" s="102"/>
      <c r="X552" s="102"/>
      <c r="Y552" s="102"/>
      <c r="Z552" s="102"/>
      <c r="AA552" s="102"/>
      <c r="AB552" s="102"/>
      <c r="AC552" s="102"/>
      <c r="AD552" s="102"/>
      <c r="AE552" s="102"/>
      <c r="AF552" s="102"/>
      <c r="AG552" s="102"/>
      <c r="AH552" s="102"/>
      <c r="AI552" s="102"/>
      <c r="AJ552" s="102"/>
      <c r="AK552" s="102"/>
      <c r="AL552" s="102"/>
      <c r="AM552" s="102"/>
      <c r="AN552" s="102"/>
      <c r="AO552" s="102"/>
      <c r="AP552" s="102"/>
    </row>
    <row r="553" spans="1:42">
      <c r="A553" s="89">
        <v>552</v>
      </c>
      <c r="B553" s="90">
        <v>50031436</v>
      </c>
      <c r="C553" s="91" t="s">
        <v>682</v>
      </c>
      <c r="D553" s="58" t="s">
        <v>845</v>
      </c>
      <c r="E553" s="59">
        <v>32903</v>
      </c>
      <c r="F553" s="92">
        <f ca="1">(TODAY()-Data_Assessment[[#This Row],[BIRTH DATE]])/365.25</f>
        <v>32.136892539356602</v>
      </c>
      <c r="G553" s="62" t="s">
        <v>919</v>
      </c>
      <c r="H553" s="63" t="s">
        <v>1259</v>
      </c>
      <c r="I553" s="106">
        <v>1</v>
      </c>
      <c r="J553" s="64" t="s">
        <v>1260</v>
      </c>
      <c r="K553" s="143">
        <v>4</v>
      </c>
      <c r="L553" s="58"/>
      <c r="M553" s="58"/>
      <c r="N553" s="102"/>
      <c r="O553" s="102"/>
      <c r="P553" s="102"/>
      <c r="Q553" s="102"/>
      <c r="R553" s="102"/>
      <c r="S553" s="102"/>
      <c r="T553" s="102"/>
      <c r="U553" s="102"/>
      <c r="V553" s="102"/>
      <c r="W553" s="102"/>
      <c r="X553" s="102"/>
      <c r="Y553" s="102"/>
      <c r="Z553" s="102"/>
      <c r="AA553" s="102"/>
      <c r="AB553" s="102"/>
      <c r="AC553" s="102"/>
      <c r="AD553" s="102"/>
      <c r="AE553" s="102"/>
      <c r="AF553" s="102"/>
      <c r="AG553" s="102"/>
      <c r="AH553" s="102"/>
      <c r="AI553" s="102"/>
      <c r="AJ553" s="102"/>
      <c r="AK553" s="102"/>
      <c r="AL553" s="102"/>
      <c r="AM553" s="102"/>
      <c r="AN553" s="102"/>
      <c r="AO553" s="102"/>
      <c r="AP553" s="102"/>
    </row>
    <row r="554" spans="1:42">
      <c r="A554" s="89">
        <v>553</v>
      </c>
      <c r="B554" s="90">
        <v>50040860</v>
      </c>
      <c r="C554" s="91" t="s">
        <v>684</v>
      </c>
      <c r="D554" s="58" t="s">
        <v>845</v>
      </c>
      <c r="E554" s="59">
        <v>33684</v>
      </c>
      <c r="F554" s="92">
        <f ca="1">(TODAY()-Data_Assessment[[#This Row],[BIRTH DATE]])/365.25</f>
        <v>29.998631074606433</v>
      </c>
      <c r="G554" s="62" t="s">
        <v>919</v>
      </c>
      <c r="H554" s="63" t="s">
        <v>1259</v>
      </c>
      <c r="I554" s="106">
        <v>1</v>
      </c>
      <c r="J554" s="64" t="s">
        <v>1260</v>
      </c>
      <c r="K554" s="143">
        <v>2</v>
      </c>
      <c r="L554" s="58"/>
      <c r="M554" s="58"/>
      <c r="N554" s="102"/>
      <c r="O554" s="102"/>
      <c r="P554" s="102"/>
      <c r="Q554" s="102"/>
      <c r="R554" s="102"/>
      <c r="S554" s="102"/>
      <c r="T554" s="102"/>
      <c r="U554" s="102"/>
      <c r="V554" s="102"/>
      <c r="W554" s="102"/>
      <c r="X554" s="102"/>
      <c r="Y554" s="102"/>
      <c r="Z554" s="102"/>
      <c r="AA554" s="102"/>
      <c r="AB554" s="102"/>
      <c r="AC554" s="102"/>
      <c r="AD554" s="102"/>
      <c r="AE554" s="102"/>
      <c r="AF554" s="102"/>
      <c r="AG554" s="102"/>
      <c r="AH554" s="102"/>
      <c r="AI554" s="102"/>
      <c r="AJ554" s="102"/>
      <c r="AK554" s="102"/>
      <c r="AL554" s="102"/>
      <c r="AM554" s="102"/>
      <c r="AN554" s="102"/>
      <c r="AO554" s="102"/>
      <c r="AP554" s="102"/>
    </row>
    <row r="555" spans="1:42">
      <c r="A555" s="89">
        <v>554</v>
      </c>
      <c r="B555" s="90">
        <v>50030689</v>
      </c>
      <c r="C555" s="91" t="s">
        <v>687</v>
      </c>
      <c r="D555" s="58" t="s">
        <v>845</v>
      </c>
      <c r="E555" s="59">
        <v>25559</v>
      </c>
      <c r="F555" s="92">
        <f ca="1">(TODAY()-Data_Assessment[[#This Row],[BIRTH DATE]])/365.25</f>
        <v>52.243668720054757</v>
      </c>
      <c r="G555" s="62" t="s">
        <v>919</v>
      </c>
      <c r="H555" s="63" t="s">
        <v>1385</v>
      </c>
      <c r="I555" s="106">
        <v>1</v>
      </c>
      <c r="J555" s="64" t="s">
        <v>1386</v>
      </c>
      <c r="K555" s="143">
        <v>3</v>
      </c>
      <c r="L555" s="58"/>
      <c r="M555" s="58"/>
      <c r="N555" s="102"/>
      <c r="O555" s="102"/>
      <c r="P555" s="102"/>
      <c r="Q555" s="102"/>
      <c r="R555" s="102"/>
      <c r="S555" s="102"/>
      <c r="T555" s="102"/>
      <c r="U555" s="102"/>
      <c r="V555" s="102"/>
      <c r="W555" s="102"/>
      <c r="X555" s="102"/>
      <c r="Y555" s="102"/>
      <c r="Z555" s="102"/>
      <c r="AA555" s="102"/>
      <c r="AB555" s="102"/>
      <c r="AC555" s="102"/>
      <c r="AD555" s="102"/>
      <c r="AE555" s="102"/>
      <c r="AF555" s="102"/>
      <c r="AG555" s="102"/>
      <c r="AH555" s="102"/>
      <c r="AI555" s="102"/>
      <c r="AJ555" s="102"/>
      <c r="AK555" s="102"/>
      <c r="AL555" s="102"/>
      <c r="AM555" s="102"/>
      <c r="AN555" s="102"/>
      <c r="AO555" s="102"/>
      <c r="AP555" s="102"/>
    </row>
    <row r="556" spans="1:42">
      <c r="A556" s="89">
        <v>555</v>
      </c>
      <c r="B556" s="90">
        <v>50030705</v>
      </c>
      <c r="C556" s="91" t="s">
        <v>692</v>
      </c>
      <c r="D556" s="58" t="s">
        <v>845</v>
      </c>
      <c r="E556" s="59">
        <v>25246</v>
      </c>
      <c r="F556" s="92">
        <f ca="1">(TODAY()-Data_Assessment[[#This Row],[BIRTH DATE]])/365.25</f>
        <v>53.100616016427104</v>
      </c>
      <c r="G556" s="62" t="s">
        <v>919</v>
      </c>
      <c r="H556" s="63" t="s">
        <v>1341</v>
      </c>
      <c r="I556" s="106">
        <v>1</v>
      </c>
      <c r="J556" s="64" t="s">
        <v>1387</v>
      </c>
      <c r="K556" s="143">
        <v>3</v>
      </c>
      <c r="L556" s="58"/>
      <c r="M556" s="58"/>
      <c r="N556" s="102"/>
      <c r="O556" s="102"/>
      <c r="P556" s="102"/>
      <c r="Q556" s="102"/>
      <c r="R556" s="102"/>
      <c r="S556" s="102"/>
      <c r="T556" s="102"/>
      <c r="U556" s="102"/>
      <c r="V556" s="102"/>
      <c r="W556" s="102"/>
      <c r="X556" s="102"/>
      <c r="Y556" s="102"/>
      <c r="Z556" s="102"/>
      <c r="AA556" s="102"/>
      <c r="AB556" s="102"/>
      <c r="AC556" s="102"/>
      <c r="AD556" s="102"/>
      <c r="AE556" s="102"/>
      <c r="AF556" s="102"/>
      <c r="AG556" s="102"/>
      <c r="AH556" s="102"/>
      <c r="AI556" s="102"/>
      <c r="AJ556" s="102"/>
      <c r="AK556" s="102"/>
      <c r="AL556" s="102"/>
      <c r="AM556" s="102"/>
      <c r="AN556" s="102"/>
      <c r="AO556" s="102"/>
      <c r="AP556" s="102"/>
    </row>
    <row r="557" spans="1:42">
      <c r="A557" s="89">
        <v>556</v>
      </c>
      <c r="B557" s="90">
        <v>50038647</v>
      </c>
      <c r="C557" s="91" t="s">
        <v>693</v>
      </c>
      <c r="D557" s="58" t="s">
        <v>845</v>
      </c>
      <c r="E557" s="59">
        <v>31222</v>
      </c>
      <c r="F557" s="92">
        <f ca="1">(TODAY()-Data_Assessment[[#This Row],[BIRTH DATE]])/365.25</f>
        <v>36.739219712525667</v>
      </c>
      <c r="G557" s="62" t="s">
        <v>919</v>
      </c>
      <c r="H557" s="63" t="s">
        <v>1341</v>
      </c>
      <c r="I557" s="106">
        <v>1</v>
      </c>
      <c r="J557" s="64" t="s">
        <v>1388</v>
      </c>
      <c r="K557" s="143">
        <v>3</v>
      </c>
      <c r="L557" s="58"/>
      <c r="M557" s="58"/>
      <c r="N557" s="102"/>
      <c r="O557" s="102"/>
      <c r="P557" s="102"/>
      <c r="Q557" s="102"/>
      <c r="R557" s="102"/>
      <c r="S557" s="102"/>
      <c r="T557" s="102"/>
      <c r="U557" s="102"/>
      <c r="V557" s="102"/>
      <c r="W557" s="102"/>
      <c r="X557" s="102"/>
      <c r="Y557" s="102"/>
      <c r="Z557" s="102"/>
      <c r="AA557" s="102"/>
      <c r="AB557" s="102"/>
      <c r="AC557" s="102"/>
      <c r="AD557" s="102"/>
      <c r="AE557" s="102"/>
      <c r="AF557" s="102"/>
      <c r="AG557" s="102"/>
      <c r="AH557" s="102"/>
      <c r="AI557" s="102"/>
      <c r="AJ557" s="102"/>
      <c r="AK557" s="102"/>
      <c r="AL557" s="102"/>
      <c r="AM557" s="102"/>
      <c r="AN557" s="102"/>
      <c r="AO557" s="102"/>
      <c r="AP557" s="102"/>
    </row>
    <row r="558" spans="1:42">
      <c r="A558" s="89">
        <v>557</v>
      </c>
      <c r="B558" s="90">
        <v>50031361</v>
      </c>
      <c r="C558" s="91" t="s">
        <v>886</v>
      </c>
      <c r="D558" s="58" t="s">
        <v>845</v>
      </c>
      <c r="E558" s="59">
        <v>25880</v>
      </c>
      <c r="F558" s="92">
        <f ca="1">(TODAY()-Data_Assessment[[#This Row],[BIRTH DATE]])/365.25</f>
        <v>51.364818617385353</v>
      </c>
      <c r="G558" s="62" t="s">
        <v>919</v>
      </c>
      <c r="H558" s="63" t="s">
        <v>1389</v>
      </c>
      <c r="I558" s="106">
        <v>1</v>
      </c>
      <c r="J558" s="64" t="s">
        <v>1390</v>
      </c>
      <c r="K558" s="143">
        <v>2</v>
      </c>
      <c r="L558" s="58"/>
      <c r="M558" s="58"/>
      <c r="N558" s="102"/>
      <c r="O558" s="102"/>
      <c r="P558" s="102"/>
      <c r="Q558" s="102"/>
      <c r="R558" s="102"/>
      <c r="S558" s="102"/>
      <c r="T558" s="102"/>
      <c r="U558" s="102"/>
      <c r="V558" s="102"/>
      <c r="W558" s="102"/>
      <c r="X558" s="102"/>
      <c r="Y558" s="102"/>
      <c r="Z558" s="102"/>
      <c r="AA558" s="102"/>
      <c r="AB558" s="102"/>
      <c r="AC558" s="102"/>
      <c r="AD558" s="102"/>
      <c r="AE558" s="102"/>
      <c r="AF558" s="102"/>
      <c r="AG558" s="102"/>
      <c r="AH558" s="102"/>
      <c r="AI558" s="102"/>
      <c r="AJ558" s="102"/>
      <c r="AK558" s="102"/>
      <c r="AL558" s="102"/>
      <c r="AM558" s="102"/>
      <c r="AN558" s="102"/>
      <c r="AO558" s="102"/>
      <c r="AP558" s="102"/>
    </row>
    <row r="559" spans="1:42">
      <c r="A559" s="89">
        <v>558</v>
      </c>
      <c r="B559" s="90">
        <v>50031340</v>
      </c>
      <c r="C559" s="91" t="s">
        <v>697</v>
      </c>
      <c r="D559" s="58" t="s">
        <v>845</v>
      </c>
      <c r="E559" s="59">
        <v>26395</v>
      </c>
      <c r="F559" s="92">
        <f ca="1">(TODAY()-Data_Assessment[[#This Row],[BIRTH DATE]])/365.25</f>
        <v>49.954825462012323</v>
      </c>
      <c r="G559" s="62" t="s">
        <v>919</v>
      </c>
      <c r="H559" s="63" t="s">
        <v>1261</v>
      </c>
      <c r="I559" s="106">
        <v>1</v>
      </c>
      <c r="J559" s="64" t="s">
        <v>1391</v>
      </c>
      <c r="K559" s="143">
        <v>2</v>
      </c>
      <c r="L559" s="58"/>
      <c r="M559" s="58"/>
      <c r="N559" s="102"/>
      <c r="O559" s="102"/>
      <c r="P559" s="102"/>
      <c r="Q559" s="102"/>
      <c r="R559" s="102"/>
      <c r="S559" s="102"/>
      <c r="T559" s="102"/>
      <c r="U559" s="102"/>
      <c r="V559" s="102"/>
      <c r="W559" s="102"/>
      <c r="X559" s="102"/>
      <c r="Y559" s="102"/>
      <c r="Z559" s="102"/>
      <c r="AA559" s="102"/>
      <c r="AB559" s="102"/>
      <c r="AC559" s="102"/>
      <c r="AD559" s="102"/>
      <c r="AE559" s="102"/>
      <c r="AF559" s="102"/>
      <c r="AG559" s="102"/>
      <c r="AH559" s="102"/>
      <c r="AI559" s="102"/>
      <c r="AJ559" s="102"/>
      <c r="AK559" s="102"/>
      <c r="AL559" s="102"/>
      <c r="AM559" s="102"/>
      <c r="AN559" s="102"/>
      <c r="AO559" s="102"/>
      <c r="AP559" s="102"/>
    </row>
    <row r="560" spans="1:42">
      <c r="A560" s="89">
        <v>559</v>
      </c>
      <c r="B560" s="90">
        <v>50031518</v>
      </c>
      <c r="C560" s="91" t="s">
        <v>714</v>
      </c>
      <c r="D560" s="58" t="s">
        <v>845</v>
      </c>
      <c r="E560" s="59">
        <v>24860</v>
      </c>
      <c r="F560" s="92">
        <f ca="1">(TODAY()-Data_Assessment[[#This Row],[BIRTH DATE]])/365.25</f>
        <v>54.157426420260094</v>
      </c>
      <c r="G560" s="62" t="s">
        <v>895</v>
      </c>
      <c r="H560" s="63" t="s">
        <v>1207</v>
      </c>
      <c r="I560" s="106">
        <v>1</v>
      </c>
      <c r="J560" s="64" t="s">
        <v>1392</v>
      </c>
      <c r="K560" s="143">
        <v>4</v>
      </c>
      <c r="L560" s="58"/>
      <c r="M560" s="58"/>
      <c r="N560" s="102"/>
      <c r="O560" s="102"/>
      <c r="P560" s="102"/>
      <c r="Q560" s="102"/>
      <c r="R560" s="102"/>
      <c r="S560" s="102"/>
      <c r="T560" s="102"/>
      <c r="U560" s="102"/>
      <c r="V560" s="102"/>
      <c r="W560" s="102"/>
      <c r="X560" s="102"/>
      <c r="Y560" s="102"/>
      <c r="Z560" s="102"/>
      <c r="AA560" s="102"/>
      <c r="AB560" s="102"/>
      <c r="AC560" s="102"/>
      <c r="AD560" s="102"/>
      <c r="AE560" s="102"/>
      <c r="AF560" s="102"/>
      <c r="AG560" s="102"/>
      <c r="AH560" s="102"/>
      <c r="AI560" s="102"/>
      <c r="AJ560" s="102"/>
      <c r="AK560" s="102"/>
      <c r="AL560" s="102"/>
      <c r="AM560" s="102"/>
      <c r="AN560" s="102"/>
      <c r="AO560" s="102"/>
      <c r="AP560" s="102"/>
    </row>
    <row r="561" spans="1:42">
      <c r="A561" s="89">
        <v>560</v>
      </c>
      <c r="B561" s="90">
        <v>50031301</v>
      </c>
      <c r="C561" s="91" t="s">
        <v>716</v>
      </c>
      <c r="D561" s="58" t="s">
        <v>845</v>
      </c>
      <c r="E561" s="59">
        <v>27553</v>
      </c>
      <c r="F561" s="92">
        <f ca="1">(TODAY()-Data_Assessment[[#This Row],[BIRTH DATE]])/365.25</f>
        <v>46.784394250513344</v>
      </c>
      <c r="G561" s="62" t="s">
        <v>895</v>
      </c>
      <c r="H561" s="63" t="s">
        <v>1205</v>
      </c>
      <c r="I561" s="106">
        <v>1</v>
      </c>
      <c r="J561" s="64" t="s">
        <v>1393</v>
      </c>
      <c r="K561" s="143">
        <v>3</v>
      </c>
      <c r="L561" s="58"/>
      <c r="M561" s="58"/>
      <c r="N561" s="102"/>
      <c r="O561" s="102"/>
      <c r="P561" s="102"/>
      <c r="Q561" s="102"/>
      <c r="R561" s="102"/>
      <c r="S561" s="102"/>
      <c r="T561" s="102"/>
      <c r="U561" s="102"/>
      <c r="V561" s="102"/>
      <c r="W561" s="102"/>
      <c r="X561" s="102"/>
      <c r="Y561" s="102"/>
      <c r="Z561" s="102"/>
      <c r="AA561" s="102"/>
      <c r="AB561" s="102"/>
      <c r="AC561" s="102"/>
      <c r="AD561" s="102"/>
      <c r="AE561" s="102"/>
      <c r="AF561" s="102"/>
      <c r="AG561" s="102"/>
      <c r="AH561" s="102"/>
      <c r="AI561" s="102"/>
      <c r="AJ561" s="102"/>
      <c r="AK561" s="102"/>
      <c r="AL561" s="102"/>
      <c r="AM561" s="102"/>
      <c r="AN561" s="102"/>
      <c r="AO561" s="102"/>
      <c r="AP561" s="102"/>
    </row>
    <row r="562" spans="1:42">
      <c r="A562" s="89">
        <v>561</v>
      </c>
      <c r="B562" s="90">
        <v>50031075</v>
      </c>
      <c r="C562" s="91" t="s">
        <v>442</v>
      </c>
      <c r="D562" s="58" t="s">
        <v>845</v>
      </c>
      <c r="E562" s="59">
        <v>24650</v>
      </c>
      <c r="F562" s="92">
        <f ca="1">(TODAY()-Data_Assessment[[#This Row],[BIRTH DATE]])/365.25</f>
        <v>54.732375085557834</v>
      </c>
      <c r="G562" s="62" t="s">
        <v>895</v>
      </c>
      <c r="H562" s="63" t="s">
        <v>909</v>
      </c>
      <c r="I562" s="106">
        <v>1</v>
      </c>
      <c r="J562" s="64" t="s">
        <v>1394</v>
      </c>
      <c r="K562" s="143">
        <v>3</v>
      </c>
      <c r="L562" s="58"/>
      <c r="M562" s="58"/>
      <c r="N562" s="102"/>
      <c r="O562" s="102"/>
      <c r="P562" s="102"/>
      <c r="Q562" s="102"/>
      <c r="R562" s="102"/>
      <c r="S562" s="102"/>
      <c r="T562" s="102"/>
      <c r="U562" s="102"/>
      <c r="V562" s="102"/>
      <c r="W562" s="102"/>
      <c r="X562" s="102"/>
      <c r="Y562" s="102"/>
      <c r="Z562" s="102"/>
      <c r="AA562" s="102"/>
      <c r="AB562" s="102"/>
      <c r="AC562" s="102"/>
      <c r="AD562" s="102"/>
      <c r="AE562" s="102"/>
      <c r="AF562" s="102"/>
      <c r="AG562" s="102"/>
      <c r="AH562" s="102"/>
      <c r="AI562" s="102"/>
      <c r="AJ562" s="102"/>
      <c r="AK562" s="102"/>
      <c r="AL562" s="102"/>
      <c r="AM562" s="102"/>
      <c r="AN562" s="102"/>
      <c r="AO562" s="102"/>
      <c r="AP562" s="102"/>
    </row>
    <row r="563" spans="1:42">
      <c r="A563" s="89">
        <v>562</v>
      </c>
      <c r="B563" s="90">
        <v>50031359</v>
      </c>
      <c r="C563" s="91" t="s">
        <v>717</v>
      </c>
      <c r="D563" s="58" t="s">
        <v>845</v>
      </c>
      <c r="E563" s="59">
        <v>29644</v>
      </c>
      <c r="F563" s="92">
        <f ca="1">(TODAY()-Data_Assessment[[#This Row],[BIRTH DATE]])/365.25</f>
        <v>41.059548254620125</v>
      </c>
      <c r="G563" s="62" t="s">
        <v>895</v>
      </c>
      <c r="H563" s="63" t="s">
        <v>1205</v>
      </c>
      <c r="I563" s="106">
        <v>1</v>
      </c>
      <c r="J563" s="64" t="s">
        <v>1395</v>
      </c>
      <c r="K563" s="143">
        <v>3</v>
      </c>
      <c r="L563" s="58"/>
      <c r="M563" s="58"/>
      <c r="N563" s="102"/>
      <c r="O563" s="102"/>
      <c r="P563" s="102"/>
      <c r="Q563" s="102"/>
      <c r="R563" s="102"/>
      <c r="S563" s="102"/>
      <c r="T563" s="102"/>
      <c r="U563" s="102"/>
      <c r="V563" s="102"/>
      <c r="W563" s="102"/>
      <c r="X563" s="102"/>
      <c r="Y563" s="102"/>
      <c r="Z563" s="102"/>
      <c r="AA563" s="102"/>
      <c r="AB563" s="102"/>
      <c r="AC563" s="102"/>
      <c r="AD563" s="102"/>
      <c r="AE563" s="102"/>
      <c r="AF563" s="102"/>
      <c r="AG563" s="102"/>
      <c r="AH563" s="102"/>
      <c r="AI563" s="102"/>
      <c r="AJ563" s="102"/>
      <c r="AK563" s="102"/>
      <c r="AL563" s="102"/>
      <c r="AM563" s="102"/>
      <c r="AN563" s="102"/>
      <c r="AO563" s="102"/>
      <c r="AP563" s="102"/>
    </row>
    <row r="564" spans="1:42">
      <c r="A564" s="89">
        <v>563</v>
      </c>
      <c r="B564" s="90">
        <v>50031051</v>
      </c>
      <c r="C564" s="91" t="s">
        <v>443</v>
      </c>
      <c r="D564" s="58" t="s">
        <v>845</v>
      </c>
      <c r="E564" s="59">
        <v>25138</v>
      </c>
      <c r="F564" s="92">
        <f ca="1">(TODAY()-Data_Assessment[[#This Row],[BIRTH DATE]])/365.25</f>
        <v>53.396303901437371</v>
      </c>
      <c r="G564" s="62" t="s">
        <v>895</v>
      </c>
      <c r="H564" s="63" t="s">
        <v>909</v>
      </c>
      <c r="I564" s="106">
        <v>1</v>
      </c>
      <c r="J564" s="64" t="s">
        <v>1396</v>
      </c>
      <c r="K564" s="143">
        <v>3</v>
      </c>
      <c r="L564" s="58"/>
      <c r="M564" s="58"/>
      <c r="N564" s="102"/>
      <c r="O564" s="102"/>
      <c r="P564" s="102"/>
      <c r="Q564" s="102"/>
      <c r="R564" s="102"/>
      <c r="S564" s="102"/>
      <c r="T564" s="102"/>
      <c r="U564" s="102"/>
      <c r="V564" s="102"/>
      <c r="W564" s="102"/>
      <c r="X564" s="102"/>
      <c r="Y564" s="102"/>
      <c r="Z564" s="102"/>
      <c r="AA564" s="102"/>
      <c r="AB564" s="102"/>
      <c r="AC564" s="102"/>
      <c r="AD564" s="102"/>
      <c r="AE564" s="102"/>
      <c r="AF564" s="102"/>
      <c r="AG564" s="102"/>
      <c r="AH564" s="102"/>
      <c r="AI564" s="102"/>
      <c r="AJ564" s="102"/>
      <c r="AK564" s="102"/>
      <c r="AL564" s="102"/>
      <c r="AM564" s="102"/>
      <c r="AN564" s="102"/>
      <c r="AO564" s="102"/>
      <c r="AP564" s="102"/>
    </row>
    <row r="565" spans="1:42">
      <c r="A565" s="89">
        <v>564</v>
      </c>
      <c r="B565" s="90">
        <v>50030786</v>
      </c>
      <c r="C565" s="91" t="s">
        <v>722</v>
      </c>
      <c r="D565" s="58" t="s">
        <v>845</v>
      </c>
      <c r="E565" s="59">
        <v>27360</v>
      </c>
      <c r="F565" s="92">
        <f ca="1">(TODAY()-Data_Assessment[[#This Row],[BIRTH DATE]])/365.25</f>
        <v>47.312799452429843</v>
      </c>
      <c r="G565" s="62" t="s">
        <v>895</v>
      </c>
      <c r="H565" s="63" t="s">
        <v>1203</v>
      </c>
      <c r="I565" s="106">
        <v>1</v>
      </c>
      <c r="J565" s="64" t="s">
        <v>1397</v>
      </c>
      <c r="K565" s="143">
        <v>4</v>
      </c>
      <c r="L565" s="58"/>
      <c r="M565" s="58"/>
      <c r="N565" s="102"/>
      <c r="O565" s="102"/>
      <c r="P565" s="102"/>
      <c r="Q565" s="102"/>
      <c r="R565" s="102"/>
      <c r="S565" s="102"/>
      <c r="T565" s="102"/>
      <c r="U565" s="102"/>
      <c r="V565" s="102"/>
      <c r="W565" s="102"/>
      <c r="X565" s="102"/>
      <c r="Y565" s="102"/>
      <c r="Z565" s="102"/>
      <c r="AA565" s="102"/>
      <c r="AB565" s="102"/>
      <c r="AC565" s="102"/>
      <c r="AD565" s="102"/>
      <c r="AE565" s="102"/>
      <c r="AF565" s="102"/>
      <c r="AG565" s="102"/>
      <c r="AH565" s="102"/>
      <c r="AI565" s="102"/>
      <c r="AJ565" s="102"/>
      <c r="AK565" s="102"/>
      <c r="AL565" s="102"/>
      <c r="AM565" s="102"/>
      <c r="AN565" s="102"/>
      <c r="AO565" s="102"/>
      <c r="AP565" s="102"/>
    </row>
    <row r="566" spans="1:42">
      <c r="A566" s="89">
        <v>565</v>
      </c>
      <c r="B566" s="90">
        <v>50037961</v>
      </c>
      <c r="C566" s="91" t="s">
        <v>444</v>
      </c>
      <c r="D566" s="58" t="s">
        <v>846</v>
      </c>
      <c r="E566" s="59">
        <v>26111</v>
      </c>
      <c r="F566" s="92">
        <f ca="1">(TODAY()-Data_Assessment[[#This Row],[BIRTH DATE]])/365.25</f>
        <v>50.732375085557834</v>
      </c>
      <c r="G566" s="62" t="s">
        <v>895</v>
      </c>
      <c r="H566" s="63" t="s">
        <v>909</v>
      </c>
      <c r="I566" s="106">
        <v>1</v>
      </c>
      <c r="J566" s="64" t="s">
        <v>1398</v>
      </c>
      <c r="K566" s="143">
        <v>3</v>
      </c>
      <c r="L566" s="58"/>
      <c r="M566" s="58"/>
      <c r="N566" s="102"/>
      <c r="O566" s="102"/>
      <c r="P566" s="102"/>
      <c r="Q566" s="102"/>
      <c r="R566" s="102"/>
      <c r="S566" s="102"/>
      <c r="T566" s="102"/>
      <c r="U566" s="102"/>
      <c r="V566" s="102"/>
      <c r="W566" s="102"/>
      <c r="X566" s="102"/>
      <c r="Y566" s="102"/>
      <c r="Z566" s="102"/>
      <c r="AA566" s="102"/>
      <c r="AB566" s="102"/>
      <c r="AC566" s="102"/>
      <c r="AD566" s="102"/>
      <c r="AE566" s="102"/>
      <c r="AF566" s="102"/>
      <c r="AG566" s="102"/>
      <c r="AH566" s="102"/>
      <c r="AI566" s="102"/>
      <c r="AJ566" s="102"/>
      <c r="AK566" s="102"/>
      <c r="AL566" s="102"/>
      <c r="AM566" s="102"/>
      <c r="AN566" s="102"/>
      <c r="AO566" s="102"/>
      <c r="AP566" s="102"/>
    </row>
    <row r="567" spans="1:42">
      <c r="A567" s="89">
        <v>566</v>
      </c>
      <c r="B567" s="90">
        <v>50031107</v>
      </c>
      <c r="C567" s="91" t="s">
        <v>723</v>
      </c>
      <c r="D567" s="58" t="s">
        <v>845</v>
      </c>
      <c r="E567" s="59">
        <v>28361</v>
      </c>
      <c r="F567" s="92">
        <f ca="1">(TODAY()-Data_Assessment[[#This Row],[BIRTH DATE]])/365.25</f>
        <v>44.572210814510612</v>
      </c>
      <c r="G567" s="62" t="s">
        <v>895</v>
      </c>
      <c r="H567" s="63" t="s">
        <v>1203</v>
      </c>
      <c r="I567" s="106">
        <v>1</v>
      </c>
      <c r="J567" s="64" t="s">
        <v>1399</v>
      </c>
      <c r="K567" s="143">
        <v>3</v>
      </c>
      <c r="L567" s="58"/>
      <c r="M567" s="58"/>
      <c r="N567" s="102"/>
      <c r="O567" s="102"/>
      <c r="P567" s="102"/>
      <c r="Q567" s="102"/>
      <c r="R567" s="102"/>
      <c r="S567" s="102"/>
      <c r="T567" s="102"/>
      <c r="U567" s="102"/>
      <c r="V567" s="102"/>
      <c r="W567" s="102"/>
      <c r="X567" s="102"/>
      <c r="Y567" s="102"/>
      <c r="Z567" s="102"/>
      <c r="AA567" s="102"/>
      <c r="AB567" s="102"/>
      <c r="AC567" s="102"/>
      <c r="AD567" s="102"/>
      <c r="AE567" s="102"/>
      <c r="AF567" s="102"/>
      <c r="AG567" s="102"/>
      <c r="AH567" s="102"/>
      <c r="AI567" s="102"/>
      <c r="AJ567" s="102"/>
      <c r="AK567" s="102"/>
      <c r="AL567" s="102"/>
      <c r="AM567" s="102"/>
      <c r="AN567" s="102"/>
      <c r="AO567" s="102"/>
      <c r="AP567" s="102"/>
    </row>
    <row r="568" spans="1:42">
      <c r="A568" s="89">
        <v>567</v>
      </c>
      <c r="B568" s="90">
        <v>50030792</v>
      </c>
      <c r="C568" s="91" t="s">
        <v>728</v>
      </c>
      <c r="D568" s="58" t="s">
        <v>845</v>
      </c>
      <c r="E568" s="59">
        <v>27081</v>
      </c>
      <c r="F568" s="92">
        <f ca="1">(TODAY()-Data_Assessment[[#This Row],[BIRTH DATE]])/365.25</f>
        <v>48.076659822039701</v>
      </c>
      <c r="G568" s="62" t="s">
        <v>895</v>
      </c>
      <c r="H568" s="63" t="s">
        <v>1207</v>
      </c>
      <c r="I568" s="106">
        <v>1</v>
      </c>
      <c r="J568" s="64" t="s">
        <v>1400</v>
      </c>
      <c r="K568" s="143">
        <v>3</v>
      </c>
      <c r="L568" s="58"/>
      <c r="M568" s="58"/>
      <c r="N568" s="102"/>
      <c r="O568" s="102"/>
      <c r="P568" s="102"/>
      <c r="Q568" s="102"/>
      <c r="R568" s="102"/>
      <c r="S568" s="102"/>
      <c r="T568" s="102"/>
      <c r="U568" s="102"/>
      <c r="V568" s="102"/>
      <c r="W568" s="102"/>
      <c r="X568" s="102"/>
      <c r="Y568" s="102"/>
      <c r="Z568" s="102"/>
      <c r="AA568" s="102"/>
      <c r="AB568" s="102"/>
      <c r="AC568" s="102"/>
      <c r="AD568" s="102"/>
      <c r="AE568" s="102"/>
      <c r="AF568" s="102"/>
      <c r="AG568" s="102"/>
      <c r="AH568" s="102"/>
      <c r="AI568" s="102"/>
      <c r="AJ568" s="102"/>
      <c r="AK568" s="102"/>
      <c r="AL568" s="102"/>
      <c r="AM568" s="102"/>
      <c r="AN568" s="102"/>
      <c r="AO568" s="102"/>
      <c r="AP568" s="102"/>
    </row>
    <row r="569" spans="1:42">
      <c r="A569" s="89">
        <v>568</v>
      </c>
      <c r="B569" s="90">
        <v>50132054</v>
      </c>
      <c r="C569" s="91" t="s">
        <v>446</v>
      </c>
      <c r="D569" s="58" t="s">
        <v>845</v>
      </c>
      <c r="E569" s="59">
        <v>35096</v>
      </c>
      <c r="F569" s="92">
        <f ca="1">(TODAY()-Data_Assessment[[#This Row],[BIRTH DATE]])/365.25</f>
        <v>26.132785763175907</v>
      </c>
      <c r="G569" s="62" t="s">
        <v>895</v>
      </c>
      <c r="H569" s="63" t="s">
        <v>909</v>
      </c>
      <c r="I569" s="106">
        <v>1</v>
      </c>
      <c r="J569" s="64" t="s">
        <v>1401</v>
      </c>
      <c r="K569" s="143">
        <v>3</v>
      </c>
      <c r="L569" s="58"/>
      <c r="M569" s="58"/>
      <c r="N569" s="102"/>
      <c r="O569" s="102"/>
      <c r="P569" s="102"/>
      <c r="Q569" s="102"/>
      <c r="R569" s="102"/>
      <c r="S569" s="102"/>
      <c r="T569" s="102"/>
      <c r="U569" s="102"/>
      <c r="V569" s="102"/>
      <c r="W569" s="102"/>
      <c r="X569" s="102"/>
      <c r="Y569" s="102"/>
      <c r="Z569" s="102"/>
      <c r="AA569" s="102"/>
      <c r="AB569" s="102"/>
      <c r="AC569" s="102"/>
      <c r="AD569" s="102"/>
      <c r="AE569" s="102"/>
      <c r="AF569" s="102"/>
      <c r="AG569" s="102"/>
      <c r="AH569" s="102"/>
      <c r="AI569" s="102"/>
      <c r="AJ569" s="102"/>
      <c r="AK569" s="102"/>
      <c r="AL569" s="102"/>
      <c r="AM569" s="102"/>
      <c r="AN569" s="102"/>
      <c r="AO569" s="102"/>
      <c r="AP569" s="102"/>
    </row>
    <row r="570" spans="1:42">
      <c r="A570" s="89">
        <v>569</v>
      </c>
      <c r="B570" s="90">
        <v>50030801</v>
      </c>
      <c r="C570" s="91" t="s">
        <v>729</v>
      </c>
      <c r="D570" s="58" t="s">
        <v>845</v>
      </c>
      <c r="E570" s="59">
        <v>32585</v>
      </c>
      <c r="F570" s="92">
        <f ca="1">(TODAY()-Data_Assessment[[#This Row],[BIRTH DATE]])/365.25</f>
        <v>33.007529089664615</v>
      </c>
      <c r="G570" s="62" t="s">
        <v>895</v>
      </c>
      <c r="H570" s="63" t="s">
        <v>1207</v>
      </c>
      <c r="I570" s="106">
        <v>1</v>
      </c>
      <c r="J570" s="64" t="s">
        <v>1402</v>
      </c>
      <c r="K570" s="143">
        <v>3</v>
      </c>
      <c r="L570" s="58"/>
      <c r="M570" s="58"/>
      <c r="N570" s="102"/>
      <c r="O570" s="102"/>
      <c r="P570" s="102"/>
      <c r="Q570" s="102"/>
      <c r="R570" s="102"/>
      <c r="S570" s="102"/>
      <c r="T570" s="102"/>
      <c r="U570" s="102"/>
      <c r="V570" s="102"/>
      <c r="W570" s="102"/>
      <c r="X570" s="102"/>
      <c r="Y570" s="102"/>
      <c r="Z570" s="102"/>
      <c r="AA570" s="102"/>
      <c r="AB570" s="102"/>
      <c r="AC570" s="102"/>
      <c r="AD570" s="102"/>
      <c r="AE570" s="102"/>
      <c r="AF570" s="102"/>
      <c r="AG570" s="102"/>
      <c r="AH570" s="102"/>
      <c r="AI570" s="102"/>
      <c r="AJ570" s="102"/>
      <c r="AK570" s="102"/>
      <c r="AL570" s="102"/>
      <c r="AM570" s="102"/>
      <c r="AN570" s="102"/>
      <c r="AO570" s="102"/>
      <c r="AP570" s="102"/>
    </row>
    <row r="571" spans="1:42">
      <c r="A571" s="89">
        <v>570</v>
      </c>
      <c r="B571" s="90">
        <v>50031304</v>
      </c>
      <c r="C571" s="91" t="s">
        <v>730</v>
      </c>
      <c r="D571" s="58" t="s">
        <v>845</v>
      </c>
      <c r="E571" s="59">
        <v>33205</v>
      </c>
      <c r="F571" s="92">
        <f ca="1">(TODAY()-Data_Assessment[[#This Row],[BIRTH DATE]])/365.25</f>
        <v>31.310061601642712</v>
      </c>
      <c r="G571" s="62" t="s">
        <v>895</v>
      </c>
      <c r="H571" s="63" t="s">
        <v>1207</v>
      </c>
      <c r="I571" s="106">
        <v>1</v>
      </c>
      <c r="J571" s="64" t="s">
        <v>1403</v>
      </c>
      <c r="K571" s="143">
        <v>3</v>
      </c>
      <c r="L571" s="58"/>
      <c r="M571" s="58"/>
      <c r="N571" s="102"/>
      <c r="O571" s="102"/>
      <c r="P571" s="102"/>
      <c r="Q571" s="102"/>
      <c r="R571" s="102"/>
      <c r="S571" s="102"/>
      <c r="T571" s="102"/>
      <c r="U571" s="102"/>
      <c r="V571" s="102"/>
      <c r="W571" s="102"/>
      <c r="X571" s="102"/>
      <c r="Y571" s="102"/>
      <c r="Z571" s="102"/>
      <c r="AA571" s="102"/>
      <c r="AB571" s="102"/>
      <c r="AC571" s="102"/>
      <c r="AD571" s="102"/>
      <c r="AE571" s="102"/>
      <c r="AF571" s="102"/>
      <c r="AG571" s="102"/>
      <c r="AH571" s="102"/>
      <c r="AI571" s="102"/>
      <c r="AJ571" s="102"/>
      <c r="AK571" s="102"/>
      <c r="AL571" s="102"/>
      <c r="AM571" s="102"/>
      <c r="AN571" s="102"/>
      <c r="AO571" s="102"/>
      <c r="AP571" s="102"/>
    </row>
    <row r="572" spans="1:42">
      <c r="A572" s="89">
        <v>571</v>
      </c>
      <c r="B572" s="90">
        <v>50030787</v>
      </c>
      <c r="C572" s="91" t="s">
        <v>733</v>
      </c>
      <c r="D572" s="58" t="s">
        <v>845</v>
      </c>
      <c r="E572" s="59">
        <v>28364</v>
      </c>
      <c r="F572" s="92">
        <f ca="1">(TODAY()-Data_Assessment[[#This Row],[BIRTH DATE]])/365.25</f>
        <v>44.563997262149215</v>
      </c>
      <c r="G572" s="62" t="s">
        <v>895</v>
      </c>
      <c r="H572" s="63" t="s">
        <v>1263</v>
      </c>
      <c r="I572" s="106">
        <v>1</v>
      </c>
      <c r="J572" s="64" t="s">
        <v>1404</v>
      </c>
      <c r="K572" s="143">
        <v>4</v>
      </c>
      <c r="L572" s="58"/>
      <c r="M572" s="58"/>
      <c r="N572" s="102"/>
      <c r="O572" s="102"/>
      <c r="P572" s="102"/>
      <c r="Q572" s="102"/>
      <c r="R572" s="102"/>
      <c r="S572" s="102"/>
      <c r="T572" s="102"/>
      <c r="U572" s="102"/>
      <c r="V572" s="102"/>
      <c r="W572" s="102"/>
      <c r="X572" s="102"/>
      <c r="Y572" s="102"/>
      <c r="Z572" s="102"/>
      <c r="AA572" s="102"/>
      <c r="AB572" s="102"/>
      <c r="AC572" s="102"/>
      <c r="AD572" s="102"/>
      <c r="AE572" s="102"/>
      <c r="AF572" s="102"/>
      <c r="AG572" s="102"/>
      <c r="AH572" s="102"/>
      <c r="AI572" s="102"/>
      <c r="AJ572" s="102"/>
      <c r="AK572" s="102"/>
      <c r="AL572" s="102"/>
      <c r="AM572" s="102"/>
      <c r="AN572" s="102"/>
      <c r="AO572" s="102"/>
      <c r="AP572" s="102"/>
    </row>
    <row r="573" spans="1:42">
      <c r="A573" s="89">
        <v>572</v>
      </c>
      <c r="B573" s="90">
        <v>50031111</v>
      </c>
      <c r="C573" s="91" t="s">
        <v>734</v>
      </c>
      <c r="D573" s="58" t="s">
        <v>845</v>
      </c>
      <c r="E573" s="59">
        <v>26156</v>
      </c>
      <c r="F573" s="92">
        <f ca="1">(TODAY()-Data_Assessment[[#This Row],[BIRTH DATE]])/365.25</f>
        <v>50.609171800136892</v>
      </c>
      <c r="G573" s="62" t="s">
        <v>895</v>
      </c>
      <c r="H573" s="63" t="s">
        <v>1263</v>
      </c>
      <c r="I573" s="106">
        <v>1</v>
      </c>
      <c r="J573" s="64" t="s">
        <v>1405</v>
      </c>
      <c r="K573" s="143">
        <v>4</v>
      </c>
      <c r="L573" s="58"/>
      <c r="M573" s="58"/>
      <c r="N573" s="102"/>
      <c r="O573" s="102"/>
      <c r="P573" s="102"/>
      <c r="Q573" s="102"/>
      <c r="R573" s="102"/>
      <c r="S573" s="102"/>
      <c r="T573" s="102"/>
      <c r="U573" s="102"/>
      <c r="V573" s="102"/>
      <c r="W573" s="102"/>
      <c r="X573" s="102"/>
      <c r="Y573" s="102"/>
      <c r="Z573" s="102"/>
      <c r="AA573" s="102"/>
      <c r="AB573" s="102"/>
      <c r="AC573" s="102"/>
      <c r="AD573" s="102"/>
      <c r="AE573" s="102"/>
      <c r="AF573" s="102"/>
      <c r="AG573" s="102"/>
      <c r="AH573" s="102"/>
      <c r="AI573" s="102"/>
      <c r="AJ573" s="102"/>
      <c r="AK573" s="102"/>
      <c r="AL573" s="102"/>
      <c r="AM573" s="102"/>
      <c r="AN573" s="102"/>
      <c r="AO573" s="102"/>
      <c r="AP573" s="102"/>
    </row>
    <row r="574" spans="1:42">
      <c r="A574" s="89">
        <v>573</v>
      </c>
      <c r="B574" s="90">
        <v>50030734</v>
      </c>
      <c r="C574" s="91" t="s">
        <v>450</v>
      </c>
      <c r="D574" s="58" t="s">
        <v>845</v>
      </c>
      <c r="E574" s="59">
        <v>25238</v>
      </c>
      <c r="F574" s="92">
        <f ca="1">(TODAY()-Data_Assessment[[#This Row],[BIRTH DATE]])/365.25</f>
        <v>53.12251882272416</v>
      </c>
      <c r="G574" s="62" t="s">
        <v>895</v>
      </c>
      <c r="H574" s="63" t="s">
        <v>912</v>
      </c>
      <c r="I574" s="106">
        <v>1</v>
      </c>
      <c r="J574" s="64" t="s">
        <v>1406</v>
      </c>
      <c r="K574" s="143">
        <v>4</v>
      </c>
      <c r="L574" s="58"/>
      <c r="M574" s="58"/>
      <c r="N574" s="102"/>
      <c r="O574" s="102"/>
      <c r="P574" s="102"/>
      <c r="Q574" s="102"/>
      <c r="R574" s="102"/>
      <c r="S574" s="102"/>
      <c r="T574" s="102"/>
      <c r="U574" s="102"/>
      <c r="V574" s="102"/>
      <c r="W574" s="102"/>
      <c r="X574" s="102"/>
      <c r="Y574" s="102"/>
      <c r="Z574" s="102"/>
      <c r="AA574" s="102"/>
      <c r="AB574" s="102"/>
      <c r="AC574" s="102"/>
      <c r="AD574" s="102"/>
      <c r="AE574" s="102"/>
      <c r="AF574" s="102"/>
      <c r="AG574" s="102"/>
      <c r="AH574" s="102"/>
      <c r="AI574" s="102"/>
      <c r="AJ574" s="102"/>
      <c r="AK574" s="102"/>
      <c r="AL574" s="102"/>
      <c r="AM574" s="102"/>
      <c r="AN574" s="102"/>
      <c r="AO574" s="102"/>
      <c r="AP574" s="102"/>
    </row>
    <row r="575" spans="1:42">
      <c r="A575" s="89">
        <v>574</v>
      </c>
      <c r="B575" s="90">
        <v>50031109</v>
      </c>
      <c r="C575" s="91" t="s">
        <v>735</v>
      </c>
      <c r="D575" s="58" t="s">
        <v>845</v>
      </c>
      <c r="E575" s="59">
        <v>26559</v>
      </c>
      <c r="F575" s="92">
        <f ca="1">(TODAY()-Data_Assessment[[#This Row],[BIRTH DATE]])/365.25</f>
        <v>49.505817932922653</v>
      </c>
      <c r="G575" s="62" t="s">
        <v>895</v>
      </c>
      <c r="H575" s="63" t="s">
        <v>1263</v>
      </c>
      <c r="I575" s="106">
        <v>1</v>
      </c>
      <c r="J575" s="64" t="s">
        <v>1407</v>
      </c>
      <c r="K575" s="143">
        <v>2</v>
      </c>
      <c r="L575" s="58"/>
      <c r="M575" s="58"/>
      <c r="N575" s="102"/>
      <c r="O575" s="102"/>
      <c r="P575" s="102"/>
      <c r="Q575" s="102"/>
      <c r="R575" s="102"/>
      <c r="S575" s="102"/>
      <c r="T575" s="102"/>
      <c r="U575" s="102"/>
      <c r="V575" s="102"/>
      <c r="W575" s="102"/>
      <c r="X575" s="102"/>
      <c r="Y575" s="102"/>
      <c r="Z575" s="102"/>
      <c r="AA575" s="102"/>
      <c r="AB575" s="102"/>
      <c r="AC575" s="102"/>
      <c r="AD575" s="102"/>
      <c r="AE575" s="102"/>
      <c r="AF575" s="102"/>
      <c r="AG575" s="102"/>
      <c r="AH575" s="102"/>
      <c r="AI575" s="102"/>
      <c r="AJ575" s="102"/>
      <c r="AK575" s="102"/>
      <c r="AL575" s="102"/>
      <c r="AM575" s="102"/>
      <c r="AN575" s="102"/>
      <c r="AO575" s="102"/>
      <c r="AP575" s="102"/>
    </row>
    <row r="576" spans="1:42">
      <c r="A576" s="89">
        <v>575</v>
      </c>
      <c r="B576" s="90">
        <v>50030708</v>
      </c>
      <c r="C576" s="91" t="s">
        <v>451</v>
      </c>
      <c r="D576" s="58" t="s">
        <v>845</v>
      </c>
      <c r="E576" s="59">
        <v>27351</v>
      </c>
      <c r="F576" s="92">
        <f ca="1">(TODAY()-Data_Assessment[[#This Row],[BIRTH DATE]])/365.25</f>
        <v>47.337440109514034</v>
      </c>
      <c r="G576" s="62" t="s">
        <v>895</v>
      </c>
      <c r="H576" s="63" t="s">
        <v>912</v>
      </c>
      <c r="I576" s="106">
        <v>1</v>
      </c>
      <c r="J576" s="64" t="s">
        <v>1408</v>
      </c>
      <c r="K576" s="143">
        <v>3</v>
      </c>
      <c r="L576" s="58"/>
      <c r="M576" s="58"/>
      <c r="N576" s="102"/>
      <c r="O576" s="102"/>
      <c r="P576" s="102"/>
      <c r="Q576" s="102"/>
      <c r="R576" s="102"/>
      <c r="S576" s="102"/>
      <c r="T576" s="102"/>
      <c r="U576" s="102"/>
      <c r="V576" s="102"/>
      <c r="W576" s="102"/>
      <c r="X576" s="102"/>
      <c r="Y576" s="102"/>
      <c r="Z576" s="102"/>
      <c r="AA576" s="102"/>
      <c r="AB576" s="102"/>
      <c r="AC576" s="102"/>
      <c r="AD576" s="102"/>
      <c r="AE576" s="102"/>
      <c r="AF576" s="102"/>
      <c r="AG576" s="102"/>
      <c r="AH576" s="102"/>
      <c r="AI576" s="102"/>
      <c r="AJ576" s="102"/>
      <c r="AK576" s="102"/>
      <c r="AL576" s="102"/>
      <c r="AM576" s="102"/>
      <c r="AN576" s="102"/>
      <c r="AO576" s="102"/>
      <c r="AP576" s="102"/>
    </row>
    <row r="577" spans="1:42">
      <c r="A577" s="89">
        <v>576</v>
      </c>
      <c r="B577" s="90">
        <v>50031354</v>
      </c>
      <c r="C577" s="91" t="s">
        <v>738</v>
      </c>
      <c r="D577" s="58" t="s">
        <v>845</v>
      </c>
      <c r="E577" s="59">
        <v>29550</v>
      </c>
      <c r="F577" s="92">
        <f ca="1">(TODAY()-Data_Assessment[[#This Row],[BIRTH DATE]])/365.25</f>
        <v>41.316906228610542</v>
      </c>
      <c r="G577" s="62" t="s">
        <v>895</v>
      </c>
      <c r="H577" s="63" t="s">
        <v>954</v>
      </c>
      <c r="I577" s="106">
        <v>1</v>
      </c>
      <c r="J577" s="64" t="s">
        <v>1409</v>
      </c>
      <c r="K577" s="143">
        <v>3</v>
      </c>
      <c r="L577" s="58"/>
      <c r="M577" s="58"/>
      <c r="N577" s="102"/>
      <c r="O577" s="102"/>
      <c r="P577" s="102"/>
      <c r="Q577" s="102"/>
      <c r="R577" s="102"/>
      <c r="S577" s="102"/>
      <c r="T577" s="102"/>
      <c r="U577" s="102"/>
      <c r="V577" s="102"/>
      <c r="W577" s="102"/>
      <c r="X577" s="102"/>
      <c r="Y577" s="102"/>
      <c r="Z577" s="102"/>
      <c r="AA577" s="102"/>
      <c r="AB577" s="102"/>
      <c r="AC577" s="102"/>
      <c r="AD577" s="102"/>
      <c r="AE577" s="102"/>
      <c r="AF577" s="102"/>
      <c r="AG577" s="102"/>
      <c r="AH577" s="102"/>
      <c r="AI577" s="102"/>
      <c r="AJ577" s="102"/>
      <c r="AK577" s="102"/>
      <c r="AL577" s="102"/>
      <c r="AM577" s="102"/>
      <c r="AN577" s="102"/>
      <c r="AO577" s="102"/>
      <c r="AP577" s="102"/>
    </row>
    <row r="578" spans="1:42">
      <c r="A578" s="89">
        <v>577</v>
      </c>
      <c r="B578" s="90">
        <v>50031042</v>
      </c>
      <c r="C578" s="91" t="s">
        <v>452</v>
      </c>
      <c r="D578" s="58" t="s">
        <v>845</v>
      </c>
      <c r="E578" s="59">
        <v>24931</v>
      </c>
      <c r="F578" s="92">
        <f ca="1">(TODAY()-Data_Assessment[[#This Row],[BIRTH DATE]])/365.25</f>
        <v>53.963039014373713</v>
      </c>
      <c r="G578" s="62" t="s">
        <v>895</v>
      </c>
      <c r="H578" s="63" t="s">
        <v>912</v>
      </c>
      <c r="I578" s="106">
        <v>1</v>
      </c>
      <c r="J578" s="64" t="s">
        <v>1408</v>
      </c>
      <c r="K578" s="143">
        <v>3</v>
      </c>
      <c r="L578" s="58"/>
      <c r="M578" s="58"/>
      <c r="N578" s="102"/>
      <c r="O578" s="102"/>
      <c r="P578" s="102"/>
      <c r="Q578" s="102"/>
      <c r="R578" s="102"/>
      <c r="S578" s="102"/>
      <c r="T578" s="102"/>
      <c r="U578" s="102"/>
      <c r="V578" s="102"/>
      <c r="W578" s="102"/>
      <c r="X578" s="102"/>
      <c r="Y578" s="102"/>
      <c r="Z578" s="102"/>
      <c r="AA578" s="102"/>
      <c r="AB578" s="102"/>
      <c r="AC578" s="102"/>
      <c r="AD578" s="102"/>
      <c r="AE578" s="102"/>
      <c r="AF578" s="102"/>
      <c r="AG578" s="102"/>
      <c r="AH578" s="102"/>
      <c r="AI578" s="102"/>
      <c r="AJ578" s="102"/>
      <c r="AK578" s="102"/>
      <c r="AL578" s="102"/>
      <c r="AM578" s="102"/>
      <c r="AN578" s="102"/>
      <c r="AO578" s="102"/>
      <c r="AP578" s="102"/>
    </row>
    <row r="579" spans="1:42">
      <c r="A579" s="89">
        <v>578</v>
      </c>
      <c r="B579" s="90">
        <v>50031467</v>
      </c>
      <c r="C579" s="91" t="s">
        <v>741</v>
      </c>
      <c r="D579" s="58" t="s">
        <v>845</v>
      </c>
      <c r="E579" s="59">
        <v>25671</v>
      </c>
      <c r="F579" s="92">
        <f ca="1">(TODAY()-Data_Assessment[[#This Row],[BIRTH DATE]])/365.25</f>
        <v>51.937029431895965</v>
      </c>
      <c r="G579" s="62" t="s">
        <v>919</v>
      </c>
      <c r="H579" s="63" t="s">
        <v>923</v>
      </c>
      <c r="I579" s="106">
        <v>1</v>
      </c>
      <c r="J579" s="64" t="s">
        <v>1410</v>
      </c>
      <c r="K579" s="143">
        <v>3</v>
      </c>
      <c r="L579" s="58"/>
      <c r="M579" s="58"/>
      <c r="N579" s="102"/>
      <c r="O579" s="102"/>
      <c r="P579" s="102"/>
      <c r="Q579" s="102"/>
      <c r="R579" s="102"/>
      <c r="S579" s="102"/>
      <c r="T579" s="102"/>
      <c r="U579" s="102"/>
      <c r="V579" s="102"/>
      <c r="W579" s="102"/>
      <c r="X579" s="102"/>
      <c r="Y579" s="102"/>
      <c r="Z579" s="102"/>
      <c r="AA579" s="102"/>
      <c r="AB579" s="102"/>
      <c r="AC579" s="102"/>
      <c r="AD579" s="102"/>
      <c r="AE579" s="102"/>
      <c r="AF579" s="102"/>
      <c r="AG579" s="102"/>
      <c r="AH579" s="102"/>
      <c r="AI579" s="102"/>
      <c r="AJ579" s="102"/>
      <c r="AK579" s="102"/>
      <c r="AL579" s="102"/>
      <c r="AM579" s="102"/>
      <c r="AN579" s="102"/>
      <c r="AO579" s="102"/>
      <c r="AP579" s="102"/>
    </row>
    <row r="580" spans="1:42">
      <c r="A580" s="89">
        <v>579</v>
      </c>
      <c r="B580" s="90">
        <v>50030796</v>
      </c>
      <c r="C580" s="91" t="s">
        <v>743</v>
      </c>
      <c r="D580" s="58" t="s">
        <v>845</v>
      </c>
      <c r="E580" s="59">
        <v>27031</v>
      </c>
      <c r="F580" s="92">
        <f ca="1">(TODAY()-Data_Assessment[[#This Row],[BIRTH DATE]])/365.25</f>
        <v>48.213552361396303</v>
      </c>
      <c r="G580" s="62" t="s">
        <v>919</v>
      </c>
      <c r="H580" s="63" t="s">
        <v>923</v>
      </c>
      <c r="I580" s="106">
        <v>1</v>
      </c>
      <c r="J580" s="64" t="s">
        <v>1411</v>
      </c>
      <c r="K580" s="143">
        <v>4</v>
      </c>
      <c r="L580" s="58"/>
      <c r="M580" s="58"/>
      <c r="N580" s="102"/>
      <c r="O580" s="102"/>
      <c r="P580" s="102"/>
      <c r="Q580" s="102"/>
      <c r="R580" s="102"/>
      <c r="S580" s="102"/>
      <c r="T580" s="102"/>
      <c r="U580" s="102"/>
      <c r="V580" s="102"/>
      <c r="W580" s="102"/>
      <c r="X580" s="102"/>
      <c r="Y580" s="102"/>
      <c r="Z580" s="102"/>
      <c r="AA580" s="102"/>
      <c r="AB580" s="102"/>
      <c r="AC580" s="102"/>
      <c r="AD580" s="102"/>
      <c r="AE580" s="102"/>
      <c r="AF580" s="102"/>
      <c r="AG580" s="102"/>
      <c r="AH580" s="102"/>
      <c r="AI580" s="102"/>
      <c r="AJ580" s="102"/>
      <c r="AK580" s="102"/>
      <c r="AL580" s="102"/>
      <c r="AM580" s="102"/>
      <c r="AN580" s="102"/>
      <c r="AO580" s="102"/>
      <c r="AP580" s="102"/>
    </row>
    <row r="581" spans="1:42">
      <c r="A581" s="89">
        <v>580</v>
      </c>
      <c r="B581" s="90">
        <v>50031085</v>
      </c>
      <c r="C581" s="91" t="s">
        <v>454</v>
      </c>
      <c r="D581" s="58" t="s">
        <v>845</v>
      </c>
      <c r="E581" s="59">
        <v>30606</v>
      </c>
      <c r="F581" s="92">
        <f ca="1">(TODAY()-Data_Assessment[[#This Row],[BIRTH DATE]])/365.25</f>
        <v>38.425735797399042</v>
      </c>
      <c r="G581" s="62" t="s">
        <v>895</v>
      </c>
      <c r="H581" s="63" t="s">
        <v>912</v>
      </c>
      <c r="I581" s="106">
        <v>1</v>
      </c>
      <c r="J581" s="64" t="s">
        <v>1412</v>
      </c>
      <c r="K581" s="143">
        <v>3</v>
      </c>
      <c r="L581" s="58"/>
      <c r="M581" s="58"/>
      <c r="N581" s="102"/>
      <c r="O581" s="102"/>
      <c r="P581" s="102"/>
      <c r="Q581" s="102"/>
      <c r="R581" s="102"/>
      <c r="S581" s="102"/>
      <c r="T581" s="102"/>
      <c r="U581" s="102"/>
      <c r="V581" s="102"/>
      <c r="W581" s="102"/>
      <c r="X581" s="102"/>
      <c r="Y581" s="102"/>
      <c r="Z581" s="102"/>
      <c r="AA581" s="102"/>
      <c r="AB581" s="102"/>
      <c r="AC581" s="102"/>
      <c r="AD581" s="102"/>
      <c r="AE581" s="102"/>
      <c r="AF581" s="102"/>
      <c r="AG581" s="102"/>
      <c r="AH581" s="102"/>
      <c r="AI581" s="102"/>
      <c r="AJ581" s="102"/>
      <c r="AK581" s="102"/>
      <c r="AL581" s="102"/>
      <c r="AM581" s="102"/>
      <c r="AN581" s="102"/>
      <c r="AO581" s="102"/>
      <c r="AP581" s="102"/>
    </row>
    <row r="582" spans="1:42">
      <c r="A582" s="89">
        <v>581</v>
      </c>
      <c r="B582" s="90">
        <v>50030795</v>
      </c>
      <c r="C582" s="91" t="s">
        <v>744</v>
      </c>
      <c r="D582" s="58" t="s">
        <v>845</v>
      </c>
      <c r="E582" s="59">
        <v>29096</v>
      </c>
      <c r="F582" s="92">
        <f ca="1">(TODAY()-Data_Assessment[[#This Row],[BIRTH DATE]])/365.25</f>
        <v>42.559890485968516</v>
      </c>
      <c r="G582" s="62" t="s">
        <v>919</v>
      </c>
      <c r="H582" s="63" t="s">
        <v>923</v>
      </c>
      <c r="I582" s="106">
        <v>1</v>
      </c>
      <c r="J582" s="64" t="s">
        <v>1413</v>
      </c>
      <c r="K582" s="143">
        <v>3</v>
      </c>
      <c r="L582" s="58"/>
      <c r="M582" s="58"/>
      <c r="N582" s="102"/>
      <c r="O582" s="102"/>
      <c r="P582" s="102"/>
      <c r="Q582" s="102"/>
      <c r="R582" s="102"/>
      <c r="S582" s="102"/>
      <c r="T582" s="102"/>
      <c r="U582" s="102"/>
      <c r="V582" s="102"/>
      <c r="W582" s="102"/>
      <c r="X582" s="102"/>
      <c r="Y582" s="102"/>
      <c r="Z582" s="102"/>
      <c r="AA582" s="102"/>
      <c r="AB582" s="102"/>
      <c r="AC582" s="102"/>
      <c r="AD582" s="102"/>
      <c r="AE582" s="102"/>
      <c r="AF582" s="102"/>
      <c r="AG582" s="102"/>
      <c r="AH582" s="102"/>
      <c r="AI582" s="102"/>
      <c r="AJ582" s="102"/>
      <c r="AK582" s="102"/>
      <c r="AL582" s="102"/>
      <c r="AM582" s="102"/>
      <c r="AN582" s="102"/>
      <c r="AO582" s="102"/>
      <c r="AP582" s="102"/>
    </row>
    <row r="583" spans="1:42">
      <c r="A583" s="89">
        <v>582</v>
      </c>
      <c r="B583" s="90">
        <v>50030807</v>
      </c>
      <c r="C583" s="91" t="s">
        <v>749</v>
      </c>
      <c r="D583" s="58" t="s">
        <v>845</v>
      </c>
      <c r="E583" s="59">
        <v>28385</v>
      </c>
      <c r="F583" s="92">
        <f ca="1">(TODAY()-Data_Assessment[[#This Row],[BIRTH DATE]])/365.25</f>
        <v>44.506502395619435</v>
      </c>
      <c r="G583" s="62" t="s">
        <v>919</v>
      </c>
      <c r="H583" s="63" t="s">
        <v>920</v>
      </c>
      <c r="I583" s="106">
        <v>1</v>
      </c>
      <c r="J583" s="64" t="s">
        <v>1414</v>
      </c>
      <c r="K583" s="143">
        <v>3</v>
      </c>
      <c r="L583" s="58"/>
      <c r="M583" s="58"/>
      <c r="N583" s="102"/>
      <c r="O583" s="102"/>
      <c r="P583" s="102"/>
      <c r="Q583" s="102"/>
      <c r="R583" s="102"/>
      <c r="S583" s="102"/>
      <c r="T583" s="102"/>
      <c r="U583" s="102"/>
      <c r="V583" s="102"/>
      <c r="W583" s="102"/>
      <c r="X583" s="102"/>
      <c r="Y583" s="102"/>
      <c r="Z583" s="102"/>
      <c r="AA583" s="102"/>
      <c r="AB583" s="102"/>
      <c r="AC583" s="102"/>
      <c r="AD583" s="102"/>
      <c r="AE583" s="102"/>
      <c r="AF583" s="102"/>
      <c r="AG583" s="102"/>
      <c r="AH583" s="102"/>
      <c r="AI583" s="102"/>
      <c r="AJ583" s="102"/>
      <c r="AK583" s="102"/>
      <c r="AL583" s="102"/>
      <c r="AM583" s="102"/>
      <c r="AN583" s="102"/>
      <c r="AO583" s="102"/>
      <c r="AP583" s="102"/>
    </row>
    <row r="584" spans="1:42">
      <c r="A584" s="89">
        <v>583</v>
      </c>
      <c r="B584" s="90">
        <v>50031411</v>
      </c>
      <c r="C584" s="91" t="s">
        <v>750</v>
      </c>
      <c r="D584" s="58" t="s">
        <v>845</v>
      </c>
      <c r="E584" s="59">
        <v>30454</v>
      </c>
      <c r="F584" s="92">
        <f ca="1">(TODAY()-Data_Assessment[[#This Row],[BIRTH DATE]])/365.25</f>
        <v>38.841889117043124</v>
      </c>
      <c r="G584" s="62" t="s">
        <v>919</v>
      </c>
      <c r="H584" s="63" t="s">
        <v>920</v>
      </c>
      <c r="I584" s="106">
        <v>1</v>
      </c>
      <c r="J584" s="64" t="s">
        <v>1415</v>
      </c>
      <c r="K584" s="143">
        <v>3</v>
      </c>
      <c r="L584" s="58"/>
      <c r="M584" s="58"/>
      <c r="N584" s="102"/>
      <c r="O584" s="102"/>
      <c r="P584" s="102"/>
      <c r="Q584" s="102"/>
      <c r="R584" s="102"/>
      <c r="S584" s="102"/>
      <c r="T584" s="102"/>
      <c r="U584" s="102"/>
      <c r="V584" s="102"/>
      <c r="W584" s="102"/>
      <c r="X584" s="102"/>
      <c r="Y584" s="102"/>
      <c r="Z584" s="102"/>
      <c r="AA584" s="102"/>
      <c r="AB584" s="102"/>
      <c r="AC584" s="102"/>
      <c r="AD584" s="102"/>
      <c r="AE584" s="102"/>
      <c r="AF584" s="102"/>
      <c r="AG584" s="102"/>
      <c r="AH584" s="102"/>
      <c r="AI584" s="102"/>
      <c r="AJ584" s="102"/>
      <c r="AK584" s="102"/>
      <c r="AL584" s="102"/>
      <c r="AM584" s="102"/>
      <c r="AN584" s="102"/>
      <c r="AO584" s="102"/>
      <c r="AP584" s="102"/>
    </row>
    <row r="585" spans="1:42">
      <c r="A585" s="89">
        <v>584</v>
      </c>
      <c r="B585" s="90">
        <v>50108159</v>
      </c>
      <c r="C585" s="91" t="s">
        <v>751</v>
      </c>
      <c r="D585" s="58" t="s">
        <v>845</v>
      </c>
      <c r="E585" s="59">
        <v>33665</v>
      </c>
      <c r="F585" s="92">
        <f ca="1">(TODAY()-Data_Assessment[[#This Row],[BIRTH DATE]])/365.25</f>
        <v>30.050650239561943</v>
      </c>
      <c r="G585" s="62" t="s">
        <v>919</v>
      </c>
      <c r="H585" s="63" t="s">
        <v>920</v>
      </c>
      <c r="I585" s="106">
        <v>1</v>
      </c>
      <c r="J585" s="64" t="s">
        <v>1416</v>
      </c>
      <c r="K585" s="143">
        <v>3</v>
      </c>
      <c r="L585" s="58"/>
      <c r="M585" s="58"/>
      <c r="N585" s="102"/>
      <c r="O585" s="102"/>
      <c r="P585" s="102"/>
      <c r="Q585" s="102"/>
      <c r="R585" s="102"/>
      <c r="S585" s="102"/>
      <c r="T585" s="102"/>
      <c r="U585" s="102"/>
      <c r="V585" s="102"/>
      <c r="W585" s="102"/>
      <c r="X585" s="102"/>
      <c r="Y585" s="102"/>
      <c r="Z585" s="102"/>
      <c r="AA585" s="102"/>
      <c r="AB585" s="102"/>
      <c r="AC585" s="102"/>
      <c r="AD585" s="102"/>
      <c r="AE585" s="102"/>
      <c r="AF585" s="102"/>
      <c r="AG585" s="102"/>
      <c r="AH585" s="102"/>
      <c r="AI585" s="102"/>
      <c r="AJ585" s="102"/>
      <c r="AK585" s="102"/>
      <c r="AL585" s="102"/>
      <c r="AM585" s="102"/>
      <c r="AN585" s="102"/>
      <c r="AO585" s="102"/>
      <c r="AP585" s="102"/>
    </row>
    <row r="586" spans="1:42">
      <c r="A586" s="89">
        <v>585</v>
      </c>
      <c r="B586" s="90">
        <v>50031104</v>
      </c>
      <c r="C586" s="91" t="s">
        <v>757</v>
      </c>
      <c r="D586" s="58" t="s">
        <v>845</v>
      </c>
      <c r="E586" s="59">
        <v>25455</v>
      </c>
      <c r="F586" s="92">
        <f ca="1">(TODAY()-Data_Assessment[[#This Row],[BIRTH DATE]])/365.25</f>
        <v>52.528405201916499</v>
      </c>
      <c r="G586" s="62" t="s">
        <v>919</v>
      </c>
      <c r="H586" s="63" t="s">
        <v>1417</v>
      </c>
      <c r="I586" s="106">
        <v>1</v>
      </c>
      <c r="J586" s="64" t="s">
        <v>1418</v>
      </c>
      <c r="K586" s="143">
        <v>3</v>
      </c>
      <c r="L586" s="58"/>
      <c r="M586" s="58"/>
      <c r="N586" s="102"/>
      <c r="O586" s="102"/>
      <c r="P586" s="102"/>
      <c r="Q586" s="102"/>
      <c r="R586" s="102"/>
      <c r="S586" s="102"/>
      <c r="T586" s="102"/>
      <c r="U586" s="102"/>
      <c r="V586" s="102"/>
      <c r="W586" s="102"/>
      <c r="X586" s="102"/>
      <c r="Y586" s="102"/>
      <c r="Z586" s="102"/>
      <c r="AA586" s="102"/>
      <c r="AB586" s="102"/>
      <c r="AC586" s="102"/>
      <c r="AD586" s="102"/>
      <c r="AE586" s="102"/>
      <c r="AF586" s="102"/>
      <c r="AG586" s="102"/>
      <c r="AH586" s="102"/>
      <c r="AI586" s="102"/>
      <c r="AJ586" s="102"/>
      <c r="AK586" s="102"/>
      <c r="AL586" s="102"/>
      <c r="AM586" s="102"/>
      <c r="AN586" s="102"/>
      <c r="AO586" s="102"/>
      <c r="AP586" s="102"/>
    </row>
    <row r="587" spans="1:42">
      <c r="A587" s="89">
        <v>586</v>
      </c>
      <c r="B587" s="90">
        <v>50031110</v>
      </c>
      <c r="C587" s="91" t="s">
        <v>765</v>
      </c>
      <c r="D587" s="58" t="s">
        <v>845</v>
      </c>
      <c r="E587" s="59">
        <v>27747</v>
      </c>
      <c r="F587" s="92">
        <f ca="1">(TODAY()-Data_Assessment[[#This Row],[BIRTH DATE]])/365.25</f>
        <v>46.253251197809718</v>
      </c>
      <c r="G587" s="62" t="s">
        <v>919</v>
      </c>
      <c r="H587" s="63" t="s">
        <v>1246</v>
      </c>
      <c r="I587" s="106">
        <v>1</v>
      </c>
      <c r="J587" s="64" t="s">
        <v>1419</v>
      </c>
      <c r="K587" s="143">
        <v>5</v>
      </c>
      <c r="L587" s="58"/>
      <c r="M587" s="58"/>
      <c r="N587" s="102"/>
      <c r="O587" s="102"/>
      <c r="P587" s="102"/>
      <c r="Q587" s="102"/>
      <c r="R587" s="102"/>
      <c r="S587" s="102"/>
      <c r="T587" s="102"/>
      <c r="U587" s="102"/>
      <c r="V587" s="102"/>
      <c r="W587" s="102"/>
      <c r="X587" s="102"/>
      <c r="Y587" s="102"/>
      <c r="Z587" s="102"/>
      <c r="AA587" s="102"/>
      <c r="AB587" s="102"/>
      <c r="AC587" s="102"/>
      <c r="AD587" s="102"/>
      <c r="AE587" s="102"/>
      <c r="AF587" s="102"/>
      <c r="AG587" s="102"/>
      <c r="AH587" s="102"/>
      <c r="AI587" s="102"/>
      <c r="AJ587" s="102"/>
      <c r="AK587" s="102"/>
      <c r="AL587" s="102"/>
      <c r="AM587" s="102"/>
      <c r="AN587" s="102"/>
      <c r="AO587" s="102"/>
      <c r="AP587" s="102"/>
    </row>
    <row r="588" spans="1:42">
      <c r="A588" s="89">
        <v>587</v>
      </c>
      <c r="B588" s="90">
        <v>50031048</v>
      </c>
      <c r="C588" s="91" t="s">
        <v>460</v>
      </c>
      <c r="D588" s="58" t="s">
        <v>845</v>
      </c>
      <c r="E588" s="59">
        <v>24454</v>
      </c>
      <c r="F588" s="92">
        <f ca="1">(TODAY()-Data_Assessment[[#This Row],[BIRTH DATE]])/365.25</f>
        <v>55.26899383983573</v>
      </c>
      <c r="G588" s="62" t="s">
        <v>895</v>
      </c>
      <c r="H588" s="63" t="s">
        <v>915</v>
      </c>
      <c r="I588" s="106">
        <v>1</v>
      </c>
      <c r="J588" s="64" t="s">
        <v>1420</v>
      </c>
      <c r="K588" s="143">
        <v>5</v>
      </c>
      <c r="L588" s="58"/>
      <c r="M588" s="58"/>
      <c r="N588" s="102"/>
      <c r="O588" s="102"/>
      <c r="P588" s="102"/>
      <c r="Q588" s="102"/>
      <c r="R588" s="102"/>
      <c r="S588" s="102"/>
      <c r="T588" s="102"/>
      <c r="U588" s="102"/>
      <c r="V588" s="102"/>
      <c r="W588" s="102"/>
      <c r="X588" s="102"/>
      <c r="Y588" s="102"/>
      <c r="Z588" s="102"/>
      <c r="AA588" s="102"/>
      <c r="AB588" s="102"/>
      <c r="AC588" s="102"/>
      <c r="AD588" s="102"/>
      <c r="AE588" s="102"/>
      <c r="AF588" s="102"/>
      <c r="AG588" s="102"/>
      <c r="AH588" s="102"/>
      <c r="AI588" s="102"/>
      <c r="AJ588" s="102"/>
      <c r="AK588" s="102"/>
      <c r="AL588" s="102"/>
      <c r="AM588" s="102"/>
      <c r="AN588" s="102"/>
      <c r="AO588" s="102"/>
      <c r="AP588" s="102"/>
    </row>
    <row r="589" spans="1:42">
      <c r="A589" s="89">
        <v>588</v>
      </c>
      <c r="B589" s="90">
        <v>50031096</v>
      </c>
      <c r="C589" s="91" t="s">
        <v>767</v>
      </c>
      <c r="D589" s="58" t="s">
        <v>845</v>
      </c>
      <c r="E589" s="59">
        <v>28046</v>
      </c>
      <c r="F589" s="92">
        <f ca="1">(TODAY()-Data_Assessment[[#This Row],[BIRTH DATE]])/365.25</f>
        <v>45.434633812457221</v>
      </c>
      <c r="G589" s="62" t="s">
        <v>919</v>
      </c>
      <c r="H589" s="63" t="s">
        <v>1246</v>
      </c>
      <c r="I589" s="106">
        <v>1</v>
      </c>
      <c r="J589" s="64" t="s">
        <v>1421</v>
      </c>
      <c r="K589" s="143">
        <v>4</v>
      </c>
      <c r="L589" s="58"/>
      <c r="M589" s="58"/>
      <c r="N589" s="102"/>
      <c r="O589" s="102"/>
      <c r="P589" s="102"/>
      <c r="Q589" s="102"/>
      <c r="R589" s="102"/>
      <c r="S589" s="102"/>
      <c r="T589" s="102"/>
      <c r="U589" s="102"/>
      <c r="V589" s="102"/>
      <c r="W589" s="102"/>
      <c r="X589" s="102"/>
      <c r="Y589" s="102"/>
      <c r="Z589" s="102"/>
      <c r="AA589" s="102"/>
      <c r="AB589" s="102"/>
      <c r="AC589" s="102"/>
      <c r="AD589" s="102"/>
      <c r="AE589" s="102"/>
      <c r="AF589" s="102"/>
      <c r="AG589" s="102"/>
      <c r="AH589" s="102"/>
      <c r="AI589" s="102"/>
      <c r="AJ589" s="102"/>
      <c r="AK589" s="102"/>
      <c r="AL589" s="102"/>
      <c r="AM589" s="102"/>
      <c r="AN589" s="102"/>
      <c r="AO589" s="102"/>
      <c r="AP589" s="102"/>
    </row>
    <row r="590" spans="1:42">
      <c r="A590" s="89">
        <v>589</v>
      </c>
      <c r="B590" s="90">
        <v>50031074</v>
      </c>
      <c r="C590" s="91" t="s">
        <v>461</v>
      </c>
      <c r="D590" s="58" t="s">
        <v>845</v>
      </c>
      <c r="E590" s="59">
        <v>25338</v>
      </c>
      <c r="F590" s="92">
        <f ca="1">(TODAY()-Data_Assessment[[#This Row],[BIRTH DATE]])/365.25</f>
        <v>52.84873374401095</v>
      </c>
      <c r="G590" s="62" t="s">
        <v>895</v>
      </c>
      <c r="H590" s="63" t="s">
        <v>915</v>
      </c>
      <c r="I590" s="106">
        <v>1</v>
      </c>
      <c r="J590" s="64" t="s">
        <v>1422</v>
      </c>
      <c r="K590" s="143">
        <v>3</v>
      </c>
      <c r="L590" s="58"/>
      <c r="M590" s="58"/>
      <c r="N590" s="102"/>
      <c r="O590" s="102"/>
      <c r="P590" s="102"/>
      <c r="Q590" s="102"/>
      <c r="R590" s="102"/>
      <c r="S590" s="102"/>
      <c r="T590" s="102"/>
      <c r="U590" s="102"/>
      <c r="V590" s="102"/>
      <c r="W590" s="102"/>
      <c r="X590" s="102"/>
      <c r="Y590" s="102"/>
      <c r="Z590" s="102"/>
      <c r="AA590" s="102"/>
      <c r="AB590" s="102"/>
      <c r="AC590" s="102"/>
      <c r="AD590" s="102"/>
      <c r="AE590" s="102"/>
      <c r="AF590" s="102"/>
      <c r="AG590" s="102"/>
      <c r="AH590" s="102"/>
      <c r="AI590" s="102"/>
      <c r="AJ590" s="102"/>
      <c r="AK590" s="102"/>
      <c r="AL590" s="102"/>
      <c r="AM590" s="102"/>
      <c r="AN590" s="102"/>
      <c r="AO590" s="102"/>
      <c r="AP590" s="102"/>
    </row>
    <row r="591" spans="1:42">
      <c r="A591" s="89">
        <v>590</v>
      </c>
      <c r="B591" s="90">
        <v>50031358</v>
      </c>
      <c r="C591" s="91" t="s">
        <v>768</v>
      </c>
      <c r="D591" s="58" t="s">
        <v>845</v>
      </c>
      <c r="E591" s="59">
        <v>28445</v>
      </c>
      <c r="F591" s="92">
        <f ca="1">(TODAY()-Data_Assessment[[#This Row],[BIRTH DATE]])/365.25</f>
        <v>44.342231348391515</v>
      </c>
      <c r="G591" s="62" t="s">
        <v>919</v>
      </c>
      <c r="H591" s="63" t="s">
        <v>1246</v>
      </c>
      <c r="I591" s="106">
        <v>1</v>
      </c>
      <c r="J591" s="64" t="s">
        <v>1423</v>
      </c>
      <c r="K591" s="143">
        <v>3</v>
      </c>
      <c r="L591" s="58"/>
      <c r="M591" s="58"/>
      <c r="N591" s="102"/>
      <c r="O591" s="102"/>
      <c r="P591" s="102"/>
      <c r="Q591" s="102"/>
      <c r="R591" s="102"/>
      <c r="S591" s="102"/>
      <c r="T591" s="102"/>
      <c r="U591" s="102"/>
      <c r="V591" s="102"/>
      <c r="W591" s="102"/>
      <c r="X591" s="102"/>
      <c r="Y591" s="102"/>
      <c r="Z591" s="102"/>
      <c r="AA591" s="102"/>
      <c r="AB591" s="102"/>
      <c r="AC591" s="102"/>
      <c r="AD591" s="102"/>
      <c r="AE591" s="102"/>
      <c r="AF591" s="102"/>
      <c r="AG591" s="102"/>
      <c r="AH591" s="102"/>
      <c r="AI591" s="102"/>
      <c r="AJ591" s="102"/>
      <c r="AK591" s="102"/>
      <c r="AL591" s="102"/>
      <c r="AM591" s="102"/>
      <c r="AN591" s="102"/>
      <c r="AO591" s="102"/>
      <c r="AP591" s="102"/>
    </row>
    <row r="592" spans="1:42">
      <c r="A592" s="89">
        <v>591</v>
      </c>
      <c r="B592" s="90">
        <v>50030702</v>
      </c>
      <c r="C592" s="91" t="s">
        <v>462</v>
      </c>
      <c r="D592" s="58" t="s">
        <v>845</v>
      </c>
      <c r="E592" s="59">
        <v>25172</v>
      </c>
      <c r="F592" s="92">
        <f ca="1">(TODAY()-Data_Assessment[[#This Row],[BIRTH DATE]])/365.25</f>
        <v>53.303216974674882</v>
      </c>
      <c r="G592" s="62" t="s">
        <v>895</v>
      </c>
      <c r="H592" s="63" t="s">
        <v>915</v>
      </c>
      <c r="I592" s="106">
        <v>1</v>
      </c>
      <c r="J592" s="64" t="s">
        <v>1422</v>
      </c>
      <c r="K592" s="143">
        <v>3</v>
      </c>
      <c r="L592" s="58"/>
      <c r="M592" s="58"/>
      <c r="N592" s="102"/>
      <c r="O592" s="102"/>
      <c r="P592" s="102"/>
      <c r="Q592" s="102"/>
      <c r="R592" s="102"/>
      <c r="S592" s="102"/>
      <c r="T592" s="102"/>
      <c r="U592" s="102"/>
      <c r="V592" s="102"/>
      <c r="W592" s="102"/>
      <c r="X592" s="102"/>
      <c r="Y592" s="102"/>
      <c r="Z592" s="102"/>
      <c r="AA592" s="102"/>
      <c r="AB592" s="102"/>
      <c r="AC592" s="102"/>
      <c r="AD592" s="102"/>
      <c r="AE592" s="102"/>
      <c r="AF592" s="102"/>
      <c r="AG592" s="102"/>
      <c r="AH592" s="102"/>
      <c r="AI592" s="102"/>
      <c r="AJ592" s="102"/>
      <c r="AK592" s="102"/>
      <c r="AL592" s="102"/>
      <c r="AM592" s="102"/>
      <c r="AN592" s="102"/>
      <c r="AO592" s="102"/>
      <c r="AP592" s="102"/>
    </row>
    <row r="593" spans="1:42">
      <c r="A593" s="89">
        <v>592</v>
      </c>
      <c r="B593" s="90">
        <v>50031115</v>
      </c>
      <c r="C593" s="91" t="s">
        <v>773</v>
      </c>
      <c r="D593" s="58" t="s">
        <v>845</v>
      </c>
      <c r="E593" s="59">
        <v>29194</v>
      </c>
      <c r="F593" s="92">
        <f ca="1">(TODAY()-Data_Assessment[[#This Row],[BIRTH DATE]])/365.25</f>
        <v>42.291581108829568</v>
      </c>
      <c r="G593" s="62" t="s">
        <v>919</v>
      </c>
      <c r="H593" s="63" t="s">
        <v>1050</v>
      </c>
      <c r="I593" s="106">
        <v>1</v>
      </c>
      <c r="J593" s="64" t="s">
        <v>1424</v>
      </c>
      <c r="K593" s="143">
        <v>3</v>
      </c>
      <c r="L593" s="58"/>
      <c r="M593" s="58"/>
      <c r="N593" s="102"/>
      <c r="O593" s="102"/>
      <c r="P593" s="102"/>
      <c r="Q593" s="102"/>
      <c r="R593" s="102"/>
      <c r="S593" s="102"/>
      <c r="T593" s="102"/>
      <c r="U593" s="102"/>
      <c r="V593" s="102"/>
      <c r="W593" s="102"/>
      <c r="X593" s="102"/>
      <c r="Y593" s="102"/>
      <c r="Z593" s="102"/>
      <c r="AA593" s="102"/>
      <c r="AB593" s="102"/>
      <c r="AC593" s="102"/>
      <c r="AD593" s="102"/>
      <c r="AE593" s="102"/>
      <c r="AF593" s="102"/>
      <c r="AG593" s="102"/>
      <c r="AH593" s="102"/>
      <c r="AI593" s="102"/>
      <c r="AJ593" s="102"/>
      <c r="AK593" s="102"/>
      <c r="AL593" s="102"/>
      <c r="AM593" s="102"/>
      <c r="AN593" s="102"/>
      <c r="AO593" s="102"/>
      <c r="AP593" s="102"/>
    </row>
    <row r="594" spans="1:42">
      <c r="A594" s="89">
        <v>593</v>
      </c>
      <c r="B594" s="90">
        <v>50037955</v>
      </c>
      <c r="C594" s="91" t="s">
        <v>463</v>
      </c>
      <c r="D594" s="58" t="s">
        <v>845</v>
      </c>
      <c r="E594" s="59">
        <v>27159</v>
      </c>
      <c r="F594" s="92">
        <f ca="1">(TODAY()-Data_Assessment[[#This Row],[BIRTH DATE]])/365.25</f>
        <v>47.863107460643398</v>
      </c>
      <c r="G594" s="62" t="s">
        <v>895</v>
      </c>
      <c r="H594" s="63" t="s">
        <v>915</v>
      </c>
      <c r="I594" s="106">
        <v>1</v>
      </c>
      <c r="J594" s="64" t="s">
        <v>1425</v>
      </c>
      <c r="K594" s="143">
        <v>4</v>
      </c>
      <c r="L594" s="58"/>
      <c r="M594" s="58"/>
      <c r="N594" s="102"/>
      <c r="O594" s="102"/>
      <c r="P594" s="102"/>
      <c r="Q594" s="102"/>
      <c r="R594" s="102"/>
      <c r="S594" s="102"/>
      <c r="T594" s="102"/>
      <c r="U594" s="102"/>
      <c r="V594" s="102"/>
      <c r="W594" s="102"/>
      <c r="X594" s="102"/>
      <c r="Y594" s="102"/>
      <c r="Z594" s="102"/>
      <c r="AA594" s="102"/>
      <c r="AB594" s="102"/>
      <c r="AC594" s="102"/>
      <c r="AD594" s="102"/>
      <c r="AE594" s="102"/>
      <c r="AF594" s="102"/>
      <c r="AG594" s="102"/>
      <c r="AH594" s="102"/>
      <c r="AI594" s="102"/>
      <c r="AJ594" s="102"/>
      <c r="AK594" s="102"/>
      <c r="AL594" s="102"/>
      <c r="AM594" s="102"/>
      <c r="AN594" s="102"/>
      <c r="AO594" s="102"/>
      <c r="AP594" s="102"/>
    </row>
    <row r="595" spans="1:42">
      <c r="A595" s="89">
        <v>594</v>
      </c>
      <c r="B595" s="90">
        <v>50030811</v>
      </c>
      <c r="C595" s="91" t="s">
        <v>776</v>
      </c>
      <c r="D595" s="58" t="s">
        <v>845</v>
      </c>
      <c r="E595" s="59">
        <v>30251</v>
      </c>
      <c r="F595" s="92">
        <f ca="1">(TODAY()-Data_Assessment[[#This Row],[BIRTH DATE]])/365.25</f>
        <v>39.397672826830934</v>
      </c>
      <c r="G595" s="62" t="s">
        <v>919</v>
      </c>
      <c r="H595" s="63" t="s">
        <v>947</v>
      </c>
      <c r="I595" s="106">
        <v>1</v>
      </c>
      <c r="J595" s="64" t="s">
        <v>1426</v>
      </c>
      <c r="K595" s="143">
        <v>4</v>
      </c>
      <c r="L595" s="58"/>
      <c r="M595" s="58"/>
      <c r="N595" s="102"/>
      <c r="O595" s="102"/>
      <c r="P595" s="102"/>
      <c r="Q595" s="102"/>
      <c r="R595" s="102"/>
      <c r="S595" s="102"/>
      <c r="T595" s="102"/>
      <c r="U595" s="102"/>
      <c r="V595" s="102"/>
      <c r="W595" s="102"/>
      <c r="X595" s="102"/>
      <c r="Y595" s="102"/>
      <c r="Z595" s="102"/>
      <c r="AA595" s="102"/>
      <c r="AB595" s="102"/>
      <c r="AC595" s="102"/>
      <c r="AD595" s="102"/>
      <c r="AE595" s="102"/>
      <c r="AF595" s="102"/>
      <c r="AG595" s="102"/>
      <c r="AH595" s="102"/>
      <c r="AI595" s="102"/>
      <c r="AJ595" s="102"/>
      <c r="AK595" s="102"/>
      <c r="AL595" s="102"/>
      <c r="AM595" s="102"/>
      <c r="AN595" s="102"/>
      <c r="AO595" s="102"/>
      <c r="AP595" s="102"/>
    </row>
    <row r="596" spans="1:42">
      <c r="A596" s="89">
        <v>595</v>
      </c>
      <c r="B596" s="90">
        <v>50030785</v>
      </c>
      <c r="C596" s="91" t="s">
        <v>777</v>
      </c>
      <c r="D596" s="58" t="s">
        <v>845</v>
      </c>
      <c r="E596" s="59">
        <v>25102</v>
      </c>
      <c r="F596" s="92">
        <f ca="1">(TODAY()-Data_Assessment[[#This Row],[BIRTH DATE]])/365.25</f>
        <v>53.494866529774129</v>
      </c>
      <c r="G596" s="62" t="s">
        <v>919</v>
      </c>
      <c r="H596" s="63" t="s">
        <v>947</v>
      </c>
      <c r="I596" s="106">
        <v>1</v>
      </c>
      <c r="J596" s="64" t="s">
        <v>1427</v>
      </c>
      <c r="K596" s="143">
        <v>3</v>
      </c>
      <c r="L596" s="58"/>
      <c r="M596" s="58"/>
      <c r="N596" s="102"/>
      <c r="O596" s="102"/>
      <c r="P596" s="102"/>
      <c r="Q596" s="102"/>
      <c r="R596" s="102"/>
      <c r="S596" s="102"/>
      <c r="T596" s="102"/>
      <c r="U596" s="102"/>
      <c r="V596" s="102"/>
      <c r="W596" s="102"/>
      <c r="X596" s="102"/>
      <c r="Y596" s="102"/>
      <c r="Z596" s="102"/>
      <c r="AA596" s="102"/>
      <c r="AB596" s="102"/>
      <c r="AC596" s="102"/>
      <c r="AD596" s="102"/>
      <c r="AE596" s="102"/>
      <c r="AF596" s="102"/>
      <c r="AG596" s="102"/>
      <c r="AH596" s="102"/>
      <c r="AI596" s="102"/>
      <c r="AJ596" s="102"/>
      <c r="AK596" s="102"/>
      <c r="AL596" s="102"/>
      <c r="AM596" s="102"/>
      <c r="AN596" s="102"/>
      <c r="AO596" s="102"/>
      <c r="AP596" s="102"/>
    </row>
    <row r="597" spans="1:42">
      <c r="A597" s="89">
        <v>596</v>
      </c>
      <c r="B597" s="90">
        <v>50049441</v>
      </c>
      <c r="C597" s="91" t="s">
        <v>778</v>
      </c>
      <c r="D597" s="58" t="s">
        <v>845</v>
      </c>
      <c r="E597" s="59">
        <v>32740</v>
      </c>
      <c r="F597" s="92">
        <f ca="1">(TODAY()-Data_Assessment[[#This Row],[BIRTH DATE]])/365.25</f>
        <v>32.583162217659137</v>
      </c>
      <c r="G597" s="62" t="s">
        <v>919</v>
      </c>
      <c r="H597" s="63" t="s">
        <v>947</v>
      </c>
      <c r="I597" s="106">
        <v>1</v>
      </c>
      <c r="J597" s="64" t="s">
        <v>1428</v>
      </c>
      <c r="K597" s="143">
        <v>3</v>
      </c>
      <c r="L597" s="58"/>
      <c r="M597" s="58"/>
      <c r="N597" s="102"/>
      <c r="O597" s="102"/>
      <c r="P597" s="102"/>
      <c r="Q597" s="102"/>
      <c r="R597" s="102"/>
      <c r="S597" s="102"/>
      <c r="T597" s="102"/>
      <c r="U597" s="102"/>
      <c r="V597" s="102"/>
      <c r="W597" s="102"/>
      <c r="X597" s="102"/>
      <c r="Y597" s="102"/>
      <c r="Z597" s="102"/>
      <c r="AA597" s="102"/>
      <c r="AB597" s="102"/>
      <c r="AC597" s="102"/>
      <c r="AD597" s="102"/>
      <c r="AE597" s="102"/>
      <c r="AF597" s="102"/>
      <c r="AG597" s="102"/>
      <c r="AH597" s="102"/>
      <c r="AI597" s="102"/>
      <c r="AJ597" s="102"/>
      <c r="AK597" s="102"/>
      <c r="AL597" s="102"/>
      <c r="AM597" s="102"/>
      <c r="AN597" s="102"/>
      <c r="AO597" s="102"/>
      <c r="AP597" s="102"/>
    </row>
    <row r="598" spans="1:42">
      <c r="A598" s="89">
        <v>597</v>
      </c>
      <c r="B598" s="90">
        <v>50031516</v>
      </c>
      <c r="C598" s="91" t="s">
        <v>783</v>
      </c>
      <c r="D598" s="58" t="s">
        <v>845</v>
      </c>
      <c r="E598" s="59">
        <v>27271</v>
      </c>
      <c r="F598" s="92">
        <f ca="1">(TODAY()-Data_Assessment[[#This Row],[BIRTH DATE]])/365.25</f>
        <v>47.5564681724846</v>
      </c>
      <c r="G598" s="62" t="s">
        <v>941</v>
      </c>
      <c r="H598" s="63" t="s">
        <v>1429</v>
      </c>
      <c r="I598" s="106">
        <v>2</v>
      </c>
      <c r="J598" s="64" t="s">
        <v>1430</v>
      </c>
      <c r="K598" s="143">
        <v>4</v>
      </c>
      <c r="L598" s="58"/>
      <c r="M598" s="58"/>
      <c r="N598" s="102"/>
      <c r="O598" s="102"/>
      <c r="P598" s="102"/>
      <c r="Q598" s="102"/>
      <c r="R598" s="102"/>
      <c r="S598" s="102"/>
      <c r="T598" s="102"/>
      <c r="U598" s="102"/>
      <c r="V598" s="102"/>
      <c r="W598" s="102"/>
      <c r="X598" s="102"/>
      <c r="Y598" s="102"/>
      <c r="Z598" s="102"/>
      <c r="AA598" s="102"/>
      <c r="AB598" s="102"/>
      <c r="AC598" s="102"/>
      <c r="AD598" s="102"/>
      <c r="AE598" s="102"/>
      <c r="AF598" s="102"/>
      <c r="AG598" s="102"/>
      <c r="AH598" s="102"/>
      <c r="AI598" s="102"/>
      <c r="AJ598" s="102"/>
      <c r="AK598" s="102"/>
      <c r="AL598" s="102"/>
      <c r="AM598" s="102"/>
      <c r="AN598" s="102"/>
      <c r="AO598" s="102"/>
      <c r="AP598" s="102"/>
    </row>
    <row r="599" spans="1:42">
      <c r="A599" s="89">
        <v>598</v>
      </c>
      <c r="B599" s="90">
        <v>50031054</v>
      </c>
      <c r="C599" s="91" t="s">
        <v>467</v>
      </c>
      <c r="D599" s="58" t="s">
        <v>845</v>
      </c>
      <c r="E599" s="59">
        <v>29746</v>
      </c>
      <c r="F599" s="92">
        <f ca="1">(TODAY()-Data_Assessment[[#This Row],[BIRTH DATE]])/365.25</f>
        <v>40.780287474332646</v>
      </c>
      <c r="G599" s="62" t="s">
        <v>895</v>
      </c>
      <c r="H599" s="63" t="s">
        <v>915</v>
      </c>
      <c r="I599" s="106">
        <v>1</v>
      </c>
      <c r="J599" s="64" t="s">
        <v>1431</v>
      </c>
      <c r="K599" s="143">
        <v>2</v>
      </c>
      <c r="L599" s="58"/>
      <c r="M599" s="58"/>
      <c r="N599" s="102"/>
      <c r="O599" s="102"/>
      <c r="P599" s="102"/>
      <c r="Q599" s="102"/>
      <c r="R599" s="102"/>
      <c r="S599" s="102"/>
      <c r="T599" s="102"/>
      <c r="U599" s="102"/>
      <c r="V599" s="102"/>
      <c r="W599" s="102"/>
      <c r="X599" s="102"/>
      <c r="Y599" s="102"/>
      <c r="Z599" s="102"/>
      <c r="AA599" s="102"/>
      <c r="AB599" s="102"/>
      <c r="AC599" s="102"/>
      <c r="AD599" s="102"/>
      <c r="AE599" s="102"/>
      <c r="AF599" s="102"/>
      <c r="AG599" s="102"/>
      <c r="AH599" s="102"/>
      <c r="AI599" s="102"/>
      <c r="AJ599" s="102"/>
      <c r="AK599" s="102"/>
      <c r="AL599" s="102"/>
      <c r="AM599" s="102"/>
      <c r="AN599" s="102"/>
      <c r="AO599" s="102"/>
      <c r="AP599" s="102"/>
    </row>
    <row r="600" spans="1:42">
      <c r="A600" s="89">
        <v>599</v>
      </c>
      <c r="B600" s="90">
        <v>50030804</v>
      </c>
      <c r="C600" s="91" t="s">
        <v>785</v>
      </c>
      <c r="D600" s="58" t="s">
        <v>845</v>
      </c>
      <c r="E600" s="59">
        <v>27149</v>
      </c>
      <c r="F600" s="92">
        <f ca="1">(TODAY()-Data_Assessment[[#This Row],[BIRTH DATE]])/365.25</f>
        <v>47.890485968514717</v>
      </c>
      <c r="G600" s="62" t="s">
        <v>941</v>
      </c>
      <c r="H600" s="63" t="s">
        <v>1429</v>
      </c>
      <c r="I600" s="106">
        <v>2</v>
      </c>
      <c r="J600" s="64" t="s">
        <v>1432</v>
      </c>
      <c r="K600" s="143">
        <v>3</v>
      </c>
      <c r="L600" s="58"/>
      <c r="M600" s="58"/>
      <c r="N600" s="102"/>
      <c r="O600" s="102"/>
      <c r="P600" s="102"/>
      <c r="Q600" s="102"/>
      <c r="R600" s="102"/>
      <c r="S600" s="102"/>
      <c r="T600" s="102"/>
      <c r="U600" s="102"/>
      <c r="V600" s="102"/>
      <c r="W600" s="102"/>
      <c r="X600" s="102"/>
      <c r="Y600" s="102"/>
      <c r="Z600" s="102"/>
      <c r="AA600" s="102"/>
      <c r="AB600" s="102"/>
      <c r="AC600" s="102"/>
      <c r="AD600" s="102"/>
      <c r="AE600" s="102"/>
      <c r="AF600" s="102"/>
      <c r="AG600" s="102"/>
      <c r="AH600" s="102"/>
      <c r="AI600" s="102"/>
      <c r="AJ600" s="102"/>
      <c r="AK600" s="102"/>
      <c r="AL600" s="102"/>
      <c r="AM600" s="102"/>
      <c r="AN600" s="102"/>
      <c r="AO600" s="102"/>
      <c r="AP600" s="102"/>
    </row>
    <row r="601" spans="1:42">
      <c r="A601" s="89">
        <v>600</v>
      </c>
      <c r="B601" s="90">
        <v>50031112</v>
      </c>
      <c r="C601" s="91" t="s">
        <v>786</v>
      </c>
      <c r="D601" s="58" t="s">
        <v>845</v>
      </c>
      <c r="E601" s="59">
        <v>31327</v>
      </c>
      <c r="F601" s="92">
        <f ca="1">(TODAY()-Data_Assessment[[#This Row],[BIRTH DATE]])/365.25</f>
        <v>36.451745379876797</v>
      </c>
      <c r="G601" s="62" t="s">
        <v>941</v>
      </c>
      <c r="H601" s="63" t="s">
        <v>1429</v>
      </c>
      <c r="I601" s="106">
        <v>2</v>
      </c>
      <c r="J601" s="64" t="s">
        <v>1433</v>
      </c>
      <c r="K601" s="143">
        <v>3</v>
      </c>
      <c r="L601" s="58"/>
      <c r="M601" s="58"/>
      <c r="N601" s="102"/>
      <c r="O601" s="102"/>
      <c r="P601" s="102"/>
      <c r="Q601" s="102"/>
      <c r="R601" s="102"/>
      <c r="S601" s="102"/>
      <c r="T601" s="102"/>
      <c r="U601" s="102"/>
      <c r="V601" s="102"/>
      <c r="W601" s="102"/>
      <c r="X601" s="102"/>
      <c r="Y601" s="102"/>
      <c r="Z601" s="102"/>
      <c r="AA601" s="102"/>
      <c r="AB601" s="102"/>
      <c r="AC601" s="102"/>
      <c r="AD601" s="102"/>
      <c r="AE601" s="102"/>
      <c r="AF601" s="102"/>
      <c r="AG601" s="102"/>
      <c r="AH601" s="102"/>
      <c r="AI601" s="102"/>
      <c r="AJ601" s="102"/>
      <c r="AK601" s="102"/>
      <c r="AL601" s="102"/>
      <c r="AM601" s="102"/>
      <c r="AN601" s="102"/>
      <c r="AO601" s="102"/>
      <c r="AP601" s="102"/>
    </row>
    <row r="602" spans="1:42">
      <c r="A602" s="89">
        <v>601</v>
      </c>
      <c r="B602" s="90">
        <v>50032102</v>
      </c>
      <c r="C602" s="91" t="s">
        <v>787</v>
      </c>
      <c r="D602" s="58" t="s">
        <v>845</v>
      </c>
      <c r="E602" s="59">
        <v>30616</v>
      </c>
      <c r="F602" s="92">
        <f ca="1">(TODAY()-Data_Assessment[[#This Row],[BIRTH DATE]])/365.25</f>
        <v>38.398357289527723</v>
      </c>
      <c r="G602" s="62" t="s">
        <v>919</v>
      </c>
      <c r="H602" s="63" t="s">
        <v>1429</v>
      </c>
      <c r="I602" s="106">
        <v>1</v>
      </c>
      <c r="J602" s="64" t="s">
        <v>1434</v>
      </c>
      <c r="K602" s="143">
        <v>2</v>
      </c>
      <c r="L602" s="58"/>
      <c r="M602" s="58"/>
      <c r="N602" s="102"/>
      <c r="O602" s="102"/>
      <c r="P602" s="102"/>
      <c r="Q602" s="102"/>
      <c r="R602" s="102"/>
      <c r="S602" s="102"/>
      <c r="T602" s="102"/>
      <c r="U602" s="102"/>
      <c r="V602" s="102"/>
      <c r="W602" s="102"/>
      <c r="X602" s="102"/>
      <c r="Y602" s="102"/>
      <c r="Z602" s="102"/>
      <c r="AA602" s="102"/>
      <c r="AB602" s="102"/>
      <c r="AC602" s="102"/>
      <c r="AD602" s="102"/>
      <c r="AE602" s="102"/>
      <c r="AF602" s="102"/>
      <c r="AG602" s="102"/>
      <c r="AH602" s="102"/>
      <c r="AI602" s="102"/>
      <c r="AJ602" s="102"/>
      <c r="AK602" s="102"/>
      <c r="AL602" s="102"/>
      <c r="AM602" s="102"/>
      <c r="AN602" s="102"/>
      <c r="AO602" s="102"/>
      <c r="AP602" s="102"/>
    </row>
    <row r="603" spans="1:42">
      <c r="A603" s="89">
        <v>602</v>
      </c>
      <c r="B603" s="90">
        <v>50051193</v>
      </c>
      <c r="C603" s="91" t="s">
        <v>790</v>
      </c>
      <c r="D603" s="58" t="s">
        <v>845</v>
      </c>
      <c r="E603" s="59">
        <v>34704</v>
      </c>
      <c r="F603" s="92">
        <f ca="1">(TODAY()-Data_Assessment[[#This Row],[BIRTH DATE]])/365.25</f>
        <v>27.206023271731691</v>
      </c>
      <c r="G603" s="62" t="s">
        <v>941</v>
      </c>
      <c r="H603" s="63" t="s">
        <v>1435</v>
      </c>
      <c r="I603" s="106">
        <v>2</v>
      </c>
      <c r="J603" s="64" t="s">
        <v>1436</v>
      </c>
      <c r="K603" s="143">
        <v>3</v>
      </c>
      <c r="L603" s="58"/>
      <c r="M603" s="58"/>
      <c r="N603" s="102"/>
      <c r="O603" s="102"/>
      <c r="P603" s="102"/>
      <c r="Q603" s="102"/>
      <c r="R603" s="102"/>
      <c r="S603" s="102"/>
      <c r="T603" s="102"/>
      <c r="U603" s="102"/>
      <c r="V603" s="102"/>
      <c r="W603" s="102"/>
      <c r="X603" s="102"/>
      <c r="Y603" s="102"/>
      <c r="Z603" s="102"/>
      <c r="AA603" s="102"/>
      <c r="AB603" s="102"/>
      <c r="AC603" s="102"/>
      <c r="AD603" s="102"/>
      <c r="AE603" s="102"/>
      <c r="AF603" s="102"/>
      <c r="AG603" s="102"/>
      <c r="AH603" s="102"/>
      <c r="AI603" s="102"/>
      <c r="AJ603" s="102"/>
      <c r="AK603" s="102"/>
      <c r="AL603" s="102"/>
      <c r="AM603" s="102"/>
      <c r="AN603" s="102"/>
      <c r="AO603" s="102"/>
      <c r="AP603" s="102"/>
    </row>
    <row r="604" spans="1:42">
      <c r="A604" s="89">
        <v>603</v>
      </c>
      <c r="B604" s="90">
        <v>50031101</v>
      </c>
      <c r="C604" s="91" t="s">
        <v>791</v>
      </c>
      <c r="D604" s="58" t="s">
        <v>845</v>
      </c>
      <c r="E604" s="59">
        <v>30432</v>
      </c>
      <c r="F604" s="92">
        <f ca="1">(TODAY()-Data_Assessment[[#This Row],[BIRTH DATE]])/365.25</f>
        <v>38.902121834360024</v>
      </c>
      <c r="G604" s="62" t="s">
        <v>941</v>
      </c>
      <c r="H604" s="63" t="s">
        <v>1435</v>
      </c>
      <c r="I604" s="106">
        <v>2</v>
      </c>
      <c r="J604" s="64" t="s">
        <v>1437</v>
      </c>
      <c r="K604" s="143">
        <v>3</v>
      </c>
      <c r="L604" s="58"/>
      <c r="M604" s="58"/>
      <c r="N604" s="102"/>
      <c r="O604" s="102"/>
      <c r="P604" s="102"/>
      <c r="Q604" s="102"/>
      <c r="R604" s="102"/>
      <c r="S604" s="102"/>
      <c r="T604" s="102"/>
      <c r="U604" s="102"/>
      <c r="V604" s="102"/>
      <c r="W604" s="102"/>
      <c r="X604" s="102"/>
      <c r="Y604" s="102"/>
      <c r="Z604" s="102"/>
      <c r="AA604" s="102"/>
      <c r="AB604" s="102"/>
      <c r="AC604" s="102"/>
      <c r="AD604" s="102"/>
      <c r="AE604" s="102"/>
      <c r="AF604" s="102"/>
      <c r="AG604" s="102"/>
      <c r="AH604" s="102"/>
      <c r="AI604" s="102"/>
      <c r="AJ604" s="102"/>
      <c r="AK604" s="102"/>
      <c r="AL604" s="102"/>
      <c r="AM604" s="102"/>
      <c r="AN604" s="102"/>
      <c r="AO604" s="102"/>
      <c r="AP604" s="102"/>
    </row>
    <row r="605" spans="1:42">
      <c r="A605" s="89">
        <v>604</v>
      </c>
      <c r="B605" s="90">
        <v>50031306</v>
      </c>
      <c r="C605" s="91" t="s">
        <v>472</v>
      </c>
      <c r="D605" s="58" t="s">
        <v>846</v>
      </c>
      <c r="E605" s="59">
        <v>30077</v>
      </c>
      <c r="F605" s="92">
        <f ca="1">(TODAY()-Data_Assessment[[#This Row],[BIRTH DATE]])/365.25</f>
        <v>39.874058863791923</v>
      </c>
      <c r="G605" s="62" t="s">
        <v>1009</v>
      </c>
      <c r="H605" s="63" t="s">
        <v>1222</v>
      </c>
      <c r="I605" s="106">
        <v>2</v>
      </c>
      <c r="J605" s="64" t="s">
        <v>1438</v>
      </c>
      <c r="K605" s="143">
        <v>3</v>
      </c>
      <c r="L605" s="58"/>
      <c r="M605" s="58"/>
      <c r="N605" s="102"/>
      <c r="O605" s="102"/>
      <c r="P605" s="102"/>
      <c r="Q605" s="102"/>
      <c r="R605" s="102"/>
      <c r="S605" s="102"/>
      <c r="T605" s="102"/>
      <c r="U605" s="102"/>
      <c r="V605" s="102"/>
      <c r="W605" s="102"/>
      <c r="X605" s="102"/>
      <c r="Y605" s="102"/>
      <c r="Z605" s="102"/>
      <c r="AA605" s="102"/>
      <c r="AB605" s="102"/>
      <c r="AC605" s="102"/>
      <c r="AD605" s="102"/>
      <c r="AE605" s="102"/>
      <c r="AF605" s="102"/>
      <c r="AG605" s="102"/>
      <c r="AH605" s="102"/>
      <c r="AI605" s="102"/>
      <c r="AJ605" s="102"/>
      <c r="AK605" s="102"/>
      <c r="AL605" s="102"/>
      <c r="AM605" s="102"/>
      <c r="AN605" s="102"/>
      <c r="AO605" s="102"/>
      <c r="AP605" s="102"/>
    </row>
    <row r="606" spans="1:42">
      <c r="A606" s="89">
        <v>605</v>
      </c>
      <c r="B606" s="90">
        <v>50031099</v>
      </c>
      <c r="C606" s="91" t="s">
        <v>792</v>
      </c>
      <c r="D606" s="58" t="s">
        <v>845</v>
      </c>
      <c r="E606" s="59">
        <v>27999</v>
      </c>
      <c r="F606" s="92">
        <f ca="1">(TODAY()-Data_Assessment[[#This Row],[BIRTH DATE]])/365.25</f>
        <v>45.563312799452433</v>
      </c>
      <c r="G606" s="62" t="s">
        <v>926</v>
      </c>
      <c r="H606" s="63" t="s">
        <v>1439</v>
      </c>
      <c r="I606" s="106">
        <v>4</v>
      </c>
      <c r="J606" s="64" t="s">
        <v>1440</v>
      </c>
      <c r="K606" s="143">
        <v>3</v>
      </c>
      <c r="L606" s="58"/>
      <c r="M606" s="58"/>
      <c r="N606" s="102"/>
      <c r="O606" s="102"/>
      <c r="P606" s="102"/>
      <c r="Q606" s="102"/>
      <c r="R606" s="102"/>
      <c r="S606" s="102"/>
      <c r="T606" s="102"/>
      <c r="U606" s="102"/>
      <c r="V606" s="102"/>
      <c r="W606" s="102"/>
      <c r="X606" s="102"/>
      <c r="Y606" s="102"/>
      <c r="Z606" s="102"/>
      <c r="AA606" s="102"/>
      <c r="AB606" s="102"/>
      <c r="AC606" s="102"/>
      <c r="AD606" s="102"/>
      <c r="AE606" s="102"/>
      <c r="AF606" s="102"/>
      <c r="AG606" s="102"/>
      <c r="AH606" s="102"/>
      <c r="AI606" s="102"/>
      <c r="AJ606" s="102"/>
      <c r="AK606" s="102"/>
      <c r="AL606" s="102"/>
      <c r="AM606" s="102"/>
      <c r="AN606" s="102"/>
      <c r="AO606" s="102"/>
      <c r="AP606" s="102"/>
    </row>
    <row r="607" spans="1:42">
      <c r="A607" s="89">
        <v>606</v>
      </c>
      <c r="B607" s="90">
        <v>50031339</v>
      </c>
      <c r="C607" s="91" t="s">
        <v>473</v>
      </c>
      <c r="D607" s="58" t="s">
        <v>845</v>
      </c>
      <c r="E607" s="59">
        <v>32060</v>
      </c>
      <c r="F607" s="92">
        <f ca="1">(TODAY()-Data_Assessment[[#This Row],[BIRTH DATE]])/365.25</f>
        <v>34.444900752908964</v>
      </c>
      <c r="G607" s="62" t="s">
        <v>1009</v>
      </c>
      <c r="H607" s="63" t="s">
        <v>1222</v>
      </c>
      <c r="I607" s="106">
        <v>2</v>
      </c>
      <c r="J607" s="64" t="s">
        <v>1223</v>
      </c>
      <c r="K607" s="143">
        <v>3</v>
      </c>
      <c r="L607" s="58"/>
      <c r="M607" s="58"/>
      <c r="N607" s="102"/>
      <c r="O607" s="102"/>
      <c r="P607" s="102"/>
      <c r="Q607" s="102"/>
      <c r="R607" s="102"/>
      <c r="S607" s="102"/>
      <c r="T607" s="102"/>
      <c r="U607" s="102"/>
      <c r="V607" s="102"/>
      <c r="W607" s="102"/>
      <c r="X607" s="102"/>
      <c r="Y607" s="102"/>
      <c r="Z607" s="102"/>
      <c r="AA607" s="102"/>
      <c r="AB607" s="102"/>
      <c r="AC607" s="102"/>
      <c r="AD607" s="102"/>
      <c r="AE607" s="102"/>
      <c r="AF607" s="102"/>
      <c r="AG607" s="102"/>
      <c r="AH607" s="102"/>
      <c r="AI607" s="102"/>
      <c r="AJ607" s="102"/>
      <c r="AK607" s="102"/>
      <c r="AL607" s="102"/>
      <c r="AM607" s="102"/>
      <c r="AN607" s="102"/>
      <c r="AO607" s="102"/>
      <c r="AP607" s="102"/>
    </row>
    <row r="608" spans="1:42">
      <c r="A608" s="89">
        <v>607</v>
      </c>
      <c r="B608" s="90">
        <v>50030808</v>
      </c>
      <c r="C608" s="91" t="s">
        <v>793</v>
      </c>
      <c r="D608" s="58" t="s">
        <v>845</v>
      </c>
      <c r="E608" s="59">
        <v>28722</v>
      </c>
      <c r="F608" s="92">
        <f ca="1">(TODAY()-Data_Assessment[[#This Row],[BIRTH DATE]])/365.25</f>
        <v>43.583846680355919</v>
      </c>
      <c r="G608" s="62" t="s">
        <v>926</v>
      </c>
      <c r="H608" s="63" t="s">
        <v>1439</v>
      </c>
      <c r="I608" s="106">
        <v>4</v>
      </c>
      <c r="J608" s="64" t="s">
        <v>1441</v>
      </c>
      <c r="K608" s="143">
        <v>3</v>
      </c>
      <c r="L608" s="58"/>
      <c r="M608" s="58"/>
      <c r="N608" s="102"/>
      <c r="O608" s="102"/>
      <c r="P608" s="102"/>
      <c r="Q608" s="102"/>
      <c r="R608" s="102"/>
      <c r="S608" s="102"/>
      <c r="T608" s="102"/>
      <c r="U608" s="102"/>
      <c r="V608" s="102"/>
      <c r="W608" s="102"/>
      <c r="X608" s="102"/>
      <c r="Y608" s="102"/>
      <c r="Z608" s="102"/>
      <c r="AA608" s="102"/>
      <c r="AB608" s="102"/>
      <c r="AC608" s="102"/>
      <c r="AD608" s="102"/>
      <c r="AE608" s="102"/>
      <c r="AF608" s="102"/>
      <c r="AG608" s="102"/>
      <c r="AH608" s="102"/>
      <c r="AI608" s="102"/>
      <c r="AJ608" s="102"/>
      <c r="AK608" s="102"/>
      <c r="AL608" s="102"/>
      <c r="AM608" s="102"/>
      <c r="AN608" s="102"/>
      <c r="AO608" s="102"/>
      <c r="AP608" s="102"/>
    </row>
    <row r="609" spans="1:42">
      <c r="A609" s="89">
        <v>608</v>
      </c>
      <c r="B609" s="90">
        <v>50030590</v>
      </c>
      <c r="C609" s="91" t="s">
        <v>474</v>
      </c>
      <c r="D609" s="58" t="s">
        <v>845</v>
      </c>
      <c r="E609" s="59">
        <v>27350</v>
      </c>
      <c r="F609" s="92">
        <f ca="1">(TODAY()-Data_Assessment[[#This Row],[BIRTH DATE]])/365.25</f>
        <v>47.340177960301162</v>
      </c>
      <c r="G609" s="62" t="s">
        <v>1009</v>
      </c>
      <c r="H609" s="63" t="s">
        <v>1222</v>
      </c>
      <c r="I609" s="106">
        <v>2</v>
      </c>
      <c r="J609" s="64" t="s">
        <v>1442</v>
      </c>
      <c r="K609" s="143">
        <v>3</v>
      </c>
      <c r="L609" s="58"/>
      <c r="M609" s="58"/>
      <c r="N609" s="102"/>
      <c r="O609" s="102"/>
      <c r="P609" s="102"/>
      <c r="Q609" s="102"/>
      <c r="R609" s="102"/>
      <c r="S609" s="102"/>
      <c r="T609" s="102"/>
      <c r="U609" s="102"/>
      <c r="V609" s="102"/>
      <c r="W609" s="102"/>
      <c r="X609" s="102"/>
      <c r="Y609" s="102"/>
      <c r="Z609" s="102"/>
      <c r="AA609" s="102"/>
      <c r="AB609" s="102"/>
      <c r="AC609" s="102"/>
      <c r="AD609" s="102"/>
      <c r="AE609" s="102"/>
      <c r="AF609" s="102"/>
      <c r="AG609" s="102"/>
      <c r="AH609" s="102"/>
      <c r="AI609" s="102"/>
      <c r="AJ609" s="102"/>
      <c r="AK609" s="102"/>
      <c r="AL609" s="102"/>
      <c r="AM609" s="102"/>
      <c r="AN609" s="102"/>
      <c r="AO609" s="102"/>
      <c r="AP609" s="102"/>
    </row>
    <row r="610" spans="1:42">
      <c r="A610" s="89">
        <v>609</v>
      </c>
      <c r="B610" s="90">
        <v>50031308</v>
      </c>
      <c r="C610" s="91" t="s">
        <v>796</v>
      </c>
      <c r="D610" s="58" t="s">
        <v>845</v>
      </c>
      <c r="E610" s="59">
        <v>28379</v>
      </c>
      <c r="F610" s="92">
        <f ca="1">(TODAY()-Data_Assessment[[#This Row],[BIRTH DATE]])/365.25</f>
        <v>44.522929500342229</v>
      </c>
      <c r="G610" s="62" t="s">
        <v>1009</v>
      </c>
      <c r="H610" s="63" t="s">
        <v>1235</v>
      </c>
      <c r="I610" s="106">
        <v>2</v>
      </c>
      <c r="J610" s="64" t="s">
        <v>1443</v>
      </c>
      <c r="K610" s="143">
        <v>4</v>
      </c>
      <c r="L610" s="58"/>
      <c r="M610" s="58"/>
      <c r="N610" s="102"/>
      <c r="O610" s="102"/>
      <c r="P610" s="102"/>
      <c r="Q610" s="102"/>
      <c r="R610" s="102"/>
      <c r="S610" s="102"/>
      <c r="T610" s="102"/>
      <c r="U610" s="102"/>
      <c r="V610" s="102"/>
      <c r="W610" s="102"/>
      <c r="X610" s="102"/>
      <c r="Y610" s="102"/>
      <c r="Z610" s="102"/>
      <c r="AA610" s="102"/>
      <c r="AB610" s="102"/>
      <c r="AC610" s="102"/>
      <c r="AD610" s="102"/>
      <c r="AE610" s="102"/>
      <c r="AF610" s="102"/>
      <c r="AG610" s="102"/>
      <c r="AH610" s="102"/>
      <c r="AI610" s="102"/>
      <c r="AJ610" s="102"/>
      <c r="AK610" s="102"/>
      <c r="AL610" s="102"/>
      <c r="AM610" s="102"/>
      <c r="AN610" s="102"/>
      <c r="AO610" s="102"/>
      <c r="AP610" s="102"/>
    </row>
    <row r="611" spans="1:42">
      <c r="A611" s="89">
        <v>610</v>
      </c>
      <c r="B611" s="90">
        <v>50031307</v>
      </c>
      <c r="C611" s="91" t="s">
        <v>800</v>
      </c>
      <c r="D611" s="58" t="s">
        <v>845</v>
      </c>
      <c r="E611" s="59">
        <v>28771</v>
      </c>
      <c r="F611" s="92">
        <f ca="1">(TODAY()-Data_Assessment[[#This Row],[BIRTH DATE]])/365.25</f>
        <v>43.449691991786445</v>
      </c>
      <c r="G611" s="62" t="s">
        <v>935</v>
      </c>
      <c r="H611" s="63" t="s">
        <v>1444</v>
      </c>
      <c r="I611" s="106">
        <v>4</v>
      </c>
      <c r="J611" s="64" t="s">
        <v>1445</v>
      </c>
      <c r="K611" s="143">
        <v>3</v>
      </c>
      <c r="L611" s="58"/>
      <c r="M611" s="58"/>
      <c r="N611" s="102"/>
      <c r="O611" s="102"/>
      <c r="P611" s="102"/>
      <c r="Q611" s="102"/>
      <c r="R611" s="102"/>
      <c r="S611" s="102"/>
      <c r="T611" s="102"/>
      <c r="U611" s="102"/>
      <c r="V611" s="102"/>
      <c r="W611" s="102"/>
      <c r="X611" s="102"/>
      <c r="Y611" s="102"/>
      <c r="Z611" s="102"/>
      <c r="AA611" s="102"/>
      <c r="AB611" s="102"/>
      <c r="AC611" s="102"/>
      <c r="AD611" s="102"/>
      <c r="AE611" s="102"/>
      <c r="AF611" s="102"/>
      <c r="AG611" s="102"/>
      <c r="AH611" s="102"/>
      <c r="AI611" s="102"/>
      <c r="AJ611" s="102"/>
      <c r="AK611" s="102"/>
      <c r="AL611" s="102"/>
      <c r="AM611" s="102"/>
      <c r="AN611" s="102"/>
      <c r="AO611" s="102"/>
      <c r="AP611" s="102"/>
    </row>
    <row r="612" spans="1:42">
      <c r="A612" s="89">
        <v>611</v>
      </c>
      <c r="B612" s="90">
        <v>50031285</v>
      </c>
      <c r="C612" s="91" t="s">
        <v>488</v>
      </c>
      <c r="D612" s="58" t="s">
        <v>845</v>
      </c>
      <c r="E612" s="59">
        <v>26674</v>
      </c>
      <c r="F612" s="92">
        <f ca="1">(TODAY()-Data_Assessment[[#This Row],[BIRTH DATE]])/365.25</f>
        <v>49.190965092402465</v>
      </c>
      <c r="G612" s="62" t="s">
        <v>926</v>
      </c>
      <c r="H612" s="63" t="s">
        <v>1446</v>
      </c>
      <c r="I612" s="106">
        <v>4</v>
      </c>
      <c r="J612" s="64" t="s">
        <v>1447</v>
      </c>
      <c r="K612" s="143">
        <v>4</v>
      </c>
      <c r="L612" s="58"/>
      <c r="M612" s="58"/>
      <c r="N612" s="102"/>
      <c r="O612" s="102"/>
      <c r="P612" s="102"/>
      <c r="Q612" s="102"/>
      <c r="R612" s="102"/>
      <c r="S612" s="102"/>
      <c r="T612" s="102"/>
      <c r="U612" s="102"/>
      <c r="V612" s="102"/>
      <c r="W612" s="102"/>
      <c r="X612" s="102"/>
      <c r="Y612" s="102"/>
      <c r="Z612" s="102"/>
      <c r="AA612" s="102"/>
      <c r="AB612" s="102"/>
      <c r="AC612" s="102"/>
      <c r="AD612" s="102"/>
      <c r="AE612" s="102"/>
      <c r="AF612" s="102"/>
      <c r="AG612" s="102"/>
      <c r="AH612" s="102"/>
      <c r="AI612" s="102"/>
      <c r="AJ612" s="102"/>
      <c r="AK612" s="102"/>
      <c r="AL612" s="102"/>
      <c r="AM612" s="102"/>
      <c r="AN612" s="102"/>
      <c r="AO612" s="102"/>
      <c r="AP612" s="102"/>
    </row>
    <row r="613" spans="1:42">
      <c r="A613" s="89">
        <v>612</v>
      </c>
      <c r="B613" s="90">
        <v>50031298</v>
      </c>
      <c r="C613" s="91" t="s">
        <v>477</v>
      </c>
      <c r="D613" s="58" t="s">
        <v>845</v>
      </c>
      <c r="E613" s="59">
        <v>30260</v>
      </c>
      <c r="F613" s="92">
        <f ca="1">(TODAY()-Data_Assessment[[#This Row],[BIRTH DATE]])/365.25</f>
        <v>39.37303216974675</v>
      </c>
      <c r="G613" s="62" t="s">
        <v>935</v>
      </c>
      <c r="H613" s="63" t="s">
        <v>936</v>
      </c>
      <c r="I613" s="106">
        <v>4</v>
      </c>
      <c r="J613" s="64" t="s">
        <v>1448</v>
      </c>
      <c r="K613" s="143">
        <v>3</v>
      </c>
      <c r="L613" s="58"/>
      <c r="M613" s="58"/>
      <c r="N613" s="102"/>
      <c r="O613" s="102"/>
      <c r="P613" s="102"/>
      <c r="Q613" s="102"/>
      <c r="R613" s="102"/>
      <c r="S613" s="102"/>
      <c r="T613" s="102"/>
      <c r="U613" s="102"/>
      <c r="V613" s="102"/>
      <c r="W613" s="102"/>
      <c r="X613" s="102"/>
      <c r="Y613" s="102"/>
      <c r="Z613" s="102"/>
      <c r="AA613" s="102"/>
      <c r="AB613" s="102"/>
      <c r="AC613" s="102"/>
      <c r="AD613" s="102"/>
      <c r="AE613" s="102"/>
      <c r="AF613" s="102"/>
      <c r="AG613" s="102"/>
      <c r="AH613" s="102"/>
      <c r="AI613" s="102"/>
      <c r="AJ613" s="102"/>
      <c r="AK613" s="102"/>
      <c r="AL613" s="102"/>
      <c r="AM613" s="102"/>
      <c r="AN613" s="102"/>
      <c r="AO613" s="102"/>
      <c r="AP613" s="102"/>
    </row>
    <row r="614" spans="1:42">
      <c r="A614" s="89">
        <v>613</v>
      </c>
      <c r="B614" s="90">
        <v>50031066</v>
      </c>
      <c r="C614" s="91" t="s">
        <v>493</v>
      </c>
      <c r="D614" s="58" t="s">
        <v>845</v>
      </c>
      <c r="E614" s="59">
        <v>25644</v>
      </c>
      <c r="F614" s="92">
        <f ca="1">(TODAY()-Data_Assessment[[#This Row],[BIRTH DATE]])/365.25</f>
        <v>52.010951403148532</v>
      </c>
      <c r="G614" s="62" t="s">
        <v>926</v>
      </c>
      <c r="H614" s="63" t="s">
        <v>927</v>
      </c>
      <c r="I614" s="106">
        <v>4</v>
      </c>
      <c r="J614" s="64" t="s">
        <v>1449</v>
      </c>
      <c r="K614" s="143">
        <v>3</v>
      </c>
      <c r="L614" s="58"/>
      <c r="M614" s="58"/>
      <c r="N614" s="102"/>
      <c r="O614" s="102"/>
      <c r="P614" s="102"/>
      <c r="Q614" s="102"/>
      <c r="R614" s="102"/>
      <c r="S614" s="102"/>
      <c r="T614" s="102"/>
      <c r="U614" s="102"/>
      <c r="V614" s="102"/>
      <c r="W614" s="102"/>
      <c r="X614" s="102"/>
      <c r="Y614" s="102"/>
      <c r="Z614" s="102"/>
      <c r="AA614" s="102"/>
      <c r="AB614" s="102"/>
      <c r="AC614" s="102"/>
      <c r="AD614" s="102"/>
      <c r="AE614" s="102"/>
      <c r="AF614" s="102"/>
      <c r="AG614" s="102"/>
      <c r="AH614" s="102"/>
      <c r="AI614" s="102"/>
      <c r="AJ614" s="102"/>
      <c r="AK614" s="102"/>
      <c r="AL614" s="102"/>
      <c r="AM614" s="102"/>
      <c r="AN614" s="102"/>
      <c r="AO614" s="102"/>
      <c r="AP614" s="102"/>
    </row>
    <row r="615" spans="1:42">
      <c r="A615" s="89">
        <v>614</v>
      </c>
      <c r="B615" s="90">
        <v>50031016</v>
      </c>
      <c r="C615" s="91" t="s">
        <v>478</v>
      </c>
      <c r="D615" s="58" t="s">
        <v>845</v>
      </c>
      <c r="E615" s="59">
        <v>25595</v>
      </c>
      <c r="F615" s="92">
        <f ca="1">(TODAY()-Data_Assessment[[#This Row],[BIRTH DATE]])/365.25</f>
        <v>52.145106091717999</v>
      </c>
      <c r="G615" s="62" t="s">
        <v>935</v>
      </c>
      <c r="H615" s="63" t="s">
        <v>936</v>
      </c>
      <c r="I615" s="106">
        <v>4</v>
      </c>
      <c r="J615" s="64" t="s">
        <v>1450</v>
      </c>
      <c r="K615" s="143">
        <v>3</v>
      </c>
      <c r="L615" s="58"/>
      <c r="M615" s="58"/>
      <c r="N615" s="102"/>
      <c r="O615" s="102"/>
      <c r="P615" s="102"/>
      <c r="Q615" s="102"/>
      <c r="R615" s="102"/>
      <c r="S615" s="102"/>
      <c r="T615" s="102"/>
      <c r="U615" s="102"/>
      <c r="V615" s="102"/>
      <c r="W615" s="102"/>
      <c r="X615" s="102"/>
      <c r="Y615" s="102"/>
      <c r="Z615" s="102"/>
      <c r="AA615" s="102"/>
      <c r="AB615" s="102"/>
      <c r="AC615" s="102"/>
      <c r="AD615" s="102"/>
      <c r="AE615" s="102"/>
      <c r="AF615" s="102"/>
      <c r="AG615" s="102"/>
      <c r="AH615" s="102"/>
      <c r="AI615" s="102"/>
      <c r="AJ615" s="102"/>
      <c r="AK615" s="102"/>
      <c r="AL615" s="102"/>
      <c r="AM615" s="102"/>
      <c r="AN615" s="102"/>
      <c r="AO615" s="102"/>
      <c r="AP615" s="102"/>
    </row>
    <row r="616" spans="1:42">
      <c r="A616" s="89">
        <v>615</v>
      </c>
      <c r="B616" s="90">
        <v>50031091</v>
      </c>
      <c r="C616" s="91" t="s">
        <v>494</v>
      </c>
      <c r="D616" s="58" t="s">
        <v>845</v>
      </c>
      <c r="E616" s="59">
        <v>26693</v>
      </c>
      <c r="F616" s="92">
        <f ca="1">(TODAY()-Data_Assessment[[#This Row],[BIRTH DATE]])/365.25</f>
        <v>49.138945927446954</v>
      </c>
      <c r="G616" s="62" t="s">
        <v>926</v>
      </c>
      <c r="H616" s="63" t="s">
        <v>927</v>
      </c>
      <c r="I616" s="106">
        <v>4</v>
      </c>
      <c r="J616" s="64" t="s">
        <v>1451</v>
      </c>
      <c r="K616" s="143">
        <v>3</v>
      </c>
      <c r="L616" s="58"/>
      <c r="M616" s="58"/>
      <c r="N616" s="102"/>
      <c r="O616" s="102"/>
      <c r="P616" s="102"/>
      <c r="Q616" s="102"/>
      <c r="R616" s="102"/>
      <c r="S616" s="102"/>
      <c r="T616" s="102"/>
      <c r="U616" s="102"/>
      <c r="V616" s="102"/>
      <c r="W616" s="102"/>
      <c r="X616" s="102"/>
      <c r="Y616" s="102"/>
      <c r="Z616" s="102"/>
      <c r="AA616" s="102"/>
      <c r="AB616" s="102"/>
      <c r="AC616" s="102"/>
      <c r="AD616" s="102"/>
      <c r="AE616" s="102"/>
      <c r="AF616" s="102"/>
      <c r="AG616" s="102"/>
      <c r="AH616" s="102"/>
      <c r="AI616" s="102"/>
      <c r="AJ616" s="102"/>
      <c r="AK616" s="102"/>
      <c r="AL616" s="102"/>
      <c r="AM616" s="102"/>
      <c r="AN616" s="102"/>
      <c r="AO616" s="102"/>
      <c r="AP616" s="102"/>
    </row>
    <row r="617" spans="1:42">
      <c r="A617" s="89">
        <v>616</v>
      </c>
      <c r="B617" s="90">
        <v>50031290</v>
      </c>
      <c r="C617" s="91" t="s">
        <v>479</v>
      </c>
      <c r="D617" s="58" t="s">
        <v>845</v>
      </c>
      <c r="E617" s="59">
        <v>26928</v>
      </c>
      <c r="F617" s="92">
        <f ca="1">(TODAY()-Data_Assessment[[#This Row],[BIRTH DATE]])/365.25</f>
        <v>48.495550992470911</v>
      </c>
      <c r="G617" s="62" t="s">
        <v>935</v>
      </c>
      <c r="H617" s="63" t="s">
        <v>936</v>
      </c>
      <c r="I617" s="106">
        <v>4</v>
      </c>
      <c r="J617" s="64" t="s">
        <v>937</v>
      </c>
      <c r="K617" s="143">
        <v>3</v>
      </c>
      <c r="L617" s="58"/>
      <c r="M617" s="58"/>
      <c r="N617" s="102"/>
      <c r="O617" s="102"/>
      <c r="P617" s="102"/>
      <c r="Q617" s="102"/>
      <c r="R617" s="102"/>
      <c r="S617" s="102"/>
      <c r="T617" s="102"/>
      <c r="U617" s="102"/>
      <c r="V617" s="102"/>
      <c r="W617" s="102"/>
      <c r="X617" s="102"/>
      <c r="Y617" s="102"/>
      <c r="Z617" s="102"/>
      <c r="AA617" s="102"/>
      <c r="AB617" s="102"/>
      <c r="AC617" s="102"/>
      <c r="AD617" s="102"/>
      <c r="AE617" s="102"/>
      <c r="AF617" s="102"/>
      <c r="AG617" s="102"/>
      <c r="AH617" s="102"/>
      <c r="AI617" s="102"/>
      <c r="AJ617" s="102"/>
      <c r="AK617" s="102"/>
      <c r="AL617" s="102"/>
      <c r="AM617" s="102"/>
      <c r="AN617" s="102"/>
      <c r="AO617" s="102"/>
      <c r="AP617" s="102"/>
    </row>
    <row r="618" spans="1:42">
      <c r="A618" s="89">
        <v>617</v>
      </c>
      <c r="B618" s="90">
        <v>50032419</v>
      </c>
      <c r="C618" s="91" t="s">
        <v>480</v>
      </c>
      <c r="D618" s="58" t="s">
        <v>845</v>
      </c>
      <c r="E618" s="59">
        <v>32667</v>
      </c>
      <c r="F618" s="92">
        <f ca="1">(TODAY()-Data_Assessment[[#This Row],[BIRTH DATE]])/365.25</f>
        <v>32.78302532511978</v>
      </c>
      <c r="G618" s="62" t="s">
        <v>935</v>
      </c>
      <c r="H618" s="63" t="s">
        <v>936</v>
      </c>
      <c r="I618" s="106">
        <v>4</v>
      </c>
      <c r="J618" s="64" t="s">
        <v>937</v>
      </c>
      <c r="K618" s="143">
        <v>2</v>
      </c>
      <c r="L618" s="58"/>
      <c r="M618" s="58"/>
      <c r="N618" s="102"/>
      <c r="O618" s="102"/>
      <c r="P618" s="102"/>
      <c r="Q618" s="102"/>
      <c r="R618" s="102"/>
      <c r="S618" s="102"/>
      <c r="T618" s="102"/>
      <c r="U618" s="102"/>
      <c r="V618" s="102"/>
      <c r="W618" s="102"/>
      <c r="X618" s="102"/>
      <c r="Y618" s="102"/>
      <c r="Z618" s="102"/>
      <c r="AA618" s="102"/>
      <c r="AB618" s="102"/>
      <c r="AC618" s="102"/>
      <c r="AD618" s="102"/>
      <c r="AE618" s="102"/>
      <c r="AF618" s="102"/>
      <c r="AG618" s="102"/>
      <c r="AH618" s="102"/>
      <c r="AI618" s="102"/>
      <c r="AJ618" s="102"/>
      <c r="AK618" s="102"/>
      <c r="AL618" s="102"/>
      <c r="AM618" s="102"/>
      <c r="AN618" s="102"/>
      <c r="AO618" s="102"/>
      <c r="AP618" s="102"/>
    </row>
    <row r="619" spans="1:42">
      <c r="A619" s="89">
        <v>618</v>
      </c>
      <c r="B619" s="90">
        <v>50047203</v>
      </c>
      <c r="C619" s="91" t="s">
        <v>483</v>
      </c>
      <c r="D619" s="58" t="s">
        <v>845</v>
      </c>
      <c r="E619" s="59">
        <v>33146</v>
      </c>
      <c r="F619" s="92">
        <f ca="1">(TODAY()-Data_Assessment[[#This Row],[BIRTH DATE]])/365.25</f>
        <v>31.471594798083505</v>
      </c>
      <c r="G619" s="62" t="s">
        <v>935</v>
      </c>
      <c r="H619" s="63" t="s">
        <v>936</v>
      </c>
      <c r="I619" s="106">
        <v>4</v>
      </c>
      <c r="J619" s="64" t="s">
        <v>937</v>
      </c>
      <c r="K619" s="143">
        <v>2</v>
      </c>
      <c r="L619" s="58"/>
      <c r="M619" s="58"/>
      <c r="N619" s="102"/>
      <c r="O619" s="102"/>
      <c r="P619" s="102"/>
      <c r="Q619" s="102"/>
      <c r="R619" s="102"/>
      <c r="S619" s="102"/>
      <c r="T619" s="102"/>
      <c r="U619" s="102"/>
      <c r="V619" s="102"/>
      <c r="W619" s="102"/>
      <c r="X619" s="102"/>
      <c r="Y619" s="102"/>
      <c r="Z619" s="102"/>
      <c r="AA619" s="102"/>
      <c r="AB619" s="102"/>
      <c r="AC619" s="102"/>
      <c r="AD619" s="102"/>
      <c r="AE619" s="102"/>
      <c r="AF619" s="102"/>
      <c r="AG619" s="102"/>
      <c r="AH619" s="102"/>
      <c r="AI619" s="102"/>
      <c r="AJ619" s="102"/>
      <c r="AK619" s="102"/>
      <c r="AL619" s="102"/>
      <c r="AM619" s="102"/>
      <c r="AN619" s="102"/>
      <c r="AO619" s="102"/>
      <c r="AP619" s="102"/>
    </row>
    <row r="620" spans="1:42">
      <c r="A620" s="89">
        <v>619</v>
      </c>
      <c r="B620" s="90">
        <v>50047208</v>
      </c>
      <c r="C620" s="91" t="s">
        <v>485</v>
      </c>
      <c r="D620" s="58" t="s">
        <v>845</v>
      </c>
      <c r="E620" s="59">
        <v>33436</v>
      </c>
      <c r="F620" s="92">
        <f ca="1">(TODAY()-Data_Assessment[[#This Row],[BIRTH DATE]])/365.25</f>
        <v>30.677618069815196</v>
      </c>
      <c r="G620" s="62" t="s">
        <v>935</v>
      </c>
      <c r="H620" s="63" t="s">
        <v>936</v>
      </c>
      <c r="I620" s="106">
        <v>4</v>
      </c>
      <c r="J620" s="64" t="s">
        <v>937</v>
      </c>
      <c r="K620" s="143">
        <v>3</v>
      </c>
      <c r="L620" s="58"/>
      <c r="M620" s="58"/>
      <c r="N620" s="102"/>
      <c r="O620" s="102"/>
      <c r="P620" s="102"/>
      <c r="Q620" s="102"/>
      <c r="R620" s="102"/>
      <c r="S620" s="102"/>
      <c r="T620" s="102"/>
      <c r="U620" s="102"/>
      <c r="V620" s="102"/>
      <c r="W620" s="102"/>
      <c r="X620" s="102"/>
      <c r="Y620" s="102"/>
      <c r="Z620" s="102"/>
      <c r="AA620" s="102"/>
      <c r="AB620" s="102"/>
      <c r="AC620" s="102"/>
      <c r="AD620" s="102"/>
      <c r="AE620" s="102"/>
      <c r="AF620" s="102"/>
      <c r="AG620" s="102"/>
      <c r="AH620" s="102"/>
      <c r="AI620" s="102"/>
      <c r="AJ620" s="102"/>
      <c r="AK620" s="102"/>
      <c r="AL620" s="102"/>
      <c r="AM620" s="102"/>
      <c r="AN620" s="102"/>
      <c r="AO620" s="102"/>
      <c r="AP620" s="102"/>
    </row>
    <row r="621" spans="1:42">
      <c r="A621" s="89">
        <v>620</v>
      </c>
      <c r="B621" s="90">
        <v>50030683</v>
      </c>
      <c r="C621" s="91" t="s">
        <v>501</v>
      </c>
      <c r="D621" s="58" t="s">
        <v>845</v>
      </c>
      <c r="E621" s="59">
        <v>28969</v>
      </c>
      <c r="F621" s="92">
        <f ca="1">(TODAY()-Data_Assessment[[#This Row],[BIRTH DATE]])/365.25</f>
        <v>42.907597535934293</v>
      </c>
      <c r="G621" s="62" t="s">
        <v>1082</v>
      </c>
      <c r="H621" s="63" t="s">
        <v>1083</v>
      </c>
      <c r="I621" s="106">
        <v>4</v>
      </c>
      <c r="J621" s="64" t="s">
        <v>1452</v>
      </c>
      <c r="K621" s="143">
        <v>3</v>
      </c>
      <c r="L621" s="58"/>
      <c r="M621" s="58"/>
      <c r="N621" s="102"/>
      <c r="O621" s="102"/>
      <c r="P621" s="102"/>
      <c r="Q621" s="102"/>
      <c r="R621" s="102"/>
      <c r="S621" s="102"/>
      <c r="T621" s="102"/>
      <c r="U621" s="102"/>
      <c r="V621" s="102"/>
      <c r="W621" s="102"/>
      <c r="X621" s="102"/>
      <c r="Y621" s="102"/>
      <c r="Z621" s="102"/>
      <c r="AA621" s="102"/>
      <c r="AB621" s="102"/>
      <c r="AC621" s="102"/>
      <c r="AD621" s="102"/>
      <c r="AE621" s="102"/>
      <c r="AF621" s="102"/>
      <c r="AG621" s="102"/>
      <c r="AH621" s="102"/>
      <c r="AI621" s="102"/>
      <c r="AJ621" s="102"/>
      <c r="AK621" s="102"/>
      <c r="AL621" s="102"/>
      <c r="AM621" s="102"/>
      <c r="AN621" s="102"/>
      <c r="AO621" s="102"/>
      <c r="AP621" s="102"/>
    </row>
    <row r="622" spans="1:42">
      <c r="A622" s="89">
        <v>621</v>
      </c>
      <c r="B622" s="90">
        <v>50031506</v>
      </c>
      <c r="C622" s="91" t="s">
        <v>505</v>
      </c>
      <c r="D622" s="58" t="s">
        <v>845</v>
      </c>
      <c r="E622" s="59">
        <v>25522</v>
      </c>
      <c r="F622" s="92">
        <f ca="1">(TODAY()-Data_Assessment[[#This Row],[BIRTH DATE]])/365.25</f>
        <v>52.344969199178642</v>
      </c>
      <c r="G622" s="62" t="s">
        <v>941</v>
      </c>
      <c r="H622" s="63" t="s">
        <v>942</v>
      </c>
      <c r="I622" s="106">
        <v>2</v>
      </c>
      <c r="J622" s="64" t="s">
        <v>1453</v>
      </c>
      <c r="K622" s="143">
        <v>3</v>
      </c>
      <c r="L622" s="58"/>
      <c r="M622" s="58"/>
      <c r="N622" s="102"/>
      <c r="O622" s="102"/>
      <c r="P622" s="102"/>
      <c r="Q622" s="102"/>
      <c r="R622" s="102"/>
      <c r="S622" s="102"/>
      <c r="T622" s="102"/>
      <c r="U622" s="102"/>
      <c r="V622" s="102"/>
      <c r="W622" s="102"/>
      <c r="X622" s="102"/>
      <c r="Y622" s="102"/>
      <c r="Z622" s="102"/>
      <c r="AA622" s="102"/>
      <c r="AB622" s="102"/>
      <c r="AC622" s="102"/>
      <c r="AD622" s="102"/>
      <c r="AE622" s="102"/>
      <c r="AF622" s="102"/>
      <c r="AG622" s="102"/>
      <c r="AH622" s="102"/>
      <c r="AI622" s="102"/>
      <c r="AJ622" s="102"/>
      <c r="AK622" s="102"/>
      <c r="AL622" s="102"/>
      <c r="AM622" s="102"/>
      <c r="AN622" s="102"/>
      <c r="AO622" s="102"/>
      <c r="AP622" s="102"/>
    </row>
    <row r="623" spans="1:42">
      <c r="A623" s="89">
        <v>622</v>
      </c>
      <c r="B623" s="90">
        <v>50037976</v>
      </c>
      <c r="C623" s="91" t="s">
        <v>486</v>
      </c>
      <c r="D623" s="58" t="s">
        <v>845</v>
      </c>
      <c r="E623" s="59">
        <v>26471</v>
      </c>
      <c r="F623" s="92">
        <f ca="1">(TODAY()-Data_Assessment[[#This Row],[BIRTH DATE]])/365.25</f>
        <v>49.746748802190282</v>
      </c>
      <c r="G623" s="62" t="s">
        <v>935</v>
      </c>
      <c r="H623" s="63" t="s">
        <v>936</v>
      </c>
      <c r="I623" s="106">
        <v>4</v>
      </c>
      <c r="J623" s="64" t="s">
        <v>1454</v>
      </c>
      <c r="K623" s="143">
        <v>3</v>
      </c>
      <c r="L623" s="58"/>
      <c r="M623" s="58"/>
      <c r="N623" s="102"/>
      <c r="O623" s="102"/>
      <c r="P623" s="102"/>
      <c r="Q623" s="102"/>
      <c r="R623" s="102"/>
      <c r="S623" s="102"/>
      <c r="T623" s="102"/>
      <c r="U623" s="102"/>
      <c r="V623" s="102"/>
      <c r="W623" s="102"/>
      <c r="X623" s="102"/>
      <c r="Y623" s="102"/>
      <c r="Z623" s="102"/>
      <c r="AA623" s="102"/>
      <c r="AB623" s="102"/>
      <c r="AC623" s="102"/>
      <c r="AD623" s="102"/>
      <c r="AE623" s="102"/>
      <c r="AF623" s="102"/>
      <c r="AG623" s="102"/>
      <c r="AH623" s="102"/>
      <c r="AI623" s="102"/>
      <c r="AJ623" s="102"/>
      <c r="AK623" s="102"/>
      <c r="AL623" s="102"/>
      <c r="AM623" s="102"/>
      <c r="AN623" s="102"/>
      <c r="AO623" s="102"/>
      <c r="AP623" s="102"/>
    </row>
    <row r="624" spans="1:42" ht="29.25">
      <c r="A624" s="89">
        <v>623</v>
      </c>
      <c r="B624" s="90">
        <v>50031429</v>
      </c>
      <c r="C624" s="91" t="s">
        <v>508</v>
      </c>
      <c r="D624" s="58" t="s">
        <v>845</v>
      </c>
      <c r="E624" s="59">
        <v>25843</v>
      </c>
      <c r="F624" s="92">
        <f ca="1">(TODAY()-Data_Assessment[[#This Row],[BIRTH DATE]])/365.25</f>
        <v>51.466119096509239</v>
      </c>
      <c r="G624" s="62" t="s">
        <v>941</v>
      </c>
      <c r="H624" s="63" t="s">
        <v>942</v>
      </c>
      <c r="I624" s="106">
        <v>2</v>
      </c>
      <c r="J624" s="64" t="s">
        <v>1455</v>
      </c>
      <c r="K624" s="143">
        <v>2</v>
      </c>
      <c r="L624" s="58"/>
      <c r="M624" s="58"/>
      <c r="N624" s="102"/>
      <c r="O624" s="102"/>
      <c r="P624" s="102"/>
      <c r="Q624" s="102"/>
      <c r="R624" s="102"/>
      <c r="S624" s="102"/>
      <c r="T624" s="102"/>
      <c r="U624" s="102"/>
      <c r="V624" s="102"/>
      <c r="W624" s="102"/>
      <c r="X624" s="102"/>
      <c r="Y624" s="102"/>
      <c r="Z624" s="102"/>
      <c r="AA624" s="102"/>
      <c r="AB624" s="102"/>
      <c r="AC624" s="102"/>
      <c r="AD624" s="102"/>
      <c r="AE624" s="102"/>
      <c r="AF624" s="102"/>
      <c r="AG624" s="102"/>
      <c r="AH624" s="102"/>
      <c r="AI624" s="102"/>
      <c r="AJ624" s="102"/>
      <c r="AK624" s="102"/>
      <c r="AL624" s="102"/>
      <c r="AM624" s="102"/>
      <c r="AN624" s="102"/>
      <c r="AO624" s="102"/>
      <c r="AP624" s="102"/>
    </row>
    <row r="625" spans="1:42">
      <c r="A625" s="89">
        <v>624</v>
      </c>
      <c r="B625" s="90">
        <v>50122097</v>
      </c>
      <c r="C625" s="91" t="s">
        <v>487</v>
      </c>
      <c r="D625" s="58" t="s">
        <v>846</v>
      </c>
      <c r="E625" s="59">
        <v>34745</v>
      </c>
      <c r="F625" s="92">
        <f ca="1">(TODAY()-Data_Assessment[[#This Row],[BIRTH DATE]])/365.25</f>
        <v>27.093771389459274</v>
      </c>
      <c r="G625" s="62" t="s">
        <v>935</v>
      </c>
      <c r="H625" s="63" t="s">
        <v>1052</v>
      </c>
      <c r="I625" s="106">
        <v>4</v>
      </c>
      <c r="J625" s="64" t="s">
        <v>1456</v>
      </c>
      <c r="K625" s="143">
        <v>2</v>
      </c>
      <c r="L625" s="58"/>
      <c r="M625" s="58"/>
      <c r="N625" s="102"/>
      <c r="O625" s="102"/>
      <c r="P625" s="102"/>
      <c r="Q625" s="102"/>
      <c r="R625" s="102"/>
      <c r="S625" s="102"/>
      <c r="T625" s="102"/>
      <c r="U625" s="102"/>
      <c r="V625" s="102"/>
      <c r="W625" s="102"/>
      <c r="X625" s="102"/>
      <c r="Y625" s="102"/>
      <c r="Z625" s="102"/>
      <c r="AA625" s="102"/>
      <c r="AB625" s="102"/>
      <c r="AC625" s="102"/>
      <c r="AD625" s="102"/>
      <c r="AE625" s="102"/>
      <c r="AF625" s="102"/>
      <c r="AG625" s="102"/>
      <c r="AH625" s="102"/>
      <c r="AI625" s="102"/>
      <c r="AJ625" s="102"/>
      <c r="AK625" s="102"/>
      <c r="AL625" s="102"/>
      <c r="AM625" s="102"/>
      <c r="AN625" s="102"/>
      <c r="AO625" s="102"/>
      <c r="AP625" s="102"/>
    </row>
    <row r="626" spans="1:42">
      <c r="A626" s="89">
        <v>625</v>
      </c>
      <c r="B626" s="90">
        <v>50030703</v>
      </c>
      <c r="C626" s="91" t="s">
        <v>518</v>
      </c>
      <c r="D626" s="58" t="s">
        <v>845</v>
      </c>
      <c r="E626" s="59">
        <v>24997</v>
      </c>
      <c r="F626" s="92">
        <f ca="1">(TODAY()-Data_Assessment[[#This Row],[BIRTH DATE]])/365.25</f>
        <v>53.782340862422998</v>
      </c>
      <c r="G626" s="62" t="s">
        <v>941</v>
      </c>
      <c r="H626" s="63" t="s">
        <v>942</v>
      </c>
      <c r="I626" s="106">
        <v>2</v>
      </c>
      <c r="J626" s="64" t="s">
        <v>1457</v>
      </c>
      <c r="K626" s="143">
        <v>3</v>
      </c>
      <c r="L626" s="58"/>
      <c r="M626" s="58"/>
      <c r="N626" s="102"/>
      <c r="O626" s="102"/>
      <c r="P626" s="102"/>
      <c r="Q626" s="102"/>
      <c r="R626" s="102"/>
      <c r="S626" s="102"/>
      <c r="T626" s="102"/>
      <c r="U626" s="102"/>
      <c r="V626" s="102"/>
      <c r="W626" s="102"/>
      <c r="X626" s="102"/>
      <c r="Y626" s="102"/>
      <c r="Z626" s="102"/>
      <c r="AA626" s="102"/>
      <c r="AB626" s="102"/>
      <c r="AC626" s="102"/>
      <c r="AD626" s="102"/>
      <c r="AE626" s="102"/>
      <c r="AF626" s="102"/>
      <c r="AG626" s="102"/>
      <c r="AH626" s="102"/>
      <c r="AI626" s="102"/>
      <c r="AJ626" s="102"/>
      <c r="AK626" s="102"/>
      <c r="AL626" s="102"/>
      <c r="AM626" s="102"/>
      <c r="AN626" s="102"/>
      <c r="AO626" s="102"/>
      <c r="AP626" s="102"/>
    </row>
    <row r="627" spans="1:42">
      <c r="A627" s="89">
        <v>626</v>
      </c>
      <c r="B627" s="90">
        <v>50031347</v>
      </c>
      <c r="C627" s="91" t="s">
        <v>507</v>
      </c>
      <c r="D627" s="58" t="s">
        <v>845</v>
      </c>
      <c r="E627" s="59">
        <v>31449</v>
      </c>
      <c r="F627" s="92">
        <f ca="1">(TODAY()-Data_Assessment[[#This Row],[BIRTH DATE]])/365.25</f>
        <v>36.11772758384668</v>
      </c>
      <c r="G627" s="62" t="s">
        <v>941</v>
      </c>
      <c r="H627" s="63" t="s">
        <v>942</v>
      </c>
      <c r="I627" s="106">
        <v>2</v>
      </c>
      <c r="J627" s="64" t="s">
        <v>1458</v>
      </c>
      <c r="K627" s="143">
        <v>3</v>
      </c>
      <c r="L627" s="58"/>
      <c r="M627" s="58"/>
      <c r="N627" s="102"/>
      <c r="O627" s="102"/>
      <c r="P627" s="102"/>
      <c r="Q627" s="102"/>
      <c r="R627" s="102"/>
      <c r="S627" s="102"/>
      <c r="T627" s="102"/>
      <c r="U627" s="102"/>
      <c r="V627" s="102"/>
      <c r="W627" s="102"/>
      <c r="X627" s="102"/>
      <c r="Y627" s="102"/>
      <c r="Z627" s="102"/>
      <c r="AA627" s="102"/>
      <c r="AB627" s="102"/>
      <c r="AC627" s="102"/>
      <c r="AD627" s="102"/>
      <c r="AE627" s="102"/>
      <c r="AF627" s="102"/>
      <c r="AG627" s="102"/>
      <c r="AH627" s="102"/>
      <c r="AI627" s="102"/>
      <c r="AJ627" s="102"/>
      <c r="AK627" s="102"/>
      <c r="AL627" s="102"/>
      <c r="AM627" s="102"/>
      <c r="AN627" s="102"/>
      <c r="AO627" s="102"/>
      <c r="AP627" s="102"/>
    </row>
    <row r="628" spans="1:42">
      <c r="A628" s="89">
        <v>627</v>
      </c>
      <c r="B628" s="90">
        <v>50047160</v>
      </c>
      <c r="C628" s="91" t="s">
        <v>489</v>
      </c>
      <c r="D628" s="58" t="s">
        <v>845</v>
      </c>
      <c r="E628" s="59">
        <v>28399</v>
      </c>
      <c r="F628" s="92">
        <f ca="1">(TODAY()-Data_Assessment[[#This Row],[BIRTH DATE]])/365.25</f>
        <v>44.468172484599592</v>
      </c>
      <c r="G628" s="62" t="s">
        <v>926</v>
      </c>
      <c r="H628" s="63" t="s">
        <v>1446</v>
      </c>
      <c r="I628" s="106">
        <v>4</v>
      </c>
      <c r="J628" s="64" t="s">
        <v>1459</v>
      </c>
      <c r="K628" s="143">
        <v>2</v>
      </c>
      <c r="L628" s="58"/>
      <c r="M628" s="58"/>
      <c r="N628" s="102"/>
      <c r="O628" s="102"/>
      <c r="P628" s="102"/>
      <c r="Q628" s="102"/>
      <c r="R628" s="102"/>
      <c r="S628" s="102"/>
      <c r="T628" s="102"/>
      <c r="U628" s="102"/>
      <c r="V628" s="102"/>
      <c r="W628" s="102"/>
      <c r="X628" s="102"/>
      <c r="Y628" s="102"/>
      <c r="Z628" s="102"/>
      <c r="AA628" s="102"/>
      <c r="AB628" s="102"/>
      <c r="AC628" s="102"/>
      <c r="AD628" s="102"/>
      <c r="AE628" s="102"/>
      <c r="AF628" s="102"/>
      <c r="AG628" s="102"/>
      <c r="AH628" s="102"/>
      <c r="AI628" s="102"/>
      <c r="AJ628" s="102"/>
      <c r="AK628" s="102"/>
      <c r="AL628" s="102"/>
      <c r="AM628" s="102"/>
      <c r="AN628" s="102"/>
      <c r="AO628" s="102"/>
      <c r="AP628" s="102"/>
    </row>
    <row r="629" spans="1:42">
      <c r="A629" s="89">
        <v>628</v>
      </c>
      <c r="B629" s="90">
        <v>50030927</v>
      </c>
      <c r="C629" s="91" t="s">
        <v>490</v>
      </c>
      <c r="D629" s="58" t="s">
        <v>845</v>
      </c>
      <c r="E629" s="59">
        <v>33257</v>
      </c>
      <c r="F629" s="92">
        <f ca="1">(TODAY()-Data_Assessment[[#This Row],[BIRTH DATE]])/365.25</f>
        <v>31.167693360711841</v>
      </c>
      <c r="G629" s="62" t="s">
        <v>926</v>
      </c>
      <c r="H629" s="63" t="s">
        <v>1446</v>
      </c>
      <c r="I629" s="106">
        <v>4</v>
      </c>
      <c r="J629" s="64" t="s">
        <v>1460</v>
      </c>
      <c r="K629" s="143">
        <v>3</v>
      </c>
      <c r="L629" s="58"/>
      <c r="M629" s="58"/>
      <c r="N629" s="102"/>
      <c r="O629" s="102"/>
      <c r="P629" s="102"/>
      <c r="Q629" s="102"/>
      <c r="R629" s="102"/>
      <c r="S629" s="102"/>
      <c r="T629" s="102"/>
      <c r="U629" s="102"/>
      <c r="V629" s="102"/>
      <c r="W629" s="102"/>
      <c r="X629" s="102"/>
      <c r="Y629" s="102"/>
      <c r="Z629" s="102"/>
      <c r="AA629" s="102"/>
      <c r="AB629" s="102"/>
      <c r="AC629" s="102"/>
      <c r="AD629" s="102"/>
      <c r="AE629" s="102"/>
      <c r="AF629" s="102"/>
      <c r="AG629" s="102"/>
      <c r="AH629" s="102"/>
      <c r="AI629" s="102"/>
      <c r="AJ629" s="102"/>
      <c r="AK629" s="102"/>
      <c r="AL629" s="102"/>
      <c r="AM629" s="102"/>
      <c r="AN629" s="102"/>
      <c r="AO629" s="102"/>
      <c r="AP629" s="102"/>
    </row>
    <row r="630" spans="1:42">
      <c r="A630" s="89">
        <v>629</v>
      </c>
      <c r="B630" s="90">
        <v>50137829</v>
      </c>
      <c r="C630" s="91" t="s">
        <v>491</v>
      </c>
      <c r="D630" s="58" t="s">
        <v>845</v>
      </c>
      <c r="E630" s="59">
        <v>35681</v>
      </c>
      <c r="F630" s="92">
        <f ca="1">(TODAY()-Data_Assessment[[#This Row],[BIRTH DATE]])/365.25</f>
        <v>24.531143052703626</v>
      </c>
      <c r="G630" s="62" t="s">
        <v>926</v>
      </c>
      <c r="H630" s="63" t="s">
        <v>1446</v>
      </c>
      <c r="I630" s="106">
        <v>4</v>
      </c>
      <c r="J630" s="64" t="s">
        <v>1460</v>
      </c>
      <c r="K630" s="143">
        <v>2</v>
      </c>
      <c r="L630" s="58"/>
      <c r="M630" s="58"/>
      <c r="N630" s="102"/>
      <c r="O630" s="102"/>
      <c r="P630" s="102"/>
      <c r="Q630" s="102"/>
      <c r="R630" s="102"/>
      <c r="S630" s="102"/>
      <c r="T630" s="102"/>
      <c r="U630" s="102"/>
      <c r="V630" s="102"/>
      <c r="W630" s="102"/>
      <c r="X630" s="102"/>
      <c r="Y630" s="102"/>
      <c r="Z630" s="102"/>
      <c r="AA630" s="102"/>
      <c r="AB630" s="102"/>
      <c r="AC630" s="102"/>
      <c r="AD630" s="102"/>
      <c r="AE630" s="102"/>
      <c r="AF630" s="102"/>
      <c r="AG630" s="102"/>
      <c r="AH630" s="102"/>
      <c r="AI630" s="102"/>
      <c r="AJ630" s="102"/>
      <c r="AK630" s="102"/>
      <c r="AL630" s="102"/>
      <c r="AM630" s="102"/>
      <c r="AN630" s="102"/>
      <c r="AO630" s="102"/>
      <c r="AP630" s="102"/>
    </row>
    <row r="631" spans="1:42">
      <c r="A631" s="89">
        <v>630</v>
      </c>
      <c r="B631" s="90">
        <v>50037965</v>
      </c>
      <c r="C631" s="91" t="s">
        <v>495</v>
      </c>
      <c r="D631" s="58" t="s">
        <v>845</v>
      </c>
      <c r="E631" s="59">
        <v>27017</v>
      </c>
      <c r="F631" s="92">
        <f ca="1">(TODAY()-Data_Assessment[[#This Row],[BIRTH DATE]])/365.25</f>
        <v>48.251882272416154</v>
      </c>
      <c r="G631" s="62" t="s">
        <v>926</v>
      </c>
      <c r="H631" s="63" t="s">
        <v>927</v>
      </c>
      <c r="I631" s="106">
        <v>4</v>
      </c>
      <c r="J631" s="64" t="s">
        <v>1461</v>
      </c>
      <c r="K631" s="143">
        <v>4</v>
      </c>
      <c r="L631" s="58"/>
      <c r="M631" s="58"/>
      <c r="N631" s="102"/>
      <c r="O631" s="102"/>
      <c r="P631" s="102"/>
      <c r="Q631" s="102"/>
      <c r="R631" s="102"/>
      <c r="S631" s="102"/>
      <c r="T631" s="102"/>
      <c r="U631" s="102"/>
      <c r="V631" s="102"/>
      <c r="W631" s="102"/>
      <c r="X631" s="102"/>
      <c r="Y631" s="102"/>
      <c r="Z631" s="102"/>
      <c r="AA631" s="102"/>
      <c r="AB631" s="102"/>
      <c r="AC631" s="102"/>
      <c r="AD631" s="102"/>
      <c r="AE631" s="102"/>
      <c r="AF631" s="102"/>
      <c r="AG631" s="102"/>
      <c r="AH631" s="102"/>
      <c r="AI631" s="102"/>
      <c r="AJ631" s="102"/>
      <c r="AK631" s="102"/>
      <c r="AL631" s="102"/>
      <c r="AM631" s="102"/>
      <c r="AN631" s="102"/>
      <c r="AO631" s="102"/>
      <c r="AP631" s="102"/>
    </row>
    <row r="632" spans="1:42">
      <c r="A632" s="89">
        <v>631</v>
      </c>
      <c r="B632" s="90">
        <v>50031578</v>
      </c>
      <c r="C632" s="91" t="s">
        <v>497</v>
      </c>
      <c r="D632" s="58" t="s">
        <v>845</v>
      </c>
      <c r="E632" s="59">
        <v>33292</v>
      </c>
      <c r="F632" s="92">
        <f ca="1">(TODAY()-Data_Assessment[[#This Row],[BIRTH DATE]])/365.25</f>
        <v>31.071868583162217</v>
      </c>
      <c r="G632" s="62" t="s">
        <v>926</v>
      </c>
      <c r="H632" s="63" t="s">
        <v>927</v>
      </c>
      <c r="I632" s="106">
        <v>4</v>
      </c>
      <c r="J632" s="64" t="s">
        <v>928</v>
      </c>
      <c r="K632" s="143">
        <v>3</v>
      </c>
      <c r="L632" s="58"/>
      <c r="M632" s="58"/>
      <c r="N632" s="102"/>
      <c r="O632" s="102"/>
      <c r="P632" s="102"/>
      <c r="Q632" s="102"/>
      <c r="R632" s="102"/>
      <c r="S632" s="102"/>
      <c r="T632" s="102"/>
      <c r="U632" s="102"/>
      <c r="V632" s="102"/>
      <c r="W632" s="102"/>
      <c r="X632" s="102"/>
      <c r="Y632" s="102"/>
      <c r="Z632" s="102"/>
      <c r="AA632" s="102"/>
      <c r="AB632" s="102"/>
      <c r="AC632" s="102"/>
      <c r="AD632" s="102"/>
      <c r="AE632" s="102"/>
      <c r="AF632" s="102"/>
      <c r="AG632" s="102"/>
      <c r="AH632" s="102"/>
      <c r="AI632" s="102"/>
      <c r="AJ632" s="102"/>
      <c r="AK632" s="102"/>
      <c r="AL632" s="102"/>
      <c r="AM632" s="102"/>
      <c r="AN632" s="102"/>
      <c r="AO632" s="102"/>
      <c r="AP632" s="102"/>
    </row>
    <row r="633" spans="1:42">
      <c r="A633" s="89">
        <v>632</v>
      </c>
      <c r="B633" s="90">
        <v>50031041</v>
      </c>
      <c r="C633" s="91" t="s">
        <v>499</v>
      </c>
      <c r="D633" s="58" t="s">
        <v>845</v>
      </c>
      <c r="E633" s="59">
        <v>31506</v>
      </c>
      <c r="F633" s="92">
        <f ca="1">(TODAY()-Data_Assessment[[#This Row],[BIRTH DATE]])/365.25</f>
        <v>35.961670088980149</v>
      </c>
      <c r="G633" s="62" t="s">
        <v>926</v>
      </c>
      <c r="H633" s="63" t="s">
        <v>927</v>
      </c>
      <c r="I633" s="106">
        <v>4</v>
      </c>
      <c r="J633" s="64" t="s">
        <v>928</v>
      </c>
      <c r="K633" s="143">
        <v>3</v>
      </c>
      <c r="L633" s="58"/>
      <c r="M633" s="58"/>
      <c r="N633" s="102"/>
      <c r="O633" s="102"/>
      <c r="P633" s="102"/>
      <c r="Q633" s="102"/>
      <c r="R633" s="102"/>
      <c r="S633" s="102"/>
      <c r="T633" s="102"/>
      <c r="U633" s="102"/>
      <c r="V633" s="102"/>
      <c r="W633" s="102"/>
      <c r="X633" s="102"/>
      <c r="Y633" s="102"/>
      <c r="Z633" s="102"/>
      <c r="AA633" s="102"/>
      <c r="AB633" s="102"/>
      <c r="AC633" s="102"/>
      <c r="AD633" s="102"/>
      <c r="AE633" s="102"/>
      <c r="AF633" s="102"/>
      <c r="AG633" s="102"/>
      <c r="AH633" s="102"/>
      <c r="AI633" s="102"/>
      <c r="AJ633" s="102"/>
      <c r="AK633" s="102"/>
      <c r="AL633" s="102"/>
      <c r="AM633" s="102"/>
      <c r="AN633" s="102"/>
      <c r="AO633" s="102"/>
      <c r="AP633" s="102"/>
    </row>
    <row r="634" spans="1:42">
      <c r="A634" s="89">
        <v>633</v>
      </c>
      <c r="B634" s="90">
        <v>50031038</v>
      </c>
      <c r="C634" s="91" t="s">
        <v>500</v>
      </c>
      <c r="D634" s="58" t="s">
        <v>845</v>
      </c>
      <c r="E634" s="59">
        <v>27073</v>
      </c>
      <c r="F634" s="92">
        <f ca="1">(TODAY()-Data_Assessment[[#This Row],[BIRTH DATE]])/365.25</f>
        <v>48.098562628336758</v>
      </c>
      <c r="G634" s="62" t="s">
        <v>926</v>
      </c>
      <c r="H634" s="63" t="s">
        <v>927</v>
      </c>
      <c r="I634" s="106">
        <v>4</v>
      </c>
      <c r="J634" s="64" t="s">
        <v>928</v>
      </c>
      <c r="K634" s="143">
        <v>3</v>
      </c>
      <c r="L634" s="58"/>
      <c r="M634" s="58"/>
      <c r="N634" s="102"/>
      <c r="O634" s="102"/>
      <c r="P634" s="102"/>
      <c r="Q634" s="102"/>
      <c r="R634" s="102"/>
      <c r="S634" s="102"/>
      <c r="T634" s="102"/>
      <c r="U634" s="102"/>
      <c r="V634" s="102"/>
      <c r="W634" s="102"/>
      <c r="X634" s="102"/>
      <c r="Y634" s="102"/>
      <c r="Z634" s="102"/>
      <c r="AA634" s="102"/>
      <c r="AB634" s="102"/>
      <c r="AC634" s="102"/>
      <c r="AD634" s="102"/>
      <c r="AE634" s="102"/>
      <c r="AF634" s="102"/>
      <c r="AG634" s="102"/>
      <c r="AH634" s="102"/>
      <c r="AI634" s="102"/>
      <c r="AJ634" s="102"/>
      <c r="AK634" s="102"/>
      <c r="AL634" s="102"/>
      <c r="AM634" s="102"/>
      <c r="AN634" s="102"/>
      <c r="AO634" s="102"/>
      <c r="AP634" s="102"/>
    </row>
    <row r="635" spans="1:42">
      <c r="A635" s="89">
        <v>634</v>
      </c>
      <c r="B635" s="90">
        <v>50101466</v>
      </c>
      <c r="C635" s="91" t="s">
        <v>502</v>
      </c>
      <c r="D635" s="58" t="s">
        <v>845</v>
      </c>
      <c r="E635" s="59">
        <v>32752</v>
      </c>
      <c r="F635" s="92">
        <f ca="1">(TODAY()-Data_Assessment[[#This Row],[BIRTH DATE]])/365.25</f>
        <v>32.550308008213555</v>
      </c>
      <c r="G635" s="62" t="s">
        <v>1082</v>
      </c>
      <c r="H635" s="63" t="s">
        <v>1083</v>
      </c>
      <c r="I635" s="106">
        <v>4</v>
      </c>
      <c r="J635" s="64" t="s">
        <v>1462</v>
      </c>
      <c r="K635" s="143">
        <v>2</v>
      </c>
      <c r="L635" s="58"/>
      <c r="M635" s="58"/>
      <c r="N635" s="102"/>
      <c r="O635" s="102"/>
      <c r="P635" s="102"/>
      <c r="Q635" s="102"/>
      <c r="R635" s="102"/>
      <c r="S635" s="102"/>
      <c r="T635" s="102"/>
      <c r="U635" s="102"/>
      <c r="V635" s="102"/>
      <c r="W635" s="102"/>
      <c r="X635" s="102"/>
      <c r="Y635" s="102"/>
      <c r="Z635" s="102"/>
      <c r="AA635" s="102"/>
      <c r="AB635" s="102"/>
      <c r="AC635" s="102"/>
      <c r="AD635" s="102"/>
      <c r="AE635" s="102"/>
      <c r="AF635" s="102"/>
      <c r="AG635" s="102"/>
      <c r="AH635" s="102"/>
      <c r="AI635" s="102"/>
      <c r="AJ635" s="102"/>
      <c r="AK635" s="102"/>
      <c r="AL635" s="102"/>
      <c r="AM635" s="102"/>
      <c r="AN635" s="102"/>
      <c r="AO635" s="102"/>
      <c r="AP635" s="102"/>
    </row>
    <row r="636" spans="1:42">
      <c r="A636" s="89">
        <v>635</v>
      </c>
      <c r="B636" s="90">
        <v>50144876</v>
      </c>
      <c r="C636" s="91" t="s">
        <v>504</v>
      </c>
      <c r="D636" s="58" t="s">
        <v>845</v>
      </c>
      <c r="E636" s="59">
        <v>35499</v>
      </c>
      <c r="F636" s="92">
        <f ca="1">(TODAY()-Data_Assessment[[#This Row],[BIRTH DATE]])/365.25</f>
        <v>25.029431895961672</v>
      </c>
      <c r="G636" s="62" t="s">
        <v>1082</v>
      </c>
      <c r="H636" s="63" t="s">
        <v>1083</v>
      </c>
      <c r="I636" s="106">
        <v>4</v>
      </c>
      <c r="J636" s="64" t="s">
        <v>1462</v>
      </c>
      <c r="K636" s="143">
        <v>0</v>
      </c>
      <c r="L636" s="58"/>
      <c r="M636" s="58"/>
      <c r="N636" s="102"/>
      <c r="O636" s="102"/>
      <c r="P636" s="102"/>
      <c r="Q636" s="102"/>
      <c r="R636" s="102"/>
      <c r="S636" s="102"/>
      <c r="T636" s="102"/>
      <c r="U636" s="102"/>
      <c r="V636" s="102"/>
      <c r="W636" s="102"/>
      <c r="X636" s="102"/>
      <c r="Y636" s="102"/>
      <c r="Z636" s="102"/>
      <c r="AA636" s="102"/>
      <c r="AB636" s="102"/>
      <c r="AC636" s="102"/>
      <c r="AD636" s="102"/>
      <c r="AE636" s="102"/>
      <c r="AF636" s="102"/>
      <c r="AG636" s="102"/>
      <c r="AH636" s="102"/>
      <c r="AI636" s="102"/>
      <c r="AJ636" s="102"/>
      <c r="AK636" s="102"/>
      <c r="AL636" s="102"/>
      <c r="AM636" s="102"/>
      <c r="AN636" s="102"/>
      <c r="AO636" s="102"/>
      <c r="AP636" s="102"/>
    </row>
    <row r="637" spans="1:42">
      <c r="A637" s="89">
        <v>636</v>
      </c>
      <c r="B637" s="90">
        <v>50031348</v>
      </c>
      <c r="C637" s="91" t="s">
        <v>506</v>
      </c>
      <c r="D637" s="58" t="s">
        <v>845</v>
      </c>
      <c r="E637" s="59">
        <v>32370</v>
      </c>
      <c r="F637" s="92">
        <f ca="1">(TODAY()-Data_Assessment[[#This Row],[BIRTH DATE]])/365.25</f>
        <v>33.596167008898014</v>
      </c>
      <c r="G637" s="62" t="s">
        <v>941</v>
      </c>
      <c r="H637" s="63" t="s">
        <v>942</v>
      </c>
      <c r="I637" s="106">
        <v>2</v>
      </c>
      <c r="J637" s="64" t="s">
        <v>1463</v>
      </c>
      <c r="K637" s="143">
        <v>3</v>
      </c>
      <c r="L637" s="58"/>
      <c r="M637" s="58"/>
      <c r="N637" s="102"/>
      <c r="O637" s="102"/>
      <c r="P637" s="102"/>
      <c r="Q637" s="102"/>
      <c r="R637" s="102"/>
      <c r="S637" s="102"/>
      <c r="T637" s="102"/>
      <c r="U637" s="102"/>
      <c r="V637" s="102"/>
      <c r="W637" s="102"/>
      <c r="X637" s="102"/>
      <c r="Y637" s="102"/>
      <c r="Z637" s="102"/>
      <c r="AA637" s="102"/>
      <c r="AB637" s="102"/>
      <c r="AC637" s="102"/>
      <c r="AD637" s="102"/>
      <c r="AE637" s="102"/>
      <c r="AF637" s="102"/>
      <c r="AG637" s="102"/>
      <c r="AH637" s="102"/>
      <c r="AI637" s="102"/>
      <c r="AJ637" s="102"/>
      <c r="AK637" s="102"/>
      <c r="AL637" s="102"/>
      <c r="AM637" s="102"/>
      <c r="AN637" s="102"/>
      <c r="AO637" s="102"/>
      <c r="AP637" s="102"/>
    </row>
    <row r="638" spans="1:42">
      <c r="A638" s="89">
        <v>637</v>
      </c>
      <c r="B638" s="90">
        <v>50037966</v>
      </c>
      <c r="C638" s="91" t="s">
        <v>509</v>
      </c>
      <c r="D638" s="58" t="s">
        <v>845</v>
      </c>
      <c r="E638" s="59">
        <v>27494</v>
      </c>
      <c r="F638" s="92">
        <f ca="1">(TODAY()-Data_Assessment[[#This Row],[BIRTH DATE]])/365.25</f>
        <v>46.945927446954144</v>
      </c>
      <c r="G638" s="62" t="s">
        <v>941</v>
      </c>
      <c r="H638" s="63" t="s">
        <v>1064</v>
      </c>
      <c r="I638" s="106">
        <v>2</v>
      </c>
      <c r="J638" s="64" t="s">
        <v>1464</v>
      </c>
      <c r="K638" s="143">
        <v>2</v>
      </c>
      <c r="L638" s="58"/>
      <c r="M638" s="58"/>
      <c r="N638" s="102"/>
      <c r="O638" s="102"/>
      <c r="P638" s="102"/>
      <c r="Q638" s="102"/>
      <c r="R638" s="102"/>
      <c r="S638" s="102"/>
      <c r="T638" s="102"/>
      <c r="U638" s="102"/>
      <c r="V638" s="102"/>
      <c r="W638" s="102"/>
      <c r="X638" s="102"/>
      <c r="Y638" s="102"/>
      <c r="Z638" s="102"/>
      <c r="AA638" s="102"/>
      <c r="AB638" s="102"/>
      <c r="AC638" s="102"/>
      <c r="AD638" s="102"/>
      <c r="AE638" s="102"/>
      <c r="AF638" s="102"/>
      <c r="AG638" s="102"/>
      <c r="AH638" s="102"/>
      <c r="AI638" s="102"/>
      <c r="AJ638" s="102"/>
      <c r="AK638" s="102"/>
      <c r="AL638" s="102"/>
      <c r="AM638" s="102"/>
      <c r="AN638" s="102"/>
      <c r="AO638" s="102"/>
      <c r="AP638" s="102"/>
    </row>
    <row r="639" spans="1:42">
      <c r="A639" s="89">
        <v>638</v>
      </c>
      <c r="B639" s="90">
        <v>50131053</v>
      </c>
      <c r="C639" s="91" t="s">
        <v>510</v>
      </c>
      <c r="D639" s="58" t="s">
        <v>845</v>
      </c>
      <c r="E639" s="59">
        <v>33856</v>
      </c>
      <c r="F639" s="92">
        <f ca="1">(TODAY()-Data_Assessment[[#This Row],[BIRTH DATE]])/365.25</f>
        <v>29.527720739219713</v>
      </c>
      <c r="G639" s="62" t="s">
        <v>941</v>
      </c>
      <c r="H639" s="63" t="s">
        <v>942</v>
      </c>
      <c r="I639" s="106">
        <v>2</v>
      </c>
      <c r="J639" s="64" t="s">
        <v>1465</v>
      </c>
      <c r="K639" s="143">
        <v>0</v>
      </c>
      <c r="L639" s="58"/>
      <c r="M639" s="58"/>
      <c r="N639" s="102"/>
      <c r="O639" s="102"/>
      <c r="P639" s="102"/>
      <c r="Q639" s="102"/>
      <c r="R639" s="102"/>
      <c r="S639" s="102"/>
      <c r="T639" s="102"/>
      <c r="U639" s="102"/>
      <c r="V639" s="102"/>
      <c r="W639" s="102"/>
      <c r="X639" s="102"/>
      <c r="Y639" s="102"/>
      <c r="Z639" s="102"/>
      <c r="AA639" s="102"/>
      <c r="AB639" s="102"/>
      <c r="AC639" s="102"/>
      <c r="AD639" s="102"/>
      <c r="AE639" s="102"/>
      <c r="AF639" s="102"/>
      <c r="AG639" s="102"/>
      <c r="AH639" s="102"/>
      <c r="AI639" s="102"/>
      <c r="AJ639" s="102"/>
      <c r="AK639" s="102"/>
      <c r="AL639" s="102"/>
      <c r="AM639" s="102"/>
      <c r="AN639" s="102"/>
      <c r="AO639" s="102"/>
      <c r="AP639" s="102"/>
    </row>
    <row r="640" spans="1:42">
      <c r="A640" s="89">
        <v>639</v>
      </c>
      <c r="B640" s="90">
        <v>50031006</v>
      </c>
      <c r="C640" s="91" t="s">
        <v>511</v>
      </c>
      <c r="D640" s="58" t="s">
        <v>845</v>
      </c>
      <c r="E640" s="59">
        <v>28347</v>
      </c>
      <c r="F640" s="92">
        <f ca="1">(TODAY()-Data_Assessment[[#This Row],[BIRTH DATE]])/365.25</f>
        <v>44.610540725530456</v>
      </c>
      <c r="G640" s="62" t="s">
        <v>941</v>
      </c>
      <c r="H640" s="63" t="s">
        <v>942</v>
      </c>
      <c r="I640" s="106">
        <v>2</v>
      </c>
      <c r="J640" s="64" t="s">
        <v>1466</v>
      </c>
      <c r="K640" s="143">
        <v>2</v>
      </c>
      <c r="L640" s="58"/>
      <c r="M640" s="58"/>
      <c r="N640" s="102"/>
      <c r="O640" s="102"/>
      <c r="P640" s="102"/>
      <c r="Q640" s="102"/>
      <c r="R640" s="102"/>
      <c r="S640" s="102"/>
      <c r="T640" s="102"/>
      <c r="U640" s="102"/>
      <c r="V640" s="102"/>
      <c r="W640" s="102"/>
      <c r="X640" s="102"/>
      <c r="Y640" s="102"/>
      <c r="Z640" s="102"/>
      <c r="AA640" s="102"/>
      <c r="AB640" s="102"/>
      <c r="AC640" s="102"/>
      <c r="AD640" s="102"/>
      <c r="AE640" s="102"/>
      <c r="AF640" s="102"/>
      <c r="AG640" s="102"/>
      <c r="AH640" s="102"/>
      <c r="AI640" s="102"/>
      <c r="AJ640" s="102"/>
      <c r="AK640" s="102"/>
      <c r="AL640" s="102"/>
      <c r="AM640" s="102"/>
      <c r="AN640" s="102"/>
      <c r="AO640" s="102"/>
      <c r="AP640" s="102"/>
    </row>
    <row r="641" spans="1:42">
      <c r="A641" s="89">
        <v>640</v>
      </c>
      <c r="B641" s="90">
        <v>50049459</v>
      </c>
      <c r="C641" s="91" t="s">
        <v>512</v>
      </c>
      <c r="D641" s="58" t="s">
        <v>845</v>
      </c>
      <c r="E641" s="59">
        <v>33226</v>
      </c>
      <c r="F641" s="92">
        <f ca="1">(TODAY()-Data_Assessment[[#This Row],[BIRTH DATE]])/365.25</f>
        <v>31.252566735112936</v>
      </c>
      <c r="G641" s="62" t="s">
        <v>941</v>
      </c>
      <c r="H641" s="63" t="s">
        <v>942</v>
      </c>
      <c r="I641" s="106">
        <v>2</v>
      </c>
      <c r="J641" s="64" t="s">
        <v>1467</v>
      </c>
      <c r="K641" s="143">
        <v>3</v>
      </c>
      <c r="L641" s="58"/>
      <c r="M641" s="58"/>
      <c r="N641" s="102"/>
      <c r="O641" s="102"/>
      <c r="P641" s="102"/>
      <c r="Q641" s="102"/>
      <c r="R641" s="102"/>
      <c r="S641" s="102"/>
      <c r="T641" s="102"/>
      <c r="U641" s="102"/>
      <c r="V641" s="102"/>
      <c r="W641" s="102"/>
      <c r="X641" s="102"/>
      <c r="Y641" s="102"/>
      <c r="Z641" s="102"/>
      <c r="AA641" s="102"/>
      <c r="AB641" s="102"/>
      <c r="AC641" s="102"/>
      <c r="AD641" s="102"/>
      <c r="AE641" s="102"/>
      <c r="AF641" s="102"/>
      <c r="AG641" s="102"/>
      <c r="AH641" s="102"/>
      <c r="AI641" s="102"/>
      <c r="AJ641" s="102"/>
      <c r="AK641" s="102"/>
      <c r="AL641" s="102"/>
      <c r="AM641" s="102"/>
      <c r="AN641" s="102"/>
      <c r="AO641" s="102"/>
      <c r="AP641" s="102"/>
    </row>
    <row r="642" spans="1:42">
      <c r="A642" s="89">
        <v>641</v>
      </c>
      <c r="B642" s="90">
        <v>50030717</v>
      </c>
      <c r="C642" s="91" t="s">
        <v>513</v>
      </c>
      <c r="D642" s="58" t="s">
        <v>845</v>
      </c>
      <c r="E642" s="59">
        <v>24473</v>
      </c>
      <c r="F642" s="92">
        <f ca="1">(TODAY()-Data_Assessment[[#This Row],[BIRTH DATE]])/365.25</f>
        <v>55.21697467488022</v>
      </c>
      <c r="G642" s="62" t="s">
        <v>941</v>
      </c>
      <c r="H642" s="63" t="s">
        <v>1238</v>
      </c>
      <c r="I642" s="106">
        <v>2</v>
      </c>
      <c r="J642" s="64" t="s">
        <v>1468</v>
      </c>
      <c r="K642" s="143">
        <v>4</v>
      </c>
      <c r="L642" s="58"/>
      <c r="M642" s="58"/>
      <c r="N642" s="102"/>
      <c r="O642" s="102"/>
      <c r="P642" s="102"/>
      <c r="Q642" s="102"/>
      <c r="R642" s="102"/>
      <c r="S642" s="102"/>
      <c r="T642" s="102"/>
      <c r="U642" s="102"/>
      <c r="V642" s="102"/>
      <c r="W642" s="102"/>
      <c r="X642" s="102"/>
      <c r="Y642" s="102"/>
      <c r="Z642" s="102"/>
      <c r="AA642" s="102"/>
      <c r="AB642" s="102"/>
      <c r="AC642" s="102"/>
      <c r="AD642" s="102"/>
      <c r="AE642" s="102"/>
      <c r="AF642" s="102"/>
      <c r="AG642" s="102"/>
      <c r="AH642" s="102"/>
      <c r="AI642" s="102"/>
      <c r="AJ642" s="102"/>
      <c r="AK642" s="102"/>
      <c r="AL642" s="102"/>
      <c r="AM642" s="102"/>
      <c r="AN642" s="102"/>
      <c r="AO642" s="102"/>
      <c r="AP642" s="102"/>
    </row>
    <row r="643" spans="1:42">
      <c r="A643" s="89">
        <v>642</v>
      </c>
      <c r="B643" s="90">
        <v>50030660</v>
      </c>
      <c r="C643" s="91" t="s">
        <v>515</v>
      </c>
      <c r="D643" s="58" t="s">
        <v>845</v>
      </c>
      <c r="E643" s="59">
        <v>26563</v>
      </c>
      <c r="F643" s="92">
        <f ca="1">(TODAY()-Data_Assessment[[#This Row],[BIRTH DATE]])/365.25</f>
        <v>49.494866529774129</v>
      </c>
      <c r="G643" s="62" t="s">
        <v>941</v>
      </c>
      <c r="H643" s="63" t="s">
        <v>972</v>
      </c>
      <c r="I643" s="106">
        <v>2</v>
      </c>
      <c r="J643" s="64" t="s">
        <v>1469</v>
      </c>
      <c r="K643" s="143">
        <v>3</v>
      </c>
      <c r="L643" s="58"/>
      <c r="M643" s="58"/>
      <c r="N643" s="102"/>
      <c r="O643" s="102"/>
      <c r="P643" s="102"/>
      <c r="Q643" s="102"/>
      <c r="R643" s="102"/>
      <c r="S643" s="102"/>
      <c r="T643" s="102"/>
      <c r="U643" s="102"/>
      <c r="V643" s="102"/>
      <c r="W643" s="102"/>
      <c r="X643" s="102"/>
      <c r="Y643" s="102"/>
      <c r="Z643" s="102"/>
      <c r="AA643" s="102"/>
      <c r="AB643" s="102"/>
      <c r="AC643" s="102"/>
      <c r="AD643" s="102"/>
      <c r="AE643" s="102"/>
      <c r="AF643" s="102"/>
      <c r="AG643" s="102"/>
      <c r="AH643" s="102"/>
      <c r="AI643" s="102"/>
      <c r="AJ643" s="102"/>
      <c r="AK643" s="102"/>
      <c r="AL643" s="102"/>
      <c r="AM643" s="102"/>
      <c r="AN643" s="102"/>
      <c r="AO643" s="102"/>
      <c r="AP643" s="102"/>
    </row>
    <row r="644" spans="1:42">
      <c r="A644" s="89">
        <v>643</v>
      </c>
      <c r="B644" s="90">
        <v>50040233</v>
      </c>
      <c r="C644" s="91" t="s">
        <v>863</v>
      </c>
      <c r="D644" s="58" t="s">
        <v>845</v>
      </c>
      <c r="E644" s="59">
        <v>26511</v>
      </c>
      <c r="F644" s="92">
        <f ca="1">(TODAY()-Data_Assessment[[#This Row],[BIRTH DATE]])/365.25</f>
        <v>49.637234770705</v>
      </c>
      <c r="G644" s="62" t="s">
        <v>941</v>
      </c>
      <c r="H644" s="63" t="s">
        <v>942</v>
      </c>
      <c r="I644" s="106">
        <v>2</v>
      </c>
      <c r="J644" s="64" t="s">
        <v>1470</v>
      </c>
      <c r="K644" s="143">
        <v>2</v>
      </c>
      <c r="L644" s="58"/>
      <c r="M644" s="58"/>
      <c r="N644" s="102"/>
      <c r="O644" s="102"/>
      <c r="P644" s="102"/>
      <c r="Q644" s="102"/>
      <c r="R644" s="102"/>
      <c r="S644" s="102"/>
      <c r="T644" s="102"/>
      <c r="U644" s="102"/>
      <c r="V644" s="102"/>
      <c r="W644" s="102"/>
      <c r="X644" s="102"/>
      <c r="Y644" s="102"/>
      <c r="Z644" s="102"/>
      <c r="AA644" s="102"/>
      <c r="AB644" s="102"/>
      <c r="AC644" s="102"/>
      <c r="AD644" s="102"/>
      <c r="AE644" s="102"/>
      <c r="AF644" s="102"/>
      <c r="AG644" s="102"/>
      <c r="AH644" s="102"/>
      <c r="AI644" s="102"/>
      <c r="AJ644" s="102"/>
      <c r="AK644" s="102"/>
      <c r="AL644" s="102"/>
      <c r="AM644" s="102"/>
      <c r="AN644" s="102"/>
      <c r="AO644" s="102"/>
      <c r="AP644" s="102"/>
    </row>
    <row r="645" spans="1:42">
      <c r="A645" s="89">
        <v>644</v>
      </c>
      <c r="B645" s="90">
        <v>50030728</v>
      </c>
      <c r="C645" s="91" t="s">
        <v>519</v>
      </c>
      <c r="D645" s="58" t="s">
        <v>845</v>
      </c>
      <c r="E645" s="59">
        <v>26072</v>
      </c>
      <c r="F645" s="92">
        <f ca="1">(TODAY()-Data_Assessment[[#This Row],[BIRTH DATE]])/365.25</f>
        <v>50.839151266255989</v>
      </c>
      <c r="G645" s="62" t="s">
        <v>941</v>
      </c>
      <c r="H645" s="63" t="s">
        <v>942</v>
      </c>
      <c r="I645" s="106">
        <v>2</v>
      </c>
      <c r="J645" s="64" t="s">
        <v>1471</v>
      </c>
      <c r="K645" s="143">
        <v>3</v>
      </c>
      <c r="L645" s="58"/>
      <c r="M645" s="58"/>
      <c r="N645" s="102"/>
      <c r="O645" s="102"/>
      <c r="P645" s="102"/>
      <c r="Q645" s="102"/>
      <c r="R645" s="102"/>
      <c r="S645" s="102"/>
      <c r="T645" s="102"/>
      <c r="U645" s="102"/>
      <c r="V645" s="102"/>
      <c r="W645" s="102"/>
      <c r="X645" s="102"/>
      <c r="Y645" s="102"/>
      <c r="Z645" s="102"/>
      <c r="AA645" s="102"/>
      <c r="AB645" s="102"/>
      <c r="AC645" s="102"/>
      <c r="AD645" s="102"/>
      <c r="AE645" s="102"/>
      <c r="AF645" s="102"/>
      <c r="AG645" s="102"/>
      <c r="AH645" s="102"/>
      <c r="AI645" s="102"/>
      <c r="AJ645" s="102"/>
      <c r="AK645" s="102"/>
      <c r="AL645" s="102"/>
      <c r="AM645" s="102"/>
      <c r="AN645" s="102"/>
      <c r="AO645" s="102"/>
      <c r="AP645" s="102"/>
    </row>
    <row r="646" spans="1:42">
      <c r="A646" s="89">
        <v>645</v>
      </c>
      <c r="B646" s="90">
        <v>50031077</v>
      </c>
      <c r="C646" s="91" t="s">
        <v>523</v>
      </c>
      <c r="D646" s="58" t="s">
        <v>845</v>
      </c>
      <c r="E646" s="59">
        <v>25376</v>
      </c>
      <c r="F646" s="92">
        <f ca="1">(TODAY()-Data_Assessment[[#This Row],[BIRTH DATE]])/365.25</f>
        <v>52.74469541409993</v>
      </c>
      <c r="G646" s="62" t="s">
        <v>941</v>
      </c>
      <c r="H646" s="63" t="s">
        <v>942</v>
      </c>
      <c r="I646" s="106">
        <v>2</v>
      </c>
      <c r="J646" s="64" t="s">
        <v>1472</v>
      </c>
      <c r="K646" s="143">
        <v>3</v>
      </c>
      <c r="L646" s="58"/>
      <c r="M646" s="58"/>
      <c r="N646" s="102"/>
      <c r="O646" s="102"/>
      <c r="P646" s="102"/>
      <c r="Q646" s="102"/>
      <c r="R646" s="102"/>
      <c r="S646" s="102"/>
      <c r="T646" s="102"/>
      <c r="U646" s="102"/>
      <c r="V646" s="102"/>
      <c r="W646" s="102"/>
      <c r="X646" s="102"/>
      <c r="Y646" s="102"/>
      <c r="Z646" s="102"/>
      <c r="AA646" s="102"/>
      <c r="AB646" s="102"/>
      <c r="AC646" s="102"/>
      <c r="AD646" s="102"/>
      <c r="AE646" s="102"/>
      <c r="AF646" s="102"/>
      <c r="AG646" s="102"/>
      <c r="AH646" s="102"/>
      <c r="AI646" s="102"/>
      <c r="AJ646" s="102"/>
      <c r="AK646" s="102"/>
      <c r="AL646" s="102"/>
      <c r="AM646" s="102"/>
      <c r="AN646" s="102"/>
      <c r="AO646" s="102"/>
      <c r="AP646" s="102"/>
    </row>
    <row r="647" spans="1:42">
      <c r="A647" s="89">
        <v>646</v>
      </c>
      <c r="B647" s="90">
        <v>50112871</v>
      </c>
      <c r="C647" s="91" t="s">
        <v>524</v>
      </c>
      <c r="D647" s="58" t="s">
        <v>845</v>
      </c>
      <c r="E647" s="59">
        <v>33765</v>
      </c>
      <c r="F647" s="92">
        <f ca="1">(TODAY()-Data_Assessment[[#This Row],[BIRTH DATE]])/365.25</f>
        <v>29.776865160848732</v>
      </c>
      <c r="G647" s="62" t="s">
        <v>941</v>
      </c>
      <c r="H647" s="63" t="s">
        <v>942</v>
      </c>
      <c r="I647" s="106">
        <v>2</v>
      </c>
      <c r="J647" s="64" t="s">
        <v>943</v>
      </c>
      <c r="K647" s="143">
        <v>2</v>
      </c>
      <c r="L647" s="58"/>
      <c r="M647" s="58"/>
      <c r="N647" s="102"/>
      <c r="O647" s="102"/>
      <c r="P647" s="102"/>
      <c r="Q647" s="102"/>
      <c r="R647" s="102"/>
      <c r="S647" s="102"/>
      <c r="T647" s="102"/>
      <c r="U647" s="102"/>
      <c r="V647" s="102"/>
      <c r="W647" s="102"/>
      <c r="X647" s="102"/>
      <c r="Y647" s="102"/>
      <c r="Z647" s="102"/>
      <c r="AA647" s="102"/>
      <c r="AB647" s="102"/>
      <c r="AC647" s="102"/>
      <c r="AD647" s="102"/>
      <c r="AE647" s="102"/>
      <c r="AF647" s="102"/>
      <c r="AG647" s="102"/>
      <c r="AH647" s="102"/>
      <c r="AI647" s="102"/>
      <c r="AJ647" s="102"/>
      <c r="AK647" s="102"/>
      <c r="AL647" s="102"/>
      <c r="AM647" s="102"/>
      <c r="AN647" s="102"/>
      <c r="AO647" s="102"/>
      <c r="AP647" s="102"/>
    </row>
    <row r="648" spans="1:42">
      <c r="A648" s="89">
        <v>647</v>
      </c>
      <c r="B648" s="90">
        <v>50031026</v>
      </c>
      <c r="C648" s="91" t="s">
        <v>862</v>
      </c>
      <c r="D648" s="58" t="s">
        <v>845</v>
      </c>
      <c r="E648" s="59">
        <v>25575</v>
      </c>
      <c r="F648" s="92">
        <f ca="1">(TODAY()-Data_Assessment[[#This Row],[BIRTH DATE]])/365.25</f>
        <v>52.199863107460644</v>
      </c>
      <c r="G648" s="62" t="s">
        <v>941</v>
      </c>
      <c r="H648" s="63" t="s">
        <v>942</v>
      </c>
      <c r="I648" s="106">
        <v>2</v>
      </c>
      <c r="J648" s="64" t="s">
        <v>943</v>
      </c>
      <c r="K648" s="143">
        <v>3</v>
      </c>
      <c r="L648" s="58"/>
      <c r="M648" s="58"/>
      <c r="N648" s="102"/>
      <c r="O648" s="102"/>
      <c r="P648" s="102"/>
      <c r="Q648" s="102"/>
      <c r="R648" s="102"/>
      <c r="S648" s="102"/>
      <c r="T648" s="102"/>
      <c r="U648" s="102"/>
      <c r="V648" s="102"/>
      <c r="W648" s="102"/>
      <c r="X648" s="102"/>
      <c r="Y648" s="102"/>
      <c r="Z648" s="102"/>
      <c r="AA648" s="102"/>
      <c r="AB648" s="102"/>
      <c r="AC648" s="102"/>
      <c r="AD648" s="102"/>
      <c r="AE648" s="102"/>
      <c r="AF648" s="102"/>
      <c r="AG648" s="102"/>
      <c r="AH648" s="102"/>
      <c r="AI648" s="102"/>
      <c r="AJ648" s="102"/>
      <c r="AK648" s="102"/>
      <c r="AL648" s="102"/>
      <c r="AM648" s="102"/>
      <c r="AN648" s="102"/>
      <c r="AO648" s="102"/>
      <c r="AP648" s="102"/>
    </row>
    <row r="649" spans="1:42">
      <c r="A649" s="89">
        <v>648</v>
      </c>
      <c r="B649" s="90">
        <v>50085976</v>
      </c>
      <c r="C649" s="91" t="s">
        <v>527</v>
      </c>
      <c r="D649" s="58" t="s">
        <v>845</v>
      </c>
      <c r="E649" s="59">
        <v>25421</v>
      </c>
      <c r="F649" s="92">
        <f ca="1">(TODAY()-Data_Assessment[[#This Row],[BIRTH DATE]])/365.25</f>
        <v>52.621492128678987</v>
      </c>
      <c r="G649" s="62" t="s">
        <v>941</v>
      </c>
      <c r="H649" s="63" t="s">
        <v>942</v>
      </c>
      <c r="I649" s="106">
        <v>2</v>
      </c>
      <c r="J649" s="64" t="s">
        <v>1473</v>
      </c>
      <c r="K649" s="143">
        <v>3</v>
      </c>
      <c r="L649" s="58"/>
      <c r="M649" s="58"/>
      <c r="N649" s="102"/>
      <c r="O649" s="102"/>
      <c r="P649" s="102"/>
      <c r="Q649" s="102"/>
      <c r="R649" s="102"/>
      <c r="S649" s="102"/>
      <c r="T649" s="102"/>
      <c r="U649" s="102"/>
      <c r="V649" s="102"/>
      <c r="W649" s="102"/>
      <c r="X649" s="102"/>
      <c r="Y649" s="102"/>
      <c r="Z649" s="102"/>
      <c r="AA649" s="102"/>
      <c r="AB649" s="102"/>
      <c r="AC649" s="102"/>
      <c r="AD649" s="102"/>
      <c r="AE649" s="102"/>
      <c r="AF649" s="102"/>
      <c r="AG649" s="102"/>
      <c r="AH649" s="102"/>
      <c r="AI649" s="102"/>
      <c r="AJ649" s="102"/>
      <c r="AK649" s="102"/>
      <c r="AL649" s="102"/>
      <c r="AM649" s="102"/>
      <c r="AN649" s="102"/>
      <c r="AO649" s="102"/>
      <c r="AP649" s="102"/>
    </row>
    <row r="650" spans="1:42">
      <c r="A650" s="89">
        <v>649</v>
      </c>
      <c r="B650" s="90">
        <v>50142613</v>
      </c>
      <c r="C650" s="91" t="s">
        <v>530</v>
      </c>
      <c r="D650" s="58" t="s">
        <v>845</v>
      </c>
      <c r="E650" s="59">
        <v>32306</v>
      </c>
      <c r="F650" s="92">
        <f ca="1">(TODAY()-Data_Assessment[[#This Row],[BIRTH DATE]])/365.25</f>
        <v>33.771389459274467</v>
      </c>
      <c r="G650" s="62" t="s">
        <v>941</v>
      </c>
      <c r="H650" s="63" t="s">
        <v>987</v>
      </c>
      <c r="I650" s="106">
        <v>2</v>
      </c>
      <c r="J650" s="64" t="s">
        <v>1474</v>
      </c>
      <c r="K650" s="143">
        <v>2</v>
      </c>
      <c r="L650" s="58"/>
      <c r="M650" s="58"/>
      <c r="N650" s="102"/>
      <c r="O650" s="102"/>
      <c r="P650" s="102"/>
      <c r="Q650" s="102"/>
      <c r="R650" s="102"/>
      <c r="S650" s="102"/>
      <c r="T650" s="102"/>
      <c r="U650" s="102"/>
      <c r="V650" s="102"/>
      <c r="W650" s="102"/>
      <c r="X650" s="102"/>
      <c r="Y650" s="102"/>
      <c r="Z650" s="102"/>
      <c r="AA650" s="102"/>
      <c r="AB650" s="102"/>
      <c r="AC650" s="102"/>
      <c r="AD650" s="102"/>
      <c r="AE650" s="102"/>
      <c r="AF650" s="102"/>
      <c r="AG650" s="102"/>
      <c r="AH650" s="102"/>
      <c r="AI650" s="102"/>
      <c r="AJ650" s="102"/>
      <c r="AK650" s="102"/>
      <c r="AL650" s="102"/>
      <c r="AM650" s="102"/>
      <c r="AN650" s="102"/>
      <c r="AO650" s="102"/>
      <c r="AP650" s="102"/>
    </row>
    <row r="651" spans="1:42">
      <c r="A651" s="89">
        <v>650</v>
      </c>
      <c r="B651" s="90">
        <v>50047393</v>
      </c>
      <c r="C651" s="91" t="s">
        <v>534</v>
      </c>
      <c r="D651" s="58" t="s">
        <v>845</v>
      </c>
      <c r="E651" s="59">
        <v>32509</v>
      </c>
      <c r="F651" s="92">
        <f ca="1">(TODAY()-Data_Assessment[[#This Row],[BIRTH DATE]])/365.25</f>
        <v>33.215605749486656</v>
      </c>
      <c r="G651" s="62" t="s">
        <v>941</v>
      </c>
      <c r="H651" s="63" t="s">
        <v>1238</v>
      </c>
      <c r="I651" s="106">
        <v>2</v>
      </c>
      <c r="J651" s="64" t="s">
        <v>1475</v>
      </c>
      <c r="K651" s="143">
        <v>4</v>
      </c>
      <c r="L651" s="58"/>
      <c r="M651" s="58"/>
      <c r="N651" s="102"/>
      <c r="O651" s="102"/>
      <c r="P651" s="102"/>
      <c r="Q651" s="102"/>
      <c r="R651" s="102"/>
      <c r="S651" s="102"/>
      <c r="T651" s="102"/>
      <c r="U651" s="102"/>
      <c r="V651" s="102"/>
      <c r="W651" s="102"/>
      <c r="X651" s="102"/>
      <c r="Y651" s="102"/>
      <c r="Z651" s="102"/>
      <c r="AA651" s="102"/>
      <c r="AB651" s="102"/>
      <c r="AC651" s="102"/>
      <c r="AD651" s="102"/>
      <c r="AE651" s="102"/>
      <c r="AF651" s="102"/>
      <c r="AG651" s="102"/>
      <c r="AH651" s="102"/>
      <c r="AI651" s="102"/>
      <c r="AJ651" s="102"/>
      <c r="AK651" s="102"/>
      <c r="AL651" s="102"/>
      <c r="AM651" s="102"/>
      <c r="AN651" s="102"/>
      <c r="AO651" s="102"/>
      <c r="AP651" s="102"/>
    </row>
    <row r="652" spans="1:42">
      <c r="A652" s="89">
        <v>651</v>
      </c>
      <c r="B652" s="90">
        <v>50031281</v>
      </c>
      <c r="C652" s="91" t="s">
        <v>535</v>
      </c>
      <c r="D652" s="58" t="s">
        <v>845</v>
      </c>
      <c r="E652" s="59">
        <v>32523</v>
      </c>
      <c r="F652" s="92">
        <f ca="1">(TODAY()-Data_Assessment[[#This Row],[BIRTH DATE]])/365.25</f>
        <v>33.177275838466805</v>
      </c>
      <c r="G652" s="62" t="s">
        <v>941</v>
      </c>
      <c r="H652" s="63" t="s">
        <v>1238</v>
      </c>
      <c r="I652" s="106">
        <v>2</v>
      </c>
      <c r="J652" s="64" t="s">
        <v>1239</v>
      </c>
      <c r="K652" s="143">
        <v>2</v>
      </c>
      <c r="L652" s="58"/>
      <c r="M652" s="58"/>
      <c r="N652" s="102"/>
      <c r="O652" s="102"/>
      <c r="P652" s="102"/>
      <c r="Q652" s="102"/>
      <c r="R652" s="102"/>
      <c r="S652" s="102"/>
      <c r="T652" s="102"/>
      <c r="U652" s="102"/>
      <c r="V652" s="102"/>
      <c r="W652" s="102"/>
      <c r="X652" s="102"/>
      <c r="Y652" s="102"/>
      <c r="Z652" s="102"/>
      <c r="AA652" s="102"/>
      <c r="AB652" s="102"/>
      <c r="AC652" s="102"/>
      <c r="AD652" s="102"/>
      <c r="AE652" s="102"/>
      <c r="AF652" s="102"/>
      <c r="AG652" s="102"/>
      <c r="AH652" s="102"/>
      <c r="AI652" s="102"/>
      <c r="AJ652" s="102"/>
      <c r="AK652" s="102"/>
      <c r="AL652" s="102"/>
      <c r="AM652" s="102"/>
      <c r="AN652" s="102"/>
      <c r="AO652" s="102"/>
      <c r="AP652" s="102"/>
    </row>
    <row r="653" spans="1:42">
      <c r="A653" s="89">
        <v>652</v>
      </c>
      <c r="B653" s="90">
        <v>50133251</v>
      </c>
      <c r="C653" s="91" t="s">
        <v>537</v>
      </c>
      <c r="D653" s="58" t="s">
        <v>845</v>
      </c>
      <c r="E653" s="59">
        <v>35672</v>
      </c>
      <c r="F653" s="92">
        <f ca="1">(TODAY()-Data_Assessment[[#This Row],[BIRTH DATE]])/365.25</f>
        <v>24.555783709787818</v>
      </c>
      <c r="G653" s="62" t="s">
        <v>941</v>
      </c>
      <c r="H653" s="63" t="s">
        <v>1238</v>
      </c>
      <c r="I653" s="106">
        <v>2</v>
      </c>
      <c r="J653" s="64" t="s">
        <v>1476</v>
      </c>
      <c r="K653" s="143">
        <v>1</v>
      </c>
      <c r="L653" s="58"/>
      <c r="M653" s="58"/>
      <c r="N653" s="102"/>
      <c r="O653" s="102"/>
      <c r="P653" s="102"/>
      <c r="Q653" s="102"/>
      <c r="R653" s="102"/>
      <c r="S653" s="102"/>
      <c r="T653" s="102"/>
      <c r="U653" s="102"/>
      <c r="V653" s="102"/>
      <c r="W653" s="102"/>
      <c r="X653" s="102"/>
      <c r="Y653" s="102"/>
      <c r="Z653" s="102"/>
      <c r="AA653" s="102"/>
      <c r="AB653" s="102"/>
      <c r="AC653" s="102"/>
      <c r="AD653" s="102"/>
      <c r="AE653" s="102"/>
      <c r="AF653" s="102"/>
      <c r="AG653" s="102"/>
      <c r="AH653" s="102"/>
      <c r="AI653" s="102"/>
      <c r="AJ653" s="102"/>
      <c r="AK653" s="102"/>
      <c r="AL653" s="102"/>
      <c r="AM653" s="102"/>
      <c r="AN653" s="102"/>
      <c r="AO653" s="102"/>
      <c r="AP653" s="102"/>
    </row>
    <row r="654" spans="1:42">
      <c r="A654" s="89">
        <v>653</v>
      </c>
      <c r="B654" s="90">
        <v>50047836</v>
      </c>
      <c r="C654" s="91" t="s">
        <v>538</v>
      </c>
      <c r="D654" s="58" t="s">
        <v>845</v>
      </c>
      <c r="E654" s="59">
        <v>31005</v>
      </c>
      <c r="F654" s="92">
        <f ca="1">(TODAY()-Data_Assessment[[#This Row],[BIRTH DATE]])/365.25</f>
        <v>37.333333333333336</v>
      </c>
      <c r="G654" s="62" t="s">
        <v>941</v>
      </c>
      <c r="H654" s="63" t="s">
        <v>1238</v>
      </c>
      <c r="I654" s="106">
        <v>2</v>
      </c>
      <c r="J654" s="64" t="s">
        <v>1239</v>
      </c>
      <c r="K654" s="143">
        <v>2</v>
      </c>
      <c r="L654" s="58"/>
      <c r="M654" s="58"/>
      <c r="N654" s="102"/>
      <c r="O654" s="102"/>
      <c r="P654" s="102"/>
      <c r="Q654" s="102"/>
      <c r="R654" s="102"/>
      <c r="S654" s="102"/>
      <c r="T654" s="102"/>
      <c r="U654" s="102"/>
      <c r="V654" s="102"/>
      <c r="W654" s="102"/>
      <c r="X654" s="102"/>
      <c r="Y654" s="102"/>
      <c r="Z654" s="102"/>
      <c r="AA654" s="102"/>
      <c r="AB654" s="102"/>
      <c r="AC654" s="102"/>
      <c r="AD654" s="102"/>
      <c r="AE654" s="102"/>
      <c r="AF654" s="102"/>
      <c r="AG654" s="102"/>
      <c r="AH654" s="102"/>
      <c r="AI654" s="102"/>
      <c r="AJ654" s="102"/>
      <c r="AK654" s="102"/>
      <c r="AL654" s="102"/>
      <c r="AM654" s="102"/>
      <c r="AN654" s="102"/>
      <c r="AO654" s="102"/>
      <c r="AP654" s="102"/>
    </row>
    <row r="655" spans="1:42">
      <c r="A655" s="89">
        <v>654</v>
      </c>
      <c r="B655" s="90">
        <v>50108307</v>
      </c>
      <c r="C655" s="91" t="s">
        <v>539</v>
      </c>
      <c r="D655" s="58" t="s">
        <v>845</v>
      </c>
      <c r="E655" s="59">
        <v>27087</v>
      </c>
      <c r="F655" s="92">
        <f ca="1">(TODAY()-Data_Assessment[[#This Row],[BIRTH DATE]])/365.25</f>
        <v>48.060232717316907</v>
      </c>
      <c r="G655" s="62" t="s">
        <v>941</v>
      </c>
      <c r="H655" s="63" t="s">
        <v>1238</v>
      </c>
      <c r="I655" s="106">
        <v>2</v>
      </c>
      <c r="J655" s="64" t="s">
        <v>1239</v>
      </c>
      <c r="K655" s="143">
        <v>4</v>
      </c>
      <c r="L655" s="58"/>
      <c r="M655" s="58"/>
      <c r="N655" s="102"/>
      <c r="O655" s="102"/>
      <c r="P655" s="102"/>
      <c r="Q655" s="102"/>
      <c r="R655" s="102"/>
      <c r="S655" s="102"/>
      <c r="T655" s="102"/>
      <c r="U655" s="102"/>
      <c r="V655" s="102"/>
      <c r="W655" s="102"/>
      <c r="X655" s="102"/>
      <c r="Y655" s="102"/>
      <c r="Z655" s="102"/>
      <c r="AA655" s="102"/>
      <c r="AB655" s="102"/>
      <c r="AC655" s="102"/>
      <c r="AD655" s="102"/>
      <c r="AE655" s="102"/>
      <c r="AF655" s="102"/>
      <c r="AG655" s="102"/>
      <c r="AH655" s="102"/>
      <c r="AI655" s="102"/>
      <c r="AJ655" s="102"/>
      <c r="AK655" s="102"/>
      <c r="AL655" s="102"/>
      <c r="AM655" s="102"/>
      <c r="AN655" s="102"/>
      <c r="AO655" s="102"/>
      <c r="AP655" s="102"/>
    </row>
    <row r="656" spans="1:42">
      <c r="A656" s="89">
        <v>655</v>
      </c>
      <c r="B656" s="90">
        <v>50038050</v>
      </c>
      <c r="C656" s="91" t="s">
        <v>542</v>
      </c>
      <c r="D656" s="58" t="s">
        <v>845</v>
      </c>
      <c r="E656" s="59">
        <v>32332</v>
      </c>
      <c r="F656" s="92">
        <f ca="1">(TODAY()-Data_Assessment[[#This Row],[BIRTH DATE]])/365.25</f>
        <v>33.700205338809035</v>
      </c>
      <c r="G656" s="62" t="s">
        <v>941</v>
      </c>
      <c r="H656" s="63" t="s">
        <v>1241</v>
      </c>
      <c r="I656" s="106">
        <v>2</v>
      </c>
      <c r="J656" s="64" t="s">
        <v>1477</v>
      </c>
      <c r="K656" s="143">
        <v>3</v>
      </c>
      <c r="L656" s="58"/>
      <c r="M656" s="58"/>
      <c r="N656" s="102"/>
      <c r="O656" s="102"/>
      <c r="P656" s="102"/>
      <c r="Q656" s="102"/>
      <c r="R656" s="102"/>
      <c r="S656" s="102"/>
      <c r="T656" s="102"/>
      <c r="U656" s="102"/>
      <c r="V656" s="102"/>
      <c r="W656" s="102"/>
      <c r="X656" s="102"/>
      <c r="Y656" s="102"/>
      <c r="Z656" s="102"/>
      <c r="AA656" s="102"/>
      <c r="AB656" s="102"/>
      <c r="AC656" s="102"/>
      <c r="AD656" s="102"/>
      <c r="AE656" s="102"/>
      <c r="AF656" s="102"/>
      <c r="AG656" s="102"/>
      <c r="AH656" s="102"/>
      <c r="AI656" s="102"/>
      <c r="AJ656" s="102"/>
      <c r="AK656" s="102"/>
      <c r="AL656" s="102"/>
      <c r="AM656" s="102"/>
      <c r="AN656" s="102"/>
      <c r="AO656" s="102"/>
      <c r="AP656" s="102"/>
    </row>
    <row r="657" spans="1:42">
      <c r="A657" s="89">
        <v>656</v>
      </c>
      <c r="B657" s="90">
        <v>50030744</v>
      </c>
      <c r="C657" s="91" t="s">
        <v>543</v>
      </c>
      <c r="D657" s="58" t="s">
        <v>845</v>
      </c>
      <c r="E657" s="59">
        <v>25649</v>
      </c>
      <c r="F657" s="92">
        <f ca="1">(TODAY()-Data_Assessment[[#This Row],[BIRTH DATE]])/365.25</f>
        <v>51.997262149212865</v>
      </c>
      <c r="G657" s="62" t="s">
        <v>941</v>
      </c>
      <c r="H657" s="63" t="s">
        <v>1241</v>
      </c>
      <c r="I657" s="106">
        <v>2</v>
      </c>
      <c r="J657" s="64" t="s">
        <v>1242</v>
      </c>
      <c r="K657" s="143">
        <v>3</v>
      </c>
      <c r="L657" s="58"/>
      <c r="M657" s="58"/>
      <c r="N657" s="102"/>
      <c r="O657" s="102"/>
      <c r="P657" s="102"/>
      <c r="Q657" s="102"/>
      <c r="R657" s="102"/>
      <c r="S657" s="102"/>
      <c r="T657" s="102"/>
      <c r="U657" s="102"/>
      <c r="V657" s="102"/>
      <c r="W657" s="102"/>
      <c r="X657" s="102"/>
      <c r="Y657" s="102"/>
      <c r="Z657" s="102"/>
      <c r="AA657" s="102"/>
      <c r="AB657" s="102"/>
      <c r="AC657" s="102"/>
      <c r="AD657" s="102"/>
      <c r="AE657" s="102"/>
      <c r="AF657" s="102"/>
      <c r="AG657" s="102"/>
      <c r="AH657" s="102"/>
      <c r="AI657" s="102"/>
      <c r="AJ657" s="102"/>
      <c r="AK657" s="102"/>
      <c r="AL657" s="102"/>
      <c r="AM657" s="102"/>
      <c r="AN657" s="102"/>
      <c r="AO657" s="102"/>
      <c r="AP657" s="102"/>
    </row>
    <row r="658" spans="1:42">
      <c r="A658" s="89">
        <v>657</v>
      </c>
      <c r="B658" s="90">
        <v>50030713</v>
      </c>
      <c r="C658" s="91" t="s">
        <v>544</v>
      </c>
      <c r="D658" s="58" t="s">
        <v>845</v>
      </c>
      <c r="E658" s="59">
        <v>26767</v>
      </c>
      <c r="F658" s="92">
        <f ca="1">(TODAY()-Data_Assessment[[#This Row],[BIRTH DATE]])/365.25</f>
        <v>48.936344969199176</v>
      </c>
      <c r="G658" s="62" t="s">
        <v>941</v>
      </c>
      <c r="H658" s="63" t="s">
        <v>1241</v>
      </c>
      <c r="I658" s="106">
        <v>2</v>
      </c>
      <c r="J658" s="64" t="s">
        <v>1242</v>
      </c>
      <c r="K658" s="143">
        <v>3</v>
      </c>
      <c r="L658" s="58"/>
      <c r="M658" s="58"/>
      <c r="N658" s="102"/>
      <c r="O658" s="102"/>
      <c r="P658" s="102"/>
      <c r="Q658" s="102"/>
      <c r="R658" s="102"/>
      <c r="S658" s="102"/>
      <c r="T658" s="102"/>
      <c r="U658" s="102"/>
      <c r="V658" s="102"/>
      <c r="W658" s="102"/>
      <c r="X658" s="102"/>
      <c r="Y658" s="102"/>
      <c r="Z658" s="102"/>
      <c r="AA658" s="102"/>
      <c r="AB658" s="102"/>
      <c r="AC658" s="102"/>
      <c r="AD658" s="102"/>
      <c r="AE658" s="102"/>
      <c r="AF658" s="102"/>
      <c r="AG658" s="102"/>
      <c r="AH658" s="102"/>
      <c r="AI658" s="102"/>
      <c r="AJ658" s="102"/>
      <c r="AK658" s="102"/>
      <c r="AL658" s="102"/>
      <c r="AM658" s="102"/>
      <c r="AN658" s="102"/>
      <c r="AO658" s="102"/>
      <c r="AP658" s="102"/>
    </row>
    <row r="659" spans="1:42">
      <c r="A659" s="89">
        <v>658</v>
      </c>
      <c r="B659" s="90">
        <v>50031437</v>
      </c>
      <c r="C659" s="91" t="s">
        <v>545</v>
      </c>
      <c r="D659" s="58" t="s">
        <v>845</v>
      </c>
      <c r="E659" s="59">
        <v>33007</v>
      </c>
      <c r="F659" s="92">
        <f ca="1">(TODAY()-Data_Assessment[[#This Row],[BIRTH DATE]])/365.25</f>
        <v>31.852156057494867</v>
      </c>
      <c r="G659" s="62" t="s">
        <v>941</v>
      </c>
      <c r="H659" s="63" t="s">
        <v>1241</v>
      </c>
      <c r="I659" s="106">
        <v>2</v>
      </c>
      <c r="J659" s="64" t="s">
        <v>1242</v>
      </c>
      <c r="K659" s="143">
        <v>4</v>
      </c>
      <c r="L659" s="58"/>
      <c r="M659" s="58"/>
      <c r="N659" s="102"/>
      <c r="O659" s="102"/>
      <c r="P659" s="102"/>
      <c r="Q659" s="102"/>
      <c r="R659" s="102"/>
      <c r="S659" s="102"/>
      <c r="T659" s="102"/>
      <c r="U659" s="102"/>
      <c r="V659" s="102"/>
      <c r="W659" s="102"/>
      <c r="X659" s="102"/>
      <c r="Y659" s="102"/>
      <c r="Z659" s="102"/>
      <c r="AA659" s="102"/>
      <c r="AB659" s="102"/>
      <c r="AC659" s="102"/>
      <c r="AD659" s="102"/>
      <c r="AE659" s="102"/>
      <c r="AF659" s="102"/>
      <c r="AG659" s="102"/>
      <c r="AH659" s="102"/>
      <c r="AI659" s="102"/>
      <c r="AJ659" s="102"/>
      <c r="AK659" s="102"/>
      <c r="AL659" s="102"/>
      <c r="AM659" s="102"/>
      <c r="AN659" s="102"/>
      <c r="AO659" s="102"/>
      <c r="AP659" s="102"/>
    </row>
    <row r="660" spans="1:42">
      <c r="A660" s="89">
        <v>659</v>
      </c>
      <c r="B660" s="90">
        <v>50031279</v>
      </c>
      <c r="C660" s="91" t="s">
        <v>547</v>
      </c>
      <c r="D660" s="58" t="s">
        <v>845</v>
      </c>
      <c r="E660" s="59">
        <v>28812</v>
      </c>
      <c r="F660" s="92">
        <f ca="1">(TODAY()-Data_Assessment[[#This Row],[BIRTH DATE]])/365.25</f>
        <v>43.337440109514034</v>
      </c>
      <c r="G660" s="62" t="s">
        <v>941</v>
      </c>
      <c r="H660" s="63" t="s">
        <v>1241</v>
      </c>
      <c r="I660" s="106">
        <v>2</v>
      </c>
      <c r="J660" s="64" t="s">
        <v>1242</v>
      </c>
      <c r="K660" s="143">
        <v>2</v>
      </c>
      <c r="L660" s="58"/>
      <c r="M660" s="58"/>
      <c r="N660" s="102"/>
      <c r="O660" s="102"/>
      <c r="P660" s="102"/>
      <c r="Q660" s="102"/>
      <c r="R660" s="102"/>
      <c r="S660" s="102"/>
      <c r="T660" s="102"/>
      <c r="U660" s="102"/>
      <c r="V660" s="102"/>
      <c r="W660" s="102"/>
      <c r="X660" s="102"/>
      <c r="Y660" s="102"/>
      <c r="Z660" s="102"/>
      <c r="AA660" s="102"/>
      <c r="AB660" s="102"/>
      <c r="AC660" s="102"/>
      <c r="AD660" s="102"/>
      <c r="AE660" s="102"/>
      <c r="AF660" s="102"/>
      <c r="AG660" s="102"/>
      <c r="AH660" s="102"/>
      <c r="AI660" s="102"/>
      <c r="AJ660" s="102"/>
      <c r="AK660" s="102"/>
      <c r="AL660" s="102"/>
      <c r="AM660" s="102"/>
      <c r="AN660" s="102"/>
      <c r="AO660" s="102"/>
      <c r="AP660" s="102"/>
    </row>
    <row r="661" spans="1:42">
      <c r="A661" s="89">
        <v>660</v>
      </c>
      <c r="B661" s="90">
        <v>50030696</v>
      </c>
      <c r="C661" s="91" t="s">
        <v>548</v>
      </c>
      <c r="D661" s="58" t="s">
        <v>845</v>
      </c>
      <c r="E661" s="59">
        <v>32575</v>
      </c>
      <c r="F661" s="92">
        <f ca="1">(TODAY()-Data_Assessment[[#This Row],[BIRTH DATE]])/365.25</f>
        <v>33.034907597535934</v>
      </c>
      <c r="G661" s="62" t="s">
        <v>941</v>
      </c>
      <c r="H661" s="63" t="s">
        <v>1241</v>
      </c>
      <c r="I661" s="106">
        <v>2</v>
      </c>
      <c r="J661" s="64" t="s">
        <v>1242</v>
      </c>
      <c r="K661" s="143">
        <v>2</v>
      </c>
      <c r="L661" s="58"/>
      <c r="M661" s="58"/>
      <c r="N661" s="102"/>
      <c r="O661" s="102"/>
      <c r="P661" s="102"/>
      <c r="Q661" s="102"/>
      <c r="R661" s="102"/>
      <c r="S661" s="102"/>
      <c r="T661" s="102"/>
      <c r="U661" s="102"/>
      <c r="V661" s="102"/>
      <c r="W661" s="102"/>
      <c r="X661" s="102"/>
      <c r="Y661" s="102"/>
      <c r="Z661" s="102"/>
      <c r="AA661" s="102"/>
      <c r="AB661" s="102"/>
      <c r="AC661" s="102"/>
      <c r="AD661" s="102"/>
      <c r="AE661" s="102"/>
      <c r="AF661" s="102"/>
      <c r="AG661" s="102"/>
      <c r="AH661" s="102"/>
      <c r="AI661" s="102"/>
      <c r="AJ661" s="102"/>
      <c r="AK661" s="102"/>
      <c r="AL661" s="102"/>
      <c r="AM661" s="102"/>
      <c r="AN661" s="102"/>
      <c r="AO661" s="102"/>
      <c r="AP661" s="102"/>
    </row>
    <row r="662" spans="1:42">
      <c r="A662" s="89">
        <v>661</v>
      </c>
      <c r="B662" s="90">
        <v>50108305</v>
      </c>
      <c r="C662" s="91" t="s">
        <v>550</v>
      </c>
      <c r="D662" s="58" t="s">
        <v>845</v>
      </c>
      <c r="E662" s="59">
        <v>25404</v>
      </c>
      <c r="F662" s="92">
        <f ca="1">(TODAY()-Data_Assessment[[#This Row],[BIRTH DATE]])/365.25</f>
        <v>52.668035592060235</v>
      </c>
      <c r="G662" s="62" t="s">
        <v>941</v>
      </c>
      <c r="H662" s="63" t="s">
        <v>945</v>
      </c>
      <c r="I662" s="106">
        <v>2</v>
      </c>
      <c r="J662" s="64" t="s">
        <v>1478</v>
      </c>
      <c r="K662" s="143">
        <v>2</v>
      </c>
      <c r="L662" s="58"/>
      <c r="M662" s="58"/>
      <c r="N662" s="102"/>
      <c r="O662" s="102"/>
      <c r="P662" s="102"/>
      <c r="Q662" s="102"/>
      <c r="R662" s="102"/>
      <c r="S662" s="102"/>
      <c r="T662" s="102"/>
      <c r="U662" s="102"/>
      <c r="V662" s="102"/>
      <c r="W662" s="102"/>
      <c r="X662" s="102"/>
      <c r="Y662" s="102"/>
      <c r="Z662" s="102"/>
      <c r="AA662" s="102"/>
      <c r="AB662" s="102"/>
      <c r="AC662" s="102"/>
      <c r="AD662" s="102"/>
      <c r="AE662" s="102"/>
      <c r="AF662" s="102"/>
      <c r="AG662" s="102"/>
      <c r="AH662" s="102"/>
      <c r="AI662" s="102"/>
      <c r="AJ662" s="102"/>
      <c r="AK662" s="102"/>
      <c r="AL662" s="102"/>
      <c r="AM662" s="102"/>
      <c r="AN662" s="102"/>
      <c r="AO662" s="102"/>
      <c r="AP662" s="102"/>
    </row>
    <row r="663" spans="1:42">
      <c r="A663" s="89">
        <v>662</v>
      </c>
      <c r="B663" s="90">
        <v>50030759</v>
      </c>
      <c r="C663" s="91" t="s">
        <v>551</v>
      </c>
      <c r="D663" s="58" t="s">
        <v>845</v>
      </c>
      <c r="E663" s="59">
        <v>32780</v>
      </c>
      <c r="F663" s="92">
        <f ca="1">(TODAY()-Data_Assessment[[#This Row],[BIRTH DATE]])/365.25</f>
        <v>32.473648186173854</v>
      </c>
      <c r="G663" s="62" t="s">
        <v>941</v>
      </c>
      <c r="H663" s="63" t="s">
        <v>945</v>
      </c>
      <c r="I663" s="106">
        <v>2</v>
      </c>
      <c r="J663" s="64" t="s">
        <v>946</v>
      </c>
      <c r="K663" s="143">
        <v>2</v>
      </c>
      <c r="L663" s="58"/>
      <c r="M663" s="58"/>
      <c r="N663" s="102"/>
      <c r="O663" s="102"/>
      <c r="P663" s="102"/>
      <c r="Q663" s="102"/>
      <c r="R663" s="102"/>
      <c r="S663" s="102"/>
      <c r="T663" s="102"/>
      <c r="U663" s="102"/>
      <c r="V663" s="102"/>
      <c r="W663" s="102"/>
      <c r="X663" s="102"/>
      <c r="Y663" s="102"/>
      <c r="Z663" s="102"/>
      <c r="AA663" s="102"/>
      <c r="AB663" s="102"/>
      <c r="AC663" s="102"/>
      <c r="AD663" s="102"/>
      <c r="AE663" s="102"/>
      <c r="AF663" s="102"/>
      <c r="AG663" s="102"/>
      <c r="AH663" s="102"/>
      <c r="AI663" s="102"/>
      <c r="AJ663" s="102"/>
      <c r="AK663" s="102"/>
      <c r="AL663" s="102"/>
      <c r="AM663" s="102"/>
      <c r="AN663" s="102"/>
      <c r="AO663" s="102"/>
      <c r="AP663" s="102"/>
    </row>
    <row r="664" spans="1:42">
      <c r="A664" s="89">
        <v>663</v>
      </c>
      <c r="B664" s="90">
        <v>50109704</v>
      </c>
      <c r="C664" s="91" t="s">
        <v>553</v>
      </c>
      <c r="D664" s="58" t="s">
        <v>845</v>
      </c>
      <c r="E664" s="59">
        <v>33541</v>
      </c>
      <c r="F664" s="92">
        <f ca="1">(TODAY()-Data_Assessment[[#This Row],[BIRTH DATE]])/365.25</f>
        <v>30.390143737166323</v>
      </c>
      <c r="G664" s="62" t="s">
        <v>941</v>
      </c>
      <c r="H664" s="63" t="s">
        <v>945</v>
      </c>
      <c r="I664" s="106">
        <v>2</v>
      </c>
      <c r="J664" s="64" t="s">
        <v>946</v>
      </c>
      <c r="K664" s="143">
        <v>3</v>
      </c>
      <c r="L664" s="58"/>
      <c r="M664" s="58"/>
      <c r="N664" s="102"/>
      <c r="O664" s="102"/>
      <c r="P664" s="102"/>
      <c r="Q664" s="102"/>
      <c r="R664" s="102"/>
      <c r="S664" s="102"/>
      <c r="T664" s="102"/>
      <c r="U664" s="102"/>
      <c r="V664" s="102"/>
      <c r="W664" s="102"/>
      <c r="X664" s="102"/>
      <c r="Y664" s="102"/>
      <c r="Z664" s="102"/>
      <c r="AA664" s="102"/>
      <c r="AB664" s="102"/>
      <c r="AC664" s="102"/>
      <c r="AD664" s="102"/>
      <c r="AE664" s="102"/>
      <c r="AF664" s="102"/>
      <c r="AG664" s="102"/>
      <c r="AH664" s="102"/>
      <c r="AI664" s="102"/>
      <c r="AJ664" s="102"/>
      <c r="AK664" s="102"/>
      <c r="AL664" s="102"/>
      <c r="AM664" s="102"/>
      <c r="AN664" s="102"/>
      <c r="AO664" s="102"/>
      <c r="AP664" s="102"/>
    </row>
    <row r="665" spans="1:42">
      <c r="A665" s="89">
        <v>664</v>
      </c>
      <c r="B665" s="90">
        <v>50037990</v>
      </c>
      <c r="C665" s="91" t="s">
        <v>556</v>
      </c>
      <c r="D665" s="58" t="s">
        <v>845</v>
      </c>
      <c r="E665" s="59">
        <v>32068</v>
      </c>
      <c r="F665" s="92">
        <f ca="1">(TODAY()-Data_Assessment[[#This Row],[BIRTH DATE]])/365.25</f>
        <v>34.422997946611908</v>
      </c>
      <c r="G665" s="62" t="s">
        <v>941</v>
      </c>
      <c r="H665" s="63" t="s">
        <v>1314</v>
      </c>
      <c r="I665" s="106">
        <v>2</v>
      </c>
      <c r="J665" s="64" t="s">
        <v>1479</v>
      </c>
      <c r="K665" s="143">
        <v>2</v>
      </c>
      <c r="L665" s="58"/>
      <c r="M665" s="58"/>
      <c r="N665" s="102"/>
      <c r="O665" s="102"/>
      <c r="P665" s="102"/>
      <c r="Q665" s="102"/>
      <c r="R665" s="102"/>
      <c r="S665" s="102"/>
      <c r="T665" s="102"/>
      <c r="U665" s="102"/>
      <c r="V665" s="102"/>
      <c r="W665" s="102"/>
      <c r="X665" s="102"/>
      <c r="Y665" s="102"/>
      <c r="Z665" s="102"/>
      <c r="AA665" s="102"/>
      <c r="AB665" s="102"/>
      <c r="AC665" s="102"/>
      <c r="AD665" s="102"/>
      <c r="AE665" s="102"/>
      <c r="AF665" s="102"/>
      <c r="AG665" s="102"/>
      <c r="AH665" s="102"/>
      <c r="AI665" s="102"/>
      <c r="AJ665" s="102"/>
      <c r="AK665" s="102"/>
      <c r="AL665" s="102"/>
      <c r="AM665" s="102"/>
      <c r="AN665" s="102"/>
      <c r="AO665" s="102"/>
      <c r="AP665" s="102"/>
    </row>
    <row r="666" spans="1:42">
      <c r="A666" s="89">
        <v>665</v>
      </c>
      <c r="B666" s="90">
        <v>50030732</v>
      </c>
      <c r="C666" s="91" t="s">
        <v>557</v>
      </c>
      <c r="D666" s="58" t="s">
        <v>845</v>
      </c>
      <c r="E666" s="59">
        <v>25415</v>
      </c>
      <c r="F666" s="92">
        <f ca="1">(TODAY()-Data_Assessment[[#This Row],[BIRTH DATE]])/365.25</f>
        <v>52.637919233401782</v>
      </c>
      <c r="G666" s="62" t="s">
        <v>941</v>
      </c>
      <c r="H666" s="63" t="s">
        <v>1314</v>
      </c>
      <c r="I666" s="106">
        <v>2</v>
      </c>
      <c r="J666" s="64" t="s">
        <v>1479</v>
      </c>
      <c r="K666" s="143">
        <v>2</v>
      </c>
      <c r="L666" s="58"/>
      <c r="M666" s="58"/>
      <c r="N666" s="102"/>
      <c r="O666" s="102"/>
      <c r="P666" s="102"/>
      <c r="Q666" s="102"/>
      <c r="R666" s="102"/>
      <c r="S666" s="102"/>
      <c r="T666" s="102"/>
      <c r="U666" s="102"/>
      <c r="V666" s="102"/>
      <c r="W666" s="102"/>
      <c r="X666" s="102"/>
      <c r="Y666" s="102"/>
      <c r="Z666" s="102"/>
      <c r="AA666" s="102"/>
      <c r="AB666" s="102"/>
      <c r="AC666" s="102"/>
      <c r="AD666" s="102"/>
      <c r="AE666" s="102"/>
      <c r="AF666" s="102"/>
      <c r="AG666" s="102"/>
      <c r="AH666" s="102"/>
      <c r="AI666" s="102"/>
      <c r="AJ666" s="102"/>
      <c r="AK666" s="102"/>
      <c r="AL666" s="102"/>
      <c r="AM666" s="102"/>
      <c r="AN666" s="102"/>
      <c r="AO666" s="102"/>
      <c r="AP666" s="102"/>
    </row>
    <row r="667" spans="1:42">
      <c r="A667" s="89">
        <v>666</v>
      </c>
      <c r="B667" s="90">
        <v>50031336</v>
      </c>
      <c r="C667" s="91" t="s">
        <v>558</v>
      </c>
      <c r="D667" s="58" t="s">
        <v>845</v>
      </c>
      <c r="E667" s="59">
        <v>28587</v>
      </c>
      <c r="F667" s="92">
        <f ca="1">(TODAY()-Data_Assessment[[#This Row],[BIRTH DATE]])/365.25</f>
        <v>43.953456536618752</v>
      </c>
      <c r="G667" s="62" t="s">
        <v>941</v>
      </c>
      <c r="H667" s="63" t="s">
        <v>1314</v>
      </c>
      <c r="I667" s="106">
        <v>2</v>
      </c>
      <c r="J667" s="64" t="s">
        <v>1479</v>
      </c>
      <c r="K667" s="143">
        <v>3</v>
      </c>
      <c r="L667" s="58"/>
      <c r="M667" s="58"/>
      <c r="N667" s="102"/>
      <c r="O667" s="102"/>
      <c r="P667" s="102"/>
      <c r="Q667" s="102"/>
      <c r="R667" s="102"/>
      <c r="S667" s="102"/>
      <c r="T667" s="102"/>
      <c r="U667" s="102"/>
      <c r="V667" s="102"/>
      <c r="W667" s="102"/>
      <c r="X667" s="102"/>
      <c r="Y667" s="102"/>
      <c r="Z667" s="102"/>
      <c r="AA667" s="102"/>
      <c r="AB667" s="102"/>
      <c r="AC667" s="102"/>
      <c r="AD667" s="102"/>
      <c r="AE667" s="102"/>
      <c r="AF667" s="102"/>
      <c r="AG667" s="102"/>
      <c r="AH667" s="102"/>
      <c r="AI667" s="102"/>
      <c r="AJ667" s="102"/>
      <c r="AK667" s="102"/>
      <c r="AL667" s="102"/>
      <c r="AM667" s="102"/>
      <c r="AN667" s="102"/>
      <c r="AO667" s="102"/>
      <c r="AP667" s="102"/>
    </row>
    <row r="668" spans="1:42">
      <c r="A668" s="89">
        <v>667</v>
      </c>
      <c r="B668" s="90">
        <v>50037999</v>
      </c>
      <c r="C668" s="91" t="s">
        <v>869</v>
      </c>
      <c r="D668" s="58" t="s">
        <v>845</v>
      </c>
      <c r="E668" s="59">
        <v>32332</v>
      </c>
      <c r="F668" s="92">
        <f ca="1">(TODAY()-Data_Assessment[[#This Row],[BIRTH DATE]])/365.25</f>
        <v>33.700205338809035</v>
      </c>
      <c r="G668" s="62" t="s">
        <v>941</v>
      </c>
      <c r="H668" s="63" t="s">
        <v>1314</v>
      </c>
      <c r="I668" s="106">
        <v>2</v>
      </c>
      <c r="J668" s="64" t="s">
        <v>1480</v>
      </c>
      <c r="K668" s="143">
        <v>3</v>
      </c>
      <c r="L668" s="58"/>
      <c r="M668" s="58"/>
      <c r="N668" s="102"/>
      <c r="O668" s="102"/>
      <c r="P668" s="102"/>
      <c r="Q668" s="102"/>
      <c r="R668" s="102"/>
      <c r="S668" s="102"/>
      <c r="T668" s="102"/>
      <c r="U668" s="102"/>
      <c r="V668" s="102"/>
      <c r="W668" s="102"/>
      <c r="X668" s="102"/>
      <c r="Y668" s="102"/>
      <c r="Z668" s="102"/>
      <c r="AA668" s="102"/>
      <c r="AB668" s="102"/>
      <c r="AC668" s="102"/>
      <c r="AD668" s="102"/>
      <c r="AE668" s="102"/>
      <c r="AF668" s="102"/>
      <c r="AG668" s="102"/>
      <c r="AH668" s="102"/>
      <c r="AI668" s="102"/>
      <c r="AJ668" s="102"/>
      <c r="AK668" s="102"/>
      <c r="AL668" s="102"/>
      <c r="AM668" s="102"/>
      <c r="AN668" s="102"/>
      <c r="AO668" s="102"/>
      <c r="AP668" s="102"/>
    </row>
    <row r="669" spans="1:42">
      <c r="A669" s="89">
        <v>668</v>
      </c>
      <c r="B669" s="90">
        <v>50031451</v>
      </c>
      <c r="C669" s="91" t="s">
        <v>559</v>
      </c>
      <c r="D669" s="58" t="s">
        <v>845</v>
      </c>
      <c r="E669" s="59">
        <v>23581</v>
      </c>
      <c r="F669" s="92">
        <f ca="1">(TODAY()-Data_Assessment[[#This Row],[BIRTH DATE]])/365.25</f>
        <v>57.659137577002056</v>
      </c>
      <c r="G669" s="62" t="s">
        <v>919</v>
      </c>
      <c r="H669" s="63" t="s">
        <v>972</v>
      </c>
      <c r="I669" s="106">
        <v>1</v>
      </c>
      <c r="J669" s="64" t="s">
        <v>1481</v>
      </c>
      <c r="K669" s="143">
        <v>3</v>
      </c>
      <c r="L669" s="58"/>
      <c r="M669" s="58"/>
      <c r="N669" s="102"/>
      <c r="O669" s="102"/>
      <c r="P669" s="102"/>
      <c r="Q669" s="102"/>
      <c r="R669" s="102"/>
      <c r="S669" s="102"/>
      <c r="T669" s="102"/>
      <c r="U669" s="102"/>
      <c r="V669" s="102"/>
      <c r="W669" s="102"/>
      <c r="X669" s="102"/>
      <c r="Y669" s="102"/>
      <c r="Z669" s="102"/>
      <c r="AA669" s="102"/>
      <c r="AB669" s="102"/>
      <c r="AC669" s="102"/>
      <c r="AD669" s="102"/>
      <c r="AE669" s="102"/>
      <c r="AF669" s="102"/>
      <c r="AG669" s="102"/>
      <c r="AH669" s="102"/>
      <c r="AI669" s="102"/>
      <c r="AJ669" s="102"/>
      <c r="AK669" s="102"/>
      <c r="AL669" s="102"/>
      <c r="AM669" s="102"/>
      <c r="AN669" s="102"/>
      <c r="AO669" s="102"/>
      <c r="AP669" s="102"/>
    </row>
    <row r="670" spans="1:42">
      <c r="A670" s="89">
        <v>669</v>
      </c>
      <c r="B670" s="90">
        <v>50031469</v>
      </c>
      <c r="C670" s="91" t="s">
        <v>858</v>
      </c>
      <c r="D670" s="58" t="s">
        <v>845</v>
      </c>
      <c r="E670" s="59">
        <v>25036</v>
      </c>
      <c r="F670" s="92">
        <f ca="1">(TODAY()-Data_Assessment[[#This Row],[BIRTH DATE]])/365.25</f>
        <v>53.675564681724843</v>
      </c>
      <c r="G670" s="62" t="s">
        <v>919</v>
      </c>
      <c r="H670" s="63" t="s">
        <v>1086</v>
      </c>
      <c r="I670" s="106">
        <v>1</v>
      </c>
      <c r="J670" s="64" t="s">
        <v>1482</v>
      </c>
      <c r="K670" s="143">
        <v>3</v>
      </c>
      <c r="L670" s="58"/>
      <c r="M670" s="58"/>
      <c r="N670" s="102"/>
      <c r="O670" s="102"/>
      <c r="P670" s="102"/>
      <c r="Q670" s="102"/>
      <c r="R670" s="102"/>
      <c r="S670" s="102"/>
      <c r="T670" s="102"/>
      <c r="U670" s="102"/>
      <c r="V670" s="102"/>
      <c r="W670" s="102"/>
      <c r="X670" s="102"/>
      <c r="Y670" s="102"/>
      <c r="Z670" s="102"/>
      <c r="AA670" s="102"/>
      <c r="AB670" s="102"/>
      <c r="AC670" s="102"/>
      <c r="AD670" s="102"/>
      <c r="AE670" s="102"/>
      <c r="AF670" s="102"/>
      <c r="AG670" s="102"/>
      <c r="AH670" s="102"/>
      <c r="AI670" s="102"/>
      <c r="AJ670" s="102"/>
      <c r="AK670" s="102"/>
      <c r="AL670" s="102"/>
      <c r="AM670" s="102"/>
      <c r="AN670" s="102"/>
      <c r="AO670" s="102"/>
      <c r="AP670" s="102"/>
    </row>
    <row r="671" spans="1:42">
      <c r="A671" s="89">
        <v>670</v>
      </c>
      <c r="B671" s="90">
        <v>50030727</v>
      </c>
      <c r="C671" s="91" t="s">
        <v>561</v>
      </c>
      <c r="D671" s="58" t="s">
        <v>845</v>
      </c>
      <c r="E671" s="59">
        <v>24683</v>
      </c>
      <c r="F671" s="92">
        <f ca="1">(TODAY()-Data_Assessment[[#This Row],[BIRTH DATE]])/365.25</f>
        <v>54.64202600958248</v>
      </c>
      <c r="G671" s="62" t="s">
        <v>919</v>
      </c>
      <c r="H671" s="63" t="s">
        <v>1086</v>
      </c>
      <c r="I671" s="106">
        <v>1</v>
      </c>
      <c r="J671" s="64" t="s">
        <v>1483</v>
      </c>
      <c r="K671" s="143">
        <v>1</v>
      </c>
      <c r="L671" s="58"/>
      <c r="M671" s="58"/>
      <c r="N671" s="102"/>
      <c r="O671" s="102"/>
      <c r="P671" s="102"/>
      <c r="Q671" s="102"/>
      <c r="R671" s="102"/>
      <c r="S671" s="102"/>
      <c r="T671" s="102"/>
      <c r="U671" s="102"/>
      <c r="V671" s="102"/>
      <c r="W671" s="102"/>
      <c r="X671" s="102"/>
      <c r="Y671" s="102"/>
      <c r="Z671" s="102"/>
      <c r="AA671" s="102"/>
      <c r="AB671" s="102"/>
      <c r="AC671" s="102"/>
      <c r="AD671" s="102"/>
      <c r="AE671" s="102"/>
      <c r="AF671" s="102"/>
      <c r="AG671" s="102"/>
      <c r="AH671" s="102"/>
      <c r="AI671" s="102"/>
      <c r="AJ671" s="102"/>
      <c r="AK671" s="102"/>
      <c r="AL671" s="102"/>
      <c r="AM671" s="102"/>
      <c r="AN671" s="102"/>
      <c r="AO671" s="102"/>
      <c r="AP671" s="102"/>
    </row>
    <row r="672" spans="1:42">
      <c r="A672" s="89">
        <v>671</v>
      </c>
      <c r="B672" s="90">
        <v>50037820</v>
      </c>
      <c r="C672" s="91" t="s">
        <v>565</v>
      </c>
      <c r="D672" s="58" t="s">
        <v>845</v>
      </c>
      <c r="E672" s="59">
        <v>32257</v>
      </c>
      <c r="F672" s="92">
        <f ca="1">(TODAY()-Data_Assessment[[#This Row],[BIRTH DATE]])/365.25</f>
        <v>33.905544147843941</v>
      </c>
      <c r="G672" s="62" t="s">
        <v>919</v>
      </c>
      <c r="H672" s="63" t="s">
        <v>1318</v>
      </c>
      <c r="I672" s="106">
        <v>1</v>
      </c>
      <c r="J672" s="64" t="s">
        <v>1484</v>
      </c>
      <c r="K672" s="143">
        <v>3</v>
      </c>
      <c r="L672" s="58"/>
      <c r="M672" s="58"/>
      <c r="N672" s="102"/>
      <c r="O672" s="102"/>
      <c r="P672" s="102"/>
      <c r="Q672" s="102"/>
      <c r="R672" s="102"/>
      <c r="S672" s="102"/>
      <c r="T672" s="102"/>
      <c r="U672" s="102"/>
      <c r="V672" s="102"/>
      <c r="W672" s="102"/>
      <c r="X672" s="102"/>
      <c r="Y672" s="102"/>
      <c r="Z672" s="102"/>
      <c r="AA672" s="102"/>
      <c r="AB672" s="102"/>
      <c r="AC672" s="102"/>
      <c r="AD672" s="102"/>
      <c r="AE672" s="102"/>
      <c r="AF672" s="102"/>
      <c r="AG672" s="102"/>
      <c r="AH672" s="102"/>
      <c r="AI672" s="102"/>
      <c r="AJ672" s="102"/>
      <c r="AK672" s="102"/>
      <c r="AL672" s="102"/>
      <c r="AM672" s="102"/>
      <c r="AN672" s="102"/>
      <c r="AO672" s="102"/>
      <c r="AP672" s="102"/>
    </row>
    <row r="673" spans="1:42">
      <c r="A673" s="89">
        <v>672</v>
      </c>
      <c r="B673" s="90">
        <v>50030749</v>
      </c>
      <c r="C673" s="91" t="s">
        <v>872</v>
      </c>
      <c r="D673" s="58" t="s">
        <v>845</v>
      </c>
      <c r="E673" s="59">
        <v>24604</v>
      </c>
      <c r="F673" s="92">
        <f ca="1">(TODAY()-Data_Assessment[[#This Row],[BIRTH DATE]])/365.25</f>
        <v>54.858316221765911</v>
      </c>
      <c r="G673" s="62" t="s">
        <v>919</v>
      </c>
      <c r="H673" s="63" t="s">
        <v>1318</v>
      </c>
      <c r="I673" s="106">
        <v>1</v>
      </c>
      <c r="J673" s="64" t="s">
        <v>1485</v>
      </c>
      <c r="K673" s="143">
        <v>3</v>
      </c>
      <c r="L673" s="58"/>
      <c r="M673" s="58"/>
      <c r="N673" s="102"/>
      <c r="O673" s="102"/>
      <c r="P673" s="102"/>
      <c r="Q673" s="102"/>
      <c r="R673" s="102"/>
      <c r="S673" s="102"/>
      <c r="T673" s="102"/>
      <c r="U673" s="102"/>
      <c r="V673" s="102"/>
      <c r="W673" s="102"/>
      <c r="X673" s="102"/>
      <c r="Y673" s="102"/>
      <c r="Z673" s="102"/>
      <c r="AA673" s="102"/>
      <c r="AB673" s="102"/>
      <c r="AC673" s="102"/>
      <c r="AD673" s="102"/>
      <c r="AE673" s="102"/>
      <c r="AF673" s="102"/>
      <c r="AG673" s="102"/>
      <c r="AH673" s="102"/>
      <c r="AI673" s="102"/>
      <c r="AJ673" s="102"/>
      <c r="AK673" s="102"/>
      <c r="AL673" s="102"/>
      <c r="AM673" s="102"/>
      <c r="AN673" s="102"/>
      <c r="AO673" s="102"/>
      <c r="AP673" s="102"/>
    </row>
    <row r="674" spans="1:42">
      <c r="A674" s="89">
        <v>673</v>
      </c>
      <c r="B674" s="90">
        <v>50137495</v>
      </c>
      <c r="C674" s="91" t="s">
        <v>566</v>
      </c>
      <c r="D674" s="58" t="s">
        <v>845</v>
      </c>
      <c r="E674" s="59">
        <v>35634</v>
      </c>
      <c r="F674" s="92">
        <f ca="1">(TODAY()-Data_Assessment[[#This Row],[BIRTH DATE]])/365.25</f>
        <v>24.659822039698838</v>
      </c>
      <c r="G674" s="62" t="s">
        <v>919</v>
      </c>
      <c r="H674" s="63" t="s">
        <v>1318</v>
      </c>
      <c r="I674" s="106">
        <v>1</v>
      </c>
      <c r="J674" s="64" t="s">
        <v>1484</v>
      </c>
      <c r="K674" s="143">
        <v>2</v>
      </c>
      <c r="L674" s="58"/>
      <c r="M674" s="58"/>
      <c r="N674" s="102"/>
      <c r="O674" s="102"/>
      <c r="P674" s="102"/>
      <c r="Q674" s="102"/>
      <c r="R674" s="102"/>
      <c r="S674" s="102"/>
      <c r="T674" s="102"/>
      <c r="U674" s="102"/>
      <c r="V674" s="102"/>
      <c r="W674" s="102"/>
      <c r="X674" s="102"/>
      <c r="Y674" s="102"/>
      <c r="Z674" s="102"/>
      <c r="AA674" s="102"/>
      <c r="AB674" s="102"/>
      <c r="AC674" s="102"/>
      <c r="AD674" s="102"/>
      <c r="AE674" s="102"/>
      <c r="AF674" s="102"/>
      <c r="AG674" s="102"/>
      <c r="AH674" s="102"/>
      <c r="AI674" s="102"/>
      <c r="AJ674" s="102"/>
      <c r="AK674" s="102"/>
      <c r="AL674" s="102"/>
      <c r="AM674" s="102"/>
      <c r="AN674" s="102"/>
      <c r="AO674" s="102"/>
      <c r="AP674" s="102"/>
    </row>
    <row r="675" spans="1:42">
      <c r="A675" s="89">
        <v>674</v>
      </c>
      <c r="B675" s="90">
        <v>50114419</v>
      </c>
      <c r="C675" s="91" t="s">
        <v>567</v>
      </c>
      <c r="D675" s="58" t="s">
        <v>845</v>
      </c>
      <c r="E675" s="59">
        <v>34632</v>
      </c>
      <c r="F675" s="92">
        <f ca="1">(TODAY()-Data_Assessment[[#This Row],[BIRTH DATE]])/365.25</f>
        <v>27.4031485284052</v>
      </c>
      <c r="G675" s="62" t="s">
        <v>919</v>
      </c>
      <c r="H675" s="63" t="s">
        <v>1318</v>
      </c>
      <c r="I675" s="106">
        <v>1</v>
      </c>
      <c r="J675" s="64" t="s">
        <v>1484</v>
      </c>
      <c r="K675" s="143">
        <v>3</v>
      </c>
      <c r="L675" s="58"/>
      <c r="M675" s="58"/>
      <c r="N675" s="102"/>
      <c r="O675" s="102"/>
      <c r="P675" s="102"/>
      <c r="Q675" s="102"/>
      <c r="R675" s="102"/>
      <c r="S675" s="102"/>
      <c r="T675" s="102"/>
      <c r="U675" s="102"/>
      <c r="V675" s="102"/>
      <c r="W675" s="102"/>
      <c r="X675" s="102"/>
      <c r="Y675" s="102"/>
      <c r="Z675" s="102"/>
      <c r="AA675" s="102"/>
      <c r="AB675" s="102"/>
      <c r="AC675" s="102"/>
      <c r="AD675" s="102"/>
      <c r="AE675" s="102"/>
      <c r="AF675" s="102"/>
      <c r="AG675" s="102"/>
      <c r="AH675" s="102"/>
      <c r="AI675" s="102"/>
      <c r="AJ675" s="102"/>
      <c r="AK675" s="102"/>
      <c r="AL675" s="102"/>
      <c r="AM675" s="102"/>
      <c r="AN675" s="102"/>
      <c r="AO675" s="102"/>
      <c r="AP675" s="102"/>
    </row>
    <row r="676" spans="1:42">
      <c r="A676" s="89">
        <v>675</v>
      </c>
      <c r="B676" s="90">
        <v>50138332</v>
      </c>
      <c r="C676" s="91" t="s">
        <v>568</v>
      </c>
      <c r="D676" s="58" t="s">
        <v>845</v>
      </c>
      <c r="E676" s="59">
        <v>35696</v>
      </c>
      <c r="F676" s="92">
        <f ca="1">(TODAY()-Data_Assessment[[#This Row],[BIRTH DATE]])/365.25</f>
        <v>24.490075290896645</v>
      </c>
      <c r="G676" s="62" t="s">
        <v>919</v>
      </c>
      <c r="H676" s="63" t="s">
        <v>1318</v>
      </c>
      <c r="I676" s="106">
        <v>1</v>
      </c>
      <c r="J676" s="64" t="s">
        <v>1486</v>
      </c>
      <c r="K676" s="143">
        <v>2</v>
      </c>
      <c r="L676" s="58"/>
      <c r="M676" s="58"/>
      <c r="N676" s="102"/>
      <c r="O676" s="102"/>
      <c r="P676" s="102"/>
      <c r="Q676" s="102"/>
      <c r="R676" s="102"/>
      <c r="S676" s="102"/>
      <c r="T676" s="102"/>
      <c r="U676" s="102"/>
      <c r="V676" s="102"/>
      <c r="W676" s="102"/>
      <c r="X676" s="102"/>
      <c r="Y676" s="102"/>
      <c r="Z676" s="102"/>
      <c r="AA676" s="102"/>
      <c r="AB676" s="102"/>
      <c r="AC676" s="102"/>
      <c r="AD676" s="102"/>
      <c r="AE676" s="102"/>
      <c r="AF676" s="102"/>
      <c r="AG676" s="102"/>
      <c r="AH676" s="102"/>
      <c r="AI676" s="102"/>
      <c r="AJ676" s="102"/>
      <c r="AK676" s="102"/>
      <c r="AL676" s="102"/>
      <c r="AM676" s="102"/>
      <c r="AN676" s="102"/>
      <c r="AO676" s="102"/>
      <c r="AP676" s="102"/>
    </row>
    <row r="677" spans="1:42">
      <c r="A677" s="89">
        <v>676</v>
      </c>
      <c r="B677" s="90">
        <v>50096075</v>
      </c>
      <c r="C677" s="91" t="s">
        <v>569</v>
      </c>
      <c r="D677" s="58" t="s">
        <v>845</v>
      </c>
      <c r="E677" s="59">
        <v>33865</v>
      </c>
      <c r="F677" s="92">
        <f ca="1">(TODAY()-Data_Assessment[[#This Row],[BIRTH DATE]])/365.25</f>
        <v>29.503080082135522</v>
      </c>
      <c r="G677" s="62" t="s">
        <v>919</v>
      </c>
      <c r="H677" s="63" t="s">
        <v>1318</v>
      </c>
      <c r="I677" s="106">
        <v>1</v>
      </c>
      <c r="J677" s="64" t="s">
        <v>1484</v>
      </c>
      <c r="K677" s="143">
        <v>3</v>
      </c>
      <c r="L677" s="58"/>
      <c r="M677" s="58"/>
      <c r="N677" s="102"/>
      <c r="O677" s="102"/>
      <c r="P677" s="102"/>
      <c r="Q677" s="102"/>
      <c r="R677" s="102"/>
      <c r="S677" s="102"/>
      <c r="T677" s="102"/>
      <c r="U677" s="102"/>
      <c r="V677" s="102"/>
      <c r="W677" s="102"/>
      <c r="X677" s="102"/>
      <c r="Y677" s="102"/>
      <c r="Z677" s="102"/>
      <c r="AA677" s="102"/>
      <c r="AB677" s="102"/>
      <c r="AC677" s="102"/>
      <c r="AD677" s="102"/>
      <c r="AE677" s="102"/>
      <c r="AF677" s="102"/>
      <c r="AG677" s="102"/>
      <c r="AH677" s="102"/>
      <c r="AI677" s="102"/>
      <c r="AJ677" s="102"/>
      <c r="AK677" s="102"/>
      <c r="AL677" s="102"/>
      <c r="AM677" s="102"/>
      <c r="AN677" s="102"/>
      <c r="AO677" s="102"/>
      <c r="AP677" s="102"/>
    </row>
    <row r="678" spans="1:42">
      <c r="A678" s="89">
        <v>677</v>
      </c>
      <c r="B678" s="90">
        <v>50037815</v>
      </c>
      <c r="C678" s="91" t="s">
        <v>573</v>
      </c>
      <c r="D678" s="58" t="s">
        <v>845</v>
      </c>
      <c r="E678" s="59">
        <v>33209</v>
      </c>
      <c r="F678" s="92">
        <f ca="1">(TODAY()-Data_Assessment[[#This Row],[BIRTH DATE]])/365.25</f>
        <v>31.299110198494184</v>
      </c>
      <c r="G678" s="62" t="s">
        <v>919</v>
      </c>
      <c r="H678" s="63" t="s">
        <v>1086</v>
      </c>
      <c r="I678" s="106">
        <v>1</v>
      </c>
      <c r="J678" s="64" t="s">
        <v>1487</v>
      </c>
      <c r="K678" s="143">
        <v>3</v>
      </c>
      <c r="L678" s="58"/>
      <c r="M678" s="58"/>
      <c r="N678" s="102"/>
      <c r="O678" s="102"/>
      <c r="P678" s="102"/>
      <c r="Q678" s="102"/>
      <c r="R678" s="102"/>
      <c r="S678" s="102"/>
      <c r="T678" s="102"/>
      <c r="U678" s="102"/>
      <c r="V678" s="102"/>
      <c r="W678" s="102"/>
      <c r="X678" s="102"/>
      <c r="Y678" s="102"/>
      <c r="Z678" s="102"/>
      <c r="AA678" s="102"/>
      <c r="AB678" s="102"/>
      <c r="AC678" s="102"/>
      <c r="AD678" s="102"/>
      <c r="AE678" s="102"/>
      <c r="AF678" s="102"/>
      <c r="AG678" s="102"/>
      <c r="AH678" s="102"/>
      <c r="AI678" s="102"/>
      <c r="AJ678" s="102"/>
      <c r="AK678" s="102"/>
      <c r="AL678" s="102"/>
      <c r="AM678" s="102"/>
      <c r="AN678" s="102"/>
      <c r="AO678" s="102"/>
      <c r="AP678" s="102"/>
    </row>
    <row r="679" spans="1:42">
      <c r="A679" s="89">
        <v>678</v>
      </c>
      <c r="B679" s="90">
        <v>50040858</v>
      </c>
      <c r="C679" s="91" t="s">
        <v>574</v>
      </c>
      <c r="D679" s="58" t="s">
        <v>845</v>
      </c>
      <c r="E679" s="59">
        <v>33809</v>
      </c>
      <c r="F679" s="92">
        <f ca="1">(TODAY()-Data_Assessment[[#This Row],[BIRTH DATE]])/365.25</f>
        <v>29.656399726214921</v>
      </c>
      <c r="G679" s="62" t="s">
        <v>919</v>
      </c>
      <c r="H679" s="63" t="s">
        <v>1086</v>
      </c>
      <c r="I679" s="106">
        <v>1</v>
      </c>
      <c r="J679" s="64" t="s">
        <v>1487</v>
      </c>
      <c r="K679" s="143">
        <v>2</v>
      </c>
      <c r="L679" s="58"/>
      <c r="M679" s="58"/>
      <c r="N679" s="102"/>
      <c r="O679" s="102"/>
      <c r="P679" s="102"/>
      <c r="Q679" s="102"/>
      <c r="R679" s="102"/>
      <c r="S679" s="102"/>
      <c r="T679" s="102"/>
      <c r="U679" s="102"/>
      <c r="V679" s="102"/>
      <c r="W679" s="102"/>
      <c r="X679" s="102"/>
      <c r="Y679" s="102"/>
      <c r="Z679" s="102"/>
      <c r="AA679" s="102"/>
      <c r="AB679" s="102"/>
      <c r="AC679" s="102"/>
      <c r="AD679" s="102"/>
      <c r="AE679" s="102"/>
      <c r="AF679" s="102"/>
      <c r="AG679" s="102"/>
      <c r="AH679" s="102"/>
      <c r="AI679" s="102"/>
      <c r="AJ679" s="102"/>
      <c r="AK679" s="102"/>
      <c r="AL679" s="102"/>
      <c r="AM679" s="102"/>
      <c r="AN679" s="102"/>
      <c r="AO679" s="102"/>
      <c r="AP679" s="102"/>
    </row>
    <row r="680" spans="1:42">
      <c r="A680" s="89">
        <v>679</v>
      </c>
      <c r="B680" s="90">
        <v>50037824</v>
      </c>
      <c r="C680" s="91" t="s">
        <v>575</v>
      </c>
      <c r="D680" s="58" t="s">
        <v>845</v>
      </c>
      <c r="E680" s="59">
        <v>33583</v>
      </c>
      <c r="F680" s="92">
        <f ca="1">(TODAY()-Data_Assessment[[#This Row],[BIRTH DATE]])/365.25</f>
        <v>30.275154004106778</v>
      </c>
      <c r="G680" s="62" t="s">
        <v>919</v>
      </c>
      <c r="H680" s="63" t="s">
        <v>1086</v>
      </c>
      <c r="I680" s="106">
        <v>1</v>
      </c>
      <c r="J680" s="64" t="s">
        <v>1487</v>
      </c>
      <c r="K680" s="143">
        <v>2</v>
      </c>
      <c r="L680" s="58"/>
      <c r="M680" s="58"/>
      <c r="N680" s="102"/>
      <c r="O680" s="102"/>
      <c r="P680" s="102"/>
      <c r="Q680" s="102"/>
      <c r="R680" s="102"/>
      <c r="S680" s="102"/>
      <c r="T680" s="102"/>
      <c r="U680" s="102"/>
      <c r="V680" s="102"/>
      <c r="W680" s="102"/>
      <c r="X680" s="102"/>
      <c r="Y680" s="102"/>
      <c r="Z680" s="102"/>
      <c r="AA680" s="102"/>
      <c r="AB680" s="102"/>
      <c r="AC680" s="102"/>
      <c r="AD680" s="102"/>
      <c r="AE680" s="102"/>
      <c r="AF680" s="102"/>
      <c r="AG680" s="102"/>
      <c r="AH680" s="102"/>
      <c r="AI680" s="102"/>
      <c r="AJ680" s="102"/>
      <c r="AK680" s="102"/>
      <c r="AL680" s="102"/>
      <c r="AM680" s="102"/>
      <c r="AN680" s="102"/>
      <c r="AO680" s="102"/>
      <c r="AP680" s="102"/>
    </row>
    <row r="681" spans="1:42">
      <c r="A681" s="89">
        <v>680</v>
      </c>
      <c r="B681" s="90">
        <v>50031410</v>
      </c>
      <c r="C681" s="91" t="s">
        <v>576</v>
      </c>
      <c r="D681" s="58" t="s">
        <v>845</v>
      </c>
      <c r="E681" s="59">
        <v>24804</v>
      </c>
      <c r="F681" s="92">
        <f ca="1">(TODAY()-Data_Assessment[[#This Row],[BIRTH DATE]])/365.25</f>
        <v>54.31074606433949</v>
      </c>
      <c r="G681" s="62" t="s">
        <v>919</v>
      </c>
      <c r="H681" s="63" t="s">
        <v>1086</v>
      </c>
      <c r="I681" s="106">
        <v>1</v>
      </c>
      <c r="J681" s="64" t="s">
        <v>1487</v>
      </c>
      <c r="K681" s="143">
        <v>3</v>
      </c>
      <c r="L681" s="58"/>
      <c r="M681" s="58"/>
      <c r="N681" s="102"/>
      <c r="O681" s="102"/>
      <c r="P681" s="102"/>
      <c r="Q681" s="102"/>
      <c r="R681" s="102"/>
      <c r="S681" s="102"/>
      <c r="T681" s="102"/>
      <c r="U681" s="102"/>
      <c r="V681" s="102"/>
      <c r="W681" s="102"/>
      <c r="X681" s="102"/>
      <c r="Y681" s="102"/>
      <c r="Z681" s="102"/>
      <c r="AA681" s="102"/>
      <c r="AB681" s="102"/>
      <c r="AC681" s="102"/>
      <c r="AD681" s="102"/>
      <c r="AE681" s="102"/>
      <c r="AF681" s="102"/>
      <c r="AG681" s="102"/>
      <c r="AH681" s="102"/>
      <c r="AI681" s="102"/>
      <c r="AJ681" s="102"/>
      <c r="AK681" s="102"/>
      <c r="AL681" s="102"/>
      <c r="AM681" s="102"/>
      <c r="AN681" s="102"/>
      <c r="AO681" s="102"/>
      <c r="AP681" s="102"/>
    </row>
    <row r="682" spans="1:42">
      <c r="A682" s="89">
        <v>681</v>
      </c>
      <c r="B682" s="90">
        <v>50047347</v>
      </c>
      <c r="C682" s="91" t="s">
        <v>879</v>
      </c>
      <c r="D682" s="58" t="s">
        <v>845</v>
      </c>
      <c r="E682" s="59">
        <v>26957</v>
      </c>
      <c r="F682" s="92">
        <f ca="1">(TODAY()-Data_Assessment[[#This Row],[BIRTH DATE]])/365.25</f>
        <v>48.416153319644081</v>
      </c>
      <c r="G682" s="62" t="s">
        <v>919</v>
      </c>
      <c r="H682" s="63" t="s">
        <v>1086</v>
      </c>
      <c r="I682" s="106">
        <v>1</v>
      </c>
      <c r="J682" s="64" t="s">
        <v>1487</v>
      </c>
      <c r="K682" s="143">
        <v>3</v>
      </c>
      <c r="L682" s="58"/>
      <c r="M682" s="58"/>
      <c r="N682" s="102"/>
      <c r="O682" s="102"/>
      <c r="P682" s="102"/>
      <c r="Q682" s="102"/>
      <c r="R682" s="102"/>
      <c r="S682" s="102"/>
      <c r="T682" s="102"/>
      <c r="U682" s="102"/>
      <c r="V682" s="102"/>
      <c r="W682" s="102"/>
      <c r="X682" s="102"/>
      <c r="Y682" s="102"/>
      <c r="Z682" s="102"/>
      <c r="AA682" s="102"/>
      <c r="AB682" s="102"/>
      <c r="AC682" s="102"/>
      <c r="AD682" s="102"/>
      <c r="AE682" s="102"/>
      <c r="AF682" s="102"/>
      <c r="AG682" s="102"/>
      <c r="AH682" s="102"/>
      <c r="AI682" s="102"/>
      <c r="AJ682" s="102"/>
      <c r="AK682" s="102"/>
      <c r="AL682" s="102"/>
      <c r="AM682" s="102"/>
      <c r="AN682" s="102"/>
      <c r="AO682" s="102"/>
      <c r="AP682" s="102"/>
    </row>
    <row r="683" spans="1:42">
      <c r="A683" s="89">
        <v>682</v>
      </c>
      <c r="B683" s="90">
        <v>50030773</v>
      </c>
      <c r="C683" s="91" t="s">
        <v>582</v>
      </c>
      <c r="D683" s="58" t="s">
        <v>845</v>
      </c>
      <c r="E683" s="59">
        <v>27552</v>
      </c>
      <c r="F683" s="92">
        <f ca="1">(TODAY()-Data_Assessment[[#This Row],[BIRTH DATE]])/365.25</f>
        <v>46.787132101300479</v>
      </c>
      <c r="G683" s="62" t="s">
        <v>919</v>
      </c>
      <c r="H683" s="63" t="s">
        <v>1324</v>
      </c>
      <c r="I683" s="106">
        <v>1</v>
      </c>
      <c r="J683" s="64" t="s">
        <v>1488</v>
      </c>
      <c r="K683" s="143">
        <v>3</v>
      </c>
      <c r="L683" s="58"/>
      <c r="M683" s="58"/>
      <c r="N683" s="102"/>
      <c r="O683" s="102"/>
      <c r="P683" s="102"/>
      <c r="Q683" s="102"/>
      <c r="R683" s="102"/>
      <c r="S683" s="102"/>
      <c r="T683" s="102"/>
      <c r="U683" s="102"/>
      <c r="V683" s="102"/>
      <c r="W683" s="102"/>
      <c r="X683" s="102"/>
      <c r="Y683" s="102"/>
      <c r="Z683" s="102"/>
      <c r="AA683" s="102"/>
      <c r="AB683" s="102"/>
      <c r="AC683" s="102"/>
      <c r="AD683" s="102"/>
      <c r="AE683" s="102"/>
      <c r="AF683" s="102"/>
      <c r="AG683" s="102"/>
      <c r="AH683" s="102"/>
      <c r="AI683" s="102"/>
      <c r="AJ683" s="102"/>
      <c r="AK683" s="102"/>
      <c r="AL683" s="102"/>
      <c r="AM683" s="102"/>
      <c r="AN683" s="102"/>
      <c r="AO683" s="102"/>
      <c r="AP683" s="102"/>
    </row>
    <row r="684" spans="1:42">
      <c r="A684" s="89">
        <v>683</v>
      </c>
      <c r="B684" s="90">
        <v>50112882</v>
      </c>
      <c r="C684" s="91" t="s">
        <v>583</v>
      </c>
      <c r="D684" s="58" t="s">
        <v>845</v>
      </c>
      <c r="E684" s="59">
        <v>34939</v>
      </c>
      <c r="F684" s="92">
        <f ca="1">(TODAY()-Data_Assessment[[#This Row],[BIRTH DATE]])/365.25</f>
        <v>26.562628336755647</v>
      </c>
      <c r="G684" s="62" t="s">
        <v>919</v>
      </c>
      <c r="H684" s="63" t="s">
        <v>1324</v>
      </c>
      <c r="I684" s="106">
        <v>1</v>
      </c>
      <c r="J684" s="64" t="s">
        <v>1489</v>
      </c>
      <c r="K684" s="143">
        <v>3</v>
      </c>
      <c r="L684" s="58"/>
      <c r="M684" s="58"/>
      <c r="N684" s="102"/>
      <c r="O684" s="102"/>
      <c r="P684" s="102"/>
      <c r="Q684" s="102"/>
      <c r="R684" s="102"/>
      <c r="S684" s="102"/>
      <c r="T684" s="102"/>
      <c r="U684" s="102"/>
      <c r="V684" s="102"/>
      <c r="W684" s="102"/>
      <c r="X684" s="102"/>
      <c r="Y684" s="102"/>
      <c r="Z684" s="102"/>
      <c r="AA684" s="102"/>
      <c r="AB684" s="102"/>
      <c r="AC684" s="102"/>
      <c r="AD684" s="102"/>
      <c r="AE684" s="102"/>
      <c r="AF684" s="102"/>
      <c r="AG684" s="102"/>
      <c r="AH684" s="102"/>
      <c r="AI684" s="102"/>
      <c r="AJ684" s="102"/>
      <c r="AK684" s="102"/>
      <c r="AL684" s="102"/>
      <c r="AM684" s="102"/>
      <c r="AN684" s="102"/>
      <c r="AO684" s="102"/>
      <c r="AP684" s="102"/>
    </row>
    <row r="685" spans="1:42">
      <c r="A685" s="89">
        <v>684</v>
      </c>
      <c r="B685" s="90">
        <v>50040849</v>
      </c>
      <c r="C685" s="91" t="s">
        <v>584</v>
      </c>
      <c r="D685" s="58" t="s">
        <v>845</v>
      </c>
      <c r="E685" s="59">
        <v>33663</v>
      </c>
      <c r="F685" s="92">
        <f ca="1">(TODAY()-Data_Assessment[[#This Row],[BIRTH DATE]])/365.25</f>
        <v>30.056125941136209</v>
      </c>
      <c r="G685" s="62" t="s">
        <v>919</v>
      </c>
      <c r="H685" s="63" t="s">
        <v>1324</v>
      </c>
      <c r="I685" s="106">
        <v>1</v>
      </c>
      <c r="J685" s="64" t="s">
        <v>1489</v>
      </c>
      <c r="K685" s="143">
        <v>3</v>
      </c>
      <c r="L685" s="58"/>
      <c r="M685" s="58"/>
      <c r="N685" s="102"/>
      <c r="O685" s="102"/>
      <c r="P685" s="102"/>
      <c r="Q685" s="102"/>
      <c r="R685" s="102"/>
      <c r="S685" s="102"/>
      <c r="T685" s="102"/>
      <c r="U685" s="102"/>
      <c r="V685" s="102"/>
      <c r="W685" s="102"/>
      <c r="X685" s="102"/>
      <c r="Y685" s="102"/>
      <c r="Z685" s="102"/>
      <c r="AA685" s="102"/>
      <c r="AB685" s="102"/>
      <c r="AC685" s="102"/>
      <c r="AD685" s="102"/>
      <c r="AE685" s="102"/>
      <c r="AF685" s="102"/>
      <c r="AG685" s="102"/>
      <c r="AH685" s="102"/>
      <c r="AI685" s="102"/>
      <c r="AJ685" s="102"/>
      <c r="AK685" s="102"/>
      <c r="AL685" s="102"/>
      <c r="AM685" s="102"/>
      <c r="AN685" s="102"/>
      <c r="AO685" s="102"/>
      <c r="AP685" s="102"/>
    </row>
    <row r="686" spans="1:42">
      <c r="A686" s="89">
        <v>685</v>
      </c>
      <c r="B686" s="90">
        <v>50031035</v>
      </c>
      <c r="C686" s="91" t="s">
        <v>585</v>
      </c>
      <c r="D686" s="58" t="s">
        <v>845</v>
      </c>
      <c r="E686" s="59">
        <v>32542</v>
      </c>
      <c r="F686" s="92">
        <f ca="1">(TODAY()-Data_Assessment[[#This Row],[BIRTH DATE]])/365.25</f>
        <v>33.125256673511295</v>
      </c>
      <c r="G686" s="62" t="s">
        <v>919</v>
      </c>
      <c r="H686" s="63" t="s">
        <v>1324</v>
      </c>
      <c r="I686" s="106">
        <v>1</v>
      </c>
      <c r="J686" s="64" t="s">
        <v>1489</v>
      </c>
      <c r="K686" s="143">
        <v>3</v>
      </c>
      <c r="L686" s="58"/>
      <c r="M686" s="58"/>
      <c r="N686" s="102"/>
      <c r="O686" s="102"/>
      <c r="P686" s="102"/>
      <c r="Q686" s="102"/>
      <c r="R686" s="102"/>
      <c r="S686" s="102"/>
      <c r="T686" s="102"/>
      <c r="U686" s="102"/>
      <c r="V686" s="102"/>
      <c r="W686" s="102"/>
      <c r="X686" s="102"/>
      <c r="Y686" s="102"/>
      <c r="Z686" s="102"/>
      <c r="AA686" s="102"/>
      <c r="AB686" s="102"/>
      <c r="AC686" s="102"/>
      <c r="AD686" s="102"/>
      <c r="AE686" s="102"/>
      <c r="AF686" s="102"/>
      <c r="AG686" s="102"/>
      <c r="AH686" s="102"/>
      <c r="AI686" s="102"/>
      <c r="AJ686" s="102"/>
      <c r="AK686" s="102"/>
      <c r="AL686" s="102"/>
      <c r="AM686" s="102"/>
      <c r="AN686" s="102"/>
      <c r="AO686" s="102"/>
      <c r="AP686" s="102"/>
    </row>
    <row r="687" spans="1:42">
      <c r="A687" s="89">
        <v>686</v>
      </c>
      <c r="B687" s="90">
        <v>50108183</v>
      </c>
      <c r="C687" s="91" t="s">
        <v>586</v>
      </c>
      <c r="D687" s="58" t="s">
        <v>845</v>
      </c>
      <c r="E687" s="59">
        <v>34135</v>
      </c>
      <c r="F687" s="92">
        <f ca="1">(TODAY()-Data_Assessment[[#This Row],[BIRTH DATE]])/365.25</f>
        <v>28.763860369609855</v>
      </c>
      <c r="G687" s="62" t="s">
        <v>919</v>
      </c>
      <c r="H687" s="63" t="s">
        <v>1324</v>
      </c>
      <c r="I687" s="106">
        <v>1</v>
      </c>
      <c r="J687" s="64" t="s">
        <v>1489</v>
      </c>
      <c r="K687" s="143">
        <v>3</v>
      </c>
      <c r="L687" s="58"/>
      <c r="M687" s="58"/>
      <c r="N687" s="102"/>
      <c r="O687" s="102"/>
      <c r="P687" s="102"/>
      <c r="Q687" s="102"/>
      <c r="R687" s="102"/>
      <c r="S687" s="102"/>
      <c r="T687" s="102"/>
      <c r="U687" s="102"/>
      <c r="V687" s="102"/>
      <c r="W687" s="102"/>
      <c r="X687" s="102"/>
      <c r="Y687" s="102"/>
      <c r="Z687" s="102"/>
      <c r="AA687" s="102"/>
      <c r="AB687" s="102"/>
      <c r="AC687" s="102"/>
      <c r="AD687" s="102"/>
      <c r="AE687" s="102"/>
      <c r="AF687" s="102"/>
      <c r="AG687" s="102"/>
      <c r="AH687" s="102"/>
      <c r="AI687" s="102"/>
      <c r="AJ687" s="102"/>
      <c r="AK687" s="102"/>
      <c r="AL687" s="102"/>
      <c r="AM687" s="102"/>
      <c r="AN687" s="102"/>
      <c r="AO687" s="102"/>
      <c r="AP687" s="102"/>
    </row>
    <row r="688" spans="1:42">
      <c r="A688" s="89">
        <v>687</v>
      </c>
      <c r="B688" s="90">
        <v>50047138</v>
      </c>
      <c r="C688" s="91" t="s">
        <v>587</v>
      </c>
      <c r="D688" s="58" t="s">
        <v>845</v>
      </c>
      <c r="E688" s="59">
        <v>32189</v>
      </c>
      <c r="F688" s="92">
        <f ca="1">(TODAY()-Data_Assessment[[#This Row],[BIRTH DATE]])/365.25</f>
        <v>34.091718001368925</v>
      </c>
      <c r="G688" s="62" t="s">
        <v>919</v>
      </c>
      <c r="H688" s="63" t="s">
        <v>1324</v>
      </c>
      <c r="I688" s="106">
        <v>1</v>
      </c>
      <c r="J688" s="64" t="s">
        <v>1490</v>
      </c>
      <c r="K688" s="143">
        <v>3</v>
      </c>
      <c r="L688" s="58"/>
      <c r="M688" s="58"/>
      <c r="N688" s="102"/>
      <c r="O688" s="102"/>
      <c r="P688" s="102"/>
      <c r="Q688" s="102"/>
      <c r="R688" s="102"/>
      <c r="S688" s="102"/>
      <c r="T688" s="102"/>
      <c r="U688" s="102"/>
      <c r="V688" s="102"/>
      <c r="W688" s="102"/>
      <c r="X688" s="102"/>
      <c r="Y688" s="102"/>
      <c r="Z688" s="102"/>
      <c r="AA688" s="102"/>
      <c r="AB688" s="102"/>
      <c r="AC688" s="102"/>
      <c r="AD688" s="102"/>
      <c r="AE688" s="102"/>
      <c r="AF688" s="102"/>
      <c r="AG688" s="102"/>
      <c r="AH688" s="102"/>
      <c r="AI688" s="102"/>
      <c r="AJ688" s="102"/>
      <c r="AK688" s="102"/>
      <c r="AL688" s="102"/>
      <c r="AM688" s="102"/>
      <c r="AN688" s="102"/>
      <c r="AO688" s="102"/>
      <c r="AP688" s="102"/>
    </row>
    <row r="689" spans="1:42">
      <c r="A689" s="89">
        <v>688</v>
      </c>
      <c r="B689" s="90">
        <v>50037975</v>
      </c>
      <c r="C689" s="91" t="s">
        <v>590</v>
      </c>
      <c r="D689" s="58" t="s">
        <v>845</v>
      </c>
      <c r="E689" s="59">
        <v>25569</v>
      </c>
      <c r="F689" s="92">
        <f ca="1">(TODAY()-Data_Assessment[[#This Row],[BIRTH DATE]])/365.25</f>
        <v>52.216290212183438</v>
      </c>
      <c r="G689" s="62" t="s">
        <v>919</v>
      </c>
      <c r="H689" s="63" t="s">
        <v>1327</v>
      </c>
      <c r="I689" s="106">
        <v>1</v>
      </c>
      <c r="J689" s="64" t="s">
        <v>1491</v>
      </c>
      <c r="K689" s="143">
        <v>3</v>
      </c>
      <c r="L689" s="58"/>
      <c r="M689" s="58"/>
      <c r="N689" s="102"/>
      <c r="O689" s="102"/>
      <c r="P689" s="102"/>
      <c r="Q689" s="102"/>
      <c r="R689" s="102"/>
      <c r="S689" s="102"/>
      <c r="T689" s="102"/>
      <c r="U689" s="102"/>
      <c r="V689" s="102"/>
      <c r="W689" s="102"/>
      <c r="X689" s="102"/>
      <c r="Y689" s="102"/>
      <c r="Z689" s="102"/>
      <c r="AA689" s="102"/>
      <c r="AB689" s="102"/>
      <c r="AC689" s="102"/>
      <c r="AD689" s="102"/>
      <c r="AE689" s="102"/>
      <c r="AF689" s="102"/>
      <c r="AG689" s="102"/>
      <c r="AH689" s="102"/>
      <c r="AI689" s="102"/>
      <c r="AJ689" s="102"/>
      <c r="AK689" s="102"/>
      <c r="AL689" s="102"/>
      <c r="AM689" s="102"/>
      <c r="AN689" s="102"/>
      <c r="AO689" s="102"/>
      <c r="AP689" s="102"/>
    </row>
    <row r="690" spans="1:42">
      <c r="A690" s="89">
        <v>689</v>
      </c>
      <c r="B690" s="90">
        <v>50045067</v>
      </c>
      <c r="C690" s="91" t="s">
        <v>591</v>
      </c>
      <c r="D690" s="58" t="s">
        <v>845</v>
      </c>
      <c r="E690" s="59">
        <v>33782</v>
      </c>
      <c r="F690" s="92">
        <f ca="1">(TODAY()-Data_Assessment[[#This Row],[BIRTH DATE]])/365.25</f>
        <v>29.730321697467488</v>
      </c>
      <c r="G690" s="62" t="s">
        <v>919</v>
      </c>
      <c r="H690" s="63" t="s">
        <v>1327</v>
      </c>
      <c r="I690" s="106">
        <v>1</v>
      </c>
      <c r="J690" s="64" t="s">
        <v>1492</v>
      </c>
      <c r="K690" s="143">
        <v>3</v>
      </c>
      <c r="L690" s="58"/>
      <c r="M690" s="58"/>
      <c r="N690" s="102"/>
      <c r="O690" s="102"/>
      <c r="P690" s="102"/>
      <c r="Q690" s="102"/>
      <c r="R690" s="102"/>
      <c r="S690" s="102"/>
      <c r="T690" s="102"/>
      <c r="U690" s="102"/>
      <c r="V690" s="102"/>
      <c r="W690" s="102"/>
      <c r="X690" s="102"/>
      <c r="Y690" s="102"/>
      <c r="Z690" s="102"/>
      <c r="AA690" s="102"/>
      <c r="AB690" s="102"/>
      <c r="AC690" s="102"/>
      <c r="AD690" s="102"/>
      <c r="AE690" s="102"/>
      <c r="AF690" s="102"/>
      <c r="AG690" s="102"/>
      <c r="AH690" s="102"/>
      <c r="AI690" s="102"/>
      <c r="AJ690" s="102"/>
      <c r="AK690" s="102"/>
      <c r="AL690" s="102"/>
      <c r="AM690" s="102"/>
      <c r="AN690" s="102"/>
      <c r="AO690" s="102"/>
      <c r="AP690" s="102"/>
    </row>
    <row r="691" spans="1:42">
      <c r="A691" s="89">
        <v>690</v>
      </c>
      <c r="B691" s="90">
        <v>50035636</v>
      </c>
      <c r="C691" s="91" t="s">
        <v>880</v>
      </c>
      <c r="D691" s="58" t="s">
        <v>845</v>
      </c>
      <c r="E691" s="59">
        <v>29856</v>
      </c>
      <c r="F691" s="92">
        <f ca="1">(TODAY()-Data_Assessment[[#This Row],[BIRTH DATE]])/365.25</f>
        <v>40.479123887748116</v>
      </c>
      <c r="G691" s="62" t="s">
        <v>919</v>
      </c>
      <c r="H691" s="63" t="s">
        <v>1248</v>
      </c>
      <c r="I691" s="106">
        <v>1</v>
      </c>
      <c r="J691" s="64" t="s">
        <v>1493</v>
      </c>
      <c r="K691" s="143">
        <v>3</v>
      </c>
      <c r="L691" s="58"/>
      <c r="M691" s="58"/>
      <c r="N691" s="102"/>
      <c r="O691" s="102"/>
      <c r="P691" s="102"/>
      <c r="Q691" s="102"/>
      <c r="R691" s="102"/>
      <c r="S691" s="102"/>
      <c r="T691" s="102"/>
      <c r="U691" s="102"/>
      <c r="V691" s="102"/>
      <c r="W691" s="102"/>
      <c r="X691" s="102"/>
      <c r="Y691" s="102"/>
      <c r="Z691" s="102"/>
      <c r="AA691" s="102"/>
      <c r="AB691" s="102"/>
      <c r="AC691" s="102"/>
      <c r="AD691" s="102"/>
      <c r="AE691" s="102"/>
      <c r="AF691" s="102"/>
      <c r="AG691" s="102"/>
      <c r="AH691" s="102"/>
      <c r="AI691" s="102"/>
      <c r="AJ691" s="102"/>
      <c r="AK691" s="102"/>
      <c r="AL691" s="102"/>
      <c r="AM691" s="102"/>
      <c r="AN691" s="102"/>
      <c r="AO691" s="102"/>
      <c r="AP691" s="102"/>
    </row>
    <row r="692" spans="1:42">
      <c r="A692" s="89">
        <v>691</v>
      </c>
      <c r="B692" s="90">
        <v>50030691</v>
      </c>
      <c r="C692" s="91" t="s">
        <v>593</v>
      </c>
      <c r="D692" s="58" t="s">
        <v>845</v>
      </c>
      <c r="E692" s="59">
        <v>28244</v>
      </c>
      <c r="F692" s="92">
        <f ca="1">(TODAY()-Data_Assessment[[#This Row],[BIRTH DATE]])/365.25</f>
        <v>44.892539356605063</v>
      </c>
      <c r="G692" s="62" t="s">
        <v>919</v>
      </c>
      <c r="H692" s="63" t="s">
        <v>1248</v>
      </c>
      <c r="I692" s="106">
        <v>1</v>
      </c>
      <c r="J692" s="64" t="s">
        <v>1494</v>
      </c>
      <c r="K692" s="143">
        <v>2</v>
      </c>
      <c r="L692" s="58"/>
      <c r="M692" s="58"/>
      <c r="N692" s="102"/>
      <c r="O692" s="102"/>
      <c r="P692" s="102"/>
      <c r="Q692" s="102"/>
      <c r="R692" s="102"/>
      <c r="S692" s="102"/>
      <c r="T692" s="102"/>
      <c r="U692" s="102"/>
      <c r="V692" s="102"/>
      <c r="W692" s="102"/>
      <c r="X692" s="102"/>
      <c r="Y692" s="102"/>
      <c r="Z692" s="102"/>
      <c r="AA692" s="102"/>
      <c r="AB692" s="102"/>
      <c r="AC692" s="102"/>
      <c r="AD692" s="102"/>
      <c r="AE692" s="102"/>
      <c r="AF692" s="102"/>
      <c r="AG692" s="102"/>
      <c r="AH692" s="102"/>
      <c r="AI692" s="102"/>
      <c r="AJ692" s="102"/>
      <c r="AK692" s="102"/>
      <c r="AL692" s="102"/>
      <c r="AM692" s="102"/>
      <c r="AN692" s="102"/>
      <c r="AO692" s="102"/>
      <c r="AP692" s="102"/>
    </row>
    <row r="693" spans="1:42">
      <c r="A693" s="89">
        <v>692</v>
      </c>
      <c r="B693" s="90">
        <v>50031025</v>
      </c>
      <c r="C693" s="91" t="s">
        <v>597</v>
      </c>
      <c r="D693" s="58" t="s">
        <v>845</v>
      </c>
      <c r="E693" s="59">
        <v>25139</v>
      </c>
      <c r="F693" s="92">
        <f ca="1">(TODAY()-Data_Assessment[[#This Row],[BIRTH DATE]])/365.25</f>
        <v>53.393566050650243</v>
      </c>
      <c r="G693" s="62" t="s">
        <v>919</v>
      </c>
      <c r="H693" s="63" t="s">
        <v>1332</v>
      </c>
      <c r="I693" s="106">
        <v>1</v>
      </c>
      <c r="J693" s="64" t="s">
        <v>1495</v>
      </c>
      <c r="K693" s="143">
        <v>2</v>
      </c>
      <c r="L693" s="58"/>
      <c r="M693" s="58"/>
      <c r="N693" s="102"/>
      <c r="O693" s="102"/>
      <c r="P693" s="102"/>
      <c r="Q693" s="102"/>
      <c r="R693" s="102"/>
      <c r="S693" s="102"/>
      <c r="T693" s="102"/>
      <c r="U693" s="102"/>
      <c r="V693" s="102"/>
      <c r="W693" s="102"/>
      <c r="X693" s="102"/>
      <c r="Y693" s="102"/>
      <c r="Z693" s="102"/>
      <c r="AA693" s="102"/>
      <c r="AB693" s="102"/>
      <c r="AC693" s="102"/>
      <c r="AD693" s="102"/>
      <c r="AE693" s="102"/>
      <c r="AF693" s="102"/>
      <c r="AG693" s="102"/>
      <c r="AH693" s="102"/>
      <c r="AI693" s="102"/>
      <c r="AJ693" s="102"/>
      <c r="AK693" s="102"/>
      <c r="AL693" s="102"/>
      <c r="AM693" s="102"/>
      <c r="AN693" s="102"/>
      <c r="AO693" s="102"/>
      <c r="AP693" s="102"/>
    </row>
    <row r="694" spans="1:42">
      <c r="A694" s="89">
        <v>693</v>
      </c>
      <c r="B694" s="90">
        <v>50085984</v>
      </c>
      <c r="C694" s="91" t="s">
        <v>598</v>
      </c>
      <c r="D694" s="58" t="s">
        <v>845</v>
      </c>
      <c r="E694" s="59">
        <v>31621</v>
      </c>
      <c r="F694" s="92">
        <f ca="1">(TODAY()-Data_Assessment[[#This Row],[BIRTH DATE]])/365.25</f>
        <v>35.646817248459961</v>
      </c>
      <c r="G694" s="62" t="s">
        <v>919</v>
      </c>
      <c r="H694" s="63" t="s">
        <v>1332</v>
      </c>
      <c r="I694" s="106">
        <v>1</v>
      </c>
      <c r="J694" s="64" t="s">
        <v>1496</v>
      </c>
      <c r="K694" s="143">
        <v>2</v>
      </c>
      <c r="L694" s="58"/>
      <c r="M694" s="58"/>
      <c r="N694" s="102"/>
      <c r="O694" s="102"/>
      <c r="P694" s="102"/>
      <c r="Q694" s="102"/>
      <c r="R694" s="102"/>
      <c r="S694" s="102"/>
      <c r="T694" s="102"/>
      <c r="U694" s="102"/>
      <c r="V694" s="102"/>
      <c r="W694" s="102"/>
      <c r="X694" s="102"/>
      <c r="Y694" s="102"/>
      <c r="Z694" s="102"/>
      <c r="AA694" s="102"/>
      <c r="AB694" s="102"/>
      <c r="AC694" s="102"/>
      <c r="AD694" s="102"/>
      <c r="AE694" s="102"/>
      <c r="AF694" s="102"/>
      <c r="AG694" s="102"/>
      <c r="AH694" s="102"/>
      <c r="AI694" s="102"/>
      <c r="AJ694" s="102"/>
      <c r="AK694" s="102"/>
      <c r="AL694" s="102"/>
      <c r="AM694" s="102"/>
      <c r="AN694" s="102"/>
      <c r="AO694" s="102"/>
      <c r="AP694" s="102"/>
    </row>
    <row r="695" spans="1:42">
      <c r="A695" s="89">
        <v>694</v>
      </c>
      <c r="B695" s="90">
        <v>50137830</v>
      </c>
      <c r="C695" s="91" t="s">
        <v>599</v>
      </c>
      <c r="D695" s="58" t="s">
        <v>845</v>
      </c>
      <c r="E695" s="59">
        <v>35185</v>
      </c>
      <c r="F695" s="92">
        <f ca="1">(TODAY()-Data_Assessment[[#This Row],[BIRTH DATE]])/365.25</f>
        <v>25.88911704312115</v>
      </c>
      <c r="G695" s="62" t="s">
        <v>919</v>
      </c>
      <c r="H695" s="63" t="s">
        <v>1332</v>
      </c>
      <c r="I695" s="106">
        <v>1</v>
      </c>
      <c r="J695" s="64" t="s">
        <v>1496</v>
      </c>
      <c r="K695" s="143">
        <v>2</v>
      </c>
      <c r="L695" s="58"/>
      <c r="M695" s="58"/>
      <c r="N695" s="102"/>
      <c r="O695" s="102"/>
      <c r="P695" s="102"/>
      <c r="Q695" s="102"/>
      <c r="R695" s="102"/>
      <c r="S695" s="102"/>
      <c r="T695" s="102"/>
      <c r="U695" s="102"/>
      <c r="V695" s="102"/>
      <c r="W695" s="102"/>
      <c r="X695" s="102"/>
      <c r="Y695" s="102"/>
      <c r="Z695" s="102"/>
      <c r="AA695" s="102"/>
      <c r="AB695" s="102"/>
      <c r="AC695" s="102"/>
      <c r="AD695" s="102"/>
      <c r="AE695" s="102"/>
      <c r="AF695" s="102"/>
      <c r="AG695" s="102"/>
      <c r="AH695" s="102"/>
      <c r="AI695" s="102"/>
      <c r="AJ695" s="102"/>
      <c r="AK695" s="102"/>
      <c r="AL695" s="102"/>
      <c r="AM695" s="102"/>
      <c r="AN695" s="102"/>
      <c r="AO695" s="102"/>
      <c r="AP695" s="102"/>
    </row>
    <row r="696" spans="1:42">
      <c r="A696" s="89">
        <v>695</v>
      </c>
      <c r="B696" s="90">
        <v>50108202</v>
      </c>
      <c r="C696" s="91" t="s">
        <v>600</v>
      </c>
      <c r="D696" s="58" t="s">
        <v>845</v>
      </c>
      <c r="E696" s="59">
        <v>33833</v>
      </c>
      <c r="F696" s="92">
        <f ca="1">(TODAY()-Data_Assessment[[#This Row],[BIRTH DATE]])/365.25</f>
        <v>29.590691307323752</v>
      </c>
      <c r="G696" s="62" t="s">
        <v>895</v>
      </c>
      <c r="H696" s="63" t="s">
        <v>1497</v>
      </c>
      <c r="I696" s="106">
        <v>1</v>
      </c>
      <c r="J696" s="64" t="s">
        <v>1498</v>
      </c>
      <c r="K696" s="143">
        <v>2</v>
      </c>
      <c r="L696" s="58"/>
      <c r="M696" s="58"/>
      <c r="N696" s="102"/>
      <c r="O696" s="102"/>
      <c r="P696" s="102"/>
      <c r="Q696" s="102"/>
      <c r="R696" s="102"/>
      <c r="S696" s="102"/>
      <c r="T696" s="102"/>
      <c r="U696" s="102"/>
      <c r="V696" s="102"/>
      <c r="W696" s="102"/>
      <c r="X696" s="102"/>
      <c r="Y696" s="102"/>
      <c r="Z696" s="102"/>
      <c r="AA696" s="102"/>
      <c r="AB696" s="102"/>
      <c r="AC696" s="102"/>
      <c r="AD696" s="102"/>
      <c r="AE696" s="102"/>
      <c r="AF696" s="102"/>
      <c r="AG696" s="102"/>
      <c r="AH696" s="102"/>
      <c r="AI696" s="102"/>
      <c r="AJ696" s="102"/>
      <c r="AK696" s="102"/>
      <c r="AL696" s="102"/>
      <c r="AM696" s="102"/>
      <c r="AN696" s="102"/>
      <c r="AO696" s="102"/>
      <c r="AP696" s="102"/>
    </row>
    <row r="697" spans="1:42">
      <c r="A697" s="89">
        <v>696</v>
      </c>
      <c r="B697" s="90">
        <v>50030762</v>
      </c>
      <c r="C697" s="91" t="s">
        <v>601</v>
      </c>
      <c r="D697" s="58" t="s">
        <v>845</v>
      </c>
      <c r="E697" s="59">
        <v>26324</v>
      </c>
      <c r="F697" s="92">
        <f ca="1">(TODAY()-Data_Assessment[[#This Row],[BIRTH DATE]])/365.25</f>
        <v>50.149212867898697</v>
      </c>
      <c r="G697" s="62" t="s">
        <v>919</v>
      </c>
      <c r="H697" s="63" t="s">
        <v>1341</v>
      </c>
      <c r="I697" s="106">
        <v>1</v>
      </c>
      <c r="J697" s="64" t="s">
        <v>1499</v>
      </c>
      <c r="K697" s="143">
        <v>4</v>
      </c>
      <c r="L697" s="58"/>
      <c r="M697" s="58"/>
      <c r="N697" s="102"/>
      <c r="O697" s="102"/>
      <c r="P697" s="102"/>
      <c r="Q697" s="102"/>
      <c r="R697" s="102"/>
      <c r="S697" s="102"/>
      <c r="T697" s="102"/>
      <c r="U697" s="102"/>
      <c r="V697" s="102"/>
      <c r="W697" s="102"/>
      <c r="X697" s="102"/>
      <c r="Y697" s="102"/>
      <c r="Z697" s="102"/>
      <c r="AA697" s="102"/>
      <c r="AB697" s="102"/>
      <c r="AC697" s="102"/>
      <c r="AD697" s="102"/>
      <c r="AE697" s="102"/>
      <c r="AF697" s="102"/>
      <c r="AG697" s="102"/>
      <c r="AH697" s="102"/>
      <c r="AI697" s="102"/>
      <c r="AJ697" s="102"/>
      <c r="AK697" s="102"/>
      <c r="AL697" s="102"/>
      <c r="AM697" s="102"/>
      <c r="AN697" s="102"/>
      <c r="AO697" s="102"/>
      <c r="AP697" s="102"/>
    </row>
    <row r="698" spans="1:42">
      <c r="A698" s="89">
        <v>697</v>
      </c>
      <c r="B698" s="90">
        <v>50030695</v>
      </c>
      <c r="C698" s="91" t="s">
        <v>603</v>
      </c>
      <c r="D698" s="58" t="s">
        <v>845</v>
      </c>
      <c r="E698" s="59">
        <v>25491</v>
      </c>
      <c r="F698" s="92">
        <f ca="1">(TODAY()-Data_Assessment[[#This Row],[BIRTH DATE]])/365.25</f>
        <v>52.429842573579741</v>
      </c>
      <c r="G698" s="62" t="s">
        <v>919</v>
      </c>
      <c r="H698" s="63" t="s">
        <v>1341</v>
      </c>
      <c r="I698" s="106">
        <v>1</v>
      </c>
      <c r="J698" s="64" t="s">
        <v>1500</v>
      </c>
      <c r="K698" s="143">
        <v>3</v>
      </c>
      <c r="L698" s="58"/>
      <c r="M698" s="58"/>
      <c r="N698" s="102"/>
      <c r="O698" s="102"/>
      <c r="P698" s="102"/>
      <c r="Q698" s="102"/>
      <c r="R698" s="102"/>
      <c r="S698" s="102"/>
      <c r="T698" s="102"/>
      <c r="U698" s="102"/>
      <c r="V698" s="102"/>
      <c r="W698" s="102"/>
      <c r="X698" s="102"/>
      <c r="Y698" s="102"/>
      <c r="Z698" s="102"/>
      <c r="AA698" s="102"/>
      <c r="AB698" s="102"/>
      <c r="AC698" s="102"/>
      <c r="AD698" s="102"/>
      <c r="AE698" s="102"/>
      <c r="AF698" s="102"/>
      <c r="AG698" s="102"/>
      <c r="AH698" s="102"/>
      <c r="AI698" s="102"/>
      <c r="AJ698" s="102"/>
      <c r="AK698" s="102"/>
      <c r="AL698" s="102"/>
      <c r="AM698" s="102"/>
      <c r="AN698" s="102"/>
      <c r="AO698" s="102"/>
      <c r="AP698" s="102"/>
    </row>
    <row r="699" spans="1:42">
      <c r="A699" s="89">
        <v>698</v>
      </c>
      <c r="B699" s="90">
        <v>50030716</v>
      </c>
      <c r="C699" s="91" t="s">
        <v>866</v>
      </c>
      <c r="D699" s="58" t="s">
        <v>845</v>
      </c>
      <c r="E699" s="59">
        <v>31341</v>
      </c>
      <c r="F699" s="92">
        <f ca="1">(TODAY()-Data_Assessment[[#This Row],[BIRTH DATE]])/365.25</f>
        <v>36.413415468856947</v>
      </c>
      <c r="G699" s="62" t="s">
        <v>919</v>
      </c>
      <c r="H699" s="63" t="s">
        <v>1341</v>
      </c>
      <c r="I699" s="106">
        <v>1</v>
      </c>
      <c r="J699" s="64" t="s">
        <v>1501</v>
      </c>
      <c r="K699" s="143">
        <v>3</v>
      </c>
      <c r="L699" s="58"/>
      <c r="M699" s="58"/>
      <c r="N699" s="102"/>
      <c r="O699" s="102"/>
      <c r="P699" s="102"/>
      <c r="Q699" s="102"/>
      <c r="R699" s="102"/>
      <c r="S699" s="102"/>
      <c r="T699" s="102"/>
      <c r="U699" s="102"/>
      <c r="V699" s="102"/>
      <c r="W699" s="102"/>
      <c r="X699" s="102"/>
      <c r="Y699" s="102"/>
      <c r="Z699" s="102"/>
      <c r="AA699" s="102"/>
      <c r="AB699" s="102"/>
      <c r="AC699" s="102"/>
      <c r="AD699" s="102"/>
      <c r="AE699" s="102"/>
      <c r="AF699" s="102"/>
      <c r="AG699" s="102"/>
      <c r="AH699" s="102"/>
      <c r="AI699" s="102"/>
      <c r="AJ699" s="102"/>
      <c r="AK699" s="102"/>
      <c r="AL699" s="102"/>
      <c r="AM699" s="102"/>
      <c r="AN699" s="102"/>
      <c r="AO699" s="102"/>
      <c r="AP699" s="102"/>
    </row>
    <row r="700" spans="1:42">
      <c r="A700" s="89">
        <v>699</v>
      </c>
      <c r="B700" s="90">
        <v>50031331</v>
      </c>
      <c r="C700" s="91" t="s">
        <v>607</v>
      </c>
      <c r="D700" s="58" t="s">
        <v>845</v>
      </c>
      <c r="E700" s="59">
        <v>26469</v>
      </c>
      <c r="F700" s="92">
        <f ca="1">(TODAY()-Data_Assessment[[#This Row],[BIRTH DATE]])/365.25</f>
        <v>49.752224503764545</v>
      </c>
      <c r="G700" s="62" t="s">
        <v>919</v>
      </c>
      <c r="H700" s="63" t="s">
        <v>1250</v>
      </c>
      <c r="I700" s="106">
        <v>1</v>
      </c>
      <c r="J700" s="64" t="s">
        <v>1502</v>
      </c>
      <c r="K700" s="143">
        <v>2</v>
      </c>
      <c r="L700" s="58"/>
      <c r="M700" s="58"/>
      <c r="N700" s="102"/>
      <c r="O700" s="102"/>
      <c r="P700" s="102"/>
      <c r="Q700" s="102"/>
      <c r="R700" s="102"/>
      <c r="S700" s="102"/>
      <c r="T700" s="102"/>
      <c r="U700" s="102"/>
      <c r="V700" s="102"/>
      <c r="W700" s="102"/>
      <c r="X700" s="102"/>
      <c r="Y700" s="102"/>
      <c r="Z700" s="102"/>
      <c r="AA700" s="102"/>
      <c r="AB700" s="102"/>
      <c r="AC700" s="102"/>
      <c r="AD700" s="102"/>
      <c r="AE700" s="102"/>
      <c r="AF700" s="102"/>
      <c r="AG700" s="102"/>
      <c r="AH700" s="102"/>
      <c r="AI700" s="102"/>
      <c r="AJ700" s="102"/>
      <c r="AK700" s="102"/>
      <c r="AL700" s="102"/>
      <c r="AM700" s="102"/>
      <c r="AN700" s="102"/>
      <c r="AO700" s="102"/>
      <c r="AP700" s="102"/>
    </row>
    <row r="701" spans="1:42">
      <c r="A701" s="89">
        <v>700</v>
      </c>
      <c r="B701" s="90">
        <v>50113620</v>
      </c>
      <c r="C701" s="91" t="s">
        <v>610</v>
      </c>
      <c r="D701" s="58" t="s">
        <v>845</v>
      </c>
      <c r="E701" s="59">
        <v>34637</v>
      </c>
      <c r="F701" s="92">
        <f ca="1">(TODAY()-Data_Assessment[[#This Row],[BIRTH DATE]])/365.25</f>
        <v>27.389459274469541</v>
      </c>
      <c r="G701" s="62" t="s">
        <v>919</v>
      </c>
      <c r="H701" s="63" t="s">
        <v>1250</v>
      </c>
      <c r="I701" s="106">
        <v>1</v>
      </c>
      <c r="J701" s="64" t="s">
        <v>1503</v>
      </c>
      <c r="K701" s="143">
        <v>2</v>
      </c>
      <c r="L701" s="58"/>
      <c r="M701" s="58"/>
      <c r="N701" s="102"/>
      <c r="O701" s="102"/>
      <c r="P701" s="102"/>
      <c r="Q701" s="102"/>
      <c r="R701" s="102"/>
      <c r="S701" s="102"/>
      <c r="T701" s="102"/>
      <c r="U701" s="102"/>
      <c r="V701" s="102"/>
      <c r="W701" s="102"/>
      <c r="X701" s="102"/>
      <c r="Y701" s="102"/>
      <c r="Z701" s="102"/>
      <c r="AA701" s="102"/>
      <c r="AB701" s="102"/>
      <c r="AC701" s="102"/>
      <c r="AD701" s="102"/>
      <c r="AE701" s="102"/>
      <c r="AF701" s="102"/>
      <c r="AG701" s="102"/>
      <c r="AH701" s="102"/>
      <c r="AI701" s="102"/>
      <c r="AJ701" s="102"/>
      <c r="AK701" s="102"/>
      <c r="AL701" s="102"/>
      <c r="AM701" s="102"/>
      <c r="AN701" s="102"/>
      <c r="AO701" s="102"/>
      <c r="AP701" s="102"/>
    </row>
    <row r="702" spans="1:42">
      <c r="A702" s="89">
        <v>701</v>
      </c>
      <c r="B702" s="90">
        <v>50031047</v>
      </c>
      <c r="C702" s="91" t="s">
        <v>614</v>
      </c>
      <c r="D702" s="58" t="s">
        <v>845</v>
      </c>
      <c r="E702" s="59">
        <v>29112</v>
      </c>
      <c r="F702" s="92">
        <f ca="1">(TODAY()-Data_Assessment[[#This Row],[BIRTH DATE]])/365.25</f>
        <v>42.516084873374403</v>
      </c>
      <c r="G702" s="62" t="s">
        <v>919</v>
      </c>
      <c r="H702" s="63" t="s">
        <v>1337</v>
      </c>
      <c r="I702" s="106">
        <v>1</v>
      </c>
      <c r="J702" s="64" t="s">
        <v>1504</v>
      </c>
      <c r="K702" s="143">
        <v>3</v>
      </c>
      <c r="L702" s="58"/>
      <c r="M702" s="58"/>
      <c r="N702" s="102"/>
      <c r="O702" s="102"/>
      <c r="P702" s="102"/>
      <c r="Q702" s="102"/>
      <c r="R702" s="102"/>
      <c r="S702" s="102"/>
      <c r="T702" s="102"/>
      <c r="U702" s="102"/>
      <c r="V702" s="102"/>
      <c r="W702" s="102"/>
      <c r="X702" s="102"/>
      <c r="Y702" s="102"/>
      <c r="Z702" s="102"/>
      <c r="AA702" s="102"/>
      <c r="AB702" s="102"/>
      <c r="AC702" s="102"/>
      <c r="AD702" s="102"/>
      <c r="AE702" s="102"/>
      <c r="AF702" s="102"/>
      <c r="AG702" s="102"/>
      <c r="AH702" s="102"/>
      <c r="AI702" s="102"/>
      <c r="AJ702" s="102"/>
      <c r="AK702" s="102"/>
      <c r="AL702" s="102"/>
      <c r="AM702" s="102"/>
      <c r="AN702" s="102"/>
      <c r="AO702" s="102"/>
      <c r="AP702" s="102"/>
    </row>
    <row r="703" spans="1:42">
      <c r="A703" s="89">
        <v>702</v>
      </c>
      <c r="B703" s="90">
        <v>50045049</v>
      </c>
      <c r="C703" s="91" t="s">
        <v>615</v>
      </c>
      <c r="D703" s="58" t="s">
        <v>845</v>
      </c>
      <c r="E703" s="59">
        <v>34179</v>
      </c>
      <c r="F703" s="92">
        <f ca="1">(TODAY()-Data_Assessment[[#This Row],[BIRTH DATE]])/365.25</f>
        <v>28.643394934976044</v>
      </c>
      <c r="G703" s="62" t="s">
        <v>919</v>
      </c>
      <c r="H703" s="63" t="s">
        <v>1337</v>
      </c>
      <c r="I703" s="106">
        <v>1</v>
      </c>
      <c r="J703" s="64" t="s">
        <v>1505</v>
      </c>
      <c r="K703" s="143">
        <v>3</v>
      </c>
      <c r="L703" s="58"/>
      <c r="M703" s="58"/>
      <c r="N703" s="102"/>
      <c r="O703" s="102"/>
      <c r="P703" s="102"/>
      <c r="Q703" s="102"/>
      <c r="R703" s="102"/>
      <c r="S703" s="102"/>
      <c r="T703" s="102"/>
      <c r="U703" s="102"/>
      <c r="V703" s="102"/>
      <c r="W703" s="102"/>
      <c r="X703" s="102"/>
      <c r="Y703" s="102"/>
      <c r="Z703" s="102"/>
      <c r="AA703" s="102"/>
      <c r="AB703" s="102"/>
      <c r="AC703" s="102"/>
      <c r="AD703" s="102"/>
      <c r="AE703" s="102"/>
      <c r="AF703" s="102"/>
      <c r="AG703" s="102"/>
      <c r="AH703" s="102"/>
      <c r="AI703" s="102"/>
      <c r="AJ703" s="102"/>
      <c r="AK703" s="102"/>
      <c r="AL703" s="102"/>
      <c r="AM703" s="102"/>
      <c r="AN703" s="102"/>
      <c r="AO703" s="102"/>
      <c r="AP703" s="102"/>
    </row>
    <row r="704" spans="1:42">
      <c r="A704" s="89">
        <v>703</v>
      </c>
      <c r="B704" s="90">
        <v>50087830</v>
      </c>
      <c r="C704" s="91" t="s">
        <v>616</v>
      </c>
      <c r="D704" s="58" t="s">
        <v>845</v>
      </c>
      <c r="E704" s="59">
        <v>24684</v>
      </c>
      <c r="F704" s="92">
        <f ca="1">(TODAY()-Data_Assessment[[#This Row],[BIRTH DATE]])/365.25</f>
        <v>54.639288158795345</v>
      </c>
      <c r="G704" s="62" t="s">
        <v>919</v>
      </c>
      <c r="H704" s="63" t="s">
        <v>1337</v>
      </c>
      <c r="I704" s="106">
        <v>1</v>
      </c>
      <c r="J704" s="64" t="s">
        <v>1340</v>
      </c>
      <c r="K704" s="143">
        <v>2</v>
      </c>
      <c r="L704" s="58"/>
      <c r="M704" s="58"/>
      <c r="N704" s="102"/>
      <c r="O704" s="102"/>
      <c r="P704" s="102"/>
      <c r="Q704" s="102"/>
      <c r="R704" s="102"/>
      <c r="S704" s="102"/>
      <c r="T704" s="102"/>
      <c r="U704" s="102"/>
      <c r="V704" s="102"/>
      <c r="W704" s="102"/>
      <c r="X704" s="102"/>
      <c r="Y704" s="102"/>
      <c r="Z704" s="102"/>
      <c r="AA704" s="102"/>
      <c r="AB704" s="102"/>
      <c r="AC704" s="102"/>
      <c r="AD704" s="102"/>
      <c r="AE704" s="102"/>
      <c r="AF704" s="102"/>
      <c r="AG704" s="102"/>
      <c r="AH704" s="102"/>
      <c r="AI704" s="102"/>
      <c r="AJ704" s="102"/>
      <c r="AK704" s="102"/>
      <c r="AL704" s="102"/>
      <c r="AM704" s="102"/>
      <c r="AN704" s="102"/>
      <c r="AO704" s="102"/>
      <c r="AP704" s="102"/>
    </row>
    <row r="705" spans="1:42">
      <c r="A705" s="89">
        <v>704</v>
      </c>
      <c r="B705" s="90">
        <v>50030723</v>
      </c>
      <c r="C705" s="91" t="s">
        <v>617</v>
      </c>
      <c r="D705" s="58" t="s">
        <v>845</v>
      </c>
      <c r="E705" s="59">
        <v>25411</v>
      </c>
      <c r="F705" s="92">
        <f ca="1">(TODAY()-Data_Assessment[[#This Row],[BIRTH DATE]])/365.25</f>
        <v>52.648870636550306</v>
      </c>
      <c r="G705" s="62" t="s">
        <v>919</v>
      </c>
      <c r="H705" s="63" t="s">
        <v>1337</v>
      </c>
      <c r="I705" s="106">
        <v>1</v>
      </c>
      <c r="J705" s="64" t="s">
        <v>1340</v>
      </c>
      <c r="K705" s="143">
        <v>4</v>
      </c>
      <c r="L705" s="58"/>
      <c r="M705" s="58"/>
      <c r="N705" s="102"/>
      <c r="O705" s="102"/>
      <c r="P705" s="102"/>
      <c r="Q705" s="102"/>
      <c r="R705" s="102"/>
      <c r="S705" s="102"/>
      <c r="T705" s="102"/>
      <c r="U705" s="102"/>
      <c r="V705" s="102"/>
      <c r="W705" s="102"/>
      <c r="X705" s="102"/>
      <c r="Y705" s="102"/>
      <c r="Z705" s="102"/>
      <c r="AA705" s="102"/>
      <c r="AB705" s="102"/>
      <c r="AC705" s="102"/>
      <c r="AD705" s="102"/>
      <c r="AE705" s="102"/>
      <c r="AF705" s="102"/>
      <c r="AG705" s="102"/>
      <c r="AH705" s="102"/>
      <c r="AI705" s="102"/>
      <c r="AJ705" s="102"/>
      <c r="AK705" s="102"/>
      <c r="AL705" s="102"/>
      <c r="AM705" s="102"/>
      <c r="AN705" s="102"/>
      <c r="AO705" s="102"/>
      <c r="AP705" s="102"/>
    </row>
    <row r="706" spans="1:42">
      <c r="A706" s="89">
        <v>705</v>
      </c>
      <c r="B706" s="90">
        <v>50038001</v>
      </c>
      <c r="C706" s="91" t="s">
        <v>622</v>
      </c>
      <c r="D706" s="58" t="s">
        <v>845</v>
      </c>
      <c r="E706" s="59">
        <v>26577</v>
      </c>
      <c r="F706" s="92">
        <f ca="1">(TODAY()-Data_Assessment[[#This Row],[BIRTH DATE]])/365.25</f>
        <v>49.456536618754278</v>
      </c>
      <c r="G706" s="62" t="s">
        <v>919</v>
      </c>
      <c r="H706" s="63" t="s">
        <v>1341</v>
      </c>
      <c r="I706" s="106">
        <v>1</v>
      </c>
      <c r="J706" s="64" t="s">
        <v>1506</v>
      </c>
      <c r="K706" s="143">
        <v>2</v>
      </c>
      <c r="L706" s="58"/>
      <c r="M706" s="58"/>
      <c r="N706" s="102"/>
      <c r="O706" s="102"/>
      <c r="P706" s="102"/>
      <c r="Q706" s="102"/>
      <c r="R706" s="102"/>
      <c r="S706" s="102"/>
      <c r="T706" s="102"/>
      <c r="U706" s="102"/>
      <c r="V706" s="102"/>
      <c r="W706" s="102"/>
      <c r="X706" s="102"/>
      <c r="Y706" s="102"/>
      <c r="Z706" s="102"/>
      <c r="AA706" s="102"/>
      <c r="AB706" s="102"/>
      <c r="AC706" s="102"/>
      <c r="AD706" s="102"/>
      <c r="AE706" s="102"/>
      <c r="AF706" s="102"/>
      <c r="AG706" s="102"/>
      <c r="AH706" s="102"/>
      <c r="AI706" s="102"/>
      <c r="AJ706" s="102"/>
      <c r="AK706" s="102"/>
      <c r="AL706" s="102"/>
      <c r="AM706" s="102"/>
      <c r="AN706" s="102"/>
      <c r="AO706" s="102"/>
      <c r="AP706" s="102"/>
    </row>
    <row r="707" spans="1:42">
      <c r="A707" s="89">
        <v>706</v>
      </c>
      <c r="B707" s="90">
        <v>50138334</v>
      </c>
      <c r="C707" s="91" t="s">
        <v>877</v>
      </c>
      <c r="D707" s="58" t="s">
        <v>845</v>
      </c>
      <c r="E707" s="59">
        <v>33606</v>
      </c>
      <c r="F707" s="92">
        <f ca="1">(TODAY()-Data_Assessment[[#This Row],[BIRTH DATE]])/365.25</f>
        <v>30.212183436002739</v>
      </c>
      <c r="G707" s="62" t="s">
        <v>919</v>
      </c>
      <c r="H707" s="63" t="s">
        <v>1341</v>
      </c>
      <c r="I707" s="106">
        <v>1</v>
      </c>
      <c r="J707" s="64" t="s">
        <v>1507</v>
      </c>
      <c r="K707" s="143">
        <v>2</v>
      </c>
      <c r="L707" s="58"/>
      <c r="M707" s="58"/>
      <c r="N707" s="102"/>
      <c r="O707" s="102"/>
      <c r="P707" s="102"/>
      <c r="Q707" s="102"/>
      <c r="R707" s="102"/>
      <c r="S707" s="102"/>
      <c r="T707" s="102"/>
      <c r="U707" s="102"/>
      <c r="V707" s="102"/>
      <c r="W707" s="102"/>
      <c r="X707" s="102"/>
      <c r="Y707" s="102"/>
      <c r="Z707" s="102"/>
      <c r="AA707" s="102"/>
      <c r="AB707" s="102"/>
      <c r="AC707" s="102"/>
      <c r="AD707" s="102"/>
      <c r="AE707" s="102"/>
      <c r="AF707" s="102"/>
      <c r="AG707" s="102"/>
      <c r="AH707" s="102"/>
      <c r="AI707" s="102"/>
      <c r="AJ707" s="102"/>
      <c r="AK707" s="102"/>
      <c r="AL707" s="102"/>
      <c r="AM707" s="102"/>
      <c r="AN707" s="102"/>
      <c r="AO707" s="102"/>
      <c r="AP707" s="102"/>
    </row>
    <row r="708" spans="1:42">
      <c r="A708" s="89">
        <v>707</v>
      </c>
      <c r="B708" s="90">
        <v>50030748</v>
      </c>
      <c r="C708" s="91" t="s">
        <v>877</v>
      </c>
      <c r="D708" s="58" t="s">
        <v>845</v>
      </c>
      <c r="E708" s="59">
        <v>27431</v>
      </c>
      <c r="F708" s="92">
        <f ca="1">(TODAY()-Data_Assessment[[#This Row],[BIRTH DATE]])/365.25</f>
        <v>47.118412046543462</v>
      </c>
      <c r="G708" s="62" t="s">
        <v>919</v>
      </c>
      <c r="H708" s="63" t="s">
        <v>1508</v>
      </c>
      <c r="I708" s="106">
        <v>1</v>
      </c>
      <c r="J708" s="64" t="s">
        <v>1507</v>
      </c>
      <c r="K708" s="143">
        <v>2</v>
      </c>
      <c r="L708" s="58"/>
      <c r="M708" s="58"/>
      <c r="N708" s="102"/>
      <c r="O708" s="102"/>
      <c r="P708" s="102"/>
      <c r="Q708" s="102"/>
      <c r="R708" s="102"/>
      <c r="S708" s="102"/>
      <c r="T708" s="102"/>
      <c r="U708" s="102"/>
      <c r="V708" s="102"/>
      <c r="W708" s="102"/>
      <c r="X708" s="102"/>
      <c r="Y708" s="102"/>
      <c r="Z708" s="102"/>
      <c r="AA708" s="102"/>
      <c r="AB708" s="102"/>
      <c r="AC708" s="102"/>
      <c r="AD708" s="102"/>
      <c r="AE708" s="102"/>
      <c r="AF708" s="102"/>
      <c r="AG708" s="102"/>
      <c r="AH708" s="102"/>
      <c r="AI708" s="102"/>
      <c r="AJ708" s="102"/>
      <c r="AK708" s="102"/>
      <c r="AL708" s="102"/>
      <c r="AM708" s="102"/>
      <c r="AN708" s="102"/>
      <c r="AO708" s="102"/>
      <c r="AP708" s="102"/>
    </row>
    <row r="709" spans="1:42">
      <c r="A709" s="89">
        <v>708</v>
      </c>
      <c r="B709" s="90">
        <v>50089068</v>
      </c>
      <c r="C709" s="91" t="s">
        <v>631</v>
      </c>
      <c r="D709" s="58" t="s">
        <v>845</v>
      </c>
      <c r="E709" s="59">
        <v>33139</v>
      </c>
      <c r="F709" s="92">
        <f ca="1">(TODAY()-Data_Assessment[[#This Row],[BIRTH DATE]])/365.25</f>
        <v>31.49075975359343</v>
      </c>
      <c r="G709" s="62" t="s">
        <v>919</v>
      </c>
      <c r="H709" s="63" t="s">
        <v>1348</v>
      </c>
      <c r="I709" s="106">
        <v>1</v>
      </c>
      <c r="J709" s="64" t="s">
        <v>1509</v>
      </c>
      <c r="K709" s="143">
        <v>3</v>
      </c>
      <c r="L709" s="58"/>
      <c r="M709" s="58"/>
      <c r="N709" s="102"/>
      <c r="O709" s="102"/>
      <c r="P709" s="102"/>
      <c r="Q709" s="102"/>
      <c r="R709" s="102"/>
      <c r="S709" s="102"/>
      <c r="T709" s="102"/>
      <c r="U709" s="102"/>
      <c r="V709" s="102"/>
      <c r="W709" s="102"/>
      <c r="X709" s="102"/>
      <c r="Y709" s="102"/>
      <c r="Z709" s="102"/>
      <c r="AA709" s="102"/>
      <c r="AB709" s="102"/>
      <c r="AC709" s="102"/>
      <c r="AD709" s="102"/>
      <c r="AE709" s="102"/>
      <c r="AF709" s="102"/>
      <c r="AG709" s="102"/>
      <c r="AH709" s="102"/>
      <c r="AI709" s="102"/>
      <c r="AJ709" s="102"/>
      <c r="AK709" s="102"/>
      <c r="AL709" s="102"/>
      <c r="AM709" s="102"/>
      <c r="AN709" s="102"/>
      <c r="AO709" s="102"/>
      <c r="AP709" s="102"/>
    </row>
    <row r="710" spans="1:42">
      <c r="A710" s="89">
        <v>709</v>
      </c>
      <c r="B710" s="90">
        <v>50030652</v>
      </c>
      <c r="C710" s="91" t="s">
        <v>867</v>
      </c>
      <c r="D710" s="58" t="s">
        <v>845</v>
      </c>
      <c r="E710" s="59">
        <v>27905</v>
      </c>
      <c r="F710" s="92">
        <f ca="1">(TODAY()-Data_Assessment[[#This Row],[BIRTH DATE]])/365.25</f>
        <v>45.820670773442849</v>
      </c>
      <c r="G710" s="62" t="s">
        <v>919</v>
      </c>
      <c r="H710" s="63" t="s">
        <v>1348</v>
      </c>
      <c r="I710" s="106">
        <v>1</v>
      </c>
      <c r="J710" s="64" t="s">
        <v>1510</v>
      </c>
      <c r="K710" s="143">
        <v>4</v>
      </c>
      <c r="L710" s="58"/>
      <c r="M710" s="58"/>
      <c r="N710" s="102"/>
      <c r="O710" s="102"/>
      <c r="P710" s="102"/>
      <c r="Q710" s="102"/>
      <c r="R710" s="102"/>
      <c r="S710" s="102"/>
      <c r="T710" s="102"/>
      <c r="U710" s="102"/>
      <c r="V710" s="102"/>
      <c r="W710" s="102"/>
      <c r="X710" s="102"/>
      <c r="Y710" s="102"/>
      <c r="Z710" s="102"/>
      <c r="AA710" s="102"/>
      <c r="AB710" s="102"/>
      <c r="AC710" s="102"/>
      <c r="AD710" s="102"/>
      <c r="AE710" s="102"/>
      <c r="AF710" s="102"/>
      <c r="AG710" s="102"/>
      <c r="AH710" s="102"/>
      <c r="AI710" s="102"/>
      <c r="AJ710" s="102"/>
      <c r="AK710" s="102"/>
      <c r="AL710" s="102"/>
      <c r="AM710" s="102"/>
      <c r="AN710" s="102"/>
      <c r="AO710" s="102"/>
      <c r="AP710" s="102"/>
    </row>
    <row r="711" spans="1:42">
      <c r="A711" s="89">
        <v>710</v>
      </c>
      <c r="B711" s="90">
        <v>50085980</v>
      </c>
      <c r="C711" s="91" t="s">
        <v>633</v>
      </c>
      <c r="D711" s="58" t="s">
        <v>845</v>
      </c>
      <c r="E711" s="59">
        <v>27124</v>
      </c>
      <c r="F711" s="92">
        <f ca="1">(TODAY()-Data_Assessment[[#This Row],[BIRTH DATE]])/365.25</f>
        <v>47.958932238193022</v>
      </c>
      <c r="G711" s="62" t="s">
        <v>919</v>
      </c>
      <c r="H711" s="63" t="s">
        <v>1352</v>
      </c>
      <c r="I711" s="106">
        <v>1</v>
      </c>
      <c r="J711" s="64" t="s">
        <v>1511</v>
      </c>
      <c r="K711" s="143">
        <v>4</v>
      </c>
      <c r="L711" s="58"/>
      <c r="M711" s="58"/>
      <c r="N711" s="102"/>
      <c r="O711" s="102"/>
      <c r="P711" s="102"/>
      <c r="Q711" s="102"/>
      <c r="R711" s="102"/>
      <c r="S711" s="102"/>
      <c r="T711" s="102"/>
      <c r="U711" s="102"/>
      <c r="V711" s="102"/>
      <c r="W711" s="102"/>
      <c r="X711" s="102"/>
      <c r="Y711" s="102"/>
      <c r="Z711" s="102"/>
      <c r="AA711" s="102"/>
      <c r="AB711" s="102"/>
      <c r="AC711" s="102"/>
      <c r="AD711" s="102"/>
      <c r="AE711" s="102"/>
      <c r="AF711" s="102"/>
      <c r="AG711" s="102"/>
      <c r="AH711" s="102"/>
      <c r="AI711" s="102"/>
      <c r="AJ711" s="102"/>
      <c r="AK711" s="102"/>
      <c r="AL711" s="102"/>
      <c r="AM711" s="102"/>
      <c r="AN711" s="102"/>
      <c r="AO711" s="102"/>
      <c r="AP711" s="102"/>
    </row>
    <row r="712" spans="1:42">
      <c r="A712" s="89">
        <v>711</v>
      </c>
      <c r="B712" s="90">
        <v>50037960</v>
      </c>
      <c r="C712" s="91" t="s">
        <v>636</v>
      </c>
      <c r="D712" s="58" t="s">
        <v>846</v>
      </c>
      <c r="E712" s="59">
        <v>26645</v>
      </c>
      <c r="F712" s="92">
        <f ca="1">(TODAY()-Data_Assessment[[#This Row],[BIRTH DATE]])/365.25</f>
        <v>49.270362765229294</v>
      </c>
      <c r="G712" s="62" t="s">
        <v>919</v>
      </c>
      <c r="H712" s="63" t="s">
        <v>1352</v>
      </c>
      <c r="I712" s="106">
        <v>1</v>
      </c>
      <c r="J712" s="64" t="s">
        <v>1512</v>
      </c>
      <c r="K712" s="143">
        <v>3</v>
      </c>
      <c r="L712" s="58"/>
      <c r="M712" s="58"/>
      <c r="N712" s="102"/>
      <c r="O712" s="102"/>
      <c r="P712" s="102"/>
      <c r="Q712" s="102"/>
      <c r="R712" s="102"/>
      <c r="S712" s="102"/>
      <c r="T712" s="102"/>
      <c r="U712" s="102"/>
      <c r="V712" s="102"/>
      <c r="W712" s="102"/>
      <c r="X712" s="102"/>
      <c r="Y712" s="102"/>
      <c r="Z712" s="102"/>
      <c r="AA712" s="102"/>
      <c r="AB712" s="102"/>
      <c r="AC712" s="102"/>
      <c r="AD712" s="102"/>
      <c r="AE712" s="102"/>
      <c r="AF712" s="102"/>
      <c r="AG712" s="102"/>
      <c r="AH712" s="102"/>
      <c r="AI712" s="102"/>
      <c r="AJ712" s="102"/>
      <c r="AK712" s="102"/>
      <c r="AL712" s="102"/>
      <c r="AM712" s="102"/>
      <c r="AN712" s="102"/>
      <c r="AO712" s="102"/>
      <c r="AP712" s="102"/>
    </row>
    <row r="713" spans="1:42">
      <c r="A713" s="89">
        <v>712</v>
      </c>
      <c r="B713" s="90">
        <v>50031458</v>
      </c>
      <c r="C713" s="91" t="s">
        <v>640</v>
      </c>
      <c r="D713" s="58" t="s">
        <v>845</v>
      </c>
      <c r="E713" s="59">
        <v>25785</v>
      </c>
      <c r="F713" s="92">
        <f ca="1">(TODAY()-Data_Assessment[[#This Row],[BIRTH DATE]])/365.25</f>
        <v>51.624914442162904</v>
      </c>
      <c r="G713" s="62" t="s">
        <v>919</v>
      </c>
      <c r="H713" s="63" t="s">
        <v>1255</v>
      </c>
      <c r="I713" s="106">
        <v>1</v>
      </c>
      <c r="J713" s="64" t="s">
        <v>1513</v>
      </c>
      <c r="K713" s="143">
        <v>4</v>
      </c>
      <c r="L713" s="58"/>
      <c r="M713" s="58"/>
      <c r="N713" s="102"/>
      <c r="O713" s="102"/>
      <c r="P713" s="102"/>
      <c r="Q713" s="102"/>
      <c r="R713" s="102"/>
      <c r="S713" s="102"/>
      <c r="T713" s="102"/>
      <c r="U713" s="102"/>
      <c r="V713" s="102"/>
      <c r="W713" s="102"/>
      <c r="X713" s="102"/>
      <c r="Y713" s="102"/>
      <c r="Z713" s="102"/>
      <c r="AA713" s="102"/>
      <c r="AB713" s="102"/>
      <c r="AC713" s="102"/>
      <c r="AD713" s="102"/>
      <c r="AE713" s="102"/>
      <c r="AF713" s="102"/>
      <c r="AG713" s="102"/>
      <c r="AH713" s="102"/>
      <c r="AI713" s="102"/>
      <c r="AJ713" s="102"/>
      <c r="AK713" s="102"/>
      <c r="AL713" s="102"/>
      <c r="AM713" s="102"/>
      <c r="AN713" s="102"/>
      <c r="AO713" s="102"/>
      <c r="AP713" s="102"/>
    </row>
    <row r="714" spans="1:42">
      <c r="A714" s="89">
        <v>713</v>
      </c>
      <c r="B714" s="90">
        <v>50085981</v>
      </c>
      <c r="C714" s="91" t="s">
        <v>641</v>
      </c>
      <c r="D714" s="58" t="s">
        <v>845</v>
      </c>
      <c r="E714" s="59">
        <v>30804</v>
      </c>
      <c r="F714" s="92">
        <f ca="1">(TODAY()-Data_Assessment[[#This Row],[BIRTH DATE]])/365.25</f>
        <v>37.883641341546884</v>
      </c>
      <c r="G714" s="62" t="s">
        <v>919</v>
      </c>
      <c r="H714" s="63" t="s">
        <v>1255</v>
      </c>
      <c r="I714" s="106">
        <v>1</v>
      </c>
      <c r="J714" s="64" t="s">
        <v>1514</v>
      </c>
      <c r="K714" s="143">
        <v>3</v>
      </c>
      <c r="L714" s="58"/>
      <c r="M714" s="58"/>
      <c r="N714" s="102"/>
      <c r="O714" s="102"/>
      <c r="P714" s="102"/>
      <c r="Q714" s="102"/>
      <c r="R714" s="102"/>
      <c r="S714" s="102"/>
      <c r="T714" s="102"/>
      <c r="U714" s="102"/>
      <c r="V714" s="102"/>
      <c r="W714" s="102"/>
      <c r="X714" s="102"/>
      <c r="Y714" s="102"/>
      <c r="Z714" s="102"/>
      <c r="AA714" s="102"/>
      <c r="AB714" s="102"/>
      <c r="AC714" s="102"/>
      <c r="AD714" s="102"/>
      <c r="AE714" s="102"/>
      <c r="AF714" s="102"/>
      <c r="AG714" s="102"/>
      <c r="AH714" s="102"/>
      <c r="AI714" s="102"/>
      <c r="AJ714" s="102"/>
      <c r="AK714" s="102"/>
      <c r="AL714" s="102"/>
      <c r="AM714" s="102"/>
      <c r="AN714" s="102"/>
      <c r="AO714" s="102"/>
      <c r="AP714" s="102"/>
    </row>
    <row r="715" spans="1:42">
      <c r="A715" s="89">
        <v>714</v>
      </c>
      <c r="B715" s="90">
        <v>50085977</v>
      </c>
      <c r="C715" s="91" t="s">
        <v>645</v>
      </c>
      <c r="D715" s="58" t="s">
        <v>845</v>
      </c>
      <c r="E715" s="59">
        <v>26094</v>
      </c>
      <c r="F715" s="92">
        <f ca="1">(TODAY()-Data_Assessment[[#This Row],[BIRTH DATE]])/365.25</f>
        <v>50.778918548939082</v>
      </c>
      <c r="G715" s="62" t="s">
        <v>919</v>
      </c>
      <c r="H715" s="63" t="s">
        <v>957</v>
      </c>
      <c r="I715" s="106">
        <v>1</v>
      </c>
      <c r="J715" s="64" t="s">
        <v>1091</v>
      </c>
      <c r="K715" s="143">
        <v>2</v>
      </c>
      <c r="L715" s="58"/>
      <c r="M715" s="58"/>
      <c r="N715" s="102"/>
      <c r="O715" s="102"/>
      <c r="P715" s="102"/>
      <c r="Q715" s="102"/>
      <c r="R715" s="102"/>
      <c r="S715" s="102"/>
      <c r="T715" s="102"/>
      <c r="U715" s="102"/>
      <c r="V715" s="102"/>
      <c r="W715" s="102"/>
      <c r="X715" s="102"/>
      <c r="Y715" s="102"/>
      <c r="Z715" s="102"/>
      <c r="AA715" s="102"/>
      <c r="AB715" s="102"/>
      <c r="AC715" s="102"/>
      <c r="AD715" s="102"/>
      <c r="AE715" s="102"/>
      <c r="AF715" s="102"/>
      <c r="AG715" s="102"/>
      <c r="AH715" s="102"/>
      <c r="AI715" s="102"/>
      <c r="AJ715" s="102"/>
      <c r="AK715" s="102"/>
      <c r="AL715" s="102"/>
      <c r="AM715" s="102"/>
      <c r="AN715" s="102"/>
      <c r="AO715" s="102"/>
      <c r="AP715" s="102"/>
    </row>
    <row r="716" spans="1:42">
      <c r="A716" s="89">
        <v>715</v>
      </c>
      <c r="B716" s="90">
        <v>50133261</v>
      </c>
      <c r="C716" s="91" t="s">
        <v>875</v>
      </c>
      <c r="D716" s="58" t="s">
        <v>845</v>
      </c>
      <c r="E716" s="59">
        <v>35153</v>
      </c>
      <c r="F716" s="92">
        <f ca="1">(TODAY()-Data_Assessment[[#This Row],[BIRTH DATE]])/365.25</f>
        <v>25.976728268309376</v>
      </c>
      <c r="G716" s="62" t="s">
        <v>919</v>
      </c>
      <c r="H716" s="63" t="s">
        <v>957</v>
      </c>
      <c r="I716" s="106">
        <v>1</v>
      </c>
      <c r="J716" s="64" t="s">
        <v>1254</v>
      </c>
      <c r="K716" s="143">
        <v>2</v>
      </c>
      <c r="L716" s="58"/>
      <c r="M716" s="58"/>
      <c r="N716" s="102"/>
      <c r="O716" s="102"/>
      <c r="P716" s="102"/>
      <c r="Q716" s="102"/>
      <c r="R716" s="102"/>
      <c r="S716" s="102"/>
      <c r="T716" s="102"/>
      <c r="U716" s="102"/>
      <c r="V716" s="102"/>
      <c r="W716" s="102"/>
      <c r="X716" s="102"/>
      <c r="Y716" s="102"/>
      <c r="Z716" s="102"/>
      <c r="AA716" s="102"/>
      <c r="AB716" s="102"/>
      <c r="AC716" s="102"/>
      <c r="AD716" s="102"/>
      <c r="AE716" s="102"/>
      <c r="AF716" s="102"/>
      <c r="AG716" s="102"/>
      <c r="AH716" s="102"/>
      <c r="AI716" s="102"/>
      <c r="AJ716" s="102"/>
      <c r="AK716" s="102"/>
      <c r="AL716" s="102"/>
      <c r="AM716" s="102"/>
      <c r="AN716" s="102"/>
      <c r="AO716" s="102"/>
      <c r="AP716" s="102"/>
    </row>
    <row r="717" spans="1:42">
      <c r="A717" s="89">
        <v>716</v>
      </c>
      <c r="B717" s="90">
        <v>50096044</v>
      </c>
      <c r="C717" s="91" t="s">
        <v>649</v>
      </c>
      <c r="D717" s="58" t="s">
        <v>845</v>
      </c>
      <c r="E717" s="59">
        <v>32726</v>
      </c>
      <c r="F717" s="92">
        <f ca="1">(TODAY()-Data_Assessment[[#This Row],[BIRTH DATE]])/365.25</f>
        <v>32.621492128678987</v>
      </c>
      <c r="G717" s="62" t="s">
        <v>919</v>
      </c>
      <c r="H717" s="63" t="s">
        <v>1255</v>
      </c>
      <c r="I717" s="106">
        <v>1</v>
      </c>
      <c r="J717" s="64" t="s">
        <v>1515</v>
      </c>
      <c r="K717" s="143">
        <v>3</v>
      </c>
      <c r="L717" s="58"/>
      <c r="M717" s="58"/>
      <c r="N717" s="102"/>
      <c r="O717" s="102"/>
      <c r="P717" s="102"/>
      <c r="Q717" s="102"/>
      <c r="R717" s="102"/>
      <c r="S717" s="102"/>
      <c r="T717" s="102"/>
      <c r="U717" s="102"/>
      <c r="V717" s="102"/>
      <c r="W717" s="102"/>
      <c r="X717" s="102"/>
      <c r="Y717" s="102"/>
      <c r="Z717" s="102"/>
      <c r="AA717" s="102"/>
      <c r="AB717" s="102"/>
      <c r="AC717" s="102"/>
      <c r="AD717" s="102"/>
      <c r="AE717" s="102"/>
      <c r="AF717" s="102"/>
      <c r="AG717" s="102"/>
      <c r="AH717" s="102"/>
      <c r="AI717" s="102"/>
      <c r="AJ717" s="102"/>
      <c r="AK717" s="102"/>
      <c r="AL717" s="102"/>
      <c r="AM717" s="102"/>
      <c r="AN717" s="102"/>
      <c r="AO717" s="102"/>
      <c r="AP717" s="102"/>
    </row>
    <row r="718" spans="1:42">
      <c r="A718" s="89">
        <v>717</v>
      </c>
      <c r="B718" s="90">
        <v>50031508</v>
      </c>
      <c r="C718" s="91" t="s">
        <v>602</v>
      </c>
      <c r="D718" s="58" t="s">
        <v>845</v>
      </c>
      <c r="E718" s="59">
        <v>24740</v>
      </c>
      <c r="F718" s="92">
        <f ca="1">(TODAY()-Data_Assessment[[#This Row],[BIRTH DATE]])/365.25</f>
        <v>54.48596851471595</v>
      </c>
      <c r="G718" s="62" t="s">
        <v>919</v>
      </c>
      <c r="H718" s="63" t="s">
        <v>1341</v>
      </c>
      <c r="I718" s="106">
        <v>1</v>
      </c>
      <c r="J718" s="64" t="s">
        <v>1499</v>
      </c>
      <c r="K718" s="143">
        <v>2</v>
      </c>
      <c r="L718" s="58"/>
      <c r="M718" s="58"/>
      <c r="N718" s="102"/>
      <c r="O718" s="102"/>
      <c r="P718" s="102"/>
      <c r="Q718" s="102"/>
      <c r="R718" s="102"/>
      <c r="S718" s="102"/>
      <c r="T718" s="102"/>
      <c r="U718" s="102"/>
      <c r="V718" s="102"/>
      <c r="W718" s="102"/>
      <c r="X718" s="102"/>
      <c r="Y718" s="102"/>
      <c r="Z718" s="102"/>
      <c r="AA718" s="102"/>
      <c r="AB718" s="102"/>
      <c r="AC718" s="102"/>
      <c r="AD718" s="102"/>
      <c r="AE718" s="102"/>
      <c r="AF718" s="102"/>
      <c r="AG718" s="102"/>
      <c r="AH718" s="102"/>
      <c r="AI718" s="102"/>
      <c r="AJ718" s="102"/>
      <c r="AK718" s="102"/>
      <c r="AL718" s="102"/>
      <c r="AM718" s="102"/>
      <c r="AN718" s="102"/>
      <c r="AO718" s="102"/>
      <c r="AP718" s="102"/>
    </row>
    <row r="719" spans="1:42">
      <c r="A719" s="89">
        <v>718</v>
      </c>
      <c r="B719" s="90">
        <v>50045945</v>
      </c>
      <c r="C719" s="91" t="s">
        <v>652</v>
      </c>
      <c r="D719" s="58" t="s">
        <v>845</v>
      </c>
      <c r="E719" s="59">
        <v>33473</v>
      </c>
      <c r="F719" s="92">
        <f ca="1">(TODAY()-Data_Assessment[[#This Row],[BIRTH DATE]])/365.25</f>
        <v>30.576317590691307</v>
      </c>
      <c r="G719" s="62" t="s">
        <v>895</v>
      </c>
      <c r="H719" s="63" t="s">
        <v>1255</v>
      </c>
      <c r="I719" s="106">
        <v>1</v>
      </c>
      <c r="J719" s="64" t="s">
        <v>1256</v>
      </c>
      <c r="K719" s="143">
        <v>2</v>
      </c>
      <c r="L719" s="58"/>
      <c r="M719" s="58"/>
      <c r="N719" s="102"/>
      <c r="O719" s="102"/>
      <c r="P719" s="102"/>
      <c r="Q719" s="102"/>
      <c r="R719" s="102"/>
      <c r="S719" s="102"/>
      <c r="T719" s="102"/>
      <c r="U719" s="102"/>
      <c r="V719" s="102"/>
      <c r="W719" s="102"/>
      <c r="X719" s="102"/>
      <c r="Y719" s="102"/>
      <c r="Z719" s="102"/>
      <c r="AA719" s="102"/>
      <c r="AB719" s="102"/>
      <c r="AC719" s="102"/>
      <c r="AD719" s="102"/>
      <c r="AE719" s="102"/>
      <c r="AF719" s="102"/>
      <c r="AG719" s="102"/>
      <c r="AH719" s="102"/>
      <c r="AI719" s="102"/>
      <c r="AJ719" s="102"/>
      <c r="AK719" s="102"/>
      <c r="AL719" s="102"/>
      <c r="AM719" s="102"/>
      <c r="AN719" s="102"/>
      <c r="AO719" s="102"/>
      <c r="AP719" s="102"/>
    </row>
    <row r="720" spans="1:42">
      <c r="A720" s="89">
        <v>719</v>
      </c>
      <c r="B720" s="90">
        <v>50089066</v>
      </c>
      <c r="C720" s="91" t="s">
        <v>653</v>
      </c>
      <c r="D720" s="58" t="s">
        <v>845</v>
      </c>
      <c r="E720" s="59">
        <v>31944</v>
      </c>
      <c r="F720" s="92">
        <f ca="1">(TODAY()-Data_Assessment[[#This Row],[BIRTH DATE]])/365.25</f>
        <v>34.762491444216288</v>
      </c>
      <c r="G720" s="62" t="s">
        <v>895</v>
      </c>
      <c r="H720" s="63" t="s">
        <v>1255</v>
      </c>
      <c r="I720" s="106">
        <v>1</v>
      </c>
      <c r="J720" s="64" t="s">
        <v>1516</v>
      </c>
      <c r="K720" s="143">
        <v>3</v>
      </c>
      <c r="L720" s="58"/>
      <c r="M720" s="58"/>
      <c r="N720" s="102"/>
      <c r="O720" s="102"/>
      <c r="P720" s="102"/>
      <c r="Q720" s="102"/>
      <c r="R720" s="102"/>
      <c r="S720" s="102"/>
      <c r="T720" s="102"/>
      <c r="U720" s="102"/>
      <c r="V720" s="102"/>
      <c r="W720" s="102"/>
      <c r="X720" s="102"/>
      <c r="Y720" s="102"/>
      <c r="Z720" s="102"/>
      <c r="AA720" s="102"/>
      <c r="AB720" s="102"/>
      <c r="AC720" s="102"/>
      <c r="AD720" s="102"/>
      <c r="AE720" s="102"/>
      <c r="AF720" s="102"/>
      <c r="AG720" s="102"/>
      <c r="AH720" s="102"/>
      <c r="AI720" s="102"/>
      <c r="AJ720" s="102"/>
      <c r="AK720" s="102"/>
      <c r="AL720" s="102"/>
      <c r="AM720" s="102"/>
      <c r="AN720" s="102"/>
      <c r="AO720" s="102"/>
      <c r="AP720" s="102"/>
    </row>
    <row r="721" spans="1:42">
      <c r="A721" s="89">
        <v>720</v>
      </c>
      <c r="B721" s="90">
        <v>50035786</v>
      </c>
      <c r="C721" s="91" t="s">
        <v>655</v>
      </c>
      <c r="D721" s="58" t="s">
        <v>845</v>
      </c>
      <c r="E721" s="59">
        <v>31847</v>
      </c>
      <c r="F721" s="92">
        <f ca="1">(TODAY()-Data_Assessment[[#This Row],[BIRTH DATE]])/365.25</f>
        <v>35.028062970568101</v>
      </c>
      <c r="G721" s="62" t="s">
        <v>919</v>
      </c>
      <c r="H721" s="63" t="s">
        <v>1365</v>
      </c>
      <c r="I721" s="106">
        <v>1</v>
      </c>
      <c r="J721" s="64" t="s">
        <v>1517</v>
      </c>
      <c r="K721" s="143">
        <v>4</v>
      </c>
      <c r="L721" s="58"/>
      <c r="M721" s="58"/>
      <c r="N721" s="102"/>
      <c r="O721" s="102"/>
      <c r="P721" s="102"/>
      <c r="Q721" s="102"/>
      <c r="R721" s="102"/>
      <c r="S721" s="102"/>
      <c r="T721" s="102"/>
      <c r="U721" s="102"/>
      <c r="V721" s="102"/>
      <c r="W721" s="102"/>
      <c r="X721" s="102"/>
      <c r="Y721" s="102"/>
      <c r="Z721" s="102"/>
      <c r="AA721" s="102"/>
      <c r="AB721" s="102"/>
      <c r="AC721" s="102"/>
      <c r="AD721" s="102"/>
      <c r="AE721" s="102"/>
      <c r="AF721" s="102"/>
      <c r="AG721" s="102"/>
      <c r="AH721" s="102"/>
      <c r="AI721" s="102"/>
      <c r="AJ721" s="102"/>
      <c r="AK721" s="102"/>
      <c r="AL721" s="102"/>
      <c r="AM721" s="102"/>
      <c r="AN721" s="102"/>
      <c r="AO721" s="102"/>
      <c r="AP721" s="102"/>
    </row>
    <row r="722" spans="1:42">
      <c r="A722" s="89">
        <v>721</v>
      </c>
      <c r="B722" s="90">
        <v>50030659</v>
      </c>
      <c r="C722" s="91" t="s">
        <v>660</v>
      </c>
      <c r="D722" s="58" t="s">
        <v>845</v>
      </c>
      <c r="E722" s="59">
        <v>29917</v>
      </c>
      <c r="F722" s="92">
        <f ca="1">(TODAY()-Data_Assessment[[#This Row],[BIRTH DATE]])/365.25</f>
        <v>40.312114989733061</v>
      </c>
      <c r="G722" s="62" t="s">
        <v>919</v>
      </c>
      <c r="H722" s="63" t="s">
        <v>1370</v>
      </c>
      <c r="I722" s="106">
        <v>1</v>
      </c>
      <c r="J722" s="64" t="s">
        <v>1518</v>
      </c>
      <c r="K722" s="143">
        <v>2</v>
      </c>
      <c r="L722" s="58"/>
      <c r="M722" s="58"/>
      <c r="N722" s="102"/>
      <c r="O722" s="102"/>
      <c r="P722" s="102"/>
      <c r="Q722" s="102"/>
      <c r="R722" s="102"/>
      <c r="S722" s="102"/>
      <c r="T722" s="102"/>
      <c r="U722" s="102"/>
      <c r="V722" s="102"/>
      <c r="W722" s="102"/>
      <c r="X722" s="102"/>
      <c r="Y722" s="102"/>
      <c r="Z722" s="102"/>
      <c r="AA722" s="102"/>
      <c r="AB722" s="102"/>
      <c r="AC722" s="102"/>
      <c r="AD722" s="102"/>
      <c r="AE722" s="102"/>
      <c r="AF722" s="102"/>
      <c r="AG722" s="102"/>
      <c r="AH722" s="102"/>
      <c r="AI722" s="102"/>
      <c r="AJ722" s="102"/>
      <c r="AK722" s="102"/>
      <c r="AL722" s="102"/>
      <c r="AM722" s="102"/>
      <c r="AN722" s="102"/>
      <c r="AO722" s="102"/>
      <c r="AP722" s="102"/>
    </row>
    <row r="723" spans="1:42">
      <c r="A723" s="89">
        <v>722</v>
      </c>
      <c r="B723" s="90">
        <v>50108180</v>
      </c>
      <c r="C723" s="91" t="s">
        <v>661</v>
      </c>
      <c r="D723" s="58" t="s">
        <v>845</v>
      </c>
      <c r="E723" s="59">
        <v>34578</v>
      </c>
      <c r="F723" s="92">
        <f ca="1">(TODAY()-Data_Assessment[[#This Row],[BIRTH DATE]])/365.25</f>
        <v>27.550992470910334</v>
      </c>
      <c r="G723" s="62" t="s">
        <v>919</v>
      </c>
      <c r="H723" s="63" t="s">
        <v>1519</v>
      </c>
      <c r="I723" s="106">
        <v>1</v>
      </c>
      <c r="J723" s="64" t="s">
        <v>1520</v>
      </c>
      <c r="K723" s="143">
        <v>1</v>
      </c>
      <c r="L723" s="58"/>
      <c r="M723" s="58"/>
      <c r="N723" s="102"/>
      <c r="O723" s="102"/>
      <c r="P723" s="102"/>
      <c r="Q723" s="102"/>
      <c r="R723" s="102"/>
      <c r="S723" s="102"/>
      <c r="T723" s="102"/>
      <c r="U723" s="102"/>
      <c r="V723" s="102"/>
      <c r="W723" s="102"/>
      <c r="X723" s="102"/>
      <c r="Y723" s="102"/>
      <c r="Z723" s="102"/>
      <c r="AA723" s="102"/>
      <c r="AB723" s="102"/>
      <c r="AC723" s="102"/>
      <c r="AD723" s="102"/>
      <c r="AE723" s="102"/>
      <c r="AF723" s="102"/>
      <c r="AG723" s="102"/>
      <c r="AH723" s="102"/>
      <c r="AI723" s="102"/>
      <c r="AJ723" s="102"/>
      <c r="AK723" s="102"/>
      <c r="AL723" s="102"/>
      <c r="AM723" s="102"/>
      <c r="AN723" s="102"/>
      <c r="AO723" s="102"/>
      <c r="AP723" s="102"/>
    </row>
    <row r="724" spans="1:42">
      <c r="A724" s="89">
        <v>723</v>
      </c>
      <c r="B724" s="90">
        <v>50031464</v>
      </c>
      <c r="C724" s="91" t="s">
        <v>873</v>
      </c>
      <c r="D724" s="58" t="s">
        <v>845</v>
      </c>
      <c r="E724" s="59">
        <v>24411</v>
      </c>
      <c r="F724" s="92">
        <f ca="1">(TODAY()-Data_Assessment[[#This Row],[BIRTH DATE]])/365.25</f>
        <v>55.38672142368241</v>
      </c>
      <c r="G724" s="62" t="s">
        <v>919</v>
      </c>
      <c r="H724" s="63" t="s">
        <v>1257</v>
      </c>
      <c r="I724" s="106">
        <v>1</v>
      </c>
      <c r="J724" s="64" t="s">
        <v>1521</v>
      </c>
      <c r="K724" s="143">
        <v>4</v>
      </c>
      <c r="L724" s="58"/>
      <c r="M724" s="58"/>
      <c r="N724" s="102"/>
      <c r="O724" s="102"/>
      <c r="P724" s="102"/>
      <c r="Q724" s="102"/>
      <c r="R724" s="102"/>
      <c r="S724" s="102"/>
      <c r="T724" s="102"/>
      <c r="U724" s="102"/>
      <c r="V724" s="102"/>
      <c r="W724" s="102"/>
      <c r="X724" s="102"/>
      <c r="Y724" s="102"/>
      <c r="Z724" s="102"/>
      <c r="AA724" s="102"/>
      <c r="AB724" s="102"/>
      <c r="AC724" s="102"/>
      <c r="AD724" s="102"/>
      <c r="AE724" s="102"/>
      <c r="AF724" s="102"/>
      <c r="AG724" s="102"/>
      <c r="AH724" s="102"/>
      <c r="AI724" s="102"/>
      <c r="AJ724" s="102"/>
      <c r="AK724" s="102"/>
      <c r="AL724" s="102"/>
      <c r="AM724" s="102"/>
      <c r="AN724" s="102"/>
      <c r="AO724" s="102"/>
      <c r="AP724" s="102"/>
    </row>
    <row r="725" spans="1:42">
      <c r="A725" s="89">
        <v>724</v>
      </c>
      <c r="B725" s="90">
        <v>50030720</v>
      </c>
      <c r="C725" s="91" t="s">
        <v>662</v>
      </c>
      <c r="D725" s="58" t="s">
        <v>845</v>
      </c>
      <c r="E725" s="59">
        <v>27849</v>
      </c>
      <c r="F725" s="92">
        <f ca="1">(TODAY()-Data_Assessment[[#This Row],[BIRTH DATE]])/365.25</f>
        <v>45.973990417522245</v>
      </c>
      <c r="G725" s="62" t="s">
        <v>919</v>
      </c>
      <c r="H725" s="63" t="s">
        <v>1257</v>
      </c>
      <c r="I725" s="106">
        <v>1</v>
      </c>
      <c r="J725" s="64" t="s">
        <v>1522</v>
      </c>
      <c r="K725" s="143">
        <v>2</v>
      </c>
      <c r="L725" s="58"/>
      <c r="M725" s="58"/>
      <c r="N725" s="102"/>
      <c r="O725" s="102"/>
      <c r="P725" s="102"/>
      <c r="Q725" s="102"/>
      <c r="R725" s="102"/>
      <c r="S725" s="102"/>
      <c r="T725" s="102"/>
      <c r="U725" s="102"/>
      <c r="V725" s="102"/>
      <c r="W725" s="102"/>
      <c r="X725" s="102"/>
      <c r="Y725" s="102"/>
      <c r="Z725" s="102"/>
      <c r="AA725" s="102"/>
      <c r="AB725" s="102"/>
      <c r="AC725" s="102"/>
      <c r="AD725" s="102"/>
      <c r="AE725" s="102"/>
      <c r="AF725" s="102"/>
      <c r="AG725" s="102"/>
      <c r="AH725" s="102"/>
      <c r="AI725" s="102"/>
      <c r="AJ725" s="102"/>
      <c r="AK725" s="102"/>
      <c r="AL725" s="102"/>
      <c r="AM725" s="102"/>
      <c r="AN725" s="102"/>
      <c r="AO725" s="102"/>
      <c r="AP725" s="102"/>
    </row>
    <row r="726" spans="1:42">
      <c r="A726" s="89">
        <v>725</v>
      </c>
      <c r="B726" s="90">
        <v>50031018</v>
      </c>
      <c r="C726" s="91" t="s">
        <v>666</v>
      </c>
      <c r="D726" s="58" t="s">
        <v>845</v>
      </c>
      <c r="E726" s="59">
        <v>26149</v>
      </c>
      <c r="F726" s="92">
        <f ca="1">(TODAY()-Data_Assessment[[#This Row],[BIRTH DATE]])/365.25</f>
        <v>50.628336755646821</v>
      </c>
      <c r="G726" s="62" t="s">
        <v>919</v>
      </c>
      <c r="H726" s="63" t="s">
        <v>1257</v>
      </c>
      <c r="I726" s="106">
        <v>1</v>
      </c>
      <c r="J726" s="64" t="s">
        <v>1258</v>
      </c>
      <c r="K726" s="143">
        <v>2</v>
      </c>
      <c r="L726" s="58"/>
      <c r="M726" s="58"/>
      <c r="N726" s="102"/>
      <c r="O726" s="102"/>
      <c r="P726" s="102"/>
      <c r="Q726" s="102"/>
      <c r="R726" s="102"/>
      <c r="S726" s="102"/>
      <c r="T726" s="102"/>
      <c r="U726" s="102"/>
      <c r="V726" s="102"/>
      <c r="W726" s="102"/>
      <c r="X726" s="102"/>
      <c r="Y726" s="102"/>
      <c r="Z726" s="102"/>
      <c r="AA726" s="102"/>
      <c r="AB726" s="102"/>
      <c r="AC726" s="102"/>
      <c r="AD726" s="102"/>
      <c r="AE726" s="102"/>
      <c r="AF726" s="102"/>
      <c r="AG726" s="102"/>
      <c r="AH726" s="102"/>
      <c r="AI726" s="102"/>
      <c r="AJ726" s="102"/>
      <c r="AK726" s="102"/>
      <c r="AL726" s="102"/>
      <c r="AM726" s="102"/>
      <c r="AN726" s="102"/>
      <c r="AO726" s="102"/>
      <c r="AP726" s="102"/>
    </row>
    <row r="727" spans="1:42">
      <c r="A727" s="89">
        <v>726</v>
      </c>
      <c r="B727" s="90">
        <v>50085974</v>
      </c>
      <c r="C727" s="91" t="s">
        <v>669</v>
      </c>
      <c r="D727" s="58" t="s">
        <v>845</v>
      </c>
      <c r="E727" s="59">
        <v>30458</v>
      </c>
      <c r="F727" s="92">
        <f ca="1">(TODAY()-Data_Assessment[[#This Row],[BIRTH DATE]])/365.25</f>
        <v>38.830937713894592</v>
      </c>
      <c r="G727" s="62" t="s">
        <v>919</v>
      </c>
      <c r="H727" s="63" t="s">
        <v>1257</v>
      </c>
      <c r="I727" s="106">
        <v>1</v>
      </c>
      <c r="J727" s="64" t="s">
        <v>1523</v>
      </c>
      <c r="K727" s="143">
        <v>3</v>
      </c>
      <c r="L727" s="58"/>
      <c r="M727" s="58"/>
      <c r="N727" s="102"/>
      <c r="O727" s="102"/>
      <c r="P727" s="102"/>
      <c r="Q727" s="102"/>
      <c r="R727" s="102"/>
      <c r="S727" s="102"/>
      <c r="T727" s="102"/>
      <c r="U727" s="102"/>
      <c r="V727" s="102"/>
      <c r="W727" s="102"/>
      <c r="X727" s="102"/>
      <c r="Y727" s="102"/>
      <c r="Z727" s="102"/>
      <c r="AA727" s="102"/>
      <c r="AB727" s="102"/>
      <c r="AC727" s="102"/>
      <c r="AD727" s="102"/>
      <c r="AE727" s="102"/>
      <c r="AF727" s="102"/>
      <c r="AG727" s="102"/>
      <c r="AH727" s="102"/>
      <c r="AI727" s="102"/>
      <c r="AJ727" s="102"/>
      <c r="AK727" s="102"/>
      <c r="AL727" s="102"/>
      <c r="AM727" s="102"/>
      <c r="AN727" s="102"/>
      <c r="AO727" s="102"/>
      <c r="AP727" s="102"/>
    </row>
    <row r="728" spans="1:42">
      <c r="A728" s="89">
        <v>727</v>
      </c>
      <c r="B728" s="90">
        <v>50142640</v>
      </c>
      <c r="C728" s="91" t="s">
        <v>675</v>
      </c>
      <c r="D728" s="58" t="s">
        <v>845</v>
      </c>
      <c r="E728" s="59">
        <v>32359</v>
      </c>
      <c r="F728" s="92">
        <f ca="1">(TODAY()-Data_Assessment[[#This Row],[BIRTH DATE]])/365.25</f>
        <v>33.626283367556468</v>
      </c>
      <c r="G728" s="62" t="s">
        <v>919</v>
      </c>
      <c r="H728" s="63" t="s">
        <v>950</v>
      </c>
      <c r="I728" s="106">
        <v>1</v>
      </c>
      <c r="J728" s="64" t="s">
        <v>1524</v>
      </c>
      <c r="K728" s="143">
        <v>2</v>
      </c>
      <c r="L728" s="58"/>
      <c r="M728" s="58"/>
      <c r="N728" s="102"/>
      <c r="O728" s="102"/>
      <c r="P728" s="102"/>
      <c r="Q728" s="102"/>
      <c r="R728" s="102"/>
      <c r="S728" s="102"/>
      <c r="T728" s="102"/>
      <c r="U728" s="102"/>
      <c r="V728" s="102"/>
      <c r="W728" s="102"/>
      <c r="X728" s="102"/>
      <c r="Y728" s="102"/>
      <c r="Z728" s="102"/>
      <c r="AA728" s="102"/>
      <c r="AB728" s="102"/>
      <c r="AC728" s="102"/>
      <c r="AD728" s="102"/>
      <c r="AE728" s="102"/>
      <c r="AF728" s="102"/>
      <c r="AG728" s="102"/>
      <c r="AH728" s="102"/>
      <c r="AI728" s="102"/>
      <c r="AJ728" s="102"/>
      <c r="AK728" s="102"/>
      <c r="AL728" s="102"/>
      <c r="AM728" s="102"/>
      <c r="AN728" s="102"/>
      <c r="AO728" s="102"/>
      <c r="AP728" s="102"/>
    </row>
    <row r="729" spans="1:42">
      <c r="A729" s="89">
        <v>728</v>
      </c>
      <c r="B729" s="90">
        <v>50036739</v>
      </c>
      <c r="C729" s="91" t="s">
        <v>680</v>
      </c>
      <c r="D729" s="58" t="s">
        <v>845</v>
      </c>
      <c r="E729" s="59">
        <v>28270</v>
      </c>
      <c r="F729" s="92">
        <f ca="1">(TODAY()-Data_Assessment[[#This Row],[BIRTH DATE]])/365.25</f>
        <v>44.821355236139631</v>
      </c>
      <c r="G729" s="62" t="s">
        <v>919</v>
      </c>
      <c r="H729" s="63" t="s">
        <v>1259</v>
      </c>
      <c r="I729" s="106">
        <v>1</v>
      </c>
      <c r="J729" s="64" t="s">
        <v>1525</v>
      </c>
      <c r="K729" s="143">
        <v>4</v>
      </c>
      <c r="L729" s="58"/>
      <c r="M729" s="58"/>
      <c r="N729" s="102"/>
      <c r="O729" s="102"/>
      <c r="P729" s="102"/>
      <c r="Q729" s="102"/>
      <c r="R729" s="102"/>
      <c r="S729" s="102"/>
      <c r="T729" s="102"/>
      <c r="U729" s="102"/>
      <c r="V729" s="102"/>
      <c r="W729" s="102"/>
      <c r="X729" s="102"/>
      <c r="Y729" s="102"/>
      <c r="Z729" s="102"/>
      <c r="AA729" s="102"/>
      <c r="AB729" s="102"/>
      <c r="AC729" s="102"/>
      <c r="AD729" s="102"/>
      <c r="AE729" s="102"/>
      <c r="AF729" s="102"/>
      <c r="AG729" s="102"/>
      <c r="AH729" s="102"/>
      <c r="AI729" s="102"/>
      <c r="AJ729" s="102"/>
      <c r="AK729" s="102"/>
      <c r="AL729" s="102"/>
      <c r="AM729" s="102"/>
      <c r="AN729" s="102"/>
      <c r="AO729" s="102"/>
      <c r="AP729" s="102"/>
    </row>
    <row r="730" spans="1:42">
      <c r="A730" s="89">
        <v>729</v>
      </c>
      <c r="B730" s="90">
        <v>50031346</v>
      </c>
      <c r="C730" s="91" t="s">
        <v>681</v>
      </c>
      <c r="D730" s="58" t="s">
        <v>845</v>
      </c>
      <c r="E730" s="59">
        <v>29659</v>
      </c>
      <c r="F730" s="92">
        <f ca="1">(TODAY()-Data_Assessment[[#This Row],[BIRTH DATE]])/365.25</f>
        <v>41.01848049281314</v>
      </c>
      <c r="G730" s="62" t="s">
        <v>919</v>
      </c>
      <c r="H730" s="63" t="s">
        <v>1259</v>
      </c>
      <c r="I730" s="106">
        <v>1</v>
      </c>
      <c r="J730" s="64" t="s">
        <v>1260</v>
      </c>
      <c r="K730" s="143">
        <v>2</v>
      </c>
      <c r="L730" s="58"/>
      <c r="M730" s="58"/>
      <c r="N730" s="102"/>
      <c r="O730" s="102"/>
      <c r="P730" s="102"/>
      <c r="Q730" s="102"/>
      <c r="R730" s="102"/>
      <c r="S730" s="102"/>
      <c r="T730" s="102"/>
      <c r="U730" s="102"/>
      <c r="V730" s="102"/>
      <c r="W730" s="102"/>
      <c r="X730" s="102"/>
      <c r="Y730" s="102"/>
      <c r="Z730" s="102"/>
      <c r="AA730" s="102"/>
      <c r="AB730" s="102"/>
      <c r="AC730" s="102"/>
      <c r="AD730" s="102"/>
      <c r="AE730" s="102"/>
      <c r="AF730" s="102"/>
      <c r="AG730" s="102"/>
      <c r="AH730" s="102"/>
      <c r="AI730" s="102"/>
      <c r="AJ730" s="102"/>
      <c r="AK730" s="102"/>
      <c r="AL730" s="102"/>
      <c r="AM730" s="102"/>
      <c r="AN730" s="102"/>
      <c r="AO730" s="102"/>
      <c r="AP730" s="102"/>
    </row>
    <row r="731" spans="1:42">
      <c r="A731" s="89">
        <v>730</v>
      </c>
      <c r="B731" s="90">
        <v>50138336</v>
      </c>
      <c r="C731" s="91" t="s">
        <v>874</v>
      </c>
      <c r="D731" s="58" t="s">
        <v>845</v>
      </c>
      <c r="E731" s="59">
        <v>35046</v>
      </c>
      <c r="F731" s="92">
        <f ca="1">(TODAY()-Data_Assessment[[#This Row],[BIRTH DATE]])/365.25</f>
        <v>26.269678302532512</v>
      </c>
      <c r="G731" s="62" t="s">
        <v>919</v>
      </c>
      <c r="H731" s="63" t="s">
        <v>1259</v>
      </c>
      <c r="I731" s="106">
        <v>1</v>
      </c>
      <c r="J731" s="64" t="s">
        <v>1526</v>
      </c>
      <c r="K731" s="143">
        <v>1</v>
      </c>
      <c r="L731" s="58"/>
      <c r="M731" s="58"/>
      <c r="N731" s="102"/>
      <c r="O731" s="102"/>
      <c r="P731" s="102"/>
      <c r="Q731" s="102"/>
      <c r="R731" s="102"/>
      <c r="S731" s="102"/>
      <c r="T731" s="102"/>
      <c r="U731" s="102"/>
      <c r="V731" s="102"/>
      <c r="W731" s="102"/>
      <c r="X731" s="102"/>
      <c r="Y731" s="102"/>
      <c r="Z731" s="102"/>
      <c r="AA731" s="102"/>
      <c r="AB731" s="102"/>
      <c r="AC731" s="102"/>
      <c r="AD731" s="102"/>
      <c r="AE731" s="102"/>
      <c r="AF731" s="102"/>
      <c r="AG731" s="102"/>
      <c r="AH731" s="102"/>
      <c r="AI731" s="102"/>
      <c r="AJ731" s="102"/>
      <c r="AK731" s="102"/>
      <c r="AL731" s="102"/>
      <c r="AM731" s="102"/>
      <c r="AN731" s="102"/>
      <c r="AO731" s="102"/>
      <c r="AP731" s="102"/>
    </row>
    <row r="732" spans="1:42">
      <c r="A732" s="89">
        <v>731</v>
      </c>
      <c r="B732" s="90">
        <v>50031507</v>
      </c>
      <c r="C732" s="91" t="s">
        <v>685</v>
      </c>
      <c r="D732" s="58" t="s">
        <v>845</v>
      </c>
      <c r="E732" s="59">
        <v>25483</v>
      </c>
      <c r="F732" s="92">
        <f ca="1">(TODAY()-Data_Assessment[[#This Row],[BIRTH DATE]])/365.25</f>
        <v>52.451745379876797</v>
      </c>
      <c r="G732" s="62" t="s">
        <v>919</v>
      </c>
      <c r="H732" s="63" t="s">
        <v>1385</v>
      </c>
      <c r="I732" s="106">
        <v>1</v>
      </c>
      <c r="J732" s="64" t="s">
        <v>1527</v>
      </c>
      <c r="K732" s="143">
        <v>2</v>
      </c>
      <c r="L732" s="58"/>
      <c r="M732" s="58"/>
      <c r="N732" s="102"/>
      <c r="O732" s="102"/>
      <c r="P732" s="102"/>
      <c r="Q732" s="102"/>
      <c r="R732" s="102"/>
      <c r="S732" s="102"/>
      <c r="T732" s="102"/>
      <c r="U732" s="102"/>
      <c r="V732" s="102"/>
      <c r="W732" s="102"/>
      <c r="X732" s="102"/>
      <c r="Y732" s="102"/>
      <c r="Z732" s="102"/>
      <c r="AA732" s="102"/>
      <c r="AB732" s="102"/>
      <c r="AC732" s="102"/>
      <c r="AD732" s="102"/>
      <c r="AE732" s="102"/>
      <c r="AF732" s="102"/>
      <c r="AG732" s="102"/>
      <c r="AH732" s="102"/>
      <c r="AI732" s="102"/>
      <c r="AJ732" s="102"/>
      <c r="AK732" s="102"/>
      <c r="AL732" s="102"/>
      <c r="AM732" s="102"/>
      <c r="AN732" s="102"/>
      <c r="AO732" s="102"/>
      <c r="AP732" s="102"/>
    </row>
    <row r="733" spans="1:42">
      <c r="A733" s="89">
        <v>732</v>
      </c>
      <c r="B733" s="90">
        <v>50086746</v>
      </c>
      <c r="C733" s="91" t="s">
        <v>686</v>
      </c>
      <c r="D733" s="58" t="s">
        <v>845</v>
      </c>
      <c r="E733" s="59">
        <v>34296</v>
      </c>
      <c r="F733" s="92">
        <f ca="1">(TODAY()-Data_Assessment[[#This Row],[BIRTH DATE]])/365.25</f>
        <v>28.323066392881589</v>
      </c>
      <c r="G733" s="62" t="s">
        <v>919</v>
      </c>
      <c r="H733" s="63" t="s">
        <v>1385</v>
      </c>
      <c r="I733" s="106">
        <v>1</v>
      </c>
      <c r="J733" s="64" t="s">
        <v>1528</v>
      </c>
      <c r="K733" s="143">
        <v>4</v>
      </c>
      <c r="L733" s="58"/>
      <c r="M733" s="58"/>
      <c r="N733" s="102"/>
      <c r="O733" s="102"/>
      <c r="P733" s="102"/>
      <c r="Q733" s="102"/>
      <c r="R733" s="102"/>
      <c r="S733" s="102"/>
      <c r="T733" s="102"/>
      <c r="U733" s="102"/>
      <c r="V733" s="102"/>
      <c r="W733" s="102"/>
      <c r="X733" s="102"/>
      <c r="Y733" s="102"/>
      <c r="Z733" s="102"/>
      <c r="AA733" s="102"/>
      <c r="AB733" s="102"/>
      <c r="AC733" s="102"/>
      <c r="AD733" s="102"/>
      <c r="AE733" s="102"/>
      <c r="AF733" s="102"/>
      <c r="AG733" s="102"/>
      <c r="AH733" s="102"/>
      <c r="AI733" s="102"/>
      <c r="AJ733" s="102"/>
      <c r="AK733" s="102"/>
      <c r="AL733" s="102"/>
      <c r="AM733" s="102"/>
      <c r="AN733" s="102"/>
      <c r="AO733" s="102"/>
      <c r="AP733" s="102"/>
    </row>
    <row r="734" spans="1:42">
      <c r="A734" s="89">
        <v>733</v>
      </c>
      <c r="B734" s="90">
        <v>50030747</v>
      </c>
      <c r="C734" s="91" t="s">
        <v>688</v>
      </c>
      <c r="D734" s="58" t="s">
        <v>845</v>
      </c>
      <c r="E734" s="59">
        <v>24910</v>
      </c>
      <c r="F734" s="92">
        <f ca="1">(TODAY()-Data_Assessment[[#This Row],[BIRTH DATE]])/365.25</f>
        <v>54.020533880903493</v>
      </c>
      <c r="G734" s="62" t="s">
        <v>919</v>
      </c>
      <c r="H734" s="63" t="s">
        <v>1385</v>
      </c>
      <c r="I734" s="106">
        <v>1</v>
      </c>
      <c r="J734" s="64" t="s">
        <v>1529</v>
      </c>
      <c r="K734" s="143">
        <v>3</v>
      </c>
      <c r="L734" s="58"/>
      <c r="M734" s="58"/>
      <c r="N734" s="102"/>
      <c r="O734" s="102"/>
      <c r="P734" s="102"/>
      <c r="Q734" s="102"/>
      <c r="R734" s="102"/>
      <c r="S734" s="102"/>
      <c r="T734" s="102"/>
      <c r="U734" s="102"/>
      <c r="V734" s="102"/>
      <c r="W734" s="102"/>
      <c r="X734" s="102"/>
      <c r="Y734" s="102"/>
      <c r="Z734" s="102"/>
      <c r="AA734" s="102"/>
      <c r="AB734" s="102"/>
      <c r="AC734" s="102"/>
      <c r="AD734" s="102"/>
      <c r="AE734" s="102"/>
      <c r="AF734" s="102"/>
      <c r="AG734" s="102"/>
      <c r="AH734" s="102"/>
      <c r="AI734" s="102"/>
      <c r="AJ734" s="102"/>
      <c r="AK734" s="102"/>
      <c r="AL734" s="102"/>
      <c r="AM734" s="102"/>
      <c r="AN734" s="102"/>
      <c r="AO734" s="102"/>
      <c r="AP734" s="102"/>
    </row>
    <row r="735" spans="1:42">
      <c r="A735" s="89">
        <v>734</v>
      </c>
      <c r="B735" s="90">
        <v>50108205</v>
      </c>
      <c r="C735" s="91" t="s">
        <v>689</v>
      </c>
      <c r="D735" s="58" t="s">
        <v>845</v>
      </c>
      <c r="E735" s="59">
        <v>34524</v>
      </c>
      <c r="F735" s="92">
        <f ca="1">(TODAY()-Data_Assessment[[#This Row],[BIRTH DATE]])/365.25</f>
        <v>27.698836413415467</v>
      </c>
      <c r="G735" s="62" t="s">
        <v>919</v>
      </c>
      <c r="H735" s="63" t="s">
        <v>1385</v>
      </c>
      <c r="I735" s="106">
        <v>1</v>
      </c>
      <c r="J735" s="64" t="s">
        <v>1529</v>
      </c>
      <c r="K735" s="143">
        <v>2</v>
      </c>
      <c r="L735" s="58"/>
      <c r="M735" s="58"/>
      <c r="N735" s="102"/>
      <c r="O735" s="102"/>
      <c r="P735" s="102"/>
      <c r="Q735" s="102"/>
      <c r="R735" s="102"/>
      <c r="S735" s="102"/>
      <c r="T735" s="102"/>
      <c r="U735" s="102"/>
      <c r="V735" s="102"/>
      <c r="W735" s="102"/>
      <c r="X735" s="102"/>
      <c r="Y735" s="102"/>
      <c r="Z735" s="102"/>
      <c r="AA735" s="102"/>
      <c r="AB735" s="102"/>
      <c r="AC735" s="102"/>
      <c r="AD735" s="102"/>
      <c r="AE735" s="102"/>
      <c r="AF735" s="102"/>
      <c r="AG735" s="102"/>
      <c r="AH735" s="102"/>
      <c r="AI735" s="102"/>
      <c r="AJ735" s="102"/>
      <c r="AK735" s="102"/>
      <c r="AL735" s="102"/>
      <c r="AM735" s="102"/>
      <c r="AN735" s="102"/>
      <c r="AO735" s="102"/>
      <c r="AP735" s="102"/>
    </row>
    <row r="736" spans="1:42">
      <c r="A736" s="89">
        <v>735</v>
      </c>
      <c r="B736" s="90">
        <v>50133259</v>
      </c>
      <c r="C736" s="91" t="s">
        <v>690</v>
      </c>
      <c r="D736" s="58" t="s">
        <v>846</v>
      </c>
      <c r="E736" s="59">
        <v>35378</v>
      </c>
      <c r="F736" s="92">
        <f ca="1">(TODAY()-Data_Assessment[[#This Row],[BIRTH DATE]])/365.25</f>
        <v>25.360711841204655</v>
      </c>
      <c r="G736" s="62" t="s">
        <v>919</v>
      </c>
      <c r="H736" s="63" t="s">
        <v>1385</v>
      </c>
      <c r="I736" s="106">
        <v>1</v>
      </c>
      <c r="J736" s="64" t="s">
        <v>1529</v>
      </c>
      <c r="K736" s="143">
        <v>3</v>
      </c>
      <c r="L736" s="58"/>
      <c r="M736" s="58"/>
      <c r="N736" s="102"/>
      <c r="O736" s="102"/>
      <c r="P736" s="102"/>
      <c r="Q736" s="102"/>
      <c r="R736" s="102"/>
      <c r="S736" s="102"/>
      <c r="T736" s="102"/>
      <c r="U736" s="102"/>
      <c r="V736" s="102"/>
      <c r="W736" s="102"/>
      <c r="X736" s="102"/>
      <c r="Y736" s="102"/>
      <c r="Z736" s="102"/>
      <c r="AA736" s="102"/>
      <c r="AB736" s="102"/>
      <c r="AC736" s="102"/>
      <c r="AD736" s="102"/>
      <c r="AE736" s="102"/>
      <c r="AF736" s="102"/>
      <c r="AG736" s="102"/>
      <c r="AH736" s="102"/>
      <c r="AI736" s="102"/>
      <c r="AJ736" s="102"/>
      <c r="AK736" s="102"/>
      <c r="AL736" s="102"/>
      <c r="AM736" s="102"/>
      <c r="AN736" s="102"/>
      <c r="AO736" s="102"/>
      <c r="AP736" s="102"/>
    </row>
    <row r="737" spans="1:42">
      <c r="A737" s="89">
        <v>736</v>
      </c>
      <c r="B737" s="90">
        <v>50142295</v>
      </c>
      <c r="C737" s="91" t="s">
        <v>618</v>
      </c>
      <c r="D737" s="58" t="s">
        <v>845</v>
      </c>
      <c r="E737" s="59">
        <v>35528</v>
      </c>
      <c r="F737" s="92">
        <f ca="1">(TODAY()-Data_Assessment[[#This Row],[BIRTH DATE]])/365.25</f>
        <v>24.950034223134839</v>
      </c>
      <c r="G737" s="62" t="s">
        <v>919</v>
      </c>
      <c r="H737" s="63" t="s">
        <v>1337</v>
      </c>
      <c r="I737" s="106">
        <v>1</v>
      </c>
      <c r="J737" s="64" t="s">
        <v>1340</v>
      </c>
      <c r="K737" s="143">
        <v>0</v>
      </c>
      <c r="L737" s="58"/>
      <c r="M737" s="58"/>
      <c r="N737" s="102"/>
      <c r="O737" s="102"/>
      <c r="P737" s="102"/>
      <c r="Q737" s="102"/>
      <c r="R737" s="102"/>
      <c r="S737" s="102"/>
      <c r="T737" s="102"/>
      <c r="U737" s="102"/>
      <c r="V737" s="102"/>
      <c r="W737" s="102"/>
      <c r="X737" s="102"/>
      <c r="Y737" s="102"/>
      <c r="Z737" s="102"/>
      <c r="AA737" s="102"/>
      <c r="AB737" s="102"/>
      <c r="AC737" s="102"/>
      <c r="AD737" s="102"/>
      <c r="AE737" s="102"/>
      <c r="AF737" s="102"/>
      <c r="AG737" s="102"/>
      <c r="AH737" s="102"/>
      <c r="AI737" s="102"/>
      <c r="AJ737" s="102"/>
      <c r="AK737" s="102"/>
      <c r="AL737" s="102"/>
      <c r="AM737" s="102"/>
      <c r="AN737" s="102"/>
      <c r="AO737" s="102"/>
      <c r="AP737" s="102"/>
    </row>
    <row r="738" spans="1:42">
      <c r="A738" s="89">
        <v>737</v>
      </c>
      <c r="B738" s="90">
        <v>50031031</v>
      </c>
      <c r="C738" s="91" t="s">
        <v>691</v>
      </c>
      <c r="D738" s="58" t="s">
        <v>845</v>
      </c>
      <c r="E738" s="59">
        <v>26571</v>
      </c>
      <c r="F738" s="92">
        <f ca="1">(TODAY()-Data_Assessment[[#This Row],[BIRTH DATE]])/365.25</f>
        <v>49.472963723477072</v>
      </c>
      <c r="G738" s="62" t="s">
        <v>919</v>
      </c>
      <c r="H738" s="63" t="s">
        <v>1385</v>
      </c>
      <c r="I738" s="106">
        <v>1</v>
      </c>
      <c r="J738" s="64" t="s">
        <v>1530</v>
      </c>
      <c r="K738" s="143">
        <v>1</v>
      </c>
      <c r="L738" s="58"/>
      <c r="M738" s="58"/>
      <c r="N738" s="102"/>
      <c r="O738" s="102"/>
      <c r="P738" s="102"/>
      <c r="Q738" s="102"/>
      <c r="R738" s="102"/>
      <c r="S738" s="102"/>
      <c r="T738" s="102"/>
      <c r="U738" s="102"/>
      <c r="V738" s="102"/>
      <c r="W738" s="102"/>
      <c r="X738" s="102"/>
      <c r="Y738" s="102"/>
      <c r="Z738" s="102"/>
      <c r="AA738" s="102"/>
      <c r="AB738" s="102"/>
      <c r="AC738" s="102"/>
      <c r="AD738" s="102"/>
      <c r="AE738" s="102"/>
      <c r="AF738" s="102"/>
      <c r="AG738" s="102"/>
      <c r="AH738" s="102"/>
      <c r="AI738" s="102"/>
      <c r="AJ738" s="102"/>
      <c r="AK738" s="102"/>
      <c r="AL738" s="102"/>
      <c r="AM738" s="102"/>
      <c r="AN738" s="102"/>
      <c r="AO738" s="102"/>
      <c r="AP738" s="102"/>
    </row>
    <row r="739" spans="1:42">
      <c r="A739" s="89">
        <v>738</v>
      </c>
      <c r="B739" s="90">
        <v>50085985</v>
      </c>
      <c r="C739" s="91" t="s">
        <v>694</v>
      </c>
      <c r="D739" s="58" t="s">
        <v>845</v>
      </c>
      <c r="E739" s="59">
        <v>25456</v>
      </c>
      <c r="F739" s="92">
        <f ca="1">(TODAY()-Data_Assessment[[#This Row],[BIRTH DATE]])/365.25</f>
        <v>52.525667351129364</v>
      </c>
      <c r="G739" s="62" t="s">
        <v>919</v>
      </c>
      <c r="H739" s="63" t="s">
        <v>1389</v>
      </c>
      <c r="I739" s="106">
        <v>1</v>
      </c>
      <c r="J739" s="64" t="s">
        <v>1531</v>
      </c>
      <c r="K739" s="143">
        <v>2</v>
      </c>
      <c r="L739" s="58"/>
      <c r="M739" s="58"/>
      <c r="N739" s="102"/>
      <c r="O739" s="102"/>
      <c r="P739" s="102"/>
      <c r="Q739" s="102"/>
      <c r="R739" s="102"/>
      <c r="S739" s="102"/>
      <c r="T739" s="102"/>
      <c r="U739" s="102"/>
      <c r="V739" s="102"/>
      <c r="W739" s="102"/>
      <c r="X739" s="102"/>
      <c r="Y739" s="102"/>
      <c r="Z739" s="102"/>
      <c r="AA739" s="102"/>
      <c r="AB739" s="102"/>
      <c r="AC739" s="102"/>
      <c r="AD739" s="102"/>
      <c r="AE739" s="102"/>
      <c r="AF739" s="102"/>
      <c r="AG739" s="102"/>
      <c r="AH739" s="102"/>
      <c r="AI739" s="102"/>
      <c r="AJ739" s="102"/>
      <c r="AK739" s="102"/>
      <c r="AL739" s="102"/>
      <c r="AM739" s="102"/>
      <c r="AN739" s="102"/>
      <c r="AO739" s="102"/>
      <c r="AP739" s="102"/>
    </row>
    <row r="740" spans="1:42">
      <c r="A740" s="89">
        <v>739</v>
      </c>
      <c r="B740" s="90">
        <v>50031088</v>
      </c>
      <c r="C740" s="91" t="s">
        <v>695</v>
      </c>
      <c r="D740" s="58" t="s">
        <v>845</v>
      </c>
      <c r="E740" s="59">
        <v>24495</v>
      </c>
      <c r="F740" s="92">
        <f ca="1">(TODAY()-Data_Assessment[[#This Row],[BIRTH DATE]])/365.25</f>
        <v>55.156741957563312</v>
      </c>
      <c r="G740" s="62" t="s">
        <v>919</v>
      </c>
      <c r="H740" s="63" t="s">
        <v>1508</v>
      </c>
      <c r="I740" s="106">
        <v>1</v>
      </c>
      <c r="J740" s="64" t="s">
        <v>1532</v>
      </c>
      <c r="K740" s="143">
        <v>3</v>
      </c>
      <c r="L740" s="58"/>
      <c r="M740" s="58"/>
      <c r="N740" s="102"/>
      <c r="O740" s="102"/>
      <c r="P740" s="102"/>
      <c r="Q740" s="102"/>
      <c r="R740" s="102"/>
      <c r="S740" s="102"/>
      <c r="T740" s="102"/>
      <c r="U740" s="102"/>
      <c r="V740" s="102"/>
      <c r="W740" s="102"/>
      <c r="X740" s="102"/>
      <c r="Y740" s="102"/>
      <c r="Z740" s="102"/>
      <c r="AA740" s="102"/>
      <c r="AB740" s="102"/>
      <c r="AC740" s="102"/>
      <c r="AD740" s="102"/>
      <c r="AE740" s="102"/>
      <c r="AF740" s="102"/>
      <c r="AG740" s="102"/>
      <c r="AH740" s="102"/>
      <c r="AI740" s="102"/>
      <c r="AJ740" s="102"/>
      <c r="AK740" s="102"/>
      <c r="AL740" s="102"/>
      <c r="AM740" s="102"/>
      <c r="AN740" s="102"/>
      <c r="AO740" s="102"/>
      <c r="AP740" s="102"/>
    </row>
    <row r="741" spans="1:42" ht="29.25">
      <c r="A741" s="89">
        <v>740</v>
      </c>
      <c r="B741" s="90">
        <v>50114740</v>
      </c>
      <c r="C741" s="91" t="s">
        <v>696</v>
      </c>
      <c r="D741" s="58" t="s">
        <v>845</v>
      </c>
      <c r="E741" s="59">
        <v>26873</v>
      </c>
      <c r="F741" s="92">
        <f ca="1">(TODAY()-Data_Assessment[[#This Row],[BIRTH DATE]])/365.25</f>
        <v>48.646132785763179</v>
      </c>
      <c r="G741" s="62" t="s">
        <v>919</v>
      </c>
      <c r="H741" s="63" t="s">
        <v>1508</v>
      </c>
      <c r="I741" s="106">
        <v>1</v>
      </c>
      <c r="J741" s="64" t="s">
        <v>1533</v>
      </c>
      <c r="K741" s="143">
        <v>2</v>
      </c>
      <c r="L741" s="58"/>
      <c r="M741" s="58"/>
      <c r="N741" s="102"/>
      <c r="O741" s="102"/>
      <c r="P741" s="102"/>
      <c r="Q741" s="102"/>
      <c r="R741" s="102"/>
      <c r="S741" s="102"/>
      <c r="T741" s="102"/>
      <c r="U741" s="102"/>
      <c r="V741" s="102"/>
      <c r="W741" s="102"/>
      <c r="X741" s="102"/>
      <c r="Y741" s="102"/>
      <c r="Z741" s="102"/>
      <c r="AA741" s="102"/>
      <c r="AB741" s="102"/>
      <c r="AC741" s="102"/>
      <c r="AD741" s="102"/>
      <c r="AE741" s="102"/>
      <c r="AF741" s="102"/>
      <c r="AG741" s="102"/>
      <c r="AH741" s="102"/>
      <c r="AI741" s="102"/>
      <c r="AJ741" s="102"/>
      <c r="AK741" s="102"/>
      <c r="AL741" s="102"/>
      <c r="AM741" s="102"/>
      <c r="AN741" s="102"/>
      <c r="AO741" s="102"/>
      <c r="AP741" s="102"/>
    </row>
    <row r="742" spans="1:42">
      <c r="A742" s="89">
        <v>741</v>
      </c>
      <c r="B742" s="90">
        <v>50031295</v>
      </c>
      <c r="C742" s="91" t="s">
        <v>698</v>
      </c>
      <c r="D742" s="58" t="s">
        <v>845</v>
      </c>
      <c r="E742" s="59">
        <v>24552</v>
      </c>
      <c r="F742" s="92">
        <f ca="1">(TODAY()-Data_Assessment[[#This Row],[BIRTH DATE]])/365.25</f>
        <v>55.000684462696782</v>
      </c>
      <c r="G742" s="62" t="s">
        <v>919</v>
      </c>
      <c r="H742" s="63" t="s">
        <v>1261</v>
      </c>
      <c r="I742" s="106">
        <v>1</v>
      </c>
      <c r="J742" s="64" t="s">
        <v>1534</v>
      </c>
      <c r="K742" s="143">
        <v>2</v>
      </c>
      <c r="L742" s="58"/>
      <c r="M742" s="58"/>
      <c r="N742" s="102"/>
      <c r="O742" s="102"/>
      <c r="P742" s="102"/>
      <c r="Q742" s="102"/>
      <c r="R742" s="102"/>
      <c r="S742" s="102"/>
      <c r="T742" s="102"/>
      <c r="U742" s="102"/>
      <c r="V742" s="102"/>
      <c r="W742" s="102"/>
      <c r="X742" s="102"/>
      <c r="Y742" s="102"/>
      <c r="Z742" s="102"/>
      <c r="AA742" s="102"/>
      <c r="AB742" s="102"/>
      <c r="AC742" s="102"/>
      <c r="AD742" s="102"/>
      <c r="AE742" s="102"/>
      <c r="AF742" s="102"/>
      <c r="AG742" s="102"/>
      <c r="AH742" s="102"/>
      <c r="AI742" s="102"/>
      <c r="AJ742" s="102"/>
      <c r="AK742" s="102"/>
      <c r="AL742" s="102"/>
      <c r="AM742" s="102"/>
      <c r="AN742" s="102"/>
      <c r="AO742" s="102"/>
      <c r="AP742" s="102"/>
    </row>
    <row r="743" spans="1:42" ht="29.25">
      <c r="A743" s="89">
        <v>742</v>
      </c>
      <c r="B743" s="90">
        <v>50031084</v>
      </c>
      <c r="C743" s="91" t="s">
        <v>700</v>
      </c>
      <c r="D743" s="58" t="s">
        <v>845</v>
      </c>
      <c r="E743" s="59">
        <v>29132</v>
      </c>
      <c r="F743" s="92">
        <f ca="1">(TODAY()-Data_Assessment[[#This Row],[BIRTH DATE]])/365.25</f>
        <v>42.461327857631758</v>
      </c>
      <c r="G743" s="62" t="s">
        <v>919</v>
      </c>
      <c r="H743" s="63" t="s">
        <v>1261</v>
      </c>
      <c r="I743" s="106">
        <v>1</v>
      </c>
      <c r="J743" s="64" t="s">
        <v>1262</v>
      </c>
      <c r="K743" s="143">
        <v>2</v>
      </c>
      <c r="L743" s="58"/>
      <c r="M743" s="58"/>
      <c r="N743" s="102"/>
      <c r="O743" s="102"/>
      <c r="P743" s="102"/>
      <c r="Q743" s="102"/>
      <c r="R743" s="102"/>
      <c r="S743" s="102"/>
      <c r="T743" s="102"/>
      <c r="U743" s="102"/>
      <c r="V743" s="102"/>
      <c r="W743" s="102"/>
      <c r="X743" s="102"/>
      <c r="Y743" s="102"/>
      <c r="Z743" s="102"/>
      <c r="AA743" s="102"/>
      <c r="AB743" s="102"/>
      <c r="AC743" s="102"/>
      <c r="AD743" s="102"/>
      <c r="AE743" s="102"/>
      <c r="AF743" s="102"/>
      <c r="AG743" s="102"/>
      <c r="AH743" s="102"/>
      <c r="AI743" s="102"/>
      <c r="AJ743" s="102"/>
      <c r="AK743" s="102"/>
      <c r="AL743" s="102"/>
      <c r="AM743" s="102"/>
      <c r="AN743" s="102"/>
      <c r="AO743" s="102"/>
      <c r="AP743" s="102"/>
    </row>
    <row r="744" spans="1:42">
      <c r="A744" s="89">
        <v>743</v>
      </c>
      <c r="B744" s="90">
        <v>50137832</v>
      </c>
      <c r="C744" s="91" t="s">
        <v>623</v>
      </c>
      <c r="D744" s="58" t="s">
        <v>845</v>
      </c>
      <c r="E744" s="59">
        <v>35749</v>
      </c>
      <c r="F744" s="92">
        <f ca="1">(TODAY()-Data_Assessment[[#This Row],[BIRTH DATE]])/365.25</f>
        <v>24.344969199178646</v>
      </c>
      <c r="G744" s="62" t="s">
        <v>919</v>
      </c>
      <c r="H744" s="63" t="s">
        <v>1341</v>
      </c>
      <c r="I744" s="106">
        <v>1</v>
      </c>
      <c r="J744" s="64" t="s">
        <v>1535</v>
      </c>
      <c r="K744" s="143">
        <v>3</v>
      </c>
      <c r="L744" s="58"/>
      <c r="M744" s="58"/>
      <c r="N744" s="102"/>
      <c r="O744" s="102"/>
      <c r="P744" s="102"/>
      <c r="Q744" s="102"/>
      <c r="R744" s="102"/>
      <c r="S744" s="102"/>
      <c r="T744" s="102"/>
      <c r="U744" s="102"/>
      <c r="V744" s="102"/>
      <c r="W744" s="102"/>
      <c r="X744" s="102"/>
      <c r="Y744" s="102"/>
      <c r="Z744" s="102"/>
      <c r="AA744" s="102"/>
      <c r="AB744" s="102"/>
      <c r="AC744" s="102"/>
      <c r="AD744" s="102"/>
      <c r="AE744" s="102"/>
      <c r="AF744" s="102"/>
      <c r="AG744" s="102"/>
      <c r="AH744" s="102"/>
      <c r="AI744" s="102"/>
      <c r="AJ744" s="102"/>
      <c r="AK744" s="102"/>
      <c r="AL744" s="102"/>
      <c r="AM744" s="102"/>
      <c r="AN744" s="102"/>
      <c r="AO744" s="102"/>
      <c r="AP744" s="102"/>
    </row>
    <row r="745" spans="1:42" ht="29.25">
      <c r="A745" s="89">
        <v>744</v>
      </c>
      <c r="B745" s="90">
        <v>50030678</v>
      </c>
      <c r="C745" s="91" t="s">
        <v>701</v>
      </c>
      <c r="D745" s="58" t="s">
        <v>845</v>
      </c>
      <c r="E745" s="59">
        <v>24821</v>
      </c>
      <c r="F745" s="92">
        <f ca="1">(TODAY()-Data_Assessment[[#This Row],[BIRTH DATE]])/365.25</f>
        <v>54.264202600958249</v>
      </c>
      <c r="G745" s="62" t="s">
        <v>919</v>
      </c>
      <c r="H745" s="63" t="s">
        <v>1261</v>
      </c>
      <c r="I745" s="106">
        <v>1</v>
      </c>
      <c r="J745" s="64" t="s">
        <v>1262</v>
      </c>
      <c r="K745" s="143">
        <v>3</v>
      </c>
      <c r="L745" s="58"/>
      <c r="M745" s="58"/>
      <c r="N745" s="102"/>
      <c r="O745" s="102"/>
      <c r="P745" s="102"/>
      <c r="Q745" s="102"/>
      <c r="R745" s="102"/>
      <c r="S745" s="102"/>
      <c r="T745" s="102"/>
      <c r="U745" s="102"/>
      <c r="V745" s="102"/>
      <c r="W745" s="102"/>
      <c r="X745" s="102"/>
      <c r="Y745" s="102"/>
      <c r="Z745" s="102"/>
      <c r="AA745" s="102"/>
      <c r="AB745" s="102"/>
      <c r="AC745" s="102"/>
      <c r="AD745" s="102"/>
      <c r="AE745" s="102"/>
      <c r="AF745" s="102"/>
      <c r="AG745" s="102"/>
      <c r="AH745" s="102"/>
      <c r="AI745" s="102"/>
      <c r="AJ745" s="102"/>
      <c r="AK745" s="102"/>
      <c r="AL745" s="102"/>
      <c r="AM745" s="102"/>
      <c r="AN745" s="102"/>
      <c r="AO745" s="102"/>
      <c r="AP745" s="102"/>
    </row>
    <row r="746" spans="1:42">
      <c r="A746" s="89">
        <v>745</v>
      </c>
      <c r="B746" s="90">
        <v>50030753</v>
      </c>
      <c r="C746" s="91" t="s">
        <v>624</v>
      </c>
      <c r="D746" s="58" t="s">
        <v>845</v>
      </c>
      <c r="E746" s="59">
        <v>30123</v>
      </c>
      <c r="F746" s="92">
        <f ca="1">(TODAY()-Data_Assessment[[#This Row],[BIRTH DATE]])/365.25</f>
        <v>39.748117727583846</v>
      </c>
      <c r="G746" s="62" t="s">
        <v>919</v>
      </c>
      <c r="H746" s="63" t="s">
        <v>1341</v>
      </c>
      <c r="I746" s="106">
        <v>1</v>
      </c>
      <c r="J746" s="64" t="s">
        <v>1535</v>
      </c>
      <c r="K746" s="143">
        <v>4</v>
      </c>
      <c r="L746" s="58"/>
      <c r="M746" s="58"/>
      <c r="N746" s="102"/>
      <c r="O746" s="102"/>
      <c r="P746" s="102"/>
      <c r="Q746" s="102"/>
      <c r="R746" s="102"/>
      <c r="S746" s="102"/>
      <c r="T746" s="102"/>
      <c r="U746" s="102"/>
      <c r="V746" s="102"/>
      <c r="W746" s="102"/>
      <c r="X746" s="102"/>
      <c r="Y746" s="102"/>
      <c r="Z746" s="102"/>
      <c r="AA746" s="102"/>
      <c r="AB746" s="102"/>
      <c r="AC746" s="102"/>
      <c r="AD746" s="102"/>
      <c r="AE746" s="102"/>
      <c r="AF746" s="102"/>
      <c r="AG746" s="102"/>
      <c r="AH746" s="102"/>
      <c r="AI746" s="102"/>
      <c r="AJ746" s="102"/>
      <c r="AK746" s="102"/>
      <c r="AL746" s="102"/>
      <c r="AM746" s="102"/>
      <c r="AN746" s="102"/>
      <c r="AO746" s="102"/>
      <c r="AP746" s="102"/>
    </row>
    <row r="747" spans="1:42" ht="29.25">
      <c r="A747" s="89">
        <v>746</v>
      </c>
      <c r="B747" s="90">
        <v>50037982</v>
      </c>
      <c r="C747" s="91" t="s">
        <v>702</v>
      </c>
      <c r="D747" s="58" t="s">
        <v>845</v>
      </c>
      <c r="E747" s="59">
        <v>33346</v>
      </c>
      <c r="F747" s="92">
        <f ca="1">(TODAY()-Data_Assessment[[#This Row],[BIRTH DATE]])/365.25</f>
        <v>30.924024640657084</v>
      </c>
      <c r="G747" s="62" t="s">
        <v>919</v>
      </c>
      <c r="H747" s="63" t="s">
        <v>1261</v>
      </c>
      <c r="I747" s="106">
        <v>1</v>
      </c>
      <c r="J747" s="64" t="s">
        <v>1262</v>
      </c>
      <c r="K747" s="143">
        <v>2</v>
      </c>
      <c r="L747" s="58"/>
      <c r="M747" s="58"/>
      <c r="N747" s="102"/>
      <c r="O747" s="102"/>
      <c r="P747" s="102"/>
      <c r="Q747" s="102"/>
      <c r="R747" s="102"/>
      <c r="S747" s="102"/>
      <c r="T747" s="102"/>
      <c r="U747" s="102"/>
      <c r="V747" s="102"/>
      <c r="W747" s="102"/>
      <c r="X747" s="102"/>
      <c r="Y747" s="102"/>
      <c r="Z747" s="102"/>
      <c r="AA747" s="102"/>
      <c r="AB747" s="102"/>
      <c r="AC747" s="102"/>
      <c r="AD747" s="102"/>
      <c r="AE747" s="102"/>
      <c r="AF747" s="102"/>
      <c r="AG747" s="102"/>
      <c r="AH747" s="102"/>
      <c r="AI747" s="102"/>
      <c r="AJ747" s="102"/>
      <c r="AK747" s="102"/>
      <c r="AL747" s="102"/>
      <c r="AM747" s="102"/>
      <c r="AN747" s="102"/>
      <c r="AO747" s="102"/>
      <c r="AP747" s="102"/>
    </row>
    <row r="748" spans="1:42">
      <c r="A748" s="89">
        <v>747</v>
      </c>
      <c r="B748" s="90">
        <v>50133260</v>
      </c>
      <c r="C748" s="91" t="s">
        <v>706</v>
      </c>
      <c r="D748" s="58" t="s">
        <v>845</v>
      </c>
      <c r="E748" s="59">
        <v>34705</v>
      </c>
      <c r="F748" s="92">
        <f ca="1">(TODAY()-Data_Assessment[[#This Row],[BIRTH DATE]])/365.25</f>
        <v>27.20328542094456</v>
      </c>
      <c r="G748" s="62" t="s">
        <v>919</v>
      </c>
      <c r="H748" s="63" t="s">
        <v>1265</v>
      </c>
      <c r="I748" s="106">
        <v>1</v>
      </c>
      <c r="J748" s="64" t="s">
        <v>1266</v>
      </c>
      <c r="K748" s="143">
        <v>2</v>
      </c>
      <c r="L748" s="58"/>
      <c r="M748" s="58"/>
      <c r="N748" s="102"/>
      <c r="O748" s="102"/>
      <c r="P748" s="102"/>
      <c r="Q748" s="102"/>
      <c r="R748" s="102"/>
      <c r="S748" s="102"/>
      <c r="T748" s="102"/>
      <c r="U748" s="102"/>
      <c r="V748" s="102"/>
      <c r="W748" s="102"/>
      <c r="X748" s="102"/>
      <c r="Y748" s="102"/>
      <c r="Z748" s="102"/>
      <c r="AA748" s="102"/>
      <c r="AB748" s="102"/>
      <c r="AC748" s="102"/>
      <c r="AD748" s="102"/>
      <c r="AE748" s="102"/>
      <c r="AF748" s="102"/>
      <c r="AG748" s="102"/>
      <c r="AH748" s="102"/>
      <c r="AI748" s="102"/>
      <c r="AJ748" s="102"/>
      <c r="AK748" s="102"/>
      <c r="AL748" s="102"/>
      <c r="AM748" s="102"/>
      <c r="AN748" s="102"/>
      <c r="AO748" s="102"/>
      <c r="AP748" s="102"/>
    </row>
    <row r="749" spans="1:42">
      <c r="A749" s="89">
        <v>748</v>
      </c>
      <c r="B749" s="90">
        <v>50030707</v>
      </c>
      <c r="C749" s="91" t="s">
        <v>707</v>
      </c>
      <c r="D749" s="58" t="s">
        <v>845</v>
      </c>
      <c r="E749" s="59">
        <v>27142</v>
      </c>
      <c r="F749" s="92">
        <f ca="1">(TODAY()-Data_Assessment[[#This Row],[BIRTH DATE]])/365.25</f>
        <v>47.909650924024639</v>
      </c>
      <c r="G749" s="62" t="s">
        <v>919</v>
      </c>
      <c r="H749" s="63" t="s">
        <v>1536</v>
      </c>
      <c r="I749" s="106">
        <v>1</v>
      </c>
      <c r="J749" s="64" t="s">
        <v>1537</v>
      </c>
      <c r="K749" s="143">
        <v>2</v>
      </c>
      <c r="L749" s="58"/>
      <c r="M749" s="58"/>
      <c r="N749" s="102"/>
      <c r="O749" s="102"/>
      <c r="P749" s="102"/>
      <c r="Q749" s="102"/>
      <c r="R749" s="102"/>
      <c r="S749" s="102"/>
      <c r="T749" s="102"/>
      <c r="U749" s="102"/>
      <c r="V749" s="102"/>
      <c r="W749" s="102"/>
      <c r="X749" s="102"/>
      <c r="Y749" s="102"/>
      <c r="Z749" s="102"/>
      <c r="AA749" s="102"/>
      <c r="AB749" s="102"/>
      <c r="AC749" s="102"/>
      <c r="AD749" s="102"/>
      <c r="AE749" s="102"/>
      <c r="AF749" s="102"/>
      <c r="AG749" s="102"/>
      <c r="AH749" s="102"/>
      <c r="AI749" s="102"/>
      <c r="AJ749" s="102"/>
      <c r="AK749" s="102"/>
      <c r="AL749" s="102"/>
      <c r="AM749" s="102"/>
      <c r="AN749" s="102"/>
      <c r="AO749" s="102"/>
      <c r="AP749" s="102"/>
    </row>
    <row r="750" spans="1:42">
      <c r="A750" s="89">
        <v>749</v>
      </c>
      <c r="B750" s="90">
        <v>50030742</v>
      </c>
      <c r="C750" s="91" t="s">
        <v>876</v>
      </c>
      <c r="D750" s="58" t="s">
        <v>845</v>
      </c>
      <c r="E750" s="59">
        <v>26638</v>
      </c>
      <c r="F750" s="92">
        <f ca="1">(TODAY()-Data_Assessment[[#This Row],[BIRTH DATE]])/365.25</f>
        <v>49.289527720739223</v>
      </c>
      <c r="G750" s="62" t="s">
        <v>919</v>
      </c>
      <c r="H750" s="63" t="s">
        <v>1536</v>
      </c>
      <c r="I750" s="106">
        <v>1</v>
      </c>
      <c r="J750" s="64" t="s">
        <v>1538</v>
      </c>
      <c r="K750" s="143">
        <v>3</v>
      </c>
      <c r="L750" s="58"/>
      <c r="M750" s="58"/>
      <c r="N750" s="102"/>
      <c r="O750" s="102"/>
      <c r="P750" s="102"/>
      <c r="Q750" s="102"/>
      <c r="R750" s="102"/>
      <c r="S750" s="102"/>
      <c r="T750" s="102"/>
      <c r="U750" s="102"/>
      <c r="V750" s="102"/>
      <c r="W750" s="102"/>
      <c r="X750" s="102"/>
      <c r="Y750" s="102"/>
      <c r="Z750" s="102"/>
      <c r="AA750" s="102"/>
      <c r="AB750" s="102"/>
      <c r="AC750" s="102"/>
      <c r="AD750" s="102"/>
      <c r="AE750" s="102"/>
      <c r="AF750" s="102"/>
      <c r="AG750" s="102"/>
      <c r="AH750" s="102"/>
      <c r="AI750" s="102"/>
      <c r="AJ750" s="102"/>
      <c r="AK750" s="102"/>
      <c r="AL750" s="102"/>
      <c r="AM750" s="102"/>
      <c r="AN750" s="102"/>
      <c r="AO750" s="102"/>
      <c r="AP750" s="102"/>
    </row>
    <row r="751" spans="1:42">
      <c r="A751" s="89">
        <v>750</v>
      </c>
      <c r="B751" s="90">
        <v>50137498</v>
      </c>
      <c r="C751" s="91" t="s">
        <v>708</v>
      </c>
      <c r="D751" s="58" t="s">
        <v>845</v>
      </c>
      <c r="E751" s="59">
        <v>35694</v>
      </c>
      <c r="F751" s="92">
        <f ca="1">(TODAY()-Data_Assessment[[#This Row],[BIRTH DATE]])/365.25</f>
        <v>24.495550992470911</v>
      </c>
      <c r="G751" s="62" t="s">
        <v>919</v>
      </c>
      <c r="H751" s="63" t="s">
        <v>1536</v>
      </c>
      <c r="I751" s="106">
        <v>1</v>
      </c>
      <c r="J751" s="64" t="s">
        <v>1538</v>
      </c>
      <c r="K751" s="143">
        <v>2</v>
      </c>
      <c r="L751" s="58"/>
      <c r="M751" s="58"/>
      <c r="N751" s="102"/>
      <c r="O751" s="102"/>
      <c r="P751" s="102"/>
      <c r="Q751" s="102"/>
      <c r="R751" s="102"/>
      <c r="S751" s="102"/>
      <c r="T751" s="102"/>
      <c r="U751" s="102"/>
      <c r="V751" s="102"/>
      <c r="W751" s="102"/>
      <c r="X751" s="102"/>
      <c r="Y751" s="102"/>
      <c r="Z751" s="102"/>
      <c r="AA751" s="102"/>
      <c r="AB751" s="102"/>
      <c r="AC751" s="102"/>
      <c r="AD751" s="102"/>
      <c r="AE751" s="102"/>
      <c r="AF751" s="102"/>
      <c r="AG751" s="102"/>
      <c r="AH751" s="102"/>
      <c r="AI751" s="102"/>
      <c r="AJ751" s="102"/>
      <c r="AK751" s="102"/>
      <c r="AL751" s="102"/>
      <c r="AM751" s="102"/>
      <c r="AN751" s="102"/>
      <c r="AO751" s="102"/>
      <c r="AP751" s="102"/>
    </row>
    <row r="752" spans="1:42" ht="29.25">
      <c r="A752" s="89">
        <v>751</v>
      </c>
      <c r="B752" s="90">
        <v>50030714</v>
      </c>
      <c r="C752" s="91" t="s">
        <v>709</v>
      </c>
      <c r="D752" s="58" t="s">
        <v>846</v>
      </c>
      <c r="E752" s="59">
        <v>25903</v>
      </c>
      <c r="F752" s="92">
        <f ca="1">(TODAY()-Data_Assessment[[#This Row],[BIRTH DATE]])/365.25</f>
        <v>51.301848049281311</v>
      </c>
      <c r="G752" s="62" t="s">
        <v>919</v>
      </c>
      <c r="H752" s="63" t="s">
        <v>1269</v>
      </c>
      <c r="I752" s="106">
        <v>1</v>
      </c>
      <c r="J752" s="64" t="s">
        <v>1270</v>
      </c>
      <c r="K752" s="143">
        <v>3</v>
      </c>
      <c r="L752" s="58"/>
      <c r="M752" s="58"/>
      <c r="N752" s="102"/>
      <c r="O752" s="102"/>
      <c r="P752" s="102"/>
      <c r="Q752" s="102"/>
      <c r="R752" s="102"/>
      <c r="S752" s="102"/>
      <c r="T752" s="102"/>
      <c r="U752" s="102"/>
      <c r="V752" s="102"/>
      <c r="W752" s="102"/>
      <c r="X752" s="102"/>
      <c r="Y752" s="102"/>
      <c r="Z752" s="102"/>
      <c r="AA752" s="102"/>
      <c r="AB752" s="102"/>
      <c r="AC752" s="102"/>
      <c r="AD752" s="102"/>
      <c r="AE752" s="102"/>
      <c r="AF752" s="102"/>
      <c r="AG752" s="102"/>
      <c r="AH752" s="102"/>
      <c r="AI752" s="102"/>
      <c r="AJ752" s="102"/>
      <c r="AK752" s="102"/>
      <c r="AL752" s="102"/>
      <c r="AM752" s="102"/>
      <c r="AN752" s="102"/>
      <c r="AO752" s="102"/>
      <c r="AP752" s="102"/>
    </row>
    <row r="753" spans="1:42">
      <c r="A753" s="89">
        <v>752</v>
      </c>
      <c r="B753" s="90">
        <v>50030684</v>
      </c>
      <c r="C753" s="91" t="s">
        <v>710</v>
      </c>
      <c r="D753" s="58" t="s">
        <v>845</v>
      </c>
      <c r="E753" s="59">
        <v>25778</v>
      </c>
      <c r="F753" s="92">
        <f ca="1">(TODAY()-Data_Assessment[[#This Row],[BIRTH DATE]])/365.25</f>
        <v>51.644079397672826</v>
      </c>
      <c r="G753" s="62" t="s">
        <v>919</v>
      </c>
      <c r="H753" s="63" t="s">
        <v>1269</v>
      </c>
      <c r="I753" s="106">
        <v>1</v>
      </c>
      <c r="J753" s="64" t="s">
        <v>1539</v>
      </c>
      <c r="K753" s="143">
        <v>2</v>
      </c>
      <c r="L753" s="58"/>
      <c r="M753" s="58"/>
      <c r="N753" s="102"/>
      <c r="O753" s="102"/>
      <c r="P753" s="102"/>
      <c r="Q753" s="102"/>
      <c r="R753" s="102"/>
      <c r="S753" s="102"/>
      <c r="T753" s="102"/>
      <c r="U753" s="102"/>
      <c r="V753" s="102"/>
      <c r="W753" s="102"/>
      <c r="X753" s="102"/>
      <c r="Y753" s="102"/>
      <c r="Z753" s="102"/>
      <c r="AA753" s="102"/>
      <c r="AB753" s="102"/>
      <c r="AC753" s="102"/>
      <c r="AD753" s="102"/>
      <c r="AE753" s="102"/>
      <c r="AF753" s="102"/>
      <c r="AG753" s="102"/>
      <c r="AH753" s="102"/>
      <c r="AI753" s="102"/>
      <c r="AJ753" s="102"/>
      <c r="AK753" s="102"/>
      <c r="AL753" s="102"/>
      <c r="AM753" s="102"/>
      <c r="AN753" s="102"/>
      <c r="AO753" s="102"/>
      <c r="AP753" s="102"/>
    </row>
    <row r="754" spans="1:42" ht="29.25">
      <c r="A754" s="89">
        <v>753</v>
      </c>
      <c r="B754" s="90">
        <v>50031072</v>
      </c>
      <c r="C754" s="91" t="s">
        <v>712</v>
      </c>
      <c r="D754" s="58" t="s">
        <v>845</v>
      </c>
      <c r="E754" s="59">
        <v>26198</v>
      </c>
      <c r="F754" s="92">
        <f ca="1">(TODAY()-Data_Assessment[[#This Row],[BIRTH DATE]])/365.25</f>
        <v>50.494182067077347</v>
      </c>
      <c r="G754" s="62" t="s">
        <v>919</v>
      </c>
      <c r="H754" s="63" t="s">
        <v>1269</v>
      </c>
      <c r="I754" s="106">
        <v>1</v>
      </c>
      <c r="J754" s="64" t="s">
        <v>1270</v>
      </c>
      <c r="K754" s="143">
        <v>2</v>
      </c>
      <c r="L754" s="58"/>
      <c r="M754" s="58"/>
      <c r="N754" s="102"/>
      <c r="O754" s="102"/>
      <c r="P754" s="102"/>
      <c r="Q754" s="102"/>
      <c r="R754" s="102"/>
      <c r="S754" s="102"/>
      <c r="T754" s="102"/>
      <c r="U754" s="102"/>
      <c r="V754" s="102"/>
      <c r="W754" s="102"/>
      <c r="X754" s="102"/>
      <c r="Y754" s="102"/>
      <c r="Z754" s="102"/>
      <c r="AA754" s="102"/>
      <c r="AB754" s="102"/>
      <c r="AC754" s="102"/>
      <c r="AD754" s="102"/>
      <c r="AE754" s="102"/>
      <c r="AF754" s="102"/>
      <c r="AG754" s="102"/>
      <c r="AH754" s="102"/>
      <c r="AI754" s="102"/>
      <c r="AJ754" s="102"/>
      <c r="AK754" s="102"/>
      <c r="AL754" s="102"/>
      <c r="AM754" s="102"/>
      <c r="AN754" s="102"/>
      <c r="AO754" s="102"/>
      <c r="AP754" s="102"/>
    </row>
    <row r="755" spans="1:42" ht="29.25">
      <c r="A755" s="89">
        <v>754</v>
      </c>
      <c r="B755" s="90">
        <v>50030685</v>
      </c>
      <c r="C755" s="91" t="s">
        <v>713</v>
      </c>
      <c r="D755" s="58" t="s">
        <v>845</v>
      </c>
      <c r="E755" s="59">
        <v>24777</v>
      </c>
      <c r="F755" s="92">
        <f ca="1">(TODAY()-Data_Assessment[[#This Row],[BIRTH DATE]])/365.25</f>
        <v>54.384668035592057</v>
      </c>
      <c r="G755" s="62" t="s">
        <v>919</v>
      </c>
      <c r="H755" s="63" t="s">
        <v>1269</v>
      </c>
      <c r="I755" s="106">
        <v>1</v>
      </c>
      <c r="J755" s="64" t="s">
        <v>1270</v>
      </c>
      <c r="K755" s="143">
        <v>2</v>
      </c>
      <c r="L755" s="58"/>
      <c r="M755" s="58"/>
      <c r="N755" s="102"/>
      <c r="O755" s="102"/>
      <c r="P755" s="102"/>
      <c r="Q755" s="102"/>
      <c r="R755" s="102"/>
      <c r="S755" s="102"/>
      <c r="T755" s="102"/>
      <c r="U755" s="102"/>
      <c r="V755" s="102"/>
      <c r="W755" s="102"/>
      <c r="X755" s="102"/>
      <c r="Y755" s="102"/>
      <c r="Z755" s="102"/>
      <c r="AA755" s="102"/>
      <c r="AB755" s="102"/>
      <c r="AC755" s="102"/>
      <c r="AD755" s="102"/>
      <c r="AE755" s="102"/>
      <c r="AF755" s="102"/>
      <c r="AG755" s="102"/>
      <c r="AH755" s="102"/>
      <c r="AI755" s="102"/>
      <c r="AJ755" s="102"/>
      <c r="AK755" s="102"/>
      <c r="AL755" s="102"/>
      <c r="AM755" s="102"/>
      <c r="AN755" s="102"/>
      <c r="AO755" s="102"/>
      <c r="AP755" s="102"/>
    </row>
    <row r="756" spans="1:42">
      <c r="A756" s="89">
        <v>755</v>
      </c>
      <c r="B756" s="90">
        <v>50031039</v>
      </c>
      <c r="C756" s="91" t="s">
        <v>718</v>
      </c>
      <c r="D756" s="58" t="s">
        <v>846</v>
      </c>
      <c r="E756" s="59">
        <v>25317</v>
      </c>
      <c r="F756" s="92">
        <f ca="1">(TODAY()-Data_Assessment[[#This Row],[BIRTH DATE]])/365.25</f>
        <v>52.906228610540722</v>
      </c>
      <c r="G756" s="62" t="s">
        <v>895</v>
      </c>
      <c r="H756" s="63" t="s">
        <v>1205</v>
      </c>
      <c r="I756" s="106">
        <v>1</v>
      </c>
      <c r="J756" s="64" t="s">
        <v>1540</v>
      </c>
      <c r="K756" s="143">
        <v>3</v>
      </c>
      <c r="L756" s="58"/>
      <c r="M756" s="58"/>
      <c r="N756" s="102"/>
      <c r="O756" s="102"/>
      <c r="P756" s="102"/>
      <c r="Q756" s="102"/>
      <c r="R756" s="102"/>
      <c r="S756" s="102"/>
      <c r="T756" s="102"/>
      <c r="U756" s="102"/>
      <c r="V756" s="102"/>
      <c r="W756" s="102"/>
      <c r="X756" s="102"/>
      <c r="Y756" s="102"/>
      <c r="Z756" s="102"/>
      <c r="AA756" s="102"/>
      <c r="AB756" s="102"/>
      <c r="AC756" s="102"/>
      <c r="AD756" s="102"/>
      <c r="AE756" s="102"/>
      <c r="AF756" s="102"/>
      <c r="AG756" s="102"/>
      <c r="AH756" s="102"/>
      <c r="AI756" s="102"/>
      <c r="AJ756" s="102"/>
      <c r="AK756" s="102"/>
      <c r="AL756" s="102"/>
      <c r="AM756" s="102"/>
      <c r="AN756" s="102"/>
      <c r="AO756" s="102"/>
      <c r="AP756" s="102"/>
    </row>
    <row r="757" spans="1:42">
      <c r="A757" s="89">
        <v>756</v>
      </c>
      <c r="B757" s="90">
        <v>50122118</v>
      </c>
      <c r="C757" s="91" t="s">
        <v>720</v>
      </c>
      <c r="D757" s="58" t="s">
        <v>845</v>
      </c>
      <c r="E757" s="59">
        <v>34126</v>
      </c>
      <c r="F757" s="92">
        <f ca="1">(TODAY()-Data_Assessment[[#This Row],[BIRTH DATE]])/365.25</f>
        <v>28.788501026694046</v>
      </c>
      <c r="G757" s="62" t="s">
        <v>895</v>
      </c>
      <c r="H757" s="63" t="s">
        <v>1205</v>
      </c>
      <c r="I757" s="106">
        <v>1</v>
      </c>
      <c r="J757" s="64" t="s">
        <v>1206</v>
      </c>
      <c r="K757" s="143">
        <v>2</v>
      </c>
      <c r="L757" s="58"/>
      <c r="M757" s="58"/>
      <c r="N757" s="102"/>
      <c r="O757" s="102"/>
      <c r="P757" s="102"/>
      <c r="Q757" s="102"/>
      <c r="R757" s="102"/>
      <c r="S757" s="102"/>
      <c r="T757" s="102"/>
      <c r="U757" s="102"/>
      <c r="V757" s="102"/>
      <c r="W757" s="102"/>
      <c r="X757" s="102"/>
      <c r="Y757" s="102"/>
      <c r="Z757" s="102"/>
      <c r="AA757" s="102"/>
      <c r="AB757" s="102"/>
      <c r="AC757" s="102"/>
      <c r="AD757" s="102"/>
      <c r="AE757" s="102"/>
      <c r="AF757" s="102"/>
      <c r="AG757" s="102"/>
      <c r="AH757" s="102"/>
      <c r="AI757" s="102"/>
      <c r="AJ757" s="102"/>
      <c r="AK757" s="102"/>
      <c r="AL757" s="102"/>
      <c r="AM757" s="102"/>
      <c r="AN757" s="102"/>
      <c r="AO757" s="102"/>
      <c r="AP757" s="102"/>
    </row>
    <row r="758" spans="1:42">
      <c r="A758" s="89">
        <v>757</v>
      </c>
      <c r="B758" s="90">
        <v>50049439</v>
      </c>
      <c r="C758" s="91" t="s">
        <v>724</v>
      </c>
      <c r="D758" s="58" t="s">
        <v>846</v>
      </c>
      <c r="E758" s="59">
        <v>25100</v>
      </c>
      <c r="F758" s="92">
        <f ca="1">(TODAY()-Data_Assessment[[#This Row],[BIRTH DATE]])/365.25</f>
        <v>53.500342231348391</v>
      </c>
      <c r="G758" s="62" t="s">
        <v>895</v>
      </c>
      <c r="H758" s="63" t="s">
        <v>1203</v>
      </c>
      <c r="I758" s="106">
        <v>1</v>
      </c>
      <c r="J758" s="64" t="s">
        <v>1541</v>
      </c>
      <c r="K758" s="143">
        <v>3</v>
      </c>
      <c r="L758" s="58"/>
      <c r="M758" s="58"/>
      <c r="N758" s="102"/>
      <c r="O758" s="102"/>
      <c r="P758" s="102"/>
      <c r="Q758" s="102"/>
      <c r="R758" s="102"/>
      <c r="S758" s="102"/>
      <c r="T758" s="102"/>
      <c r="U758" s="102"/>
      <c r="V758" s="102"/>
      <c r="W758" s="102"/>
      <c r="X758" s="102"/>
      <c r="Y758" s="102"/>
      <c r="Z758" s="102"/>
      <c r="AA758" s="102"/>
      <c r="AB758" s="102"/>
      <c r="AC758" s="102"/>
      <c r="AD758" s="102"/>
      <c r="AE758" s="102"/>
      <c r="AF758" s="102"/>
      <c r="AG758" s="102"/>
      <c r="AH758" s="102"/>
      <c r="AI758" s="102"/>
      <c r="AJ758" s="102"/>
      <c r="AK758" s="102"/>
      <c r="AL758" s="102"/>
      <c r="AM758" s="102"/>
      <c r="AN758" s="102"/>
      <c r="AO758" s="102"/>
      <c r="AP758" s="102"/>
    </row>
    <row r="759" spans="1:42" ht="29.25">
      <c r="A759" s="89">
        <v>758</v>
      </c>
      <c r="B759" s="90">
        <v>50031424</v>
      </c>
      <c r="C759" s="91" t="s">
        <v>634</v>
      </c>
      <c r="D759" s="58" t="s">
        <v>845</v>
      </c>
      <c r="E759" s="59">
        <v>31606</v>
      </c>
      <c r="F759" s="92">
        <f ca="1">(TODAY()-Data_Assessment[[#This Row],[BIRTH DATE]])/365.25</f>
        <v>35.687885010266939</v>
      </c>
      <c r="G759" s="62" t="s">
        <v>919</v>
      </c>
      <c r="H759" s="63" t="s">
        <v>1187</v>
      </c>
      <c r="I759" s="106">
        <v>1</v>
      </c>
      <c r="J759" s="64" t="s">
        <v>1542</v>
      </c>
      <c r="K759" s="143">
        <v>3</v>
      </c>
      <c r="L759" s="58"/>
      <c r="M759" s="58"/>
      <c r="N759" s="102"/>
      <c r="O759" s="102"/>
      <c r="P759" s="102"/>
      <c r="Q759" s="102"/>
      <c r="R759" s="102"/>
      <c r="S759" s="102"/>
      <c r="T759" s="102"/>
      <c r="U759" s="102"/>
      <c r="V759" s="102"/>
      <c r="W759" s="102"/>
      <c r="X759" s="102"/>
      <c r="Y759" s="102"/>
      <c r="Z759" s="102"/>
      <c r="AA759" s="102"/>
      <c r="AB759" s="102"/>
      <c r="AC759" s="102"/>
      <c r="AD759" s="102"/>
      <c r="AE759" s="102"/>
      <c r="AF759" s="102"/>
      <c r="AG759" s="102"/>
      <c r="AH759" s="102"/>
      <c r="AI759" s="102"/>
      <c r="AJ759" s="102"/>
      <c r="AK759" s="102"/>
      <c r="AL759" s="102"/>
      <c r="AM759" s="102"/>
      <c r="AN759" s="102"/>
      <c r="AO759" s="102"/>
      <c r="AP759" s="102"/>
    </row>
    <row r="760" spans="1:42">
      <c r="A760" s="89">
        <v>759</v>
      </c>
      <c r="B760" s="90">
        <v>50031430</v>
      </c>
      <c r="C760" s="91" t="s">
        <v>727</v>
      </c>
      <c r="D760" s="58" t="s">
        <v>845</v>
      </c>
      <c r="E760" s="59">
        <v>32540</v>
      </c>
      <c r="F760" s="92">
        <f ca="1">(TODAY()-Data_Assessment[[#This Row],[BIRTH DATE]])/365.25</f>
        <v>33.130732375085557</v>
      </c>
      <c r="G760" s="62" t="s">
        <v>895</v>
      </c>
      <c r="H760" s="63" t="s">
        <v>1203</v>
      </c>
      <c r="I760" s="106">
        <v>1</v>
      </c>
      <c r="J760" s="64" t="s">
        <v>1204</v>
      </c>
      <c r="K760" s="143">
        <v>2</v>
      </c>
      <c r="L760" s="58"/>
      <c r="M760" s="58"/>
      <c r="N760" s="102"/>
      <c r="O760" s="102"/>
      <c r="P760" s="102"/>
      <c r="Q760" s="102"/>
      <c r="R760" s="102"/>
      <c r="S760" s="102"/>
      <c r="T760" s="102"/>
      <c r="U760" s="102"/>
      <c r="V760" s="102"/>
      <c r="W760" s="102"/>
      <c r="X760" s="102"/>
      <c r="Y760" s="102"/>
      <c r="Z760" s="102"/>
      <c r="AA760" s="102"/>
      <c r="AB760" s="102"/>
      <c r="AC760" s="102"/>
      <c r="AD760" s="102"/>
      <c r="AE760" s="102"/>
      <c r="AF760" s="102"/>
      <c r="AG760" s="102"/>
      <c r="AH760" s="102"/>
      <c r="AI760" s="102"/>
      <c r="AJ760" s="102"/>
      <c r="AK760" s="102"/>
      <c r="AL760" s="102"/>
      <c r="AM760" s="102"/>
      <c r="AN760" s="102"/>
      <c r="AO760" s="102"/>
      <c r="AP760" s="102"/>
    </row>
    <row r="761" spans="1:42">
      <c r="A761" s="89">
        <v>760</v>
      </c>
      <c r="B761" s="90">
        <v>50135185</v>
      </c>
      <c r="C761" s="91" t="s">
        <v>864</v>
      </c>
      <c r="D761" s="58" t="s">
        <v>845</v>
      </c>
      <c r="E761" s="59">
        <v>35024</v>
      </c>
      <c r="F761" s="92">
        <f ca="1">(TODAY()-Data_Assessment[[#This Row],[BIRTH DATE]])/365.25</f>
        <v>26.329911019849419</v>
      </c>
      <c r="G761" s="62" t="s">
        <v>895</v>
      </c>
      <c r="H761" s="63" t="s">
        <v>1263</v>
      </c>
      <c r="I761" s="106">
        <v>1</v>
      </c>
      <c r="J761" s="64" t="s">
        <v>1543</v>
      </c>
      <c r="K761" s="143">
        <v>2</v>
      </c>
      <c r="L761" s="58"/>
      <c r="M761" s="58"/>
      <c r="N761" s="102"/>
      <c r="O761" s="102"/>
      <c r="P761" s="102"/>
      <c r="Q761" s="102"/>
      <c r="R761" s="102"/>
      <c r="S761" s="102"/>
      <c r="T761" s="102"/>
      <c r="U761" s="102"/>
      <c r="V761" s="102"/>
      <c r="W761" s="102"/>
      <c r="X761" s="102"/>
      <c r="Y761" s="102"/>
      <c r="Z761" s="102"/>
      <c r="AA761" s="102"/>
      <c r="AB761" s="102"/>
      <c r="AC761" s="102"/>
      <c r="AD761" s="102"/>
      <c r="AE761" s="102"/>
      <c r="AF761" s="102"/>
      <c r="AG761" s="102"/>
      <c r="AH761" s="102"/>
      <c r="AI761" s="102"/>
      <c r="AJ761" s="102"/>
      <c r="AK761" s="102"/>
      <c r="AL761" s="102"/>
      <c r="AM761" s="102"/>
      <c r="AN761" s="102"/>
      <c r="AO761" s="102"/>
      <c r="AP761" s="102"/>
    </row>
    <row r="762" spans="1:42">
      <c r="A762" s="89">
        <v>761</v>
      </c>
      <c r="B762" s="90">
        <v>50108154</v>
      </c>
      <c r="C762" s="91" t="s">
        <v>742</v>
      </c>
      <c r="D762" s="58" t="s">
        <v>845</v>
      </c>
      <c r="E762" s="59">
        <v>34418</v>
      </c>
      <c r="F762" s="92">
        <f ca="1">(TODAY()-Data_Assessment[[#This Row],[BIRTH DATE]])/365.25</f>
        <v>27.989048596851472</v>
      </c>
      <c r="G762" s="62" t="s">
        <v>919</v>
      </c>
      <c r="H762" s="63" t="s">
        <v>923</v>
      </c>
      <c r="I762" s="106">
        <v>1</v>
      </c>
      <c r="J762" s="64" t="s">
        <v>1544</v>
      </c>
      <c r="K762" s="143">
        <v>3</v>
      </c>
      <c r="L762" s="58"/>
      <c r="M762" s="58"/>
      <c r="N762" s="102"/>
      <c r="O762" s="102"/>
      <c r="P762" s="102"/>
      <c r="Q762" s="102"/>
      <c r="R762" s="102"/>
      <c r="S762" s="102"/>
      <c r="T762" s="102"/>
      <c r="U762" s="102"/>
      <c r="V762" s="102"/>
      <c r="W762" s="102"/>
      <c r="X762" s="102"/>
      <c r="Y762" s="102"/>
      <c r="Z762" s="102"/>
      <c r="AA762" s="102"/>
      <c r="AB762" s="102"/>
      <c r="AC762" s="102"/>
      <c r="AD762" s="102"/>
      <c r="AE762" s="102"/>
      <c r="AF762" s="102"/>
      <c r="AG762" s="102"/>
      <c r="AH762" s="102"/>
      <c r="AI762" s="102"/>
      <c r="AJ762" s="102"/>
      <c r="AK762" s="102"/>
      <c r="AL762" s="102"/>
      <c r="AM762" s="102"/>
      <c r="AN762" s="102"/>
      <c r="AO762" s="102"/>
      <c r="AP762" s="102"/>
    </row>
    <row r="763" spans="1:42">
      <c r="A763" s="89">
        <v>762</v>
      </c>
      <c r="B763" s="90">
        <v>50042998</v>
      </c>
      <c r="C763" s="91" t="s">
        <v>748</v>
      </c>
      <c r="D763" s="58" t="s">
        <v>845</v>
      </c>
      <c r="E763" s="59">
        <v>33967</v>
      </c>
      <c r="F763" s="92">
        <f ca="1">(TODAY()-Data_Assessment[[#This Row],[BIRTH DATE]])/365.25</f>
        <v>29.223819301848049</v>
      </c>
      <c r="G763" s="62" t="s">
        <v>919</v>
      </c>
      <c r="H763" s="63" t="s">
        <v>923</v>
      </c>
      <c r="I763" s="106">
        <v>1</v>
      </c>
      <c r="J763" s="64" t="s">
        <v>924</v>
      </c>
      <c r="K763" s="143">
        <v>3</v>
      </c>
      <c r="L763" s="58"/>
      <c r="M763" s="58"/>
      <c r="N763" s="102"/>
      <c r="O763" s="102"/>
      <c r="P763" s="102"/>
      <c r="Q763" s="102"/>
      <c r="R763" s="102"/>
      <c r="S763" s="102"/>
      <c r="T763" s="102"/>
      <c r="U763" s="102"/>
      <c r="V763" s="102"/>
      <c r="W763" s="102"/>
      <c r="X763" s="102"/>
      <c r="Y763" s="102"/>
      <c r="Z763" s="102"/>
      <c r="AA763" s="102"/>
      <c r="AB763" s="102"/>
      <c r="AC763" s="102"/>
      <c r="AD763" s="102"/>
      <c r="AE763" s="102"/>
      <c r="AF763" s="102"/>
      <c r="AG763" s="102"/>
      <c r="AH763" s="102"/>
      <c r="AI763" s="102"/>
      <c r="AJ763" s="102"/>
      <c r="AK763" s="102"/>
      <c r="AL763" s="102"/>
      <c r="AM763" s="102"/>
      <c r="AN763" s="102"/>
      <c r="AO763" s="102"/>
      <c r="AP763" s="102"/>
    </row>
    <row r="764" spans="1:42">
      <c r="A764" s="89">
        <v>763</v>
      </c>
      <c r="B764" s="90">
        <v>50037951</v>
      </c>
      <c r="C764" s="91" t="s">
        <v>752</v>
      </c>
      <c r="D764" s="58" t="s">
        <v>845</v>
      </c>
      <c r="E764" s="59">
        <v>27122</v>
      </c>
      <c r="F764" s="92">
        <f ca="1">(TODAY()-Data_Assessment[[#This Row],[BIRTH DATE]])/365.25</f>
        <v>47.964407939767284</v>
      </c>
      <c r="G764" s="62" t="s">
        <v>919</v>
      </c>
      <c r="H764" s="63" t="s">
        <v>920</v>
      </c>
      <c r="I764" s="106">
        <v>1</v>
      </c>
      <c r="J764" s="64" t="s">
        <v>1545</v>
      </c>
      <c r="K764" s="143">
        <v>3</v>
      </c>
      <c r="L764" s="58"/>
      <c r="M764" s="58"/>
      <c r="N764" s="102"/>
      <c r="O764" s="102"/>
      <c r="P764" s="102"/>
      <c r="Q764" s="102"/>
      <c r="R764" s="102"/>
      <c r="S764" s="102"/>
      <c r="T764" s="102"/>
      <c r="U764" s="102"/>
      <c r="V764" s="102"/>
      <c r="W764" s="102"/>
      <c r="X764" s="102"/>
      <c r="Y764" s="102"/>
      <c r="Z764" s="102"/>
      <c r="AA764" s="102"/>
      <c r="AB764" s="102"/>
      <c r="AC764" s="102"/>
      <c r="AD764" s="102"/>
      <c r="AE764" s="102"/>
      <c r="AF764" s="102"/>
      <c r="AG764" s="102"/>
      <c r="AH764" s="102"/>
      <c r="AI764" s="102"/>
      <c r="AJ764" s="102"/>
      <c r="AK764" s="102"/>
      <c r="AL764" s="102"/>
      <c r="AM764" s="102"/>
      <c r="AN764" s="102"/>
      <c r="AO764" s="102"/>
      <c r="AP764" s="102"/>
    </row>
    <row r="765" spans="1:42">
      <c r="A765" s="89">
        <v>764</v>
      </c>
      <c r="B765" s="90">
        <v>50135193</v>
      </c>
      <c r="C765" s="91" t="s">
        <v>755</v>
      </c>
      <c r="D765" s="58" t="s">
        <v>845</v>
      </c>
      <c r="E765" s="59">
        <v>34663</v>
      </c>
      <c r="F765" s="92">
        <f ca="1">(TODAY()-Data_Assessment[[#This Row],[BIRTH DATE]])/365.25</f>
        <v>27.318275154004105</v>
      </c>
      <c r="G765" s="62" t="s">
        <v>919</v>
      </c>
      <c r="H765" s="63" t="s">
        <v>920</v>
      </c>
      <c r="I765" s="106">
        <v>1</v>
      </c>
      <c r="J765" s="64" t="s">
        <v>921</v>
      </c>
      <c r="K765" s="143">
        <v>2</v>
      </c>
      <c r="L765" s="58"/>
      <c r="M765" s="58"/>
      <c r="N765" s="102"/>
      <c r="O765" s="102"/>
      <c r="P765" s="102"/>
      <c r="Q765" s="102"/>
      <c r="R765" s="102"/>
      <c r="S765" s="102"/>
      <c r="T765" s="102"/>
      <c r="U765" s="102"/>
      <c r="V765" s="102"/>
      <c r="W765" s="102"/>
      <c r="X765" s="102"/>
      <c r="Y765" s="102"/>
      <c r="Z765" s="102"/>
      <c r="AA765" s="102"/>
      <c r="AB765" s="102"/>
      <c r="AC765" s="102"/>
      <c r="AD765" s="102"/>
      <c r="AE765" s="102"/>
      <c r="AF765" s="102"/>
      <c r="AG765" s="102"/>
      <c r="AH765" s="102"/>
      <c r="AI765" s="102"/>
      <c r="AJ765" s="102"/>
      <c r="AK765" s="102"/>
      <c r="AL765" s="102"/>
      <c r="AM765" s="102"/>
      <c r="AN765" s="102"/>
      <c r="AO765" s="102"/>
      <c r="AP765" s="102"/>
    </row>
    <row r="766" spans="1:42">
      <c r="A766" s="89">
        <v>765</v>
      </c>
      <c r="B766" s="90">
        <v>50031114</v>
      </c>
      <c r="C766" s="91" t="s">
        <v>756</v>
      </c>
      <c r="D766" s="58" t="s">
        <v>845</v>
      </c>
      <c r="E766" s="59">
        <v>26386</v>
      </c>
      <c r="F766" s="92">
        <f ca="1">(TODAY()-Data_Assessment[[#This Row],[BIRTH DATE]])/365.25</f>
        <v>49.979466119096507</v>
      </c>
      <c r="G766" s="62" t="s">
        <v>919</v>
      </c>
      <c r="H766" s="63" t="s">
        <v>1417</v>
      </c>
      <c r="I766" s="106">
        <v>1</v>
      </c>
      <c r="J766" s="64" t="s">
        <v>1546</v>
      </c>
      <c r="K766" s="143">
        <v>3</v>
      </c>
      <c r="L766" s="58"/>
      <c r="M766" s="58"/>
      <c r="N766" s="102"/>
      <c r="O766" s="102"/>
      <c r="P766" s="102"/>
      <c r="Q766" s="102"/>
      <c r="R766" s="102"/>
      <c r="S766" s="102"/>
      <c r="T766" s="102"/>
      <c r="U766" s="102"/>
      <c r="V766" s="102"/>
      <c r="W766" s="102"/>
      <c r="X766" s="102"/>
      <c r="Y766" s="102"/>
      <c r="Z766" s="102"/>
      <c r="AA766" s="102"/>
      <c r="AB766" s="102"/>
      <c r="AC766" s="102"/>
      <c r="AD766" s="102"/>
      <c r="AE766" s="102"/>
      <c r="AF766" s="102"/>
      <c r="AG766" s="102"/>
      <c r="AH766" s="102"/>
      <c r="AI766" s="102"/>
      <c r="AJ766" s="102"/>
      <c r="AK766" s="102"/>
      <c r="AL766" s="102"/>
      <c r="AM766" s="102"/>
      <c r="AN766" s="102"/>
      <c r="AO766" s="102"/>
      <c r="AP766" s="102"/>
    </row>
    <row r="767" spans="1:42">
      <c r="A767" s="89">
        <v>766</v>
      </c>
      <c r="B767" s="90">
        <v>50030812</v>
      </c>
      <c r="C767" s="91" t="s">
        <v>758</v>
      </c>
      <c r="D767" s="58" t="s">
        <v>845</v>
      </c>
      <c r="E767" s="59">
        <v>24709</v>
      </c>
      <c r="F767" s="92">
        <f ca="1">(TODAY()-Data_Assessment[[#This Row],[BIRTH DATE]])/365.25</f>
        <v>54.570841889117041</v>
      </c>
      <c r="G767" s="62" t="s">
        <v>919</v>
      </c>
      <c r="H767" s="63" t="s">
        <v>1417</v>
      </c>
      <c r="I767" s="106">
        <v>1</v>
      </c>
      <c r="J767" s="64" t="s">
        <v>1547</v>
      </c>
      <c r="K767" s="143">
        <v>2</v>
      </c>
      <c r="L767" s="58"/>
      <c r="M767" s="58"/>
      <c r="N767" s="102"/>
      <c r="O767" s="102"/>
      <c r="P767" s="102"/>
      <c r="Q767" s="102"/>
      <c r="R767" s="102"/>
      <c r="S767" s="102"/>
      <c r="T767" s="102"/>
      <c r="U767" s="102"/>
      <c r="V767" s="102"/>
      <c r="W767" s="102"/>
      <c r="X767" s="102"/>
      <c r="Y767" s="102"/>
      <c r="Z767" s="102"/>
      <c r="AA767" s="102"/>
      <c r="AB767" s="102"/>
      <c r="AC767" s="102"/>
      <c r="AD767" s="102"/>
      <c r="AE767" s="102"/>
      <c r="AF767" s="102"/>
      <c r="AG767" s="102"/>
      <c r="AH767" s="102"/>
      <c r="AI767" s="102"/>
      <c r="AJ767" s="102"/>
      <c r="AK767" s="102"/>
      <c r="AL767" s="102"/>
      <c r="AM767" s="102"/>
      <c r="AN767" s="102"/>
      <c r="AO767" s="102"/>
      <c r="AP767" s="102"/>
    </row>
    <row r="768" spans="1:42">
      <c r="A768" s="89">
        <v>767</v>
      </c>
      <c r="B768" s="90">
        <v>50030790</v>
      </c>
      <c r="C768" s="91" t="s">
        <v>759</v>
      </c>
      <c r="D768" s="58" t="s">
        <v>845</v>
      </c>
      <c r="E768" s="59">
        <v>25812</v>
      </c>
      <c r="F768" s="92">
        <f ca="1">(TODAY()-Data_Assessment[[#This Row],[BIRTH DATE]])/365.25</f>
        <v>51.550992470910337</v>
      </c>
      <c r="G768" s="62" t="s">
        <v>919</v>
      </c>
      <c r="H768" s="63" t="s">
        <v>1417</v>
      </c>
      <c r="I768" s="106">
        <v>1</v>
      </c>
      <c r="J768" s="64" t="s">
        <v>1547</v>
      </c>
      <c r="K768" s="143">
        <v>2</v>
      </c>
      <c r="L768" s="58"/>
      <c r="M768" s="58"/>
      <c r="N768" s="102"/>
      <c r="O768" s="102"/>
      <c r="P768" s="102"/>
      <c r="Q768" s="102"/>
      <c r="R768" s="102"/>
      <c r="S768" s="102"/>
      <c r="T768" s="102"/>
      <c r="U768" s="102"/>
      <c r="V768" s="102"/>
      <c r="W768" s="102"/>
      <c r="X768" s="102"/>
      <c r="Y768" s="102"/>
      <c r="Z768" s="102"/>
      <c r="AA768" s="102"/>
      <c r="AB768" s="102"/>
      <c r="AC768" s="102"/>
      <c r="AD768" s="102"/>
      <c r="AE768" s="102"/>
      <c r="AF768" s="102"/>
      <c r="AG768" s="102"/>
      <c r="AH768" s="102"/>
      <c r="AI768" s="102"/>
      <c r="AJ768" s="102"/>
      <c r="AK768" s="102"/>
      <c r="AL768" s="102"/>
      <c r="AM768" s="102"/>
      <c r="AN768" s="102"/>
      <c r="AO768" s="102"/>
      <c r="AP768" s="102"/>
    </row>
    <row r="769" spans="1:42">
      <c r="A769" s="89">
        <v>768</v>
      </c>
      <c r="B769" s="90">
        <v>50117625</v>
      </c>
      <c r="C769" s="91" t="s">
        <v>760</v>
      </c>
      <c r="D769" s="58" t="s">
        <v>846</v>
      </c>
      <c r="E769" s="59">
        <v>25505</v>
      </c>
      <c r="F769" s="92">
        <f ca="1">(TODAY()-Data_Assessment[[#This Row],[BIRTH DATE]])/365.25</f>
        <v>52.39151266255989</v>
      </c>
      <c r="G769" s="62" t="s">
        <v>919</v>
      </c>
      <c r="H769" s="63" t="s">
        <v>1417</v>
      </c>
      <c r="I769" s="106">
        <v>1</v>
      </c>
      <c r="J769" s="64" t="s">
        <v>1548</v>
      </c>
      <c r="K769" s="143">
        <v>3</v>
      </c>
      <c r="L769" s="58"/>
      <c r="M769" s="58"/>
      <c r="N769" s="102"/>
      <c r="O769" s="102"/>
      <c r="P769" s="102"/>
      <c r="Q769" s="102"/>
      <c r="R769" s="102"/>
      <c r="S769" s="102"/>
      <c r="T769" s="102"/>
      <c r="U769" s="102"/>
      <c r="V769" s="102"/>
      <c r="W769" s="102"/>
      <c r="X769" s="102"/>
      <c r="Y769" s="102"/>
      <c r="Z769" s="102"/>
      <c r="AA769" s="102"/>
      <c r="AB769" s="102"/>
      <c r="AC769" s="102"/>
      <c r="AD769" s="102"/>
      <c r="AE769" s="102"/>
      <c r="AF769" s="102"/>
      <c r="AG769" s="102"/>
      <c r="AH769" s="102"/>
      <c r="AI769" s="102"/>
      <c r="AJ769" s="102"/>
      <c r="AK769" s="102"/>
      <c r="AL769" s="102"/>
      <c r="AM769" s="102"/>
      <c r="AN769" s="102"/>
      <c r="AO769" s="102"/>
      <c r="AP769" s="102"/>
    </row>
    <row r="770" spans="1:42">
      <c r="A770" s="89">
        <v>769</v>
      </c>
      <c r="B770" s="90">
        <v>50038953</v>
      </c>
      <c r="C770" s="91" t="s">
        <v>642</v>
      </c>
      <c r="D770" s="58" t="s">
        <v>845</v>
      </c>
      <c r="E770" s="59">
        <v>27257</v>
      </c>
      <c r="F770" s="92">
        <f ca="1">(TODAY()-Data_Assessment[[#This Row],[BIRTH DATE]])/365.25</f>
        <v>47.59479808350445</v>
      </c>
      <c r="G770" s="62" t="s">
        <v>919</v>
      </c>
      <c r="H770" s="63" t="s">
        <v>972</v>
      </c>
      <c r="I770" s="106">
        <v>1</v>
      </c>
      <c r="J770" s="64" t="s">
        <v>1549</v>
      </c>
      <c r="K770" s="143">
        <v>3</v>
      </c>
      <c r="L770" s="58"/>
      <c r="M770" s="58"/>
      <c r="N770" s="102"/>
      <c r="O770" s="102"/>
      <c r="P770" s="102"/>
      <c r="Q770" s="102"/>
      <c r="R770" s="102"/>
      <c r="S770" s="102"/>
      <c r="T770" s="102"/>
      <c r="U770" s="102"/>
      <c r="V770" s="102"/>
      <c r="W770" s="102"/>
      <c r="X770" s="102"/>
      <c r="Y770" s="102"/>
      <c r="Z770" s="102"/>
      <c r="AA770" s="102"/>
      <c r="AB770" s="102"/>
      <c r="AC770" s="102"/>
      <c r="AD770" s="102"/>
      <c r="AE770" s="102"/>
      <c r="AF770" s="102"/>
      <c r="AG770" s="102"/>
      <c r="AH770" s="102"/>
      <c r="AI770" s="102"/>
      <c r="AJ770" s="102"/>
      <c r="AK770" s="102"/>
      <c r="AL770" s="102"/>
      <c r="AM770" s="102"/>
      <c r="AN770" s="102"/>
      <c r="AO770" s="102"/>
      <c r="AP770" s="102"/>
    </row>
    <row r="771" spans="1:42">
      <c r="A771" s="89">
        <v>770</v>
      </c>
      <c r="B771" s="90">
        <v>50031105</v>
      </c>
      <c r="C771" s="91" t="s">
        <v>761</v>
      </c>
      <c r="D771" s="58" t="s">
        <v>845</v>
      </c>
      <c r="E771" s="59">
        <v>29186</v>
      </c>
      <c r="F771" s="92">
        <f ca="1">(TODAY()-Data_Assessment[[#This Row],[BIRTH DATE]])/365.25</f>
        <v>42.313483915126625</v>
      </c>
      <c r="G771" s="62" t="s">
        <v>919</v>
      </c>
      <c r="H771" s="63" t="s">
        <v>1214</v>
      </c>
      <c r="I771" s="106">
        <v>1</v>
      </c>
      <c r="J771" s="64" t="s">
        <v>1328</v>
      </c>
      <c r="K771" s="143">
        <v>3</v>
      </c>
      <c r="L771" s="58"/>
      <c r="M771" s="58"/>
      <c r="N771" s="102"/>
      <c r="O771" s="102"/>
      <c r="P771" s="102"/>
      <c r="Q771" s="102"/>
      <c r="R771" s="102"/>
      <c r="S771" s="102"/>
      <c r="T771" s="102"/>
      <c r="U771" s="102"/>
      <c r="V771" s="102"/>
      <c r="W771" s="102"/>
      <c r="X771" s="102"/>
      <c r="Y771" s="102"/>
      <c r="Z771" s="102"/>
      <c r="AA771" s="102"/>
      <c r="AB771" s="102"/>
      <c r="AC771" s="102"/>
      <c r="AD771" s="102"/>
      <c r="AE771" s="102"/>
      <c r="AF771" s="102"/>
      <c r="AG771" s="102"/>
      <c r="AH771" s="102"/>
      <c r="AI771" s="102"/>
      <c r="AJ771" s="102"/>
      <c r="AK771" s="102"/>
      <c r="AL771" s="102"/>
      <c r="AM771" s="102"/>
      <c r="AN771" s="102"/>
      <c r="AO771" s="102"/>
      <c r="AP771" s="102"/>
    </row>
    <row r="772" spans="1:42">
      <c r="A772" s="89">
        <v>771</v>
      </c>
      <c r="B772" s="90">
        <v>50040469</v>
      </c>
      <c r="C772" s="91" t="s">
        <v>763</v>
      </c>
      <c r="D772" s="58" t="s">
        <v>845</v>
      </c>
      <c r="E772" s="59">
        <v>32185</v>
      </c>
      <c r="F772" s="92">
        <f ca="1">(TODAY()-Data_Assessment[[#This Row],[BIRTH DATE]])/365.25</f>
        <v>34.102669404517457</v>
      </c>
      <c r="G772" s="62" t="s">
        <v>919</v>
      </c>
      <c r="H772" s="63" t="s">
        <v>1214</v>
      </c>
      <c r="I772" s="106">
        <v>1</v>
      </c>
      <c r="J772" s="64" t="s">
        <v>1550</v>
      </c>
      <c r="K772" s="143">
        <v>3</v>
      </c>
      <c r="L772" s="58"/>
      <c r="M772" s="58"/>
      <c r="N772" s="102"/>
      <c r="O772" s="102"/>
      <c r="P772" s="102"/>
      <c r="Q772" s="102"/>
      <c r="R772" s="102"/>
      <c r="S772" s="102"/>
      <c r="T772" s="102"/>
      <c r="U772" s="102"/>
      <c r="V772" s="102"/>
      <c r="W772" s="102"/>
      <c r="X772" s="102"/>
      <c r="Y772" s="102"/>
      <c r="Z772" s="102"/>
      <c r="AA772" s="102"/>
      <c r="AB772" s="102"/>
      <c r="AC772" s="102"/>
      <c r="AD772" s="102"/>
      <c r="AE772" s="102"/>
      <c r="AF772" s="102"/>
      <c r="AG772" s="102"/>
      <c r="AH772" s="102"/>
      <c r="AI772" s="102"/>
      <c r="AJ772" s="102"/>
      <c r="AK772" s="102"/>
      <c r="AL772" s="102"/>
      <c r="AM772" s="102"/>
      <c r="AN772" s="102"/>
      <c r="AO772" s="102"/>
      <c r="AP772" s="102"/>
    </row>
    <row r="773" spans="1:42">
      <c r="A773" s="89">
        <v>772</v>
      </c>
      <c r="B773" s="90">
        <v>50051183</v>
      </c>
      <c r="C773" s="91" t="s">
        <v>766</v>
      </c>
      <c r="D773" s="58" t="s">
        <v>845</v>
      </c>
      <c r="E773" s="59">
        <v>33792</v>
      </c>
      <c r="F773" s="92">
        <f ca="1">(TODAY()-Data_Assessment[[#This Row],[BIRTH DATE]])/365.25</f>
        <v>29.702943189596166</v>
      </c>
      <c r="G773" s="62" t="s">
        <v>919</v>
      </c>
      <c r="H773" s="63" t="s">
        <v>1246</v>
      </c>
      <c r="I773" s="106">
        <v>1</v>
      </c>
      <c r="J773" s="64" t="s">
        <v>1551</v>
      </c>
      <c r="K773" s="143">
        <v>3</v>
      </c>
      <c r="L773" s="58"/>
      <c r="M773" s="58"/>
      <c r="N773" s="102"/>
      <c r="O773" s="102"/>
      <c r="P773" s="102"/>
      <c r="Q773" s="102"/>
      <c r="R773" s="102"/>
      <c r="S773" s="102"/>
      <c r="T773" s="102"/>
      <c r="U773" s="102"/>
      <c r="V773" s="102"/>
      <c r="W773" s="102"/>
      <c r="X773" s="102"/>
      <c r="Y773" s="102"/>
      <c r="Z773" s="102"/>
      <c r="AA773" s="102"/>
      <c r="AB773" s="102"/>
      <c r="AC773" s="102"/>
      <c r="AD773" s="102"/>
      <c r="AE773" s="102"/>
      <c r="AF773" s="102"/>
      <c r="AG773" s="102"/>
      <c r="AH773" s="102"/>
      <c r="AI773" s="102"/>
      <c r="AJ773" s="102"/>
      <c r="AK773" s="102"/>
      <c r="AL773" s="102"/>
      <c r="AM773" s="102"/>
      <c r="AN773" s="102"/>
      <c r="AO773" s="102"/>
      <c r="AP773" s="102"/>
    </row>
    <row r="774" spans="1:42">
      <c r="A774" s="89">
        <v>773</v>
      </c>
      <c r="B774" s="90">
        <v>50030764</v>
      </c>
      <c r="C774" s="91" t="s">
        <v>769</v>
      </c>
      <c r="D774" s="58" t="s">
        <v>845</v>
      </c>
      <c r="E774" s="59">
        <v>25397</v>
      </c>
      <c r="F774" s="92">
        <f ca="1">(TODAY()-Data_Assessment[[#This Row],[BIRTH DATE]])/365.25</f>
        <v>52.687200547570157</v>
      </c>
      <c r="G774" s="62" t="s">
        <v>919</v>
      </c>
      <c r="H774" s="63" t="s">
        <v>1246</v>
      </c>
      <c r="I774" s="106">
        <v>1</v>
      </c>
      <c r="J774" s="64" t="s">
        <v>1552</v>
      </c>
      <c r="K774" s="143">
        <v>3</v>
      </c>
      <c r="L774" s="58"/>
      <c r="M774" s="58"/>
      <c r="N774" s="102"/>
      <c r="O774" s="102"/>
      <c r="P774" s="102"/>
      <c r="Q774" s="102"/>
      <c r="R774" s="102"/>
      <c r="S774" s="102"/>
      <c r="T774" s="102"/>
      <c r="U774" s="102"/>
      <c r="V774" s="102"/>
      <c r="W774" s="102"/>
      <c r="X774" s="102"/>
      <c r="Y774" s="102"/>
      <c r="Z774" s="102"/>
      <c r="AA774" s="102"/>
      <c r="AB774" s="102"/>
      <c r="AC774" s="102"/>
      <c r="AD774" s="102"/>
      <c r="AE774" s="102"/>
      <c r="AF774" s="102"/>
      <c r="AG774" s="102"/>
      <c r="AH774" s="102"/>
      <c r="AI774" s="102"/>
      <c r="AJ774" s="102"/>
      <c r="AK774" s="102"/>
      <c r="AL774" s="102"/>
      <c r="AM774" s="102"/>
      <c r="AN774" s="102"/>
      <c r="AO774" s="102"/>
      <c r="AP774" s="102"/>
    </row>
    <row r="775" spans="1:42">
      <c r="A775" s="89">
        <v>774</v>
      </c>
      <c r="B775" s="90">
        <v>50030810</v>
      </c>
      <c r="C775" s="91" t="s">
        <v>771</v>
      </c>
      <c r="D775" s="58" t="s">
        <v>845</v>
      </c>
      <c r="E775" s="59">
        <v>32329</v>
      </c>
      <c r="F775" s="92">
        <f ca="1">(TODAY()-Data_Assessment[[#This Row],[BIRTH DATE]])/365.25</f>
        <v>33.708418891170432</v>
      </c>
      <c r="G775" s="62" t="s">
        <v>919</v>
      </c>
      <c r="H775" s="63" t="s">
        <v>1246</v>
      </c>
      <c r="I775" s="106">
        <v>1</v>
      </c>
      <c r="J775" s="64" t="s">
        <v>1247</v>
      </c>
      <c r="K775" s="143">
        <v>3</v>
      </c>
      <c r="L775" s="58"/>
      <c r="M775" s="58"/>
      <c r="N775" s="102"/>
      <c r="O775" s="102"/>
      <c r="P775" s="102"/>
      <c r="Q775" s="102"/>
      <c r="R775" s="102"/>
      <c r="S775" s="102"/>
      <c r="T775" s="102"/>
      <c r="U775" s="102"/>
      <c r="V775" s="102"/>
      <c r="W775" s="102"/>
      <c r="X775" s="102"/>
      <c r="Y775" s="102"/>
      <c r="Z775" s="102"/>
      <c r="AA775" s="102"/>
      <c r="AB775" s="102"/>
      <c r="AC775" s="102"/>
      <c r="AD775" s="102"/>
      <c r="AE775" s="102"/>
      <c r="AF775" s="102"/>
      <c r="AG775" s="102"/>
      <c r="AH775" s="102"/>
      <c r="AI775" s="102"/>
      <c r="AJ775" s="102"/>
      <c r="AK775" s="102"/>
      <c r="AL775" s="102"/>
      <c r="AM775" s="102"/>
      <c r="AN775" s="102"/>
      <c r="AO775" s="102"/>
      <c r="AP775" s="102"/>
    </row>
    <row r="776" spans="1:42">
      <c r="A776" s="89">
        <v>775</v>
      </c>
      <c r="B776" s="90">
        <v>50051190</v>
      </c>
      <c r="C776" s="91" t="s">
        <v>772</v>
      </c>
      <c r="D776" s="58" t="s">
        <v>845</v>
      </c>
      <c r="E776" s="59">
        <v>34197</v>
      </c>
      <c r="F776" s="92">
        <f ca="1">(TODAY()-Data_Assessment[[#This Row],[BIRTH DATE]])/365.25</f>
        <v>28.594113620807665</v>
      </c>
      <c r="G776" s="62" t="s">
        <v>919</v>
      </c>
      <c r="H776" s="63" t="s">
        <v>1246</v>
      </c>
      <c r="I776" s="106">
        <v>1</v>
      </c>
      <c r="J776" s="64" t="s">
        <v>1247</v>
      </c>
      <c r="K776" s="143">
        <v>3</v>
      </c>
      <c r="L776" s="58"/>
      <c r="M776" s="58"/>
      <c r="N776" s="102"/>
      <c r="O776" s="102"/>
      <c r="P776" s="102"/>
      <c r="Q776" s="102"/>
      <c r="R776" s="102"/>
      <c r="S776" s="102"/>
      <c r="T776" s="102"/>
      <c r="U776" s="102"/>
      <c r="V776" s="102"/>
      <c r="W776" s="102"/>
      <c r="X776" s="102"/>
      <c r="Y776" s="102"/>
      <c r="Z776" s="102"/>
      <c r="AA776" s="102"/>
      <c r="AB776" s="102"/>
      <c r="AC776" s="102"/>
      <c r="AD776" s="102"/>
      <c r="AE776" s="102"/>
      <c r="AF776" s="102"/>
      <c r="AG776" s="102"/>
      <c r="AH776" s="102"/>
      <c r="AI776" s="102"/>
      <c r="AJ776" s="102"/>
      <c r="AK776" s="102"/>
      <c r="AL776" s="102"/>
      <c r="AM776" s="102"/>
      <c r="AN776" s="102"/>
      <c r="AO776" s="102"/>
      <c r="AP776" s="102"/>
    </row>
    <row r="777" spans="1:42">
      <c r="A777" s="89">
        <v>776</v>
      </c>
      <c r="B777" s="90">
        <v>50031284</v>
      </c>
      <c r="C777" s="91" t="s">
        <v>774</v>
      </c>
      <c r="D777" s="58" t="s">
        <v>845</v>
      </c>
      <c r="E777" s="59">
        <v>26685</v>
      </c>
      <c r="F777" s="92">
        <f ca="1">(TODAY()-Data_Assessment[[#This Row],[BIRTH DATE]])/365.25</f>
        <v>49.160848733744011</v>
      </c>
      <c r="G777" s="62" t="s">
        <v>919</v>
      </c>
      <c r="H777" s="63" t="s">
        <v>1050</v>
      </c>
      <c r="I777" s="106">
        <v>1</v>
      </c>
      <c r="J777" s="64" t="s">
        <v>1553</v>
      </c>
      <c r="K777" s="143">
        <v>2</v>
      </c>
      <c r="L777" s="58"/>
      <c r="M777" s="58"/>
      <c r="N777" s="102"/>
      <c r="O777" s="102"/>
      <c r="P777" s="102"/>
      <c r="Q777" s="102"/>
      <c r="R777" s="102"/>
      <c r="S777" s="102"/>
      <c r="T777" s="102"/>
      <c r="U777" s="102"/>
      <c r="V777" s="102"/>
      <c r="W777" s="102"/>
      <c r="X777" s="102"/>
      <c r="Y777" s="102"/>
      <c r="Z777" s="102"/>
      <c r="AA777" s="102"/>
      <c r="AB777" s="102"/>
      <c r="AC777" s="102"/>
      <c r="AD777" s="102"/>
      <c r="AE777" s="102"/>
      <c r="AF777" s="102"/>
      <c r="AG777" s="102"/>
      <c r="AH777" s="102"/>
      <c r="AI777" s="102"/>
      <c r="AJ777" s="102"/>
      <c r="AK777" s="102"/>
      <c r="AL777" s="102"/>
      <c r="AM777" s="102"/>
      <c r="AN777" s="102"/>
      <c r="AO777" s="102"/>
      <c r="AP777" s="102"/>
    </row>
    <row r="778" spans="1:42">
      <c r="A778" s="89">
        <v>777</v>
      </c>
      <c r="B778" s="90">
        <v>50051375</v>
      </c>
      <c r="C778" s="91" t="s">
        <v>782</v>
      </c>
      <c r="D778" s="58" t="s">
        <v>845</v>
      </c>
      <c r="E778" s="59">
        <v>30557</v>
      </c>
      <c r="F778" s="92">
        <f ca="1">(TODAY()-Data_Assessment[[#This Row],[BIRTH DATE]])/365.25</f>
        <v>38.559890485968516</v>
      </c>
      <c r="G778" s="62" t="s">
        <v>941</v>
      </c>
      <c r="H778" s="63" t="s">
        <v>1064</v>
      </c>
      <c r="I778" s="106">
        <v>2</v>
      </c>
      <c r="J778" s="64" t="s">
        <v>1554</v>
      </c>
      <c r="K778" s="143">
        <v>3</v>
      </c>
      <c r="L778" s="58"/>
      <c r="M778" s="58"/>
      <c r="N778" s="102"/>
      <c r="O778" s="102"/>
      <c r="P778" s="102"/>
      <c r="Q778" s="102"/>
      <c r="R778" s="102"/>
      <c r="S778" s="102"/>
      <c r="T778" s="102"/>
      <c r="U778" s="102"/>
      <c r="V778" s="102"/>
      <c r="W778" s="102"/>
      <c r="X778" s="102"/>
      <c r="Y778" s="102"/>
      <c r="Z778" s="102"/>
      <c r="AA778" s="102"/>
      <c r="AB778" s="102"/>
      <c r="AC778" s="102"/>
      <c r="AD778" s="102"/>
      <c r="AE778" s="102"/>
      <c r="AF778" s="102"/>
      <c r="AG778" s="102"/>
      <c r="AH778" s="102"/>
      <c r="AI778" s="102"/>
      <c r="AJ778" s="102"/>
      <c r="AK778" s="102"/>
      <c r="AL778" s="102"/>
      <c r="AM778" s="102"/>
      <c r="AN778" s="102"/>
      <c r="AO778" s="102"/>
      <c r="AP778" s="102"/>
    </row>
    <row r="779" spans="1:42">
      <c r="A779" s="89">
        <v>778</v>
      </c>
      <c r="B779" s="90">
        <v>50031365</v>
      </c>
      <c r="C779" s="91" t="s">
        <v>789</v>
      </c>
      <c r="D779" s="58" t="s">
        <v>846</v>
      </c>
      <c r="E779" s="59">
        <v>27638</v>
      </c>
      <c r="F779" s="92">
        <f ca="1">(TODAY()-Data_Assessment[[#This Row],[BIRTH DATE]])/365.25</f>
        <v>46.551676933607119</v>
      </c>
      <c r="G779" s="62" t="s">
        <v>941</v>
      </c>
      <c r="H779" s="63" t="s">
        <v>1435</v>
      </c>
      <c r="I779" s="106">
        <v>2</v>
      </c>
      <c r="J779" s="64" t="s">
        <v>1475</v>
      </c>
      <c r="K779" s="143">
        <v>4</v>
      </c>
      <c r="L779" s="58"/>
      <c r="M779" s="58"/>
      <c r="N779" s="102"/>
      <c r="O779" s="102"/>
      <c r="P779" s="102"/>
      <c r="Q779" s="102"/>
      <c r="R779" s="102"/>
      <c r="S779" s="102"/>
      <c r="T779" s="102"/>
      <c r="U779" s="102"/>
      <c r="V779" s="102"/>
      <c r="W779" s="102"/>
      <c r="X779" s="102"/>
      <c r="Y779" s="102"/>
      <c r="Z779" s="102"/>
      <c r="AA779" s="102"/>
      <c r="AB779" s="102"/>
      <c r="AC779" s="102"/>
      <c r="AD779" s="102"/>
      <c r="AE779" s="102"/>
      <c r="AF779" s="102"/>
      <c r="AG779" s="102"/>
      <c r="AH779" s="102"/>
      <c r="AI779" s="102"/>
      <c r="AJ779" s="102"/>
      <c r="AK779" s="102"/>
      <c r="AL779" s="102"/>
      <c r="AM779" s="102"/>
      <c r="AN779" s="102"/>
      <c r="AO779" s="102"/>
      <c r="AP779" s="102"/>
    </row>
    <row r="780" spans="1:42">
      <c r="A780" s="89">
        <v>779</v>
      </c>
      <c r="B780" s="90">
        <v>50031303</v>
      </c>
      <c r="C780" s="91" t="s">
        <v>861</v>
      </c>
      <c r="D780" s="58" t="s">
        <v>845</v>
      </c>
      <c r="E780" s="59">
        <v>32766</v>
      </c>
      <c r="F780" s="92">
        <f ca="1">(TODAY()-Data_Assessment[[#This Row],[BIRTH DATE]])/365.25</f>
        <v>32.511978097193705</v>
      </c>
      <c r="G780" s="62" t="s">
        <v>941</v>
      </c>
      <c r="H780" s="63" t="s">
        <v>1435</v>
      </c>
      <c r="I780" s="106">
        <v>2</v>
      </c>
      <c r="J780" s="64" t="s">
        <v>1555</v>
      </c>
      <c r="K780" s="143">
        <v>2</v>
      </c>
      <c r="L780" s="58"/>
      <c r="M780" s="58"/>
      <c r="N780" s="102"/>
      <c r="O780" s="102"/>
      <c r="P780" s="102"/>
      <c r="Q780" s="102"/>
      <c r="R780" s="102"/>
      <c r="S780" s="102"/>
      <c r="T780" s="102"/>
      <c r="U780" s="102"/>
      <c r="V780" s="102"/>
      <c r="W780" s="102"/>
      <c r="X780" s="102"/>
      <c r="Y780" s="102"/>
      <c r="Z780" s="102"/>
      <c r="AA780" s="102"/>
      <c r="AB780" s="102"/>
      <c r="AC780" s="102"/>
      <c r="AD780" s="102"/>
      <c r="AE780" s="102"/>
      <c r="AF780" s="102"/>
      <c r="AG780" s="102"/>
      <c r="AH780" s="102"/>
      <c r="AI780" s="102"/>
      <c r="AJ780" s="102"/>
      <c r="AK780" s="102"/>
      <c r="AL780" s="102"/>
      <c r="AM780" s="102"/>
      <c r="AN780" s="102"/>
      <c r="AO780" s="102"/>
      <c r="AP780" s="102"/>
    </row>
    <row r="781" spans="1:42">
      <c r="A781" s="89">
        <v>780</v>
      </c>
      <c r="B781" s="90">
        <v>50039327</v>
      </c>
      <c r="C781" s="91" t="s">
        <v>794</v>
      </c>
      <c r="D781" s="58" t="s">
        <v>845</v>
      </c>
      <c r="E781" s="59">
        <v>32568</v>
      </c>
      <c r="F781" s="92">
        <f ca="1">(TODAY()-Data_Assessment[[#This Row],[BIRTH DATE]])/365.25</f>
        <v>33.054072553045856</v>
      </c>
      <c r="G781" s="62" t="s">
        <v>926</v>
      </c>
      <c r="H781" s="63" t="s">
        <v>1439</v>
      </c>
      <c r="I781" s="106">
        <v>4</v>
      </c>
      <c r="J781" s="64" t="s">
        <v>1556</v>
      </c>
      <c r="K781" s="143">
        <v>2</v>
      </c>
      <c r="L781" s="58"/>
      <c r="M781" s="58"/>
      <c r="N781" s="102"/>
      <c r="O781" s="102"/>
      <c r="P781" s="102"/>
      <c r="Q781" s="102"/>
      <c r="R781" s="102"/>
      <c r="S781" s="102"/>
      <c r="T781" s="102"/>
      <c r="U781" s="102"/>
      <c r="V781" s="102"/>
      <c r="W781" s="102"/>
      <c r="X781" s="102"/>
      <c r="Y781" s="102"/>
      <c r="Z781" s="102"/>
      <c r="AA781" s="102"/>
      <c r="AB781" s="102"/>
      <c r="AC781" s="102"/>
      <c r="AD781" s="102"/>
      <c r="AE781" s="102"/>
      <c r="AF781" s="102"/>
      <c r="AG781" s="102"/>
      <c r="AH781" s="102"/>
      <c r="AI781" s="102"/>
      <c r="AJ781" s="102"/>
      <c r="AK781" s="102"/>
      <c r="AL781" s="102"/>
      <c r="AM781" s="102"/>
      <c r="AN781" s="102"/>
      <c r="AO781" s="102"/>
      <c r="AP781" s="102"/>
    </row>
    <row r="782" spans="1:42">
      <c r="A782" s="89">
        <v>781</v>
      </c>
      <c r="B782" s="90">
        <v>50051374</v>
      </c>
      <c r="C782" s="91" t="s">
        <v>860</v>
      </c>
      <c r="D782" s="58" t="s">
        <v>845</v>
      </c>
      <c r="E782" s="59">
        <v>29854</v>
      </c>
      <c r="F782" s="92">
        <f ca="1">(TODAY()-Data_Assessment[[#This Row],[BIRTH DATE]])/365.25</f>
        <v>40.484599589322379</v>
      </c>
      <c r="G782" s="62" t="s">
        <v>926</v>
      </c>
      <c r="H782" s="63" t="s">
        <v>1439</v>
      </c>
      <c r="I782" s="106">
        <v>4</v>
      </c>
      <c r="J782" s="64" t="s">
        <v>1556</v>
      </c>
      <c r="K782" s="143">
        <v>2</v>
      </c>
      <c r="L782" s="58"/>
      <c r="M782" s="58"/>
      <c r="N782" s="102"/>
      <c r="O782" s="102"/>
      <c r="P782" s="102"/>
      <c r="Q782" s="102"/>
      <c r="R782" s="102"/>
      <c r="S782" s="102"/>
      <c r="T782" s="102"/>
      <c r="U782" s="102"/>
      <c r="V782" s="102"/>
      <c r="W782" s="102"/>
      <c r="X782" s="102"/>
      <c r="Y782" s="102"/>
      <c r="Z782" s="102"/>
      <c r="AA782" s="102"/>
      <c r="AB782" s="102"/>
      <c r="AC782" s="102"/>
      <c r="AD782" s="102"/>
      <c r="AE782" s="102"/>
      <c r="AF782" s="102"/>
      <c r="AG782" s="102"/>
      <c r="AH782" s="102"/>
      <c r="AI782" s="102"/>
      <c r="AJ782" s="102"/>
      <c r="AK782" s="102"/>
      <c r="AL782" s="102"/>
      <c r="AM782" s="102"/>
      <c r="AN782" s="102"/>
      <c r="AO782" s="102"/>
      <c r="AP782" s="102"/>
    </row>
    <row r="783" spans="1:42">
      <c r="A783" s="89">
        <v>782</v>
      </c>
      <c r="B783" s="90">
        <v>50037950</v>
      </c>
      <c r="C783" s="91" t="s">
        <v>797</v>
      </c>
      <c r="D783" s="58" t="s">
        <v>845</v>
      </c>
      <c r="E783" s="59">
        <v>27634</v>
      </c>
      <c r="F783" s="92">
        <f ca="1">(TODAY()-Data_Assessment[[#This Row],[BIRTH DATE]])/365.25</f>
        <v>46.562628336755644</v>
      </c>
      <c r="G783" s="62" t="s">
        <v>1009</v>
      </c>
      <c r="H783" s="63" t="s">
        <v>1235</v>
      </c>
      <c r="I783" s="106">
        <v>2</v>
      </c>
      <c r="J783" s="64" t="s">
        <v>1557</v>
      </c>
      <c r="K783" s="143">
        <v>3</v>
      </c>
      <c r="L783" s="58"/>
      <c r="M783" s="58"/>
      <c r="N783" s="102"/>
      <c r="O783" s="102"/>
      <c r="P783" s="102"/>
      <c r="Q783" s="102"/>
      <c r="R783" s="102"/>
      <c r="S783" s="102"/>
      <c r="T783" s="102"/>
      <c r="U783" s="102"/>
      <c r="V783" s="102"/>
      <c r="W783" s="102"/>
      <c r="X783" s="102"/>
      <c r="Y783" s="102"/>
      <c r="Z783" s="102"/>
      <c r="AA783" s="102"/>
      <c r="AB783" s="102"/>
      <c r="AC783" s="102"/>
      <c r="AD783" s="102"/>
      <c r="AE783" s="102"/>
      <c r="AF783" s="102"/>
      <c r="AG783" s="102"/>
      <c r="AH783" s="102"/>
      <c r="AI783" s="102"/>
      <c r="AJ783" s="102"/>
      <c r="AK783" s="102"/>
      <c r="AL783" s="102"/>
      <c r="AM783" s="102"/>
      <c r="AN783" s="102"/>
      <c r="AO783" s="102"/>
      <c r="AP783" s="102"/>
    </row>
    <row r="784" spans="1:42">
      <c r="A784" s="89">
        <v>783</v>
      </c>
      <c r="B784" s="90">
        <v>50031305</v>
      </c>
      <c r="C784" s="91" t="s">
        <v>798</v>
      </c>
      <c r="D784" s="58" t="s">
        <v>845</v>
      </c>
      <c r="E784" s="59">
        <v>31513</v>
      </c>
      <c r="F784" s="92">
        <f ca="1">(TODAY()-Data_Assessment[[#This Row],[BIRTH DATE]])/365.25</f>
        <v>35.942505133470227</v>
      </c>
      <c r="G784" s="62" t="s">
        <v>1009</v>
      </c>
      <c r="H784" s="63" t="s">
        <v>1235</v>
      </c>
      <c r="I784" s="106">
        <v>2</v>
      </c>
      <c r="J784" s="64" t="s">
        <v>1236</v>
      </c>
      <c r="K784" s="143">
        <v>3</v>
      </c>
      <c r="L784" s="58"/>
      <c r="M784" s="58"/>
      <c r="N784" s="102"/>
      <c r="O784" s="102"/>
      <c r="P784" s="102"/>
      <c r="Q784" s="102"/>
      <c r="R784" s="102"/>
      <c r="S784" s="102"/>
      <c r="T784" s="102"/>
      <c r="U784" s="102"/>
      <c r="V784" s="102"/>
      <c r="W784" s="102"/>
      <c r="X784" s="102"/>
      <c r="Y784" s="102"/>
      <c r="Z784" s="102"/>
      <c r="AA784" s="102"/>
      <c r="AB784" s="102"/>
      <c r="AC784" s="102"/>
      <c r="AD784" s="102"/>
      <c r="AE784" s="102"/>
      <c r="AF784" s="102"/>
      <c r="AG784" s="102"/>
      <c r="AH784" s="102"/>
      <c r="AI784" s="102"/>
      <c r="AJ784" s="102"/>
      <c r="AK784" s="102"/>
      <c r="AL784" s="102"/>
      <c r="AM784" s="102"/>
      <c r="AN784" s="102"/>
      <c r="AO784" s="102"/>
      <c r="AP784" s="102"/>
    </row>
    <row r="785" spans="1:42">
      <c r="A785" s="89">
        <v>784</v>
      </c>
      <c r="B785" s="90">
        <v>50146751</v>
      </c>
      <c r="C785" s="91" t="s">
        <v>801</v>
      </c>
      <c r="D785" s="58" t="s">
        <v>845</v>
      </c>
      <c r="E785" s="59">
        <v>35166</v>
      </c>
      <c r="F785" s="92">
        <f ca="1">(TODAY()-Data_Assessment[[#This Row],[BIRTH DATE]])/365.25</f>
        <v>25.94113620807666</v>
      </c>
      <c r="G785" s="62" t="s">
        <v>935</v>
      </c>
      <c r="H785" s="63" t="s">
        <v>1444</v>
      </c>
      <c r="I785" s="106">
        <v>4</v>
      </c>
      <c r="J785" s="64" t="s">
        <v>1558</v>
      </c>
      <c r="K785" s="143">
        <v>0</v>
      </c>
      <c r="L785" s="58"/>
      <c r="M785" s="58"/>
      <c r="N785" s="102"/>
      <c r="O785" s="102"/>
      <c r="P785" s="102"/>
      <c r="Q785" s="102"/>
      <c r="R785" s="102"/>
      <c r="S785" s="102"/>
      <c r="T785" s="102"/>
      <c r="U785" s="102"/>
      <c r="V785" s="102"/>
      <c r="W785" s="102"/>
      <c r="X785" s="102"/>
      <c r="Y785" s="102"/>
      <c r="Z785" s="102"/>
      <c r="AA785" s="102"/>
      <c r="AB785" s="102"/>
      <c r="AC785" s="102"/>
      <c r="AD785" s="102"/>
      <c r="AE785" s="102"/>
      <c r="AF785" s="102"/>
      <c r="AG785" s="102"/>
      <c r="AH785" s="102"/>
      <c r="AI785" s="102"/>
      <c r="AJ785" s="102"/>
      <c r="AK785" s="102"/>
      <c r="AL785" s="102"/>
      <c r="AM785" s="102"/>
      <c r="AN785" s="102"/>
      <c r="AO785" s="102"/>
      <c r="AP785" s="102"/>
    </row>
    <row r="786" spans="1:42">
      <c r="A786" s="89">
        <v>785</v>
      </c>
      <c r="B786" s="90">
        <v>50031297</v>
      </c>
      <c r="C786" s="91" t="s">
        <v>836</v>
      </c>
      <c r="D786" s="58" t="s">
        <v>845</v>
      </c>
      <c r="E786" s="59">
        <v>28322</v>
      </c>
      <c r="F786" s="92">
        <f ca="1">(TODAY()-Data_Assessment[[#This Row],[BIRTH DATE]])/365.25</f>
        <v>44.67898699520876</v>
      </c>
      <c r="G786" s="62" t="s">
        <v>1009</v>
      </c>
      <c r="H786" s="63" t="s">
        <v>1559</v>
      </c>
      <c r="I786" s="106">
        <v>2</v>
      </c>
      <c r="J786" s="64" t="s">
        <v>1560</v>
      </c>
      <c r="K786" s="143">
        <v>4</v>
      </c>
      <c r="L786" s="58"/>
      <c r="M786" s="58"/>
      <c r="N786" s="102"/>
      <c r="O786" s="102"/>
      <c r="P786" s="102"/>
      <c r="Q786" s="102"/>
      <c r="R786" s="102"/>
      <c r="S786" s="102"/>
      <c r="T786" s="102"/>
      <c r="U786" s="102"/>
      <c r="V786" s="102"/>
      <c r="W786" s="102"/>
      <c r="X786" s="102"/>
      <c r="Y786" s="102"/>
      <c r="Z786" s="102"/>
      <c r="AA786" s="102"/>
      <c r="AB786" s="102"/>
      <c r="AC786" s="102"/>
      <c r="AD786" s="102"/>
      <c r="AE786" s="102"/>
      <c r="AF786" s="102"/>
      <c r="AG786" s="102"/>
      <c r="AH786" s="102"/>
      <c r="AI786" s="102"/>
      <c r="AJ786" s="102"/>
      <c r="AK786" s="102"/>
      <c r="AL786" s="102"/>
      <c r="AM786" s="102"/>
      <c r="AN786" s="102"/>
      <c r="AO786" s="102"/>
      <c r="AP786" s="102"/>
    </row>
    <row r="787" spans="1:42">
      <c r="A787" s="89">
        <v>786</v>
      </c>
      <c r="B787" s="90">
        <v>50031299</v>
      </c>
      <c r="C787" s="91" t="s">
        <v>837</v>
      </c>
      <c r="D787" s="58" t="s">
        <v>845</v>
      </c>
      <c r="E787" s="59">
        <v>25110</v>
      </c>
      <c r="F787" s="92">
        <f ca="1">(TODAY()-Data_Assessment[[#This Row],[BIRTH DATE]])/365.25</f>
        <v>53.472963723477072</v>
      </c>
      <c r="G787" s="62" t="s">
        <v>1009</v>
      </c>
      <c r="H787" s="63" t="s">
        <v>1559</v>
      </c>
      <c r="I787" s="106">
        <v>2</v>
      </c>
      <c r="J787" s="64" t="s">
        <v>1561</v>
      </c>
      <c r="K787" s="143">
        <v>3</v>
      </c>
      <c r="L787" s="58"/>
      <c r="M787" s="58"/>
      <c r="N787" s="102"/>
      <c r="O787" s="102"/>
      <c r="P787" s="102"/>
      <c r="Q787" s="102"/>
      <c r="R787" s="102"/>
      <c r="S787" s="102"/>
      <c r="T787" s="102"/>
      <c r="U787" s="102"/>
      <c r="V787" s="102"/>
      <c r="W787" s="102"/>
      <c r="X787" s="102"/>
      <c r="Y787" s="102"/>
      <c r="Z787" s="102"/>
      <c r="AA787" s="102"/>
      <c r="AB787" s="102"/>
      <c r="AC787" s="102"/>
      <c r="AD787" s="102"/>
      <c r="AE787" s="102"/>
      <c r="AF787" s="102"/>
      <c r="AG787" s="102"/>
      <c r="AH787" s="102"/>
      <c r="AI787" s="102"/>
      <c r="AJ787" s="102"/>
      <c r="AK787" s="102"/>
      <c r="AL787" s="102"/>
      <c r="AM787" s="102"/>
      <c r="AN787" s="102"/>
      <c r="AO787" s="102"/>
      <c r="AP787" s="102"/>
    </row>
    <row r="788" spans="1:42">
      <c r="A788" s="89">
        <v>787</v>
      </c>
      <c r="B788" s="90">
        <v>50037977</v>
      </c>
      <c r="C788" s="91" t="s">
        <v>838</v>
      </c>
      <c r="D788" s="58" t="s">
        <v>845</v>
      </c>
      <c r="E788" s="59">
        <v>32236</v>
      </c>
      <c r="F788" s="92">
        <f ca="1">(TODAY()-Data_Assessment[[#This Row],[BIRTH DATE]])/365.25</f>
        <v>33.963039014373713</v>
      </c>
      <c r="G788" s="62" t="s">
        <v>1009</v>
      </c>
      <c r="H788" s="63" t="s">
        <v>1559</v>
      </c>
      <c r="I788" s="106">
        <v>2</v>
      </c>
      <c r="J788" s="64" t="s">
        <v>1562</v>
      </c>
      <c r="K788" s="143">
        <v>3</v>
      </c>
      <c r="L788" s="58"/>
      <c r="M788" s="58"/>
      <c r="N788" s="102"/>
      <c r="O788" s="102"/>
      <c r="P788" s="102"/>
      <c r="Q788" s="102"/>
      <c r="R788" s="102"/>
      <c r="S788" s="102"/>
      <c r="T788" s="102"/>
      <c r="U788" s="102"/>
      <c r="V788" s="102"/>
      <c r="W788" s="102"/>
      <c r="X788" s="102"/>
      <c r="Y788" s="102"/>
      <c r="Z788" s="102"/>
      <c r="AA788" s="102"/>
      <c r="AB788" s="102"/>
      <c r="AC788" s="102"/>
      <c r="AD788" s="102"/>
      <c r="AE788" s="102"/>
      <c r="AF788" s="102"/>
      <c r="AG788" s="102"/>
      <c r="AH788" s="102"/>
      <c r="AI788" s="102"/>
      <c r="AJ788" s="102"/>
      <c r="AK788" s="102"/>
      <c r="AL788" s="102"/>
      <c r="AM788" s="102"/>
      <c r="AN788" s="102"/>
      <c r="AO788" s="102"/>
      <c r="AP788" s="102"/>
    </row>
    <row r="789" spans="1:42" ht="29.25">
      <c r="A789" s="89">
        <v>788</v>
      </c>
      <c r="B789" s="90">
        <v>50108303</v>
      </c>
      <c r="C789" s="91" t="s">
        <v>663</v>
      </c>
      <c r="D789" s="58" t="s">
        <v>845</v>
      </c>
      <c r="E789" s="59">
        <v>29500</v>
      </c>
      <c r="F789" s="92">
        <f ca="1">(TODAY()-Data_Assessment[[#This Row],[BIRTH DATE]])/365.25</f>
        <v>41.453798767967143</v>
      </c>
      <c r="G789" s="62" t="s">
        <v>919</v>
      </c>
      <c r="H789" s="63" t="s">
        <v>972</v>
      </c>
      <c r="I789" s="106">
        <v>1</v>
      </c>
      <c r="J789" s="64" t="s">
        <v>1563</v>
      </c>
      <c r="K789" s="143">
        <v>3</v>
      </c>
      <c r="L789" s="58"/>
      <c r="M789" s="58"/>
      <c r="N789" s="102"/>
      <c r="O789" s="102"/>
      <c r="P789" s="102"/>
      <c r="Q789" s="102"/>
      <c r="R789" s="102"/>
      <c r="S789" s="102"/>
      <c r="T789" s="102"/>
      <c r="U789" s="102"/>
      <c r="V789" s="102"/>
      <c r="W789" s="102"/>
      <c r="X789" s="102"/>
      <c r="Y789" s="102"/>
      <c r="Z789" s="102"/>
      <c r="AA789" s="102"/>
      <c r="AB789" s="102"/>
      <c r="AC789" s="102"/>
      <c r="AD789" s="102"/>
      <c r="AE789" s="102"/>
      <c r="AF789" s="102"/>
      <c r="AG789" s="102"/>
      <c r="AH789" s="102"/>
      <c r="AI789" s="102"/>
      <c r="AJ789" s="102"/>
      <c r="AK789" s="102"/>
      <c r="AL789" s="102"/>
      <c r="AM789" s="102"/>
      <c r="AN789" s="102"/>
      <c r="AO789" s="102"/>
      <c r="AP789" s="102"/>
    </row>
    <row r="790" spans="1:42">
      <c r="A790" s="89">
        <v>789</v>
      </c>
      <c r="B790" s="90">
        <v>50147161</v>
      </c>
      <c r="C790" s="91" t="s">
        <v>676</v>
      </c>
      <c r="D790" s="58" t="s">
        <v>845</v>
      </c>
      <c r="E790" s="59">
        <v>32972</v>
      </c>
      <c r="F790" s="92">
        <f ca="1">(TODAY()-Data_Assessment[[#This Row],[BIRTH DATE]])/365.25</f>
        <v>31.94798083504449</v>
      </c>
      <c r="G790" s="62" t="s">
        <v>919</v>
      </c>
      <c r="H790" s="63" t="s">
        <v>950</v>
      </c>
      <c r="I790" s="106">
        <v>1</v>
      </c>
      <c r="J790" s="64" t="s">
        <v>1564</v>
      </c>
      <c r="K790" s="143">
        <v>0</v>
      </c>
      <c r="L790" s="58"/>
      <c r="M790" s="58"/>
      <c r="N790" s="102"/>
      <c r="O790" s="102"/>
      <c r="P790" s="102"/>
      <c r="Q790" s="102"/>
      <c r="R790" s="102"/>
      <c r="S790" s="102"/>
      <c r="T790" s="102"/>
      <c r="U790" s="102"/>
      <c r="V790" s="102"/>
      <c r="W790" s="102"/>
      <c r="X790" s="102"/>
      <c r="Y790" s="102"/>
      <c r="Z790" s="102"/>
      <c r="AA790" s="102"/>
      <c r="AB790" s="102"/>
      <c r="AC790" s="102"/>
      <c r="AD790" s="102"/>
      <c r="AE790" s="102"/>
      <c r="AF790" s="102"/>
      <c r="AG790" s="102"/>
      <c r="AH790" s="102"/>
      <c r="AI790" s="102"/>
      <c r="AJ790" s="102"/>
      <c r="AK790" s="102"/>
      <c r="AL790" s="102"/>
      <c r="AM790" s="102"/>
      <c r="AN790" s="102"/>
      <c r="AO790" s="102"/>
      <c r="AP790" s="102"/>
    </row>
    <row r="791" spans="1:42">
      <c r="A791" s="89">
        <v>790</v>
      </c>
      <c r="B791" s="90">
        <v>50142341</v>
      </c>
      <c r="C791" s="91" t="s">
        <v>715</v>
      </c>
      <c r="D791" s="58" t="s">
        <v>845</v>
      </c>
      <c r="E791" s="59">
        <v>35082</v>
      </c>
      <c r="F791" s="92">
        <f ca="1">(TODAY()-Data_Assessment[[#This Row],[BIRTH DATE]])/365.25</f>
        <v>26.171115674195757</v>
      </c>
      <c r="G791" s="62" t="s">
        <v>895</v>
      </c>
      <c r="H791" s="63" t="s">
        <v>1207</v>
      </c>
      <c r="I791" s="106">
        <v>1</v>
      </c>
      <c r="J791" s="64" t="s">
        <v>1565</v>
      </c>
      <c r="K791" s="143">
        <v>0</v>
      </c>
      <c r="L791" s="58"/>
      <c r="M791" s="58"/>
      <c r="N791" s="102"/>
      <c r="O791" s="102"/>
      <c r="P791" s="102"/>
      <c r="Q791" s="102"/>
      <c r="R791" s="102"/>
      <c r="S791" s="102"/>
      <c r="T791" s="102"/>
      <c r="U791" s="102"/>
      <c r="V791" s="102"/>
      <c r="W791" s="102"/>
      <c r="X791" s="102"/>
      <c r="Y791" s="102"/>
      <c r="Z791" s="102"/>
      <c r="AA791" s="102"/>
      <c r="AB791" s="102"/>
      <c r="AC791" s="102"/>
      <c r="AD791" s="102"/>
      <c r="AE791" s="102"/>
      <c r="AF791" s="102"/>
      <c r="AG791" s="102"/>
      <c r="AH791" s="102"/>
      <c r="AI791" s="102"/>
      <c r="AJ791" s="102"/>
      <c r="AK791" s="102"/>
      <c r="AL791" s="102"/>
      <c r="AM791" s="102"/>
      <c r="AN791" s="102"/>
      <c r="AO791" s="102"/>
      <c r="AP791" s="102"/>
    </row>
    <row r="792" spans="1:42">
      <c r="A792" s="89">
        <v>791</v>
      </c>
      <c r="B792" s="90">
        <v>50146752</v>
      </c>
      <c r="C792" s="91" t="s">
        <v>732</v>
      </c>
      <c r="D792" s="58" t="s">
        <v>845</v>
      </c>
      <c r="E792" s="59">
        <v>34849</v>
      </c>
      <c r="F792" s="92">
        <f ca="1">(TODAY()-Data_Assessment[[#This Row],[BIRTH DATE]])/365.25</f>
        <v>26.809034907597535</v>
      </c>
      <c r="G792" s="62" t="s">
        <v>895</v>
      </c>
      <c r="H792" s="63" t="s">
        <v>1207</v>
      </c>
      <c r="I792" s="106">
        <v>1</v>
      </c>
      <c r="J792" s="64" t="s">
        <v>1398</v>
      </c>
      <c r="K792" s="143">
        <v>0</v>
      </c>
      <c r="L792" s="58"/>
      <c r="M792" s="58"/>
      <c r="N792" s="102"/>
      <c r="O792" s="102"/>
      <c r="P792" s="102"/>
      <c r="Q792" s="102"/>
      <c r="R792" s="102"/>
      <c r="S792" s="102"/>
      <c r="T792" s="102"/>
      <c r="U792" s="102"/>
      <c r="V792" s="102"/>
      <c r="W792" s="102"/>
      <c r="X792" s="102"/>
      <c r="Y792" s="102"/>
      <c r="Z792" s="102"/>
      <c r="AA792" s="102"/>
      <c r="AB792" s="102"/>
      <c r="AC792" s="102"/>
      <c r="AD792" s="102"/>
      <c r="AE792" s="102"/>
      <c r="AF792" s="102"/>
      <c r="AG792" s="102"/>
      <c r="AH792" s="102"/>
      <c r="AI792" s="102"/>
      <c r="AJ792" s="102"/>
      <c r="AK792" s="102"/>
      <c r="AL792" s="102"/>
      <c r="AM792" s="102"/>
      <c r="AN792" s="102"/>
      <c r="AO792" s="102"/>
      <c r="AP792" s="102"/>
    </row>
    <row r="793" spans="1:42">
      <c r="A793" s="89">
        <v>792</v>
      </c>
      <c r="B793" s="90">
        <v>50142340</v>
      </c>
      <c r="C793" s="91" t="s">
        <v>784</v>
      </c>
      <c r="D793" s="58" t="s">
        <v>845</v>
      </c>
      <c r="E793" s="59">
        <v>35361</v>
      </c>
      <c r="F793" s="92">
        <f ca="1">(TODAY()-Data_Assessment[[#This Row],[BIRTH DATE]])/365.25</f>
        <v>25.407255304585899</v>
      </c>
      <c r="G793" s="62" t="s">
        <v>941</v>
      </c>
      <c r="H793" s="63" t="s">
        <v>1429</v>
      </c>
      <c r="I793" s="106">
        <v>2</v>
      </c>
      <c r="J793" s="64" t="s">
        <v>1566</v>
      </c>
      <c r="K793" s="143">
        <v>0</v>
      </c>
      <c r="L793" s="58"/>
      <c r="M793" s="58"/>
      <c r="N793" s="102"/>
      <c r="O793" s="102"/>
      <c r="P793" s="102"/>
      <c r="Q793" s="102"/>
      <c r="R793" s="102"/>
      <c r="S793" s="102"/>
      <c r="T793" s="102"/>
      <c r="U793" s="102"/>
      <c r="V793" s="102"/>
      <c r="W793" s="102"/>
      <c r="X793" s="102"/>
      <c r="Y793" s="102"/>
      <c r="Z793" s="102"/>
      <c r="AA793" s="102"/>
      <c r="AB793" s="102"/>
      <c r="AC793" s="102"/>
      <c r="AD793" s="102"/>
      <c r="AE793" s="102"/>
      <c r="AF793" s="102"/>
      <c r="AG793" s="102"/>
      <c r="AH793" s="102"/>
      <c r="AI793" s="102"/>
      <c r="AJ793" s="102"/>
      <c r="AK793" s="102"/>
      <c r="AL793" s="102"/>
      <c r="AM793" s="102"/>
      <c r="AN793" s="102"/>
      <c r="AO793" s="102"/>
      <c r="AP793" s="102"/>
    </row>
    <row r="794" spans="1:42">
      <c r="A794" s="89">
        <v>793</v>
      </c>
      <c r="B794" s="90">
        <v>50149194</v>
      </c>
      <c r="C794" s="91" t="s">
        <v>788</v>
      </c>
      <c r="D794" s="58" t="s">
        <v>846</v>
      </c>
      <c r="E794" s="59">
        <v>28090</v>
      </c>
      <c r="F794" s="92">
        <f ca="1">(TODAY()-Data_Assessment[[#This Row],[BIRTH DATE]])/365.25</f>
        <v>45.314168377823407</v>
      </c>
      <c r="G794" s="62" t="s">
        <v>919</v>
      </c>
      <c r="H794" s="63" t="s">
        <v>1429</v>
      </c>
      <c r="I794" s="106">
        <v>1</v>
      </c>
      <c r="J794" s="64" t="s">
        <v>1567</v>
      </c>
      <c r="K794" s="143">
        <v>0</v>
      </c>
      <c r="L794" s="58"/>
      <c r="M794" s="58"/>
      <c r="N794" s="102"/>
      <c r="O794" s="102"/>
      <c r="P794" s="102"/>
      <c r="Q794" s="102"/>
      <c r="R794" s="102"/>
      <c r="S794" s="102"/>
      <c r="T794" s="102"/>
      <c r="U794" s="102"/>
      <c r="V794" s="102"/>
      <c r="W794" s="102"/>
      <c r="X794" s="102"/>
      <c r="Y794" s="102"/>
      <c r="Z794" s="102"/>
      <c r="AA794" s="102"/>
      <c r="AB794" s="102"/>
      <c r="AC794" s="102"/>
      <c r="AD794" s="102"/>
      <c r="AE794" s="102"/>
      <c r="AF794" s="102"/>
      <c r="AG794" s="102"/>
      <c r="AH794" s="102"/>
      <c r="AI794" s="102"/>
      <c r="AJ794" s="102"/>
      <c r="AK794" s="102"/>
      <c r="AL794" s="102"/>
      <c r="AM794" s="102"/>
      <c r="AN794" s="102"/>
      <c r="AO794" s="102"/>
      <c r="AP794" s="102"/>
    </row>
    <row r="795" spans="1:42">
      <c r="A795" s="89">
        <v>794</v>
      </c>
      <c r="B795" s="90">
        <v>50146750</v>
      </c>
      <c r="C795" s="91" t="s">
        <v>795</v>
      </c>
      <c r="D795" s="58" t="s">
        <v>845</v>
      </c>
      <c r="E795" s="59">
        <v>35965</v>
      </c>
      <c r="F795" s="92">
        <f ca="1">(TODAY()-Data_Assessment[[#This Row],[BIRTH DATE]])/365.25</f>
        <v>23.753593429158112</v>
      </c>
      <c r="G795" s="62" t="s">
        <v>926</v>
      </c>
      <c r="H795" s="63" t="s">
        <v>1439</v>
      </c>
      <c r="I795" s="106">
        <v>4</v>
      </c>
      <c r="J795" s="64" t="s">
        <v>1568</v>
      </c>
      <c r="K795" s="143">
        <v>0</v>
      </c>
      <c r="L795" s="58"/>
      <c r="M795" s="58"/>
      <c r="N795" s="102"/>
      <c r="O795" s="102"/>
      <c r="P795" s="102"/>
      <c r="Q795" s="102"/>
      <c r="R795" s="102"/>
      <c r="S795" s="102"/>
      <c r="T795" s="102"/>
      <c r="U795" s="102"/>
      <c r="V795" s="102"/>
      <c r="W795" s="102"/>
      <c r="X795" s="102"/>
      <c r="Y795" s="102"/>
      <c r="Z795" s="102"/>
      <c r="AA795" s="102"/>
      <c r="AB795" s="102"/>
      <c r="AC795" s="102"/>
      <c r="AD795" s="102"/>
      <c r="AE795" s="102"/>
      <c r="AF795" s="102"/>
      <c r="AG795" s="102"/>
      <c r="AH795" s="102"/>
      <c r="AI795" s="102"/>
      <c r="AJ795" s="102"/>
      <c r="AK795" s="102"/>
      <c r="AL795" s="102"/>
      <c r="AM795" s="102"/>
      <c r="AN795" s="102"/>
      <c r="AO795" s="102"/>
      <c r="AP795" s="102"/>
    </row>
    <row r="796" spans="1:42">
      <c r="A796" s="89">
        <v>795</v>
      </c>
      <c r="B796" s="90">
        <v>50030681</v>
      </c>
      <c r="C796" s="91" t="s">
        <v>670</v>
      </c>
      <c r="D796" s="58" t="s">
        <v>845</v>
      </c>
      <c r="E796" s="59">
        <v>27280</v>
      </c>
      <c r="F796" s="92">
        <f ca="1">(TODAY()-Data_Assessment[[#This Row],[BIRTH DATE]])/365.25</f>
        <v>47.531827515400408</v>
      </c>
      <c r="G796" s="62" t="s">
        <v>919</v>
      </c>
      <c r="H796" s="63" t="s">
        <v>987</v>
      </c>
      <c r="I796" s="106">
        <v>1</v>
      </c>
      <c r="J796" s="64" t="s">
        <v>1569</v>
      </c>
      <c r="K796" s="143">
        <v>3</v>
      </c>
      <c r="L796" s="58"/>
      <c r="M796" s="58"/>
      <c r="N796" s="102"/>
      <c r="O796" s="102"/>
      <c r="P796" s="102"/>
      <c r="Q796" s="102"/>
      <c r="R796" s="102"/>
      <c r="S796" s="102"/>
      <c r="T796" s="102"/>
      <c r="U796" s="102"/>
      <c r="V796" s="102"/>
      <c r="W796" s="102"/>
      <c r="X796" s="102"/>
      <c r="Y796" s="102"/>
      <c r="Z796" s="102"/>
      <c r="AA796" s="102"/>
      <c r="AB796" s="102"/>
      <c r="AC796" s="102"/>
      <c r="AD796" s="102"/>
      <c r="AE796" s="102"/>
      <c r="AF796" s="102"/>
      <c r="AG796" s="102"/>
      <c r="AH796" s="102"/>
      <c r="AI796" s="102"/>
      <c r="AJ796" s="102"/>
      <c r="AK796" s="102"/>
      <c r="AL796" s="102"/>
      <c r="AM796" s="102"/>
      <c r="AN796" s="102"/>
      <c r="AO796" s="102"/>
      <c r="AP796" s="102"/>
    </row>
    <row r="797" spans="1:42">
      <c r="A797" s="89">
        <v>796</v>
      </c>
      <c r="B797" s="90">
        <v>50030709</v>
      </c>
      <c r="C797" s="91" t="s">
        <v>703</v>
      </c>
      <c r="D797" s="58" t="s">
        <v>845</v>
      </c>
      <c r="E797" s="59">
        <v>24451</v>
      </c>
      <c r="F797" s="92">
        <f ca="1">(TODAY()-Data_Assessment[[#This Row],[BIRTH DATE]])/365.25</f>
        <v>55.277207392197127</v>
      </c>
      <c r="G797" s="62" t="s">
        <v>919</v>
      </c>
      <c r="H797" s="63" t="s">
        <v>1265</v>
      </c>
      <c r="I797" s="106">
        <v>1</v>
      </c>
      <c r="J797" s="64" t="s">
        <v>1570</v>
      </c>
      <c r="K797" s="143">
        <v>4</v>
      </c>
      <c r="L797" s="58"/>
      <c r="M797" s="58"/>
      <c r="N797" s="102"/>
      <c r="O797" s="102"/>
      <c r="P797" s="102"/>
      <c r="Q797" s="102"/>
      <c r="R797" s="102"/>
      <c r="S797" s="102"/>
      <c r="T797" s="102"/>
      <c r="U797" s="102"/>
      <c r="V797" s="102"/>
      <c r="W797" s="102"/>
      <c r="X797" s="102"/>
      <c r="Y797" s="102"/>
      <c r="Z797" s="102"/>
      <c r="AA797" s="102"/>
      <c r="AB797" s="102"/>
      <c r="AC797" s="102"/>
      <c r="AD797" s="102"/>
      <c r="AE797" s="102"/>
      <c r="AF797" s="102"/>
      <c r="AG797" s="102"/>
      <c r="AH797" s="102"/>
      <c r="AI797" s="102"/>
      <c r="AJ797" s="102"/>
      <c r="AK797" s="102"/>
      <c r="AL797" s="102"/>
      <c r="AM797" s="102"/>
      <c r="AN797" s="102"/>
      <c r="AO797" s="102"/>
      <c r="AP797" s="102"/>
    </row>
    <row r="798" spans="1:42">
      <c r="A798" s="89">
        <v>797</v>
      </c>
      <c r="B798" s="90">
        <v>50051185</v>
      </c>
      <c r="C798" s="91" t="s">
        <v>725</v>
      </c>
      <c r="D798" s="58" t="s">
        <v>845</v>
      </c>
      <c r="E798" s="59">
        <v>34542</v>
      </c>
      <c r="F798" s="92">
        <f ca="1">(TODAY()-Data_Assessment[[#This Row],[BIRTH DATE]])/365.25</f>
        <v>27.649555099247092</v>
      </c>
      <c r="G798" s="62" t="s">
        <v>895</v>
      </c>
      <c r="H798" s="63" t="s">
        <v>1203</v>
      </c>
      <c r="I798" s="106">
        <v>1</v>
      </c>
      <c r="J798" s="64" t="s">
        <v>1571</v>
      </c>
      <c r="K798" s="143">
        <v>3</v>
      </c>
      <c r="L798" s="58"/>
      <c r="M798" s="58"/>
      <c r="N798" s="102"/>
      <c r="O798" s="102"/>
      <c r="P798" s="102"/>
      <c r="Q798" s="102"/>
      <c r="R798" s="102"/>
      <c r="S798" s="102"/>
      <c r="T798" s="102"/>
      <c r="U798" s="102"/>
      <c r="V798" s="102"/>
      <c r="W798" s="102"/>
      <c r="X798" s="102"/>
      <c r="Y798" s="102"/>
      <c r="Z798" s="102"/>
      <c r="AA798" s="102"/>
      <c r="AB798" s="102"/>
      <c r="AC798" s="102"/>
      <c r="AD798" s="102"/>
      <c r="AE798" s="102"/>
      <c r="AF798" s="102"/>
      <c r="AG798" s="102"/>
      <c r="AH798" s="102"/>
      <c r="AI798" s="102"/>
      <c r="AJ798" s="102"/>
      <c r="AK798" s="102"/>
      <c r="AL798" s="102"/>
      <c r="AM798" s="102"/>
      <c r="AN798" s="102"/>
      <c r="AO798" s="102"/>
      <c r="AP798" s="102"/>
    </row>
    <row r="799" spans="1:42">
      <c r="A799" s="89">
        <v>798</v>
      </c>
      <c r="B799" s="90">
        <v>50142643</v>
      </c>
      <c r="C799" s="91" t="s">
        <v>737</v>
      </c>
      <c r="D799" s="58" t="s">
        <v>845</v>
      </c>
      <c r="E799" s="59">
        <v>30209</v>
      </c>
      <c r="F799" s="92">
        <f ca="1">(TODAY()-Data_Assessment[[#This Row],[BIRTH DATE]])/365.25</f>
        <v>39.512662559890487</v>
      </c>
      <c r="G799" s="62" t="s">
        <v>895</v>
      </c>
      <c r="H799" s="63" t="s">
        <v>1263</v>
      </c>
      <c r="I799" s="106">
        <v>1</v>
      </c>
      <c r="J799" s="64" t="s">
        <v>1264</v>
      </c>
      <c r="K799" s="143">
        <v>3</v>
      </c>
      <c r="L799" s="58"/>
      <c r="M799" s="58"/>
      <c r="N799" s="102"/>
      <c r="O799" s="102"/>
      <c r="P799" s="102"/>
      <c r="Q799" s="102"/>
      <c r="R799" s="102"/>
      <c r="S799" s="102"/>
      <c r="T799" s="102"/>
      <c r="U799" s="102"/>
      <c r="V799" s="102"/>
      <c r="W799" s="102"/>
      <c r="X799" s="102"/>
      <c r="Y799" s="102"/>
      <c r="Z799" s="102"/>
      <c r="AA799" s="102"/>
      <c r="AB799" s="102"/>
      <c r="AC799" s="102"/>
      <c r="AD799" s="102"/>
      <c r="AE799" s="102"/>
      <c r="AF799" s="102"/>
      <c r="AG799" s="102"/>
      <c r="AH799" s="102"/>
      <c r="AI799" s="102"/>
      <c r="AJ799" s="102"/>
      <c r="AK799" s="102"/>
      <c r="AL799" s="102"/>
      <c r="AM799" s="102"/>
      <c r="AN799" s="102"/>
      <c r="AO799" s="102"/>
      <c r="AP799" s="102"/>
    </row>
    <row r="800" spans="1:42">
      <c r="A800" s="89">
        <v>799</v>
      </c>
      <c r="B800" s="90">
        <v>50031113</v>
      </c>
      <c r="C800" s="91" t="s">
        <v>764</v>
      </c>
      <c r="D800" s="58" t="s">
        <v>845</v>
      </c>
      <c r="E800" s="59">
        <v>23960</v>
      </c>
      <c r="F800" s="92">
        <f ca="1">(TODAY()-Data_Assessment[[#This Row],[BIRTH DATE]])/365.25</f>
        <v>56.621492128678987</v>
      </c>
      <c r="G800" s="62" t="s">
        <v>919</v>
      </c>
      <c r="H800" s="63" t="s">
        <v>1246</v>
      </c>
      <c r="I800" s="106">
        <v>1</v>
      </c>
      <c r="J800" s="64" t="s">
        <v>1572</v>
      </c>
      <c r="K800" s="143">
        <v>3</v>
      </c>
      <c r="L800" s="58"/>
      <c r="M800" s="58"/>
      <c r="N800" s="102"/>
      <c r="O800" s="102"/>
      <c r="P800" s="102"/>
      <c r="Q800" s="102"/>
      <c r="R800" s="102"/>
      <c r="S800" s="102"/>
      <c r="T800" s="102"/>
      <c r="U800" s="102"/>
      <c r="V800" s="102"/>
      <c r="W800" s="102"/>
      <c r="X800" s="102"/>
      <c r="Y800" s="102"/>
      <c r="Z800" s="102"/>
      <c r="AA800" s="102"/>
      <c r="AB800" s="102"/>
      <c r="AC800" s="102"/>
      <c r="AD800" s="102"/>
      <c r="AE800" s="102"/>
      <c r="AF800" s="102"/>
      <c r="AG800" s="102"/>
      <c r="AH800" s="102"/>
      <c r="AI800" s="102"/>
      <c r="AJ800" s="102"/>
      <c r="AK800" s="102"/>
      <c r="AL800" s="102"/>
      <c r="AM800" s="102"/>
      <c r="AN800" s="102"/>
      <c r="AO800" s="102"/>
      <c r="AP800" s="102"/>
    </row>
    <row r="801" spans="1:42">
      <c r="A801" s="89">
        <v>800</v>
      </c>
      <c r="B801" s="90">
        <v>50108174</v>
      </c>
      <c r="C801" s="91" t="s">
        <v>781</v>
      </c>
      <c r="D801" s="58" t="s">
        <v>845</v>
      </c>
      <c r="E801" s="59">
        <v>34197</v>
      </c>
      <c r="F801" s="92">
        <f ca="1">(TODAY()-Data_Assessment[[#This Row],[BIRTH DATE]])/365.25</f>
        <v>28.594113620807665</v>
      </c>
      <c r="G801" s="62" t="s">
        <v>919</v>
      </c>
      <c r="H801" s="63" t="s">
        <v>947</v>
      </c>
      <c r="I801" s="106">
        <v>1</v>
      </c>
      <c r="J801" s="64" t="s">
        <v>948</v>
      </c>
      <c r="K801" s="143">
        <v>2</v>
      </c>
      <c r="L801" s="58"/>
      <c r="M801" s="58"/>
      <c r="N801" s="102"/>
      <c r="O801" s="102"/>
      <c r="P801" s="102"/>
      <c r="Q801" s="102"/>
      <c r="R801" s="102"/>
      <c r="S801" s="102"/>
      <c r="T801" s="102"/>
      <c r="U801" s="102"/>
      <c r="V801" s="102"/>
      <c r="W801" s="102"/>
      <c r="X801" s="102"/>
      <c r="Y801" s="102"/>
      <c r="Z801" s="102"/>
      <c r="AA801" s="102"/>
      <c r="AB801" s="102"/>
      <c r="AC801" s="102"/>
      <c r="AD801" s="102"/>
      <c r="AE801" s="102"/>
      <c r="AF801" s="102"/>
      <c r="AG801" s="102"/>
      <c r="AH801" s="102"/>
      <c r="AI801" s="102"/>
      <c r="AJ801" s="102"/>
      <c r="AK801" s="102"/>
      <c r="AL801" s="102"/>
      <c r="AM801" s="102"/>
      <c r="AN801" s="102"/>
      <c r="AO801" s="102"/>
      <c r="AP801" s="102"/>
    </row>
    <row r="802" spans="1:42">
      <c r="A802" s="89">
        <v>801</v>
      </c>
      <c r="B802" s="90">
        <v>50031519</v>
      </c>
      <c r="C802" s="91" t="s">
        <v>802</v>
      </c>
      <c r="D802" s="58" t="s">
        <v>845</v>
      </c>
      <c r="E802" s="59">
        <v>25592</v>
      </c>
      <c r="F802" s="92">
        <f ca="1">(TODAY()-Data_Assessment[[#This Row],[BIRTH DATE]])/365.25</f>
        <v>52.153319644079396</v>
      </c>
      <c r="G802" s="62" t="s">
        <v>895</v>
      </c>
      <c r="H802" s="63" t="s">
        <v>1052</v>
      </c>
      <c r="I802" s="106">
        <v>1</v>
      </c>
      <c r="J802" s="64" t="s">
        <v>1573</v>
      </c>
      <c r="K802" s="143">
        <v>3</v>
      </c>
      <c r="L802" s="58"/>
      <c r="M802" s="58"/>
      <c r="N802" s="102"/>
      <c r="O802" s="102"/>
      <c r="P802" s="102"/>
      <c r="Q802" s="102"/>
      <c r="R802" s="102"/>
      <c r="S802" s="102"/>
      <c r="T802" s="102"/>
      <c r="U802" s="102"/>
      <c r="V802" s="102"/>
      <c r="W802" s="102"/>
      <c r="X802" s="102"/>
      <c r="Y802" s="102"/>
      <c r="Z802" s="102"/>
      <c r="AA802" s="102"/>
      <c r="AB802" s="102"/>
      <c r="AC802" s="102"/>
      <c r="AD802" s="102"/>
      <c r="AE802" s="102"/>
      <c r="AF802" s="102"/>
      <c r="AG802" s="102"/>
      <c r="AH802" s="102"/>
      <c r="AI802" s="102"/>
      <c r="AJ802" s="102"/>
      <c r="AK802" s="102"/>
      <c r="AL802" s="102"/>
      <c r="AM802" s="102"/>
      <c r="AN802" s="102"/>
      <c r="AO802" s="102"/>
      <c r="AP802" s="102"/>
    </row>
    <row r="803" spans="1:42">
      <c r="A803" s="89">
        <v>802</v>
      </c>
      <c r="B803" s="90">
        <v>50030643</v>
      </c>
      <c r="C803" s="91" t="s">
        <v>808</v>
      </c>
      <c r="D803" s="58" t="s">
        <v>845</v>
      </c>
      <c r="E803" s="59">
        <v>29619</v>
      </c>
      <c r="F803" s="92">
        <f ca="1">(TODAY()-Data_Assessment[[#This Row],[BIRTH DATE]])/365.25</f>
        <v>41.127994524298423</v>
      </c>
      <c r="G803" s="62" t="s">
        <v>971</v>
      </c>
      <c r="H803" s="63" t="s">
        <v>1187</v>
      </c>
      <c r="I803" s="106">
        <v>1</v>
      </c>
      <c r="J803" s="64" t="s">
        <v>1574</v>
      </c>
      <c r="K803" s="143">
        <v>3</v>
      </c>
      <c r="L803" s="58"/>
      <c r="M803" s="58"/>
      <c r="N803" s="102"/>
      <c r="O803" s="102"/>
      <c r="P803" s="102"/>
      <c r="Q803" s="102"/>
      <c r="R803" s="102"/>
      <c r="S803" s="102"/>
      <c r="T803" s="102"/>
      <c r="U803" s="102"/>
      <c r="V803" s="102"/>
      <c r="W803" s="102"/>
      <c r="X803" s="102"/>
      <c r="Y803" s="102"/>
      <c r="Z803" s="102"/>
      <c r="AA803" s="102"/>
      <c r="AB803" s="102"/>
      <c r="AC803" s="102"/>
      <c r="AD803" s="102"/>
      <c r="AE803" s="102"/>
      <c r="AF803" s="102"/>
      <c r="AG803" s="102"/>
      <c r="AH803" s="102"/>
      <c r="AI803" s="102"/>
      <c r="AJ803" s="102"/>
      <c r="AK803" s="102"/>
      <c r="AL803" s="102"/>
      <c r="AM803" s="102"/>
      <c r="AN803" s="102"/>
      <c r="AO803" s="102"/>
      <c r="AP803" s="102"/>
    </row>
    <row r="804" spans="1:42">
      <c r="A804" s="89">
        <v>803</v>
      </c>
      <c r="B804" s="90">
        <v>50102452</v>
      </c>
      <c r="C804" s="91" t="s">
        <v>811</v>
      </c>
      <c r="D804" s="58" t="s">
        <v>845</v>
      </c>
      <c r="E804" s="59">
        <v>32618</v>
      </c>
      <c r="F804" s="92">
        <f ca="1">(TODAY()-Data_Assessment[[#This Row],[BIRTH DATE]])/365.25</f>
        <v>32.917180013689254</v>
      </c>
      <c r="G804" s="62" t="s">
        <v>919</v>
      </c>
      <c r="H804" s="63" t="s">
        <v>1187</v>
      </c>
      <c r="I804" s="106">
        <v>1</v>
      </c>
      <c r="J804" s="64" t="s">
        <v>1188</v>
      </c>
      <c r="K804" s="143">
        <v>4</v>
      </c>
      <c r="L804" s="58"/>
      <c r="M804" s="58"/>
      <c r="N804" s="102"/>
      <c r="O804" s="102"/>
      <c r="P804" s="102"/>
      <c r="Q804" s="102"/>
      <c r="R804" s="102"/>
      <c r="S804" s="102"/>
      <c r="T804" s="102"/>
      <c r="U804" s="102"/>
      <c r="V804" s="102"/>
      <c r="W804" s="102"/>
      <c r="X804" s="102"/>
      <c r="Y804" s="102"/>
      <c r="Z804" s="102"/>
      <c r="AA804" s="102"/>
      <c r="AB804" s="102"/>
      <c r="AC804" s="102"/>
      <c r="AD804" s="102"/>
      <c r="AE804" s="102"/>
      <c r="AF804" s="102"/>
      <c r="AG804" s="102"/>
      <c r="AH804" s="102"/>
      <c r="AI804" s="102"/>
      <c r="AJ804" s="102"/>
      <c r="AK804" s="102"/>
      <c r="AL804" s="102"/>
      <c r="AM804" s="102"/>
      <c r="AN804" s="102"/>
      <c r="AO804" s="102"/>
      <c r="AP804" s="102"/>
    </row>
    <row r="805" spans="1:42">
      <c r="A805" s="89">
        <v>804</v>
      </c>
      <c r="B805" s="90">
        <v>50031133</v>
      </c>
      <c r="C805" s="91" t="s">
        <v>813</v>
      </c>
      <c r="D805" s="58" t="s">
        <v>845</v>
      </c>
      <c r="E805" s="59">
        <v>29749</v>
      </c>
      <c r="F805" s="92">
        <f ca="1">(TODAY()-Data_Assessment[[#This Row],[BIRTH DATE]])/365.25</f>
        <v>40.772073921971256</v>
      </c>
      <c r="G805" s="62" t="s">
        <v>895</v>
      </c>
      <c r="H805" s="63" t="s">
        <v>1052</v>
      </c>
      <c r="I805" s="106">
        <v>1</v>
      </c>
      <c r="J805" s="64" t="s">
        <v>1575</v>
      </c>
      <c r="K805" s="143">
        <v>3</v>
      </c>
      <c r="L805" s="58"/>
      <c r="M805" s="58"/>
      <c r="N805" s="102"/>
      <c r="O805" s="102"/>
      <c r="P805" s="102"/>
      <c r="Q805" s="102"/>
      <c r="R805" s="102"/>
      <c r="S805" s="102"/>
      <c r="T805" s="102"/>
      <c r="U805" s="102"/>
      <c r="V805" s="102"/>
      <c r="W805" s="102"/>
      <c r="X805" s="102"/>
      <c r="Y805" s="102"/>
      <c r="Z805" s="102"/>
      <c r="AA805" s="102"/>
      <c r="AB805" s="102"/>
      <c r="AC805" s="102"/>
      <c r="AD805" s="102"/>
      <c r="AE805" s="102"/>
      <c r="AF805" s="102"/>
      <c r="AG805" s="102"/>
      <c r="AH805" s="102"/>
      <c r="AI805" s="102"/>
      <c r="AJ805" s="102"/>
      <c r="AK805" s="102"/>
      <c r="AL805" s="102"/>
      <c r="AM805" s="102"/>
      <c r="AN805" s="102"/>
      <c r="AO805" s="102"/>
      <c r="AP805" s="102"/>
    </row>
    <row r="806" spans="1:42">
      <c r="A806" s="89">
        <v>805</v>
      </c>
      <c r="B806" s="90">
        <v>50031134</v>
      </c>
      <c r="C806" s="91" t="s">
        <v>814</v>
      </c>
      <c r="D806" s="58" t="s">
        <v>846</v>
      </c>
      <c r="E806" s="59">
        <v>30954</v>
      </c>
      <c r="F806" s="92">
        <f ca="1">(TODAY()-Data_Assessment[[#This Row],[BIRTH DATE]])/365.25</f>
        <v>37.472963723477072</v>
      </c>
      <c r="G806" s="62" t="s">
        <v>895</v>
      </c>
      <c r="H806" s="63" t="s">
        <v>1052</v>
      </c>
      <c r="I806" s="106">
        <v>1</v>
      </c>
      <c r="J806" s="64" t="s">
        <v>1576</v>
      </c>
      <c r="K806" s="143">
        <v>3</v>
      </c>
      <c r="L806" s="58"/>
      <c r="M806" s="58"/>
      <c r="N806" s="102"/>
      <c r="O806" s="102"/>
      <c r="P806" s="102"/>
      <c r="Q806" s="102"/>
      <c r="R806" s="102"/>
      <c r="S806" s="102"/>
      <c r="T806" s="102"/>
      <c r="U806" s="102"/>
      <c r="V806" s="102"/>
      <c r="W806" s="102"/>
      <c r="X806" s="102"/>
      <c r="Y806" s="102"/>
      <c r="Z806" s="102"/>
      <c r="AA806" s="102"/>
      <c r="AB806" s="102"/>
      <c r="AC806" s="102"/>
      <c r="AD806" s="102"/>
      <c r="AE806" s="102"/>
      <c r="AF806" s="102"/>
      <c r="AG806" s="102"/>
      <c r="AH806" s="102"/>
      <c r="AI806" s="102"/>
      <c r="AJ806" s="102"/>
      <c r="AK806" s="102"/>
      <c r="AL806" s="102"/>
      <c r="AM806" s="102"/>
      <c r="AN806" s="102"/>
      <c r="AO806" s="102"/>
      <c r="AP806" s="102"/>
    </row>
    <row r="807" spans="1:42">
      <c r="A807" s="89">
        <v>806</v>
      </c>
      <c r="B807" s="90">
        <v>50030642</v>
      </c>
      <c r="C807" s="91" t="s">
        <v>830</v>
      </c>
      <c r="D807" s="58" t="s">
        <v>846</v>
      </c>
      <c r="E807" s="59">
        <v>25852</v>
      </c>
      <c r="F807" s="92">
        <f ca="1">(TODAY()-Data_Assessment[[#This Row],[BIRTH DATE]])/365.25</f>
        <v>51.441478439425055</v>
      </c>
      <c r="G807" s="62" t="s">
        <v>895</v>
      </c>
      <c r="H807" s="63" t="s">
        <v>1052</v>
      </c>
      <c r="I807" s="106">
        <v>1</v>
      </c>
      <c r="J807" s="64" t="s">
        <v>1577</v>
      </c>
      <c r="K807" s="143">
        <v>3</v>
      </c>
      <c r="L807" s="58"/>
      <c r="M807" s="58"/>
      <c r="N807" s="102"/>
      <c r="O807" s="102"/>
      <c r="P807" s="102"/>
      <c r="Q807" s="102"/>
      <c r="R807" s="102"/>
      <c r="S807" s="102"/>
      <c r="T807" s="102"/>
      <c r="U807" s="102"/>
      <c r="V807" s="102"/>
      <c r="W807" s="102"/>
      <c r="X807" s="102"/>
      <c r="Y807" s="102"/>
      <c r="Z807" s="102"/>
      <c r="AA807" s="102"/>
      <c r="AB807" s="102"/>
      <c r="AC807" s="102"/>
      <c r="AD807" s="102"/>
      <c r="AE807" s="102"/>
      <c r="AF807" s="102"/>
      <c r="AG807" s="102"/>
      <c r="AH807" s="102"/>
      <c r="AI807" s="102"/>
      <c r="AJ807" s="102"/>
      <c r="AK807" s="102"/>
      <c r="AL807" s="102"/>
      <c r="AM807" s="102"/>
      <c r="AN807" s="102"/>
      <c r="AO807" s="102"/>
      <c r="AP807" s="102"/>
    </row>
    <row r="808" spans="1:42" ht="29.25">
      <c r="A808" s="89">
        <v>807</v>
      </c>
      <c r="B808" s="90">
        <v>50031146</v>
      </c>
      <c r="C808" s="91" t="s">
        <v>831</v>
      </c>
      <c r="D808" s="58" t="s">
        <v>845</v>
      </c>
      <c r="E808" s="59">
        <v>29236</v>
      </c>
      <c r="F808" s="92">
        <f ca="1">(TODAY()-Data_Assessment[[#This Row],[BIRTH DATE]])/365.25</f>
        <v>42.176591375770023</v>
      </c>
      <c r="G808" s="62" t="s">
        <v>895</v>
      </c>
      <c r="H808" s="63" t="s">
        <v>1052</v>
      </c>
      <c r="I808" s="106">
        <v>1</v>
      </c>
      <c r="J808" s="64" t="s">
        <v>1578</v>
      </c>
      <c r="K808" s="143">
        <v>3</v>
      </c>
      <c r="L808" s="58"/>
      <c r="M808" s="58"/>
      <c r="N808" s="102"/>
      <c r="O808" s="102"/>
      <c r="P808" s="102"/>
      <c r="Q808" s="102"/>
      <c r="R808" s="102"/>
      <c r="S808" s="102"/>
      <c r="T808" s="102"/>
      <c r="U808" s="102"/>
      <c r="V808" s="102"/>
      <c r="W808" s="102"/>
      <c r="X808" s="102"/>
      <c r="Y808" s="102"/>
      <c r="Z808" s="102"/>
      <c r="AA808" s="102"/>
      <c r="AB808" s="102"/>
      <c r="AC808" s="102"/>
      <c r="AD808" s="102"/>
      <c r="AE808" s="102"/>
      <c r="AF808" s="102"/>
      <c r="AG808" s="102"/>
      <c r="AH808" s="102"/>
      <c r="AI808" s="102"/>
      <c r="AJ808" s="102"/>
      <c r="AK808" s="102"/>
      <c r="AL808" s="102"/>
      <c r="AM808" s="102"/>
      <c r="AN808" s="102"/>
      <c r="AO808" s="102"/>
      <c r="AP808" s="102"/>
    </row>
    <row r="809" spans="1:42">
      <c r="A809" s="89">
        <v>808</v>
      </c>
      <c r="B809" s="90">
        <v>50031155</v>
      </c>
      <c r="C809" s="91" t="s">
        <v>832</v>
      </c>
      <c r="D809" s="58" t="s">
        <v>845</v>
      </c>
      <c r="E809" s="59">
        <v>26209</v>
      </c>
      <c r="F809" s="92">
        <f ca="1">(TODAY()-Data_Assessment[[#This Row],[BIRTH DATE]])/365.25</f>
        <v>50.464065708418893</v>
      </c>
      <c r="G809" s="62" t="s">
        <v>895</v>
      </c>
      <c r="H809" s="63" t="s">
        <v>1052</v>
      </c>
      <c r="I809" s="106">
        <v>1</v>
      </c>
      <c r="J809" s="64" t="s">
        <v>1579</v>
      </c>
      <c r="K809" s="143">
        <v>2</v>
      </c>
      <c r="L809" s="58"/>
      <c r="M809" s="58"/>
      <c r="N809" s="102"/>
      <c r="O809" s="102"/>
      <c r="P809" s="102"/>
      <c r="Q809" s="102"/>
      <c r="R809" s="102"/>
      <c r="S809" s="102"/>
      <c r="T809" s="102"/>
      <c r="U809" s="102"/>
      <c r="V809" s="102"/>
      <c r="W809" s="102"/>
      <c r="X809" s="102"/>
      <c r="Y809" s="102"/>
      <c r="Z809" s="102"/>
      <c r="AA809" s="102"/>
      <c r="AB809" s="102"/>
      <c r="AC809" s="102"/>
      <c r="AD809" s="102"/>
      <c r="AE809" s="102"/>
      <c r="AF809" s="102"/>
      <c r="AG809" s="102"/>
      <c r="AH809" s="102"/>
      <c r="AI809" s="102"/>
      <c r="AJ809" s="102"/>
      <c r="AK809" s="102"/>
      <c r="AL809" s="102"/>
      <c r="AM809" s="102"/>
      <c r="AN809" s="102"/>
      <c r="AO809" s="102"/>
      <c r="AP809" s="102"/>
    </row>
    <row r="810" spans="1:42">
      <c r="A810" s="89">
        <v>809</v>
      </c>
      <c r="B810" s="90">
        <v>50031128</v>
      </c>
      <c r="C810" s="91" t="s">
        <v>833</v>
      </c>
      <c r="D810" s="58" t="s">
        <v>845</v>
      </c>
      <c r="E810" s="59">
        <v>31001</v>
      </c>
      <c r="F810" s="92">
        <f ca="1">(TODAY()-Data_Assessment[[#This Row],[BIRTH DATE]])/365.25</f>
        <v>37.34428473648186</v>
      </c>
      <c r="G810" s="62" t="s">
        <v>895</v>
      </c>
      <c r="H810" s="63" t="s">
        <v>1052</v>
      </c>
      <c r="I810" s="106">
        <v>1</v>
      </c>
      <c r="J810" s="64" t="s">
        <v>1580</v>
      </c>
      <c r="K810" s="143">
        <v>3</v>
      </c>
      <c r="L810" s="58"/>
      <c r="M810" s="58"/>
      <c r="N810" s="102"/>
      <c r="O810" s="102"/>
      <c r="P810" s="102"/>
      <c r="Q810" s="102"/>
      <c r="R810" s="102"/>
      <c r="S810" s="102"/>
      <c r="T810" s="102"/>
      <c r="U810" s="102"/>
      <c r="V810" s="102"/>
      <c r="W810" s="102"/>
      <c r="X810" s="102"/>
      <c r="Y810" s="102"/>
      <c r="Z810" s="102"/>
      <c r="AA810" s="102"/>
      <c r="AB810" s="102"/>
      <c r="AC810" s="102"/>
      <c r="AD810" s="102"/>
      <c r="AE810" s="102"/>
      <c r="AF810" s="102"/>
      <c r="AG810" s="102"/>
      <c r="AH810" s="102"/>
      <c r="AI810" s="102"/>
      <c r="AJ810" s="102"/>
      <c r="AK810" s="102"/>
      <c r="AL810" s="102"/>
      <c r="AM810" s="102"/>
      <c r="AN810" s="102"/>
      <c r="AO810" s="102"/>
      <c r="AP810" s="102"/>
    </row>
    <row r="811" spans="1:42">
      <c r="A811" s="89">
        <v>810</v>
      </c>
      <c r="B811" s="90">
        <v>50047094</v>
      </c>
      <c r="C811" s="91" t="s">
        <v>834</v>
      </c>
      <c r="D811" s="58" t="s">
        <v>845</v>
      </c>
      <c r="E811" s="59">
        <v>26859</v>
      </c>
      <c r="F811" s="92">
        <f ca="1">(TODAY()-Data_Assessment[[#This Row],[BIRTH DATE]])/365.25</f>
        <v>48.684462696783022</v>
      </c>
      <c r="G811" s="62" t="s">
        <v>895</v>
      </c>
      <c r="H811" s="63" t="s">
        <v>1052</v>
      </c>
      <c r="I811" s="106">
        <v>1</v>
      </c>
      <c r="J811" s="64" t="s">
        <v>1580</v>
      </c>
      <c r="K811" s="143">
        <v>2</v>
      </c>
      <c r="L811" s="58"/>
      <c r="M811" s="58"/>
      <c r="N811" s="102"/>
      <c r="O811" s="102"/>
      <c r="P811" s="102"/>
      <c r="Q811" s="102"/>
      <c r="R811" s="102"/>
      <c r="S811" s="102"/>
      <c r="T811" s="102"/>
      <c r="U811" s="102"/>
      <c r="V811" s="102"/>
      <c r="W811" s="102"/>
      <c r="X811" s="102"/>
      <c r="Y811" s="102"/>
      <c r="Z811" s="102"/>
      <c r="AA811" s="102"/>
      <c r="AB811" s="102"/>
      <c r="AC811" s="102"/>
      <c r="AD811" s="102"/>
      <c r="AE811" s="102"/>
      <c r="AF811" s="102"/>
      <c r="AG811" s="102"/>
      <c r="AH811" s="102"/>
      <c r="AI811" s="102"/>
      <c r="AJ811" s="102"/>
      <c r="AK811" s="102"/>
      <c r="AL811" s="102"/>
      <c r="AM811" s="102"/>
      <c r="AN811" s="102"/>
      <c r="AO811" s="102"/>
      <c r="AP811" s="102"/>
    </row>
    <row r="812" spans="1:42">
      <c r="A812" s="89">
        <v>811</v>
      </c>
      <c r="B812" s="90">
        <v>50044761</v>
      </c>
      <c r="C812" s="91" t="s">
        <v>835</v>
      </c>
      <c r="D812" s="58" t="s">
        <v>845</v>
      </c>
      <c r="E812" s="59">
        <v>32937</v>
      </c>
      <c r="F812" s="92">
        <f ca="1">(TODAY()-Data_Assessment[[#This Row],[BIRTH DATE]])/365.25</f>
        <v>32.043805612594113</v>
      </c>
      <c r="G812" s="62" t="s">
        <v>941</v>
      </c>
      <c r="H812" s="63" t="s">
        <v>1581</v>
      </c>
      <c r="I812" s="106">
        <v>2</v>
      </c>
      <c r="J812" s="64" t="s">
        <v>1582</v>
      </c>
      <c r="K812" s="143">
        <v>3</v>
      </c>
      <c r="L812" s="58"/>
      <c r="M812" s="58"/>
      <c r="N812" s="102"/>
      <c r="O812" s="102"/>
      <c r="P812" s="102"/>
      <c r="Q812" s="102"/>
      <c r="R812" s="102"/>
      <c r="S812" s="102"/>
      <c r="T812" s="102"/>
      <c r="U812" s="102"/>
      <c r="V812" s="102"/>
      <c r="W812" s="102"/>
      <c r="X812" s="102"/>
      <c r="Y812" s="102"/>
      <c r="Z812" s="102"/>
      <c r="AA812" s="102"/>
      <c r="AB812" s="102"/>
      <c r="AC812" s="102"/>
      <c r="AD812" s="102"/>
      <c r="AE812" s="102"/>
      <c r="AF812" s="102"/>
      <c r="AG812" s="102"/>
      <c r="AH812" s="102"/>
      <c r="AI812" s="102"/>
      <c r="AJ812" s="102"/>
      <c r="AK812" s="102"/>
      <c r="AL812" s="102"/>
      <c r="AM812" s="102"/>
      <c r="AN812" s="102"/>
      <c r="AO812" s="102"/>
      <c r="AP812" s="102"/>
    </row>
    <row r="813" spans="1:42">
      <c r="A813" s="89">
        <v>812</v>
      </c>
      <c r="B813" s="90">
        <v>50031440</v>
      </c>
      <c r="C813" s="91" t="s">
        <v>839</v>
      </c>
      <c r="D813" s="58" t="s">
        <v>845</v>
      </c>
      <c r="E813" s="59">
        <v>33542</v>
      </c>
      <c r="F813" s="92">
        <f ca="1">(TODAY()-Data_Assessment[[#This Row],[BIRTH DATE]])/365.25</f>
        <v>30.387405886379192</v>
      </c>
      <c r="G813" s="62" t="s">
        <v>1583</v>
      </c>
      <c r="H813" s="63" t="s">
        <v>987</v>
      </c>
      <c r="I813" s="106">
        <v>1</v>
      </c>
      <c r="J813" s="64" t="s">
        <v>1584</v>
      </c>
      <c r="K813" s="143">
        <v>3</v>
      </c>
      <c r="L813" s="58"/>
      <c r="M813" s="58"/>
      <c r="N813" s="102"/>
      <c r="O813" s="102"/>
      <c r="P813" s="102"/>
      <c r="Q813" s="102"/>
      <c r="R813" s="102"/>
      <c r="S813" s="102"/>
      <c r="T813" s="102"/>
      <c r="U813" s="102"/>
      <c r="V813" s="102"/>
      <c r="W813" s="102"/>
      <c r="X813" s="102"/>
      <c r="Y813" s="102"/>
      <c r="Z813" s="102"/>
      <c r="AA813" s="102"/>
      <c r="AB813" s="102"/>
      <c r="AC813" s="102"/>
      <c r="AD813" s="102"/>
      <c r="AE813" s="102"/>
      <c r="AF813" s="102"/>
      <c r="AG813" s="102"/>
      <c r="AH813" s="102"/>
      <c r="AI813" s="102"/>
      <c r="AJ813" s="102"/>
      <c r="AK813" s="102"/>
      <c r="AL813" s="102"/>
      <c r="AM813" s="102"/>
      <c r="AN813" s="102"/>
      <c r="AO813" s="102"/>
      <c r="AP813" s="102"/>
    </row>
    <row r="814" spans="1:42">
      <c r="A814" s="89">
        <v>813</v>
      </c>
      <c r="B814" s="90">
        <v>50134928</v>
      </c>
      <c r="C814" s="91" t="s">
        <v>1585</v>
      </c>
      <c r="D814" s="58"/>
      <c r="E814" s="59">
        <v>25447</v>
      </c>
      <c r="F814" s="92">
        <f ca="1">(TODAY()-Data_Assessment[[#This Row],[BIRTH DATE]])/365.25</f>
        <v>52.550308008213555</v>
      </c>
      <c r="G814" s="62" t="s">
        <v>919</v>
      </c>
      <c r="H814" s="63" t="s">
        <v>972</v>
      </c>
      <c r="I814" s="106">
        <v>1</v>
      </c>
      <c r="J814" s="64" t="s">
        <v>1586</v>
      </c>
      <c r="K814" s="143">
        <v>3</v>
      </c>
      <c r="L814" s="58"/>
      <c r="M814" s="58"/>
      <c r="N814" s="102"/>
      <c r="O814" s="102"/>
      <c r="P814" s="102"/>
      <c r="Q814" s="102"/>
      <c r="R814" s="102"/>
      <c r="S814" s="102"/>
      <c r="T814" s="102"/>
      <c r="U814" s="102"/>
      <c r="V814" s="102"/>
      <c r="W814" s="102"/>
      <c r="X814" s="102"/>
      <c r="Y814" s="102"/>
      <c r="Z814" s="102"/>
      <c r="AA814" s="102"/>
      <c r="AB814" s="102"/>
      <c r="AC814" s="102"/>
      <c r="AD814" s="102"/>
      <c r="AE814" s="102"/>
      <c r="AF814" s="102"/>
      <c r="AG814" s="102"/>
      <c r="AH814" s="102"/>
      <c r="AI814" s="102"/>
      <c r="AJ814" s="102"/>
      <c r="AK814" s="102"/>
      <c r="AL814" s="102"/>
      <c r="AM814" s="102"/>
      <c r="AN814" s="102"/>
      <c r="AO814" s="102"/>
      <c r="AP814" s="102"/>
    </row>
    <row r="815" spans="1:42" ht="29.25">
      <c r="A815" s="89">
        <v>814</v>
      </c>
      <c r="B815" s="90">
        <v>50031409</v>
      </c>
      <c r="C815" s="91" t="s">
        <v>1587</v>
      </c>
      <c r="D815" s="58"/>
      <c r="E815" s="59">
        <v>24932</v>
      </c>
      <c r="F815" s="92">
        <f ca="1">(TODAY()-Data_Assessment[[#This Row],[BIRTH DATE]])/365.25</f>
        <v>53.960301163586585</v>
      </c>
      <c r="G815" s="62" t="s">
        <v>971</v>
      </c>
      <c r="H815" s="63" t="s">
        <v>972</v>
      </c>
      <c r="I815" s="106">
        <v>1</v>
      </c>
      <c r="J815" s="64" t="s">
        <v>1085</v>
      </c>
      <c r="K815" s="143">
        <v>3</v>
      </c>
      <c r="L815" s="58"/>
      <c r="M815" s="58"/>
      <c r="N815" s="102"/>
      <c r="O815" s="102"/>
      <c r="P815" s="102"/>
      <c r="Q815" s="102"/>
      <c r="R815" s="102"/>
      <c r="S815" s="102"/>
      <c r="T815" s="102"/>
      <c r="U815" s="102"/>
      <c r="V815" s="102"/>
      <c r="W815" s="102"/>
      <c r="X815" s="102"/>
      <c r="Y815" s="102"/>
      <c r="Z815" s="102"/>
      <c r="AA815" s="102"/>
      <c r="AB815" s="102"/>
      <c r="AC815" s="102"/>
      <c r="AD815" s="102"/>
      <c r="AE815" s="102"/>
      <c r="AF815" s="102"/>
      <c r="AG815" s="102"/>
      <c r="AH815" s="102"/>
      <c r="AI815" s="102"/>
      <c r="AJ815" s="102"/>
      <c r="AK815" s="102"/>
      <c r="AL815" s="102"/>
      <c r="AM815" s="102"/>
      <c r="AN815" s="102"/>
      <c r="AO815" s="102"/>
      <c r="AP815" s="102"/>
    </row>
    <row r="816" spans="1:42">
      <c r="A816" s="89">
        <v>815</v>
      </c>
      <c r="B816" s="90">
        <v>50031353</v>
      </c>
      <c r="C816" s="91" t="s">
        <v>1588</v>
      </c>
      <c r="D816" s="58"/>
      <c r="E816" s="59">
        <v>25353</v>
      </c>
      <c r="F816" s="92">
        <f ca="1">(TODAY()-Data_Assessment[[#This Row],[BIRTH DATE]])/365.25</f>
        <v>52.807665982203972</v>
      </c>
      <c r="G816" s="62" t="s">
        <v>895</v>
      </c>
      <c r="H816" s="63" t="s">
        <v>1052</v>
      </c>
      <c r="I816" s="106">
        <v>1</v>
      </c>
      <c r="J816" s="64" t="s">
        <v>1185</v>
      </c>
      <c r="K816" s="143">
        <v>2</v>
      </c>
      <c r="L816" s="58"/>
      <c r="M816" s="58"/>
      <c r="N816" s="102"/>
      <c r="O816" s="102"/>
      <c r="P816" s="102"/>
      <c r="Q816" s="102"/>
      <c r="R816" s="102"/>
      <c r="S816" s="102"/>
      <c r="T816" s="102"/>
      <c r="U816" s="102"/>
      <c r="V816" s="102"/>
      <c r="W816" s="102"/>
      <c r="X816" s="102"/>
      <c r="Y816" s="102"/>
      <c r="Z816" s="102"/>
      <c r="AA816" s="102"/>
      <c r="AB816" s="102"/>
      <c r="AC816" s="102"/>
      <c r="AD816" s="102"/>
      <c r="AE816" s="102"/>
      <c r="AF816" s="102"/>
      <c r="AG816" s="102"/>
      <c r="AH816" s="102"/>
      <c r="AI816" s="102"/>
      <c r="AJ816" s="102"/>
      <c r="AK816" s="102"/>
      <c r="AL816" s="102"/>
      <c r="AM816" s="102"/>
      <c r="AN816" s="102"/>
      <c r="AO816" s="102"/>
      <c r="AP816" s="102"/>
    </row>
  </sheetData>
  <sheetProtection selectLockedCells="1" selectUnlockedCells="1"/>
  <phoneticPr fontId="47" type="noConversion"/>
  <pageMargins left="0.7" right="0.7" top="0.75" bottom="0.75" header="0.3" footer="0.3"/>
  <pageSetup paperSize="9" scale="10" firstPageNumber="0" orientation="portrait" horizontalDpi="300" verticalDpi="300" r:id="rId1"/>
  <headerFooter alignWithMargins="0"/>
  <rowBreaks count="3" manualBreakCount="3">
    <brk id="64" max="16383" man="1"/>
    <brk id="143" min="4" max="35" man="1"/>
    <brk id="236" min="4" max="35" man="1"/>
  </rowBreak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7E3B361-2216-44F4-9808-07BD41FAE43B}">
          <x14:formula1>
            <xm:f>OFFSET(Standar!$B$2,0,0,COUNTA(Standar!$B$2:$B$1000),1)</xm:f>
          </x14:formula1>
          <xm:sqref>L2:L816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CC84D-23C6-46A4-AA16-127F74622CE0}">
  <sheetPr codeName="Sheet1">
    <tabColor theme="6" tint="-0.249977111117893"/>
  </sheetPr>
  <dimension ref="A1:D816"/>
  <sheetViews>
    <sheetView workbookViewId="0"/>
  </sheetViews>
  <sheetFormatPr defaultRowHeight="15"/>
  <cols>
    <col min="1" max="1" width="8.7109375" bestFit="1" customWidth="1"/>
    <col min="2" max="2" width="33.140625" bestFit="1" customWidth="1"/>
    <col min="3" max="3" width="75" style="96" bestFit="1" customWidth="1"/>
    <col min="4" max="4" width="75.7109375" style="96" customWidth="1"/>
  </cols>
  <sheetData>
    <row r="1" spans="1:4">
      <c r="A1" t="s">
        <v>1597</v>
      </c>
      <c r="B1" t="s">
        <v>38</v>
      </c>
      <c r="C1" t="s">
        <v>1618</v>
      </c>
      <c r="D1" t="s">
        <v>1619</v>
      </c>
    </row>
    <row r="2" spans="1:4" ht="315">
      <c r="A2" s="100">
        <f>ROW(Strong_Weakness[[#This Row],[INDEX]])-ROW(Strong_Weakness[[#Headers],[INDEX]])</f>
        <v>1</v>
      </c>
      <c r="B2" s="98" t="str">
        <f>INDEX(Data_Assessment[],MATCH(Strong_Weakness[[#This Row],[INDEX]],Data_Assessment[INDEX],0),MATCH(Strong_Weakness[[#Headers],[NAME]],Data_Assessment[#Headers],0))</f>
        <v>Saddam Husein Rambe</v>
      </c>
      <c r="C2" s="97" t="s">
        <v>1591</v>
      </c>
      <c r="D2" s="97" t="s">
        <v>1590</v>
      </c>
    </row>
    <row r="3" spans="1:4" ht="252">
      <c r="A3" s="100">
        <f>ROW(Strong_Weakness[[#This Row],[INDEX]])-ROW(Strong_Weakness[[#Headers],[INDEX]])</f>
        <v>2</v>
      </c>
      <c r="B3" s="98" t="str">
        <f>INDEX(Data_Assessment[],MATCH(Strong_Weakness[[#This Row],[INDEX]],Data_Assessment[INDEX],0),MATCH(Strong_Weakness[[#Headers],[NAME]],Data_Assessment[#Headers],0))</f>
        <v>Adi Sumantri, Ir.</v>
      </c>
      <c r="C3" s="97" t="s">
        <v>1592</v>
      </c>
      <c r="D3" s="97" t="s">
        <v>16</v>
      </c>
    </row>
    <row r="4" spans="1:4" ht="252">
      <c r="A4" s="100">
        <f>ROW(Strong_Weakness[[#This Row],[INDEX]])-ROW(Strong_Weakness[[#Headers],[INDEX]])</f>
        <v>3</v>
      </c>
      <c r="B4" s="98" t="str">
        <f>INDEX(Data_Assessment[],MATCH(Strong_Weakness[[#This Row],[INDEX]],Data_Assessment[INDEX],0),MATCH(Strong_Weakness[[#Headers],[NAME]],Data_Assessment[#Headers],0))</f>
        <v>Danil Fahreza Pohan</v>
      </c>
      <c r="C4" s="99" t="s">
        <v>17</v>
      </c>
      <c r="D4" s="99" t="s">
        <v>18</v>
      </c>
    </row>
    <row r="5" spans="1:4" ht="283.5">
      <c r="A5" s="100">
        <f>ROW(Strong_Weakness[[#This Row],[INDEX]])-ROW(Strong_Weakness[[#Headers],[INDEX]])</f>
        <v>4</v>
      </c>
      <c r="B5" s="98" t="str">
        <f>INDEX(Data_Assessment[],MATCH(Strong_Weakness[[#This Row],[INDEX]],Data_Assessment[INDEX],0),MATCH(Strong_Weakness[[#Headers],[NAME]],Data_Assessment[#Headers],0))</f>
        <v>Arrayani Nasution</v>
      </c>
      <c r="C5" s="99" t="s">
        <v>19</v>
      </c>
      <c r="D5" s="97" t="s">
        <v>20</v>
      </c>
    </row>
    <row r="6" spans="1:4" ht="236.25">
      <c r="A6" s="100">
        <f>ROW(Strong_Weakness[[#This Row],[INDEX]])-ROW(Strong_Weakness[[#Headers],[INDEX]])</f>
        <v>5</v>
      </c>
      <c r="B6" s="98" t="str">
        <f>INDEX(Data_Assessment[],MATCH(Strong_Weakness[[#This Row],[INDEX]],Data_Assessment[INDEX],0),MATCH(Strong_Weakness[[#Headers],[NAME]],Data_Assessment[#Headers],0))</f>
        <v>Ibnu Rhomadhon Sitompul</v>
      </c>
      <c r="C6" s="99" t="s">
        <v>21</v>
      </c>
      <c r="D6" s="99" t="s">
        <v>22</v>
      </c>
    </row>
    <row r="7" spans="1:4">
      <c r="A7" s="100">
        <f>ROW(Strong_Weakness[[#This Row],[INDEX]])-ROW(Strong_Weakness[[#Headers],[INDEX]])</f>
        <v>6</v>
      </c>
      <c r="B7" s="98" t="str">
        <f>INDEX(Data_Assessment[],MATCH(Strong_Weakness[[#This Row],[INDEX]],Data_Assessment[INDEX],0),MATCH(Strong_Weakness[[#Headers],[NAME]],Data_Assessment[#Headers],0))</f>
        <v>Dede Suriadi</v>
      </c>
      <c r="C7" s="98"/>
      <c r="D7" s="98"/>
    </row>
    <row r="8" spans="1:4">
      <c r="A8" s="100">
        <f>ROW(Strong_Weakness[[#This Row],[INDEX]])-ROW(Strong_Weakness[[#Headers],[INDEX]])</f>
        <v>7</v>
      </c>
      <c r="B8" s="98" t="str">
        <f>INDEX(Data_Assessment[],MATCH(Strong_Weakness[[#This Row],[INDEX]],Data_Assessment[INDEX],0),MATCH(Strong_Weakness[[#Headers],[NAME]],Data_Assessment[#Headers],0))</f>
        <v>Muhammad Akram Mudasyah</v>
      </c>
      <c r="C8" s="98"/>
      <c r="D8" s="98"/>
    </row>
    <row r="9" spans="1:4">
      <c r="A9" s="100">
        <f>ROW(Strong_Weakness[[#This Row],[INDEX]])-ROW(Strong_Weakness[[#Headers],[INDEX]])</f>
        <v>8</v>
      </c>
      <c r="B9" s="98" t="str">
        <f>INDEX(Data_Assessment[],MATCH(Strong_Weakness[[#This Row],[INDEX]],Data_Assessment[INDEX],0),MATCH(Strong_Weakness[[#Headers],[NAME]],Data_Assessment[#Headers],0))</f>
        <v>Endah Susanny, SE</v>
      </c>
      <c r="C9" s="98"/>
      <c r="D9" s="98"/>
    </row>
    <row r="10" spans="1:4">
      <c r="A10" s="100">
        <f>ROW(Strong_Weakness[[#This Row],[INDEX]])-ROW(Strong_Weakness[[#Headers],[INDEX]])</f>
        <v>9</v>
      </c>
      <c r="B10" s="98" t="str">
        <f>INDEX(Data_Assessment[],MATCH(Strong_Weakness[[#This Row],[INDEX]],Data_Assessment[INDEX],0),MATCH(Strong_Weakness[[#Headers],[NAME]],Data_Assessment[#Headers],0))</f>
        <v>Muhammad Rio Purnomo</v>
      </c>
      <c r="C10" s="98"/>
      <c r="D10" s="98"/>
    </row>
    <row r="11" spans="1:4">
      <c r="A11" s="100">
        <f>ROW(Strong_Weakness[[#This Row],[INDEX]])-ROW(Strong_Weakness[[#Headers],[INDEX]])</f>
        <v>10</v>
      </c>
      <c r="B11" s="98" t="str">
        <f>INDEX(Data_Assessment[],MATCH(Strong_Weakness[[#This Row],[INDEX]],Data_Assessment[INDEX],0),MATCH(Strong_Weakness[[#Headers],[NAME]],Data_Assessment[#Headers],0))</f>
        <v>Elvidawaty</v>
      </c>
      <c r="C11" s="98"/>
      <c r="D11" s="98"/>
    </row>
    <row r="12" spans="1:4">
      <c r="A12" s="100">
        <f>ROW(Strong_Weakness[[#This Row],[INDEX]])-ROW(Strong_Weakness[[#Headers],[INDEX]])</f>
        <v>11</v>
      </c>
      <c r="B12" s="98" t="str">
        <f>INDEX(Data_Assessment[],MATCH(Strong_Weakness[[#This Row],[INDEX]],Data_Assessment[INDEX],0),MATCH(Strong_Weakness[[#Headers],[NAME]],Data_Assessment[#Headers],0))</f>
        <v>Wahyu Nurhadi</v>
      </c>
      <c r="C12" s="98"/>
      <c r="D12" s="98"/>
    </row>
    <row r="13" spans="1:4">
      <c r="A13" s="100">
        <f>ROW(Strong_Weakness[[#This Row],[INDEX]])-ROW(Strong_Weakness[[#Headers],[INDEX]])</f>
        <v>12</v>
      </c>
      <c r="B13" s="98" t="str">
        <f>INDEX(Data_Assessment[],MATCH(Strong_Weakness[[#This Row],[INDEX]],Data_Assessment[INDEX],0),MATCH(Strong_Weakness[[#Headers],[NAME]],Data_Assessment[#Headers],0))</f>
        <v>Ainul Fahrin Siregar</v>
      </c>
      <c r="C13" s="98"/>
      <c r="D13" s="98"/>
    </row>
    <row r="14" spans="1:4">
      <c r="A14" s="100">
        <f>ROW(Strong_Weakness[[#This Row],[INDEX]])-ROW(Strong_Weakness[[#Headers],[INDEX]])</f>
        <v>13</v>
      </c>
      <c r="B14" s="98" t="str">
        <f>INDEX(Data_Assessment[],MATCH(Strong_Weakness[[#This Row],[INDEX]],Data_Assessment[INDEX],0),MATCH(Strong_Weakness[[#Headers],[NAME]],Data_Assessment[#Headers],0))</f>
        <v>Sanggam Parulian Purba</v>
      </c>
      <c r="C14" s="98"/>
      <c r="D14" s="98"/>
    </row>
    <row r="15" spans="1:4">
      <c r="A15" s="100">
        <f>ROW(Strong_Weakness[[#This Row],[INDEX]])-ROW(Strong_Weakness[[#Headers],[INDEX]])</f>
        <v>14</v>
      </c>
      <c r="B15" s="98" t="str">
        <f>INDEX(Data_Assessment[],MATCH(Strong_Weakness[[#This Row],[INDEX]],Data_Assessment[INDEX],0),MATCH(Strong_Weakness[[#Headers],[NAME]],Data_Assessment[#Headers],0))</f>
        <v>Hamimah</v>
      </c>
      <c r="C15" s="98"/>
      <c r="D15" s="98"/>
    </row>
    <row r="16" spans="1:4">
      <c r="A16" s="100">
        <f>ROW(Strong_Weakness[[#This Row],[INDEX]])-ROW(Strong_Weakness[[#Headers],[INDEX]])</f>
        <v>15</v>
      </c>
      <c r="B16" s="98" t="str">
        <f>INDEX(Data_Assessment[],MATCH(Strong_Weakness[[#This Row],[INDEX]],Data_Assessment[INDEX],0),MATCH(Strong_Weakness[[#Headers],[NAME]],Data_Assessment[#Headers],0))</f>
        <v>Rahmat Sulaiman Hasayangan</v>
      </c>
      <c r="C16" s="98"/>
      <c r="D16" s="98"/>
    </row>
    <row r="17" spans="1:4">
      <c r="A17" s="100">
        <f>ROW(Strong_Weakness[[#This Row],[INDEX]])-ROW(Strong_Weakness[[#Headers],[INDEX]])</f>
        <v>16</v>
      </c>
      <c r="B17" s="98" t="str">
        <f>INDEX(Data_Assessment[],MATCH(Strong_Weakness[[#This Row],[INDEX]],Data_Assessment[INDEX],0),MATCH(Strong_Weakness[[#Headers],[NAME]],Data_Assessment[#Headers],0))</f>
        <v>Jetro Saragih</v>
      </c>
      <c r="C17" s="98"/>
      <c r="D17" s="98"/>
    </row>
    <row r="18" spans="1:4">
      <c r="A18" s="100">
        <f>ROW(Strong_Weakness[[#This Row],[INDEX]])-ROW(Strong_Weakness[[#Headers],[INDEX]])</f>
        <v>17</v>
      </c>
      <c r="B18" s="98" t="str">
        <f>INDEX(Data_Assessment[],MATCH(Strong_Weakness[[#This Row],[INDEX]],Data_Assessment[INDEX],0),MATCH(Strong_Weakness[[#Headers],[NAME]],Data_Assessment[#Headers],0))</f>
        <v>Rimsa Budi Arjuna</v>
      </c>
      <c r="C18" s="98"/>
      <c r="D18" s="98"/>
    </row>
    <row r="19" spans="1:4">
      <c r="A19" s="100">
        <f>ROW(Strong_Weakness[[#This Row],[INDEX]])-ROW(Strong_Weakness[[#Headers],[INDEX]])</f>
        <v>18</v>
      </c>
      <c r="B19" s="98" t="str">
        <f>INDEX(Data_Assessment[],MATCH(Strong_Weakness[[#This Row],[INDEX]],Data_Assessment[INDEX],0),MATCH(Strong_Weakness[[#Headers],[NAME]],Data_Assessment[#Headers],0))</f>
        <v>Andiliani Rinaldo Pasaribu</v>
      </c>
      <c r="C19" s="98"/>
      <c r="D19" s="98"/>
    </row>
    <row r="20" spans="1:4">
      <c r="A20" s="100">
        <f>ROW(Strong_Weakness[[#This Row],[INDEX]])-ROW(Strong_Weakness[[#Headers],[INDEX]])</f>
        <v>19</v>
      </c>
      <c r="B20" s="98" t="str">
        <f>INDEX(Data_Assessment[],MATCH(Strong_Weakness[[#This Row],[INDEX]],Data_Assessment[INDEX],0),MATCH(Strong_Weakness[[#Headers],[NAME]],Data_Assessment[#Headers],0))</f>
        <v>Muhammad Kennedy</v>
      </c>
      <c r="C20" s="98"/>
      <c r="D20" s="98"/>
    </row>
    <row r="21" spans="1:4">
      <c r="A21" s="100">
        <f>ROW(Strong_Weakness[[#This Row],[INDEX]])-ROW(Strong_Weakness[[#Headers],[INDEX]])</f>
        <v>20</v>
      </c>
      <c r="B21" s="98" t="str">
        <f>INDEX(Data_Assessment[],MATCH(Strong_Weakness[[#This Row],[INDEX]],Data_Assessment[INDEX],0),MATCH(Strong_Weakness[[#Headers],[NAME]],Data_Assessment[#Headers],0))</f>
        <v>Dimas Putera Pangestu</v>
      </c>
      <c r="C21" s="98"/>
      <c r="D21" s="98"/>
    </row>
    <row r="22" spans="1:4">
      <c r="A22" s="100">
        <f>ROW(Strong_Weakness[[#This Row],[INDEX]])-ROW(Strong_Weakness[[#Headers],[INDEX]])</f>
        <v>21</v>
      </c>
      <c r="B22" s="98" t="str">
        <f>INDEX(Data_Assessment[],MATCH(Strong_Weakness[[#This Row],[INDEX]],Data_Assessment[INDEX],0),MATCH(Strong_Weakness[[#Headers],[NAME]],Data_Assessment[#Headers],0))</f>
        <v>Imam Taufik Siregar</v>
      </c>
      <c r="C22" s="98"/>
      <c r="D22" s="98"/>
    </row>
    <row r="23" spans="1:4">
      <c r="A23" s="100">
        <f>ROW(Strong_Weakness[[#This Row],[INDEX]])-ROW(Strong_Weakness[[#Headers],[INDEX]])</f>
        <v>22</v>
      </c>
      <c r="B23" s="98" t="str">
        <f>INDEX(Data_Assessment[],MATCH(Strong_Weakness[[#This Row],[INDEX]],Data_Assessment[INDEX],0),MATCH(Strong_Weakness[[#Headers],[NAME]],Data_Assessment[#Headers],0))</f>
        <v>Yogi Pranata</v>
      </c>
      <c r="C23" s="98"/>
      <c r="D23" s="98"/>
    </row>
    <row r="24" spans="1:4">
      <c r="A24" s="100">
        <f>ROW(Strong_Weakness[[#This Row],[INDEX]])-ROW(Strong_Weakness[[#Headers],[INDEX]])</f>
        <v>23</v>
      </c>
      <c r="B24" s="98" t="str">
        <f>INDEX(Data_Assessment[],MATCH(Strong_Weakness[[#This Row],[INDEX]],Data_Assessment[INDEX],0),MATCH(Strong_Weakness[[#Headers],[NAME]],Data_Assessment[#Headers],0))</f>
        <v>Muhammad Prayogi</v>
      </c>
      <c r="C24" s="98"/>
      <c r="D24" s="98"/>
    </row>
    <row r="25" spans="1:4">
      <c r="A25" s="100">
        <f>ROW(Strong_Weakness[[#This Row],[INDEX]])-ROW(Strong_Weakness[[#Headers],[INDEX]])</f>
        <v>24</v>
      </c>
      <c r="B25" s="98" t="str">
        <f>INDEX(Data_Assessment[],MATCH(Strong_Weakness[[#This Row],[INDEX]],Data_Assessment[INDEX],0),MATCH(Strong_Weakness[[#Headers],[NAME]],Data_Assessment[#Headers],0))</f>
        <v>Joseph Osvaldo Ardiles Tambun</v>
      </c>
      <c r="C25" s="98"/>
      <c r="D25" s="98"/>
    </row>
    <row r="26" spans="1:4">
      <c r="A26" s="100">
        <f>ROW(Strong_Weakness[[#This Row],[INDEX]])-ROW(Strong_Weakness[[#Headers],[INDEX]])</f>
        <v>25</v>
      </c>
      <c r="B26" s="98" t="str">
        <f>INDEX(Data_Assessment[],MATCH(Strong_Weakness[[#This Row],[INDEX]],Data_Assessment[INDEX],0),MATCH(Strong_Weakness[[#Headers],[NAME]],Data_Assessment[#Headers],0))</f>
        <v>Ramses Fernando</v>
      </c>
      <c r="C26" s="98"/>
      <c r="D26" s="98"/>
    </row>
    <row r="27" spans="1:4">
      <c r="A27" s="100">
        <f>ROW(Strong_Weakness[[#This Row],[INDEX]])-ROW(Strong_Weakness[[#Headers],[INDEX]])</f>
        <v>26</v>
      </c>
      <c r="B27" s="98" t="str">
        <f>INDEX(Data_Assessment[],MATCH(Strong_Weakness[[#This Row],[INDEX]],Data_Assessment[INDEX],0),MATCH(Strong_Weakness[[#Headers],[NAME]],Data_Assessment[#Headers],0))</f>
        <v>Paulus Ronaldo B. Sihotang</v>
      </c>
      <c r="C27" s="98"/>
      <c r="D27" s="98"/>
    </row>
    <row r="28" spans="1:4">
      <c r="A28" s="100">
        <f>ROW(Strong_Weakness[[#This Row],[INDEX]])-ROW(Strong_Weakness[[#Headers],[INDEX]])</f>
        <v>27</v>
      </c>
      <c r="B28" s="98" t="str">
        <f>INDEX(Data_Assessment[],MATCH(Strong_Weakness[[#This Row],[INDEX]],Data_Assessment[INDEX],0),MATCH(Strong_Weakness[[#Headers],[NAME]],Data_Assessment[#Headers],0))</f>
        <v>Akhmed Azharul Fikar Alinur</v>
      </c>
      <c r="C28" s="98"/>
      <c r="D28" s="98"/>
    </row>
    <row r="29" spans="1:4">
      <c r="A29" s="100">
        <f>ROW(Strong_Weakness[[#This Row],[INDEX]])-ROW(Strong_Weakness[[#Headers],[INDEX]])</f>
        <v>28</v>
      </c>
      <c r="B29" s="98" t="str">
        <f>INDEX(Data_Assessment[],MATCH(Strong_Weakness[[#This Row],[INDEX]],Data_Assessment[INDEX],0),MATCH(Strong_Weakness[[#Headers],[NAME]],Data_Assessment[#Headers],0))</f>
        <v>Frans Nico Pratama N</v>
      </c>
      <c r="C29" s="98"/>
      <c r="D29" s="98"/>
    </row>
    <row r="30" spans="1:4">
      <c r="A30" s="100">
        <f>ROW(Strong_Weakness[[#This Row],[INDEX]])-ROW(Strong_Weakness[[#Headers],[INDEX]])</f>
        <v>29</v>
      </c>
      <c r="B30" s="98" t="str">
        <f>INDEX(Data_Assessment[],MATCH(Strong_Weakness[[#This Row],[INDEX]],Data_Assessment[INDEX],0),MATCH(Strong_Weakness[[#Headers],[NAME]],Data_Assessment[#Headers],0))</f>
        <v>A. Syaukaniy Riandi</v>
      </c>
      <c r="C30" s="98"/>
      <c r="D30" s="98"/>
    </row>
    <row r="31" spans="1:4">
      <c r="A31" s="100">
        <f>ROW(Strong_Weakness[[#This Row],[INDEX]])-ROW(Strong_Weakness[[#Headers],[INDEX]])</f>
        <v>30</v>
      </c>
      <c r="B31" s="98" t="str">
        <f>INDEX(Data_Assessment[],MATCH(Strong_Weakness[[#This Row],[INDEX]],Data_Assessment[INDEX],0),MATCH(Strong_Weakness[[#Headers],[NAME]],Data_Assessment[#Headers],0))</f>
        <v>Lukman Hakim</v>
      </c>
      <c r="C31" s="98"/>
      <c r="D31" s="98"/>
    </row>
    <row r="32" spans="1:4">
      <c r="A32" s="100">
        <f>ROW(Strong_Weakness[[#This Row],[INDEX]])-ROW(Strong_Weakness[[#Headers],[INDEX]])</f>
        <v>31</v>
      </c>
      <c r="B32" s="98" t="str">
        <f>INDEX(Data_Assessment[],MATCH(Strong_Weakness[[#This Row],[INDEX]],Data_Assessment[INDEX],0),MATCH(Strong_Weakness[[#Headers],[NAME]],Data_Assessment[#Headers],0))</f>
        <v>Ahmad Sofyan</v>
      </c>
      <c r="C32" s="98"/>
      <c r="D32" s="98"/>
    </row>
    <row r="33" spans="1:4">
      <c r="A33" s="100">
        <f>ROW(Strong_Weakness[[#This Row],[INDEX]])-ROW(Strong_Weakness[[#Headers],[INDEX]])</f>
        <v>32</v>
      </c>
      <c r="B33" s="98" t="str">
        <f>INDEX(Data_Assessment[],MATCH(Strong_Weakness[[#This Row],[INDEX]],Data_Assessment[INDEX],0),MATCH(Strong_Weakness[[#Headers],[NAME]],Data_Assessment[#Headers],0))</f>
        <v>Lewobsus Simamora</v>
      </c>
      <c r="C33" s="98"/>
      <c r="D33" s="98"/>
    </row>
    <row r="34" spans="1:4">
      <c r="A34" s="100">
        <f>ROW(Strong_Weakness[[#This Row],[INDEX]])-ROW(Strong_Weakness[[#Headers],[INDEX]])</f>
        <v>33</v>
      </c>
      <c r="B34" s="98" t="str">
        <f>INDEX(Data_Assessment[],MATCH(Strong_Weakness[[#This Row],[INDEX]],Data_Assessment[INDEX],0),MATCH(Strong_Weakness[[#Headers],[NAME]],Data_Assessment[#Headers],0))</f>
        <v>Joseph Bintang Siregar</v>
      </c>
      <c r="C34" s="98"/>
      <c r="D34" s="98"/>
    </row>
    <row r="35" spans="1:4">
      <c r="A35" s="100">
        <f>ROW(Strong_Weakness[[#This Row],[INDEX]])-ROW(Strong_Weakness[[#Headers],[INDEX]])</f>
        <v>34</v>
      </c>
      <c r="B35" s="98" t="str">
        <f>INDEX(Data_Assessment[],MATCH(Strong_Weakness[[#This Row],[INDEX]],Data_Assessment[INDEX],0),MATCH(Strong_Weakness[[#Headers],[NAME]],Data_Assessment[#Headers],0))</f>
        <v>Agung Jabar Nur</v>
      </c>
      <c r="C35" s="98"/>
      <c r="D35" s="98"/>
    </row>
    <row r="36" spans="1:4">
      <c r="A36" s="100">
        <f>ROW(Strong_Weakness[[#This Row],[INDEX]])-ROW(Strong_Weakness[[#Headers],[INDEX]])</f>
        <v>35</v>
      </c>
      <c r="B36" s="98" t="str">
        <f>INDEX(Data_Assessment[],MATCH(Strong_Weakness[[#This Row],[INDEX]],Data_Assessment[INDEX],0),MATCH(Strong_Weakness[[#Headers],[NAME]],Data_Assessment[#Headers],0))</f>
        <v>Yudha Palastra</v>
      </c>
      <c r="C36" s="98"/>
      <c r="D36" s="98"/>
    </row>
    <row r="37" spans="1:4">
      <c r="A37" s="100">
        <f>ROW(Strong_Weakness[[#This Row],[INDEX]])-ROW(Strong_Weakness[[#Headers],[INDEX]])</f>
        <v>36</v>
      </c>
      <c r="B37" s="98" t="str">
        <f>INDEX(Data_Assessment[],MATCH(Strong_Weakness[[#This Row],[INDEX]],Data_Assessment[INDEX],0),MATCH(Strong_Weakness[[#Headers],[NAME]],Data_Assessment[#Headers],0))</f>
        <v>Muhammad Faishal Sitorus</v>
      </c>
      <c r="C37" s="98"/>
      <c r="D37" s="98"/>
    </row>
    <row r="38" spans="1:4">
      <c r="A38" s="100">
        <f>ROW(Strong_Weakness[[#This Row],[INDEX]])-ROW(Strong_Weakness[[#Headers],[INDEX]])</f>
        <v>37</v>
      </c>
      <c r="B38" s="98" t="str">
        <f>INDEX(Data_Assessment[],MATCH(Strong_Weakness[[#This Row],[INDEX]],Data_Assessment[INDEX],0),MATCH(Strong_Weakness[[#Headers],[NAME]],Data_Assessment[#Headers],0))</f>
        <v>Vicky Purba</v>
      </c>
      <c r="C38" s="98"/>
      <c r="D38" s="98"/>
    </row>
    <row r="39" spans="1:4">
      <c r="A39" s="100">
        <f>ROW(Strong_Weakness[[#This Row],[INDEX]])-ROW(Strong_Weakness[[#Headers],[INDEX]])</f>
        <v>38</v>
      </c>
      <c r="B39" s="98" t="str">
        <f>INDEX(Data_Assessment[],MATCH(Strong_Weakness[[#This Row],[INDEX]],Data_Assessment[INDEX],0),MATCH(Strong_Weakness[[#Headers],[NAME]],Data_Assessment[#Headers],0))</f>
        <v>Vivi Ayu Yuliana</v>
      </c>
      <c r="C39" s="98"/>
      <c r="D39" s="98"/>
    </row>
    <row r="40" spans="1:4">
      <c r="A40" s="100">
        <f>ROW(Strong_Weakness[[#This Row],[INDEX]])-ROW(Strong_Weakness[[#Headers],[INDEX]])</f>
        <v>39</v>
      </c>
      <c r="B40" s="98" t="str">
        <f>INDEX(Data_Assessment[],MATCH(Strong_Weakness[[#This Row],[INDEX]],Data_Assessment[INDEX],0),MATCH(Strong_Weakness[[#Headers],[NAME]],Data_Assessment[#Headers],0))</f>
        <v>Suprandi Restua S.</v>
      </c>
      <c r="C40" s="98"/>
      <c r="D40" s="98"/>
    </row>
    <row r="41" spans="1:4">
      <c r="A41" s="100">
        <f>ROW(Strong_Weakness[[#This Row],[INDEX]])-ROW(Strong_Weakness[[#Headers],[INDEX]])</f>
        <v>40</v>
      </c>
      <c r="B41" s="98" t="str">
        <f>INDEX(Data_Assessment[],MATCH(Strong_Weakness[[#This Row],[INDEX]],Data_Assessment[INDEX],0),MATCH(Strong_Weakness[[#Headers],[NAME]],Data_Assessment[#Headers],0))</f>
        <v>Nadya Arfani</v>
      </c>
      <c r="C41" s="98"/>
      <c r="D41" s="98"/>
    </row>
    <row r="42" spans="1:4">
      <c r="A42" s="100">
        <f>ROW(Strong_Weakness[[#This Row],[INDEX]])-ROW(Strong_Weakness[[#Headers],[INDEX]])</f>
        <v>41</v>
      </c>
      <c r="B42" s="98" t="str">
        <f>INDEX(Data_Assessment[],MATCH(Strong_Weakness[[#This Row],[INDEX]],Data_Assessment[INDEX],0),MATCH(Strong_Weakness[[#Headers],[NAME]],Data_Assessment[#Headers],0))</f>
        <v>Sulviawan Ramadhan</v>
      </c>
      <c r="C42" s="98"/>
      <c r="D42" s="98"/>
    </row>
    <row r="43" spans="1:4">
      <c r="A43" s="100">
        <f>ROW(Strong_Weakness[[#This Row],[INDEX]])-ROW(Strong_Weakness[[#Headers],[INDEX]])</f>
        <v>42</v>
      </c>
      <c r="B43" s="98" t="str">
        <f>INDEX(Data_Assessment[],MATCH(Strong_Weakness[[#This Row],[INDEX]],Data_Assessment[INDEX],0),MATCH(Strong_Weakness[[#Headers],[NAME]],Data_Assessment[#Headers],0))</f>
        <v>M. Wahyudi Amin</v>
      </c>
      <c r="C43" s="98"/>
      <c r="D43" s="98"/>
    </row>
    <row r="44" spans="1:4">
      <c r="A44" s="100">
        <f>ROW(Strong_Weakness[[#This Row],[INDEX]])-ROW(Strong_Weakness[[#Headers],[INDEX]])</f>
        <v>43</v>
      </c>
      <c r="B44" s="98" t="str">
        <f>INDEX(Data_Assessment[],MATCH(Strong_Weakness[[#This Row],[INDEX]],Data_Assessment[INDEX],0),MATCH(Strong_Weakness[[#Headers],[NAME]],Data_Assessment[#Headers],0))</f>
        <v>Muhammad Yusuf, ST</v>
      </c>
      <c r="C44" s="98"/>
      <c r="D44" s="98"/>
    </row>
    <row r="45" spans="1:4">
      <c r="A45" s="100">
        <f>ROW(Strong_Weakness[[#This Row],[INDEX]])-ROW(Strong_Weakness[[#Headers],[INDEX]])</f>
        <v>44</v>
      </c>
      <c r="B45" s="98" t="str">
        <f>INDEX(Data_Assessment[],MATCH(Strong_Weakness[[#This Row],[INDEX]],Data_Assessment[INDEX],0),MATCH(Strong_Weakness[[#Headers],[NAME]],Data_Assessment[#Headers],0))</f>
        <v>Yudha Fareza</v>
      </c>
      <c r="C45" s="98"/>
      <c r="D45" s="98"/>
    </row>
    <row r="46" spans="1:4">
      <c r="A46" s="100">
        <f>ROW(Strong_Weakness[[#This Row],[INDEX]])-ROW(Strong_Weakness[[#Headers],[INDEX]])</f>
        <v>45</v>
      </c>
      <c r="B46" s="98" t="str">
        <f>INDEX(Data_Assessment[],MATCH(Strong_Weakness[[#This Row],[INDEX]],Data_Assessment[INDEX],0),MATCH(Strong_Weakness[[#Headers],[NAME]],Data_Assessment[#Headers],0))</f>
        <v>Mhd. Rizky Azhari Nasution</v>
      </c>
      <c r="C46" s="98"/>
      <c r="D46" s="98"/>
    </row>
    <row r="47" spans="1:4">
      <c r="A47" s="100">
        <f>ROW(Strong_Weakness[[#This Row],[INDEX]])-ROW(Strong_Weakness[[#Headers],[INDEX]])</f>
        <v>46</v>
      </c>
      <c r="B47" s="98" t="str">
        <f>INDEX(Data_Assessment[],MATCH(Strong_Weakness[[#This Row],[INDEX]],Data_Assessment[INDEX],0),MATCH(Strong_Weakness[[#Headers],[NAME]],Data_Assessment[#Headers],0))</f>
        <v>Ria Puspa Sari</v>
      </c>
      <c r="C47" s="98"/>
      <c r="D47" s="98"/>
    </row>
    <row r="48" spans="1:4">
      <c r="A48" s="100">
        <f>ROW(Strong_Weakness[[#This Row],[INDEX]])-ROW(Strong_Weakness[[#Headers],[INDEX]])</f>
        <v>47</v>
      </c>
      <c r="B48" s="98" t="str">
        <f>INDEX(Data_Assessment[],MATCH(Strong_Weakness[[#This Row],[INDEX]],Data_Assessment[INDEX],0),MATCH(Strong_Weakness[[#Headers],[NAME]],Data_Assessment[#Headers],0))</f>
        <v>Ade Arham Kurniawan</v>
      </c>
      <c r="C48" s="98"/>
      <c r="D48" s="98"/>
    </row>
    <row r="49" spans="1:4">
      <c r="A49" s="100">
        <f>ROW(Strong_Weakness[[#This Row],[INDEX]])-ROW(Strong_Weakness[[#Headers],[INDEX]])</f>
        <v>48</v>
      </c>
      <c r="B49" s="98" t="str">
        <f>INDEX(Data_Assessment[],MATCH(Strong_Weakness[[#This Row],[INDEX]],Data_Assessment[INDEX],0),MATCH(Strong_Weakness[[#Headers],[NAME]],Data_Assessment[#Headers],0))</f>
        <v>Alpino Setyawan</v>
      </c>
      <c r="C49" s="98"/>
      <c r="D49" s="98"/>
    </row>
    <row r="50" spans="1:4">
      <c r="A50" s="100">
        <f>ROW(Strong_Weakness[[#This Row],[INDEX]])-ROW(Strong_Weakness[[#Headers],[INDEX]])</f>
        <v>49</v>
      </c>
      <c r="B50" s="98" t="str">
        <f>INDEX(Data_Assessment[],MATCH(Strong_Weakness[[#This Row],[INDEX]],Data_Assessment[INDEX],0),MATCH(Strong_Weakness[[#Headers],[NAME]],Data_Assessment[#Headers],0))</f>
        <v>David Jimmi Panggabean</v>
      </c>
      <c r="C50" s="98"/>
      <c r="D50" s="98"/>
    </row>
    <row r="51" spans="1:4">
      <c r="A51" s="100">
        <f>ROW(Strong_Weakness[[#This Row],[INDEX]])-ROW(Strong_Weakness[[#Headers],[INDEX]])</f>
        <v>50</v>
      </c>
      <c r="B51" s="98" t="str">
        <f>INDEX(Data_Assessment[],MATCH(Strong_Weakness[[#This Row],[INDEX]],Data_Assessment[INDEX],0),MATCH(Strong_Weakness[[#Headers],[NAME]],Data_Assessment[#Headers],0))</f>
        <v>Muhamad Irfan Hamid</v>
      </c>
      <c r="C51" s="98"/>
      <c r="D51" s="98"/>
    </row>
    <row r="52" spans="1:4">
      <c r="A52" s="100">
        <f>ROW(Strong_Weakness[[#This Row],[INDEX]])-ROW(Strong_Weakness[[#Headers],[INDEX]])</f>
        <v>51</v>
      </c>
      <c r="B52" s="98" t="str">
        <f>INDEX(Data_Assessment[],MATCH(Strong_Weakness[[#This Row],[INDEX]],Data_Assessment[INDEX],0),MATCH(Strong_Weakness[[#Headers],[NAME]],Data_Assessment[#Headers],0))</f>
        <v>Randi Satria</v>
      </c>
      <c r="C52" s="98"/>
      <c r="D52" s="98"/>
    </row>
    <row r="53" spans="1:4">
      <c r="A53" s="100">
        <f>ROW(Strong_Weakness[[#This Row],[INDEX]])-ROW(Strong_Weakness[[#Headers],[INDEX]])</f>
        <v>52</v>
      </c>
      <c r="B53" s="98" t="str">
        <f>INDEX(Data_Assessment[],MATCH(Strong_Weakness[[#This Row],[INDEX]],Data_Assessment[INDEX],0),MATCH(Strong_Weakness[[#Headers],[NAME]],Data_Assessment[#Headers],0))</f>
        <v>Muhammad Idam Khalid</v>
      </c>
      <c r="C53" s="98"/>
      <c r="D53" s="98"/>
    </row>
    <row r="54" spans="1:4">
      <c r="A54" s="100">
        <f>ROW(Strong_Weakness[[#This Row],[INDEX]])-ROW(Strong_Weakness[[#Headers],[INDEX]])</f>
        <v>53</v>
      </c>
      <c r="B54" s="98" t="str">
        <f>INDEX(Data_Assessment[],MATCH(Strong_Weakness[[#This Row],[INDEX]],Data_Assessment[INDEX],0),MATCH(Strong_Weakness[[#Headers],[NAME]],Data_Assessment[#Headers],0))</f>
        <v>Muktamar Haris Astar Rambe</v>
      </c>
      <c r="C54" s="98"/>
      <c r="D54" s="98"/>
    </row>
    <row r="55" spans="1:4">
      <c r="A55" s="100">
        <f>ROW(Strong_Weakness[[#This Row],[INDEX]])-ROW(Strong_Weakness[[#Headers],[INDEX]])</f>
        <v>54</v>
      </c>
      <c r="B55" s="98" t="str">
        <f>INDEX(Data_Assessment[],MATCH(Strong_Weakness[[#This Row],[INDEX]],Data_Assessment[INDEX],0),MATCH(Strong_Weakness[[#Headers],[NAME]],Data_Assessment[#Headers],0))</f>
        <v>Indra Sayto Halawa</v>
      </c>
      <c r="C55" s="98"/>
      <c r="D55" s="98"/>
    </row>
    <row r="56" spans="1:4">
      <c r="A56" s="100">
        <f>ROW(Strong_Weakness[[#This Row],[INDEX]])-ROW(Strong_Weakness[[#Headers],[INDEX]])</f>
        <v>55</v>
      </c>
      <c r="B56" s="98" t="str">
        <f>INDEX(Data_Assessment[],MATCH(Strong_Weakness[[#This Row],[INDEX]],Data_Assessment[INDEX],0),MATCH(Strong_Weakness[[#Headers],[NAME]],Data_Assessment[#Headers],0))</f>
        <v>Abdul Hamid</v>
      </c>
      <c r="C56" s="98"/>
      <c r="D56" s="98"/>
    </row>
    <row r="57" spans="1:4">
      <c r="A57" s="100">
        <f>ROW(Strong_Weakness[[#This Row],[INDEX]])-ROW(Strong_Weakness[[#Headers],[INDEX]])</f>
        <v>56</v>
      </c>
      <c r="B57" s="98" t="str">
        <f>INDEX(Data_Assessment[],MATCH(Strong_Weakness[[#This Row],[INDEX]],Data_Assessment[INDEX],0),MATCH(Strong_Weakness[[#Headers],[NAME]],Data_Assessment[#Headers],0))</f>
        <v>Jhosua Saragih</v>
      </c>
      <c r="C57" s="98"/>
      <c r="D57" s="98"/>
    </row>
    <row r="58" spans="1:4">
      <c r="A58" s="100">
        <f>ROW(Strong_Weakness[[#This Row],[INDEX]])-ROW(Strong_Weakness[[#Headers],[INDEX]])</f>
        <v>57</v>
      </c>
      <c r="B58" s="98" t="str">
        <f>INDEX(Data_Assessment[],MATCH(Strong_Weakness[[#This Row],[INDEX]],Data_Assessment[INDEX],0),MATCH(Strong_Weakness[[#Headers],[NAME]],Data_Assessment[#Headers],0))</f>
        <v>Rikki Frima Jaya Manurung</v>
      </c>
      <c r="C58" s="98"/>
      <c r="D58" s="98"/>
    </row>
    <row r="59" spans="1:4">
      <c r="A59" s="100">
        <f>ROW(Strong_Weakness[[#This Row],[INDEX]])-ROW(Strong_Weakness[[#Headers],[INDEX]])</f>
        <v>58</v>
      </c>
      <c r="B59" s="98" t="str">
        <f>INDEX(Data_Assessment[],MATCH(Strong_Weakness[[#This Row],[INDEX]],Data_Assessment[INDEX],0),MATCH(Strong_Weakness[[#Headers],[NAME]],Data_Assessment[#Headers],0))</f>
        <v>M. Hafiz Harahap</v>
      </c>
      <c r="C59" s="98"/>
      <c r="D59" s="98"/>
    </row>
    <row r="60" spans="1:4">
      <c r="A60" s="100">
        <f>ROW(Strong_Weakness[[#This Row],[INDEX]])-ROW(Strong_Weakness[[#Headers],[INDEX]])</f>
        <v>59</v>
      </c>
      <c r="B60" s="98" t="str">
        <f>INDEX(Data_Assessment[],MATCH(Strong_Weakness[[#This Row],[INDEX]],Data_Assessment[INDEX],0),MATCH(Strong_Weakness[[#Headers],[NAME]],Data_Assessment[#Headers],0))</f>
        <v>Sura Eka Pratama Pagan</v>
      </c>
      <c r="C60" s="98"/>
      <c r="D60" s="98"/>
    </row>
    <row r="61" spans="1:4">
      <c r="A61" s="100">
        <f>ROW(Strong_Weakness[[#This Row],[INDEX]])-ROW(Strong_Weakness[[#Headers],[INDEX]])</f>
        <v>60</v>
      </c>
      <c r="B61" s="98" t="str">
        <f>INDEX(Data_Assessment[],MATCH(Strong_Weakness[[#This Row],[INDEX]],Data_Assessment[INDEX],0),MATCH(Strong_Weakness[[#Headers],[NAME]],Data_Assessment[#Headers],0))</f>
        <v>Prans Sagita</v>
      </c>
      <c r="C61" s="98"/>
      <c r="D61" s="98"/>
    </row>
    <row r="62" spans="1:4">
      <c r="A62" s="100">
        <f>ROW(Strong_Weakness[[#This Row],[INDEX]])-ROW(Strong_Weakness[[#Headers],[INDEX]])</f>
        <v>61</v>
      </c>
      <c r="B62" s="98" t="str">
        <f>INDEX(Data_Assessment[],MATCH(Strong_Weakness[[#This Row],[INDEX]],Data_Assessment[INDEX],0),MATCH(Strong_Weakness[[#Headers],[NAME]],Data_Assessment[#Headers],0))</f>
        <v>Novin Antioniza</v>
      </c>
      <c r="C62" s="98"/>
      <c r="D62" s="98"/>
    </row>
    <row r="63" spans="1:4">
      <c r="A63" s="100">
        <f>ROW(Strong_Weakness[[#This Row],[INDEX]])-ROW(Strong_Weakness[[#Headers],[INDEX]])</f>
        <v>62</v>
      </c>
      <c r="B63" s="98" t="str">
        <f>INDEX(Data_Assessment[],MATCH(Strong_Weakness[[#This Row],[INDEX]],Data_Assessment[INDEX],0),MATCH(Strong_Weakness[[#Headers],[NAME]],Data_Assessment[#Headers],0))</f>
        <v>Julita Artalina Manik</v>
      </c>
      <c r="C63" s="98"/>
      <c r="D63" s="98"/>
    </row>
    <row r="64" spans="1:4">
      <c r="A64" s="100">
        <f>ROW(Strong_Weakness[[#This Row],[INDEX]])-ROW(Strong_Weakness[[#Headers],[INDEX]])</f>
        <v>63</v>
      </c>
      <c r="B64" s="98" t="str">
        <f>INDEX(Data_Assessment[],MATCH(Strong_Weakness[[#This Row],[INDEX]],Data_Assessment[INDEX],0),MATCH(Strong_Weakness[[#Headers],[NAME]],Data_Assessment[#Headers],0))</f>
        <v>Denni Harianto</v>
      </c>
      <c r="C64" s="98"/>
      <c r="D64" s="98"/>
    </row>
    <row r="65" spans="1:4">
      <c r="A65" s="100">
        <f>ROW(Strong_Weakness[[#This Row],[INDEX]])-ROW(Strong_Weakness[[#Headers],[INDEX]])</f>
        <v>64</v>
      </c>
      <c r="B65" s="98" t="str">
        <f>INDEX(Data_Assessment[],MATCH(Strong_Weakness[[#This Row],[INDEX]],Data_Assessment[INDEX],0),MATCH(Strong_Weakness[[#Headers],[NAME]],Data_Assessment[#Headers],0))</f>
        <v>Jonni Saragih</v>
      </c>
      <c r="C65" s="98"/>
      <c r="D65" s="98"/>
    </row>
    <row r="66" spans="1:4">
      <c r="A66" s="100">
        <f>ROW(Strong_Weakness[[#This Row],[INDEX]])-ROW(Strong_Weakness[[#Headers],[INDEX]])</f>
        <v>65</v>
      </c>
      <c r="B66" s="98" t="str">
        <f>INDEX(Data_Assessment[],MATCH(Strong_Weakness[[#This Row],[INDEX]],Data_Assessment[INDEX],0),MATCH(Strong_Weakness[[#Headers],[NAME]],Data_Assessment[#Headers],0))</f>
        <v>Herawati Kusumawardani</v>
      </c>
      <c r="C66" s="98"/>
      <c r="D66" s="98"/>
    </row>
    <row r="67" spans="1:4">
      <c r="A67" s="100">
        <f>ROW(Strong_Weakness[[#This Row],[INDEX]])-ROW(Strong_Weakness[[#Headers],[INDEX]])</f>
        <v>66</v>
      </c>
      <c r="B67" s="98" t="str">
        <f>INDEX(Data_Assessment[],MATCH(Strong_Weakness[[#This Row],[INDEX]],Data_Assessment[INDEX],0),MATCH(Strong_Weakness[[#Headers],[NAME]],Data_Assessment[#Headers],0))</f>
        <v>Rofina Budianto</v>
      </c>
      <c r="C67" s="98"/>
      <c r="D67" s="98"/>
    </row>
    <row r="68" spans="1:4">
      <c r="A68" s="100">
        <f>ROW(Strong_Weakness[[#This Row],[INDEX]])-ROW(Strong_Weakness[[#Headers],[INDEX]])</f>
        <v>67</v>
      </c>
      <c r="B68" s="98" t="str">
        <f>INDEX(Data_Assessment[],MATCH(Strong_Weakness[[#This Row],[INDEX]],Data_Assessment[INDEX],0),MATCH(Strong_Weakness[[#Headers],[NAME]],Data_Assessment[#Headers],0))</f>
        <v>Ahmad Ganti</v>
      </c>
      <c r="C68" s="98"/>
      <c r="D68" s="98"/>
    </row>
    <row r="69" spans="1:4">
      <c r="A69" s="100">
        <f>ROW(Strong_Weakness[[#This Row],[INDEX]])-ROW(Strong_Weakness[[#Headers],[INDEX]])</f>
        <v>68</v>
      </c>
      <c r="B69" s="98" t="str">
        <f>INDEX(Data_Assessment[],MATCH(Strong_Weakness[[#This Row],[INDEX]],Data_Assessment[INDEX],0),MATCH(Strong_Weakness[[#Headers],[NAME]],Data_Assessment[#Headers],0))</f>
        <v>Wulan Sarie Soekiman</v>
      </c>
      <c r="C69" s="98"/>
      <c r="D69" s="98"/>
    </row>
    <row r="70" spans="1:4">
      <c r="A70" s="100">
        <f>ROW(Strong_Weakness[[#This Row],[INDEX]])-ROW(Strong_Weakness[[#Headers],[INDEX]])</f>
        <v>69</v>
      </c>
      <c r="B70" s="98" t="str">
        <f>INDEX(Data_Assessment[],MATCH(Strong_Weakness[[#This Row],[INDEX]],Data_Assessment[INDEX],0),MATCH(Strong_Weakness[[#Headers],[NAME]],Data_Assessment[#Headers],0))</f>
        <v>Alam Jaya</v>
      </c>
      <c r="C70" s="98"/>
      <c r="D70" s="98"/>
    </row>
    <row r="71" spans="1:4">
      <c r="A71" s="100">
        <f>ROW(Strong_Weakness[[#This Row],[INDEX]])-ROW(Strong_Weakness[[#Headers],[INDEX]])</f>
        <v>70</v>
      </c>
      <c r="B71" s="98" t="str">
        <f>INDEX(Data_Assessment[],MATCH(Strong_Weakness[[#This Row],[INDEX]],Data_Assessment[INDEX],0),MATCH(Strong_Weakness[[#Headers],[NAME]],Data_Assessment[#Headers],0))</f>
        <v>Joko Mariamansya</v>
      </c>
      <c r="C71" s="98"/>
      <c r="D71" s="98"/>
    </row>
    <row r="72" spans="1:4">
      <c r="A72" s="100">
        <f>ROW(Strong_Weakness[[#This Row],[INDEX]])-ROW(Strong_Weakness[[#Headers],[INDEX]])</f>
        <v>71</v>
      </c>
      <c r="B72" s="98" t="str">
        <f>INDEX(Data_Assessment[],MATCH(Strong_Weakness[[#This Row],[INDEX]],Data_Assessment[INDEX],0),MATCH(Strong_Weakness[[#Headers],[NAME]],Data_Assessment[#Headers],0))</f>
        <v>M. Alan Daulay</v>
      </c>
      <c r="C72" s="98"/>
      <c r="D72" s="98"/>
    </row>
    <row r="73" spans="1:4">
      <c r="A73" s="100">
        <f>ROW(Strong_Weakness[[#This Row],[INDEX]])-ROW(Strong_Weakness[[#Headers],[INDEX]])</f>
        <v>72</v>
      </c>
      <c r="B73" s="98" t="str">
        <f>INDEX(Data_Assessment[],MATCH(Strong_Weakness[[#This Row],[INDEX]],Data_Assessment[INDEX],0),MATCH(Strong_Weakness[[#Headers],[NAME]],Data_Assessment[#Headers],0))</f>
        <v>Agus Prihadi</v>
      </c>
      <c r="C73" s="98"/>
      <c r="D73" s="98"/>
    </row>
    <row r="74" spans="1:4">
      <c r="A74" s="100">
        <f>ROW(Strong_Weakness[[#This Row],[INDEX]])-ROW(Strong_Weakness[[#Headers],[INDEX]])</f>
        <v>73</v>
      </c>
      <c r="B74" s="98" t="str">
        <f>INDEX(Data_Assessment[],MATCH(Strong_Weakness[[#This Row],[INDEX]],Data_Assessment[INDEX],0),MATCH(Strong_Weakness[[#Headers],[NAME]],Data_Assessment[#Headers],0))</f>
        <v>Neni Sriwahyuni</v>
      </c>
      <c r="C74" s="98"/>
      <c r="D74" s="98"/>
    </row>
    <row r="75" spans="1:4">
      <c r="A75" s="100">
        <f>ROW(Strong_Weakness[[#This Row],[INDEX]])-ROW(Strong_Weakness[[#Headers],[INDEX]])</f>
        <v>74</v>
      </c>
      <c r="B75" s="98" t="str">
        <f>INDEX(Data_Assessment[],MATCH(Strong_Weakness[[#This Row],[INDEX]],Data_Assessment[INDEX],0),MATCH(Strong_Weakness[[#Headers],[NAME]],Data_Assessment[#Headers],0))</f>
        <v>Wilson Lubis, SE</v>
      </c>
      <c r="C75" s="98"/>
      <c r="D75" s="98"/>
    </row>
    <row r="76" spans="1:4">
      <c r="A76" s="100">
        <f>ROW(Strong_Weakness[[#This Row],[INDEX]])-ROW(Strong_Weakness[[#Headers],[INDEX]])</f>
        <v>75</v>
      </c>
      <c r="B76" s="98" t="str">
        <f>INDEX(Data_Assessment[],MATCH(Strong_Weakness[[#This Row],[INDEX]],Data_Assessment[INDEX],0),MATCH(Strong_Weakness[[#Headers],[NAME]],Data_Assessment[#Headers],0))</f>
        <v>T. Adrian Erwin</v>
      </c>
      <c r="C76" s="98"/>
      <c r="D76" s="98"/>
    </row>
    <row r="77" spans="1:4">
      <c r="A77" s="100">
        <f>ROW(Strong_Weakness[[#This Row],[INDEX]])-ROW(Strong_Weakness[[#Headers],[INDEX]])</f>
        <v>76</v>
      </c>
      <c r="B77" s="98" t="str">
        <f>INDEX(Data_Assessment[],MATCH(Strong_Weakness[[#This Row],[INDEX]],Data_Assessment[INDEX],0),MATCH(Strong_Weakness[[#Headers],[NAME]],Data_Assessment[#Headers],0))</f>
        <v>Morinta Sinuraya</v>
      </c>
      <c r="C77" s="98"/>
      <c r="D77" s="98"/>
    </row>
    <row r="78" spans="1:4">
      <c r="A78" s="100">
        <f>ROW(Strong_Weakness[[#This Row],[INDEX]])-ROW(Strong_Weakness[[#Headers],[INDEX]])</f>
        <v>77</v>
      </c>
      <c r="B78" s="98" t="str">
        <f>INDEX(Data_Assessment[],MATCH(Strong_Weakness[[#This Row],[INDEX]],Data_Assessment[INDEX],0),MATCH(Strong_Weakness[[#Headers],[NAME]],Data_Assessment[#Headers],0))</f>
        <v>A.Y. Jaya Silen</v>
      </c>
      <c r="C78" s="98"/>
      <c r="D78" s="98"/>
    </row>
    <row r="79" spans="1:4">
      <c r="A79" s="100">
        <f>ROW(Strong_Weakness[[#This Row],[INDEX]])-ROW(Strong_Weakness[[#Headers],[INDEX]])</f>
        <v>78</v>
      </c>
      <c r="B79" s="98" t="str">
        <f>INDEX(Data_Assessment[],MATCH(Strong_Weakness[[#This Row],[INDEX]],Data_Assessment[INDEX],0),MATCH(Strong_Weakness[[#Headers],[NAME]],Data_Assessment[#Headers],0))</f>
        <v>Indra Jaya Sakti Ritonga</v>
      </c>
      <c r="C79" s="98"/>
      <c r="D79" s="98"/>
    </row>
    <row r="80" spans="1:4">
      <c r="A80" s="100">
        <f>ROW(Strong_Weakness[[#This Row],[INDEX]])-ROW(Strong_Weakness[[#Headers],[INDEX]])</f>
        <v>79</v>
      </c>
      <c r="B80" s="98" t="str">
        <f>INDEX(Data_Assessment[],MATCH(Strong_Weakness[[#This Row],[INDEX]],Data_Assessment[INDEX],0),MATCH(Strong_Weakness[[#Headers],[NAME]],Data_Assessment[#Headers],0))</f>
        <v>Kevin Filemon</v>
      </c>
      <c r="C80" s="98"/>
      <c r="D80" s="98"/>
    </row>
    <row r="81" spans="1:4">
      <c r="A81" s="100">
        <f>ROW(Strong_Weakness[[#This Row],[INDEX]])-ROW(Strong_Weakness[[#Headers],[INDEX]])</f>
        <v>80</v>
      </c>
      <c r="B81" s="98" t="str">
        <f>INDEX(Data_Assessment[],MATCH(Strong_Weakness[[#This Row],[INDEX]],Data_Assessment[INDEX],0),MATCH(Strong_Weakness[[#Headers],[NAME]],Data_Assessment[#Headers],0))</f>
        <v>M. Ismail Arifin</v>
      </c>
      <c r="C81" s="98"/>
      <c r="D81" s="98"/>
    </row>
    <row r="82" spans="1:4">
      <c r="A82" s="100">
        <f>ROW(Strong_Weakness[[#This Row],[INDEX]])-ROW(Strong_Weakness[[#Headers],[INDEX]])</f>
        <v>81</v>
      </c>
      <c r="B82" s="98" t="str">
        <f>INDEX(Data_Assessment[],MATCH(Strong_Weakness[[#This Row],[INDEX]],Data_Assessment[INDEX],0),MATCH(Strong_Weakness[[#Headers],[NAME]],Data_Assessment[#Headers],0))</f>
        <v>Halim Darma Kesuma</v>
      </c>
      <c r="C82" s="98"/>
      <c r="D82" s="98"/>
    </row>
    <row r="83" spans="1:4">
      <c r="A83" s="100">
        <f>ROW(Strong_Weakness[[#This Row],[INDEX]])-ROW(Strong_Weakness[[#Headers],[INDEX]])</f>
        <v>82</v>
      </c>
      <c r="B83" s="98" t="str">
        <f>INDEX(Data_Assessment[],MATCH(Strong_Weakness[[#This Row],[INDEX]],Data_Assessment[INDEX],0),MATCH(Strong_Weakness[[#Headers],[NAME]],Data_Assessment[#Headers],0))</f>
        <v>Imansyah Sihombing</v>
      </c>
      <c r="C83" s="98"/>
      <c r="D83" s="98"/>
    </row>
    <row r="84" spans="1:4">
      <c r="A84" s="100">
        <f>ROW(Strong_Weakness[[#This Row],[INDEX]])-ROW(Strong_Weakness[[#Headers],[INDEX]])</f>
        <v>83</v>
      </c>
      <c r="B84" s="98" t="str">
        <f>INDEX(Data_Assessment[],MATCH(Strong_Weakness[[#This Row],[INDEX]],Data_Assessment[INDEX],0),MATCH(Strong_Weakness[[#Headers],[NAME]],Data_Assessment[#Headers],0))</f>
        <v>Octavianus Krisanggoro Pangestu A.</v>
      </c>
      <c r="C84" s="98"/>
      <c r="D84" s="98"/>
    </row>
    <row r="85" spans="1:4">
      <c r="A85" s="100">
        <f>ROW(Strong_Weakness[[#This Row],[INDEX]])-ROW(Strong_Weakness[[#Headers],[INDEX]])</f>
        <v>84</v>
      </c>
      <c r="B85" s="98" t="str">
        <f>INDEX(Data_Assessment[],MATCH(Strong_Weakness[[#This Row],[INDEX]],Data_Assessment[INDEX],0),MATCH(Strong_Weakness[[#Headers],[NAME]],Data_Assessment[#Headers],0))</f>
        <v>Shofi Tahir</v>
      </c>
      <c r="C85" s="98"/>
      <c r="D85" s="98"/>
    </row>
    <row r="86" spans="1:4">
      <c r="A86" s="100">
        <f>ROW(Strong_Weakness[[#This Row],[INDEX]])-ROW(Strong_Weakness[[#Headers],[INDEX]])</f>
        <v>85</v>
      </c>
      <c r="B86" s="98" t="str">
        <f>INDEX(Data_Assessment[],MATCH(Strong_Weakness[[#This Row],[INDEX]],Data_Assessment[INDEX],0),MATCH(Strong_Weakness[[#Headers],[NAME]],Data_Assessment[#Headers],0))</f>
        <v>Ricky Martinus</v>
      </c>
      <c r="C86" s="98"/>
      <c r="D86" s="98"/>
    </row>
    <row r="87" spans="1:4">
      <c r="A87" s="100">
        <f>ROW(Strong_Weakness[[#This Row],[INDEX]])-ROW(Strong_Weakness[[#Headers],[INDEX]])</f>
        <v>86</v>
      </c>
      <c r="B87" s="98" t="str">
        <f>INDEX(Data_Assessment[],MATCH(Strong_Weakness[[#This Row],[INDEX]],Data_Assessment[INDEX],0),MATCH(Strong_Weakness[[#Headers],[NAME]],Data_Assessment[#Headers],0))</f>
        <v>Ganda Kristiawan</v>
      </c>
      <c r="C87" s="98"/>
      <c r="D87" s="98"/>
    </row>
    <row r="88" spans="1:4">
      <c r="A88" s="100">
        <f>ROW(Strong_Weakness[[#This Row],[INDEX]])-ROW(Strong_Weakness[[#Headers],[INDEX]])</f>
        <v>87</v>
      </c>
      <c r="B88" s="98" t="str">
        <f>INDEX(Data_Assessment[],MATCH(Strong_Weakness[[#This Row],[INDEX]],Data_Assessment[INDEX],0),MATCH(Strong_Weakness[[#Headers],[NAME]],Data_Assessment[#Headers],0))</f>
        <v>Deni Eka Kesuma</v>
      </c>
      <c r="C88" s="98"/>
      <c r="D88" s="98"/>
    </row>
    <row r="89" spans="1:4">
      <c r="A89" s="100">
        <f>ROW(Strong_Weakness[[#This Row],[INDEX]])-ROW(Strong_Weakness[[#Headers],[INDEX]])</f>
        <v>88</v>
      </c>
      <c r="B89" s="98" t="str">
        <f>INDEX(Data_Assessment[],MATCH(Strong_Weakness[[#This Row],[INDEX]],Data_Assessment[INDEX],0),MATCH(Strong_Weakness[[#Headers],[NAME]],Data_Assessment[#Headers],0))</f>
        <v>Rizky Afriansyah</v>
      </c>
      <c r="C89" s="98"/>
      <c r="D89" s="98"/>
    </row>
    <row r="90" spans="1:4">
      <c r="A90" s="100">
        <f>ROW(Strong_Weakness[[#This Row],[INDEX]])-ROW(Strong_Weakness[[#Headers],[INDEX]])</f>
        <v>89</v>
      </c>
      <c r="B90" s="98" t="str">
        <f>INDEX(Data_Assessment[],MATCH(Strong_Weakness[[#This Row],[INDEX]],Data_Assessment[INDEX],0),MATCH(Strong_Weakness[[#Headers],[NAME]],Data_Assessment[#Headers],0))</f>
        <v>Tri Retno Setyowati</v>
      </c>
      <c r="C90" s="98"/>
      <c r="D90" s="98"/>
    </row>
    <row r="91" spans="1:4">
      <c r="A91" s="100">
        <f>ROW(Strong_Weakness[[#This Row],[INDEX]])-ROW(Strong_Weakness[[#Headers],[INDEX]])</f>
        <v>90</v>
      </c>
      <c r="B91" s="98" t="str">
        <f>INDEX(Data_Assessment[],MATCH(Strong_Weakness[[#This Row],[INDEX]],Data_Assessment[INDEX],0),MATCH(Strong_Weakness[[#Headers],[NAME]],Data_Assessment[#Headers],0))</f>
        <v>Daniel Prayogi Dongoran</v>
      </c>
      <c r="C91" s="98"/>
      <c r="D91" s="98"/>
    </row>
    <row r="92" spans="1:4">
      <c r="A92" s="100">
        <f>ROW(Strong_Weakness[[#This Row],[INDEX]])-ROW(Strong_Weakness[[#Headers],[INDEX]])</f>
        <v>91</v>
      </c>
      <c r="B92" s="98" t="str">
        <f>INDEX(Data_Assessment[],MATCH(Strong_Weakness[[#This Row],[INDEX]],Data_Assessment[INDEX],0),MATCH(Strong_Weakness[[#Headers],[NAME]],Data_Assessment[#Headers],0))</f>
        <v>Zahri</v>
      </c>
      <c r="C92" s="98"/>
      <c r="D92" s="98"/>
    </row>
    <row r="93" spans="1:4">
      <c r="A93" s="100">
        <f>ROW(Strong_Weakness[[#This Row],[INDEX]])-ROW(Strong_Weakness[[#Headers],[INDEX]])</f>
        <v>92</v>
      </c>
      <c r="B93" s="98" t="str">
        <f>INDEX(Data_Assessment[],MATCH(Strong_Weakness[[#This Row],[INDEX]],Data_Assessment[INDEX],0),MATCH(Strong_Weakness[[#Headers],[NAME]],Data_Assessment[#Headers],0))</f>
        <v>Pau Cin</v>
      </c>
      <c r="C93" s="98"/>
      <c r="D93" s="98"/>
    </row>
    <row r="94" spans="1:4">
      <c r="A94" s="100">
        <f>ROW(Strong_Weakness[[#This Row],[INDEX]])-ROW(Strong_Weakness[[#Headers],[INDEX]])</f>
        <v>93</v>
      </c>
      <c r="B94" s="98" t="str">
        <f>INDEX(Data_Assessment[],MATCH(Strong_Weakness[[#This Row],[INDEX]],Data_Assessment[INDEX],0),MATCH(Strong_Weakness[[#Headers],[NAME]],Data_Assessment[#Headers],0))</f>
        <v>Sutris</v>
      </c>
      <c r="C94" s="98"/>
      <c r="D94" s="98"/>
    </row>
    <row r="95" spans="1:4">
      <c r="A95" s="100">
        <f>ROW(Strong_Weakness[[#This Row],[INDEX]])-ROW(Strong_Weakness[[#Headers],[INDEX]])</f>
        <v>94</v>
      </c>
      <c r="B95" s="98" t="str">
        <f>INDEX(Data_Assessment[],MATCH(Strong_Weakness[[#This Row],[INDEX]],Data_Assessment[INDEX],0),MATCH(Strong_Weakness[[#Headers],[NAME]],Data_Assessment[#Headers],0))</f>
        <v>Desi Komala Sari Siregar</v>
      </c>
      <c r="C95" s="98"/>
      <c r="D95" s="98"/>
    </row>
    <row r="96" spans="1:4">
      <c r="A96" s="100">
        <f>ROW(Strong_Weakness[[#This Row],[INDEX]])-ROW(Strong_Weakness[[#Headers],[INDEX]])</f>
        <v>95</v>
      </c>
      <c r="B96" s="98" t="str">
        <f>INDEX(Data_Assessment[],MATCH(Strong_Weakness[[#This Row],[INDEX]],Data_Assessment[INDEX],0),MATCH(Strong_Weakness[[#Headers],[NAME]],Data_Assessment[#Headers],0))</f>
        <v>Sohirin</v>
      </c>
      <c r="C96" s="98"/>
      <c r="D96" s="98"/>
    </row>
    <row r="97" spans="1:4">
      <c r="A97" s="100">
        <f>ROW(Strong_Weakness[[#This Row],[INDEX]])-ROW(Strong_Weakness[[#Headers],[INDEX]])</f>
        <v>96</v>
      </c>
      <c r="B97" s="98" t="str">
        <f>INDEX(Data_Assessment[],MATCH(Strong_Weakness[[#This Row],[INDEX]],Data_Assessment[INDEX],0),MATCH(Strong_Weakness[[#Headers],[NAME]],Data_Assessment[#Headers],0))</f>
        <v>Bardan Yusri</v>
      </c>
      <c r="C97" s="98"/>
      <c r="D97" s="98"/>
    </row>
    <row r="98" spans="1:4">
      <c r="A98" s="100">
        <f>ROW(Strong_Weakness[[#This Row],[INDEX]])-ROW(Strong_Weakness[[#Headers],[INDEX]])</f>
        <v>97</v>
      </c>
      <c r="B98" s="98" t="str">
        <f>INDEX(Data_Assessment[],MATCH(Strong_Weakness[[#This Row],[INDEX]],Data_Assessment[INDEX],0),MATCH(Strong_Weakness[[#Headers],[NAME]],Data_Assessment[#Headers],0))</f>
        <v>Ariyanto</v>
      </c>
      <c r="C98" s="98"/>
      <c r="D98" s="98"/>
    </row>
    <row r="99" spans="1:4">
      <c r="A99" s="100">
        <f>ROW(Strong_Weakness[[#This Row],[INDEX]])-ROW(Strong_Weakness[[#Headers],[INDEX]])</f>
        <v>98</v>
      </c>
      <c r="B99" s="98" t="str">
        <f>INDEX(Data_Assessment[],MATCH(Strong_Weakness[[#This Row],[INDEX]],Data_Assessment[INDEX],0),MATCH(Strong_Weakness[[#Headers],[NAME]],Data_Assessment[#Headers],0))</f>
        <v>Andrew Timothy A.S.</v>
      </c>
      <c r="C99" s="98"/>
      <c r="D99" s="98"/>
    </row>
    <row r="100" spans="1:4">
      <c r="A100" s="100">
        <f>ROW(Strong_Weakness[[#This Row],[INDEX]])-ROW(Strong_Weakness[[#Headers],[INDEX]])</f>
        <v>99</v>
      </c>
      <c r="B100" s="98" t="str">
        <f>INDEX(Data_Assessment[],MATCH(Strong_Weakness[[#This Row],[INDEX]],Data_Assessment[INDEX],0),MATCH(Strong_Weakness[[#Headers],[NAME]],Data_Assessment[#Headers],0))</f>
        <v>Muhammad Caturiansyah Putra</v>
      </c>
      <c r="C100" s="98"/>
      <c r="D100" s="98"/>
    </row>
    <row r="101" spans="1:4">
      <c r="A101" s="100">
        <f>ROW(Strong_Weakness[[#This Row],[INDEX]])-ROW(Strong_Weakness[[#Headers],[INDEX]])</f>
        <v>100</v>
      </c>
      <c r="B101" s="98" t="str">
        <f>INDEX(Data_Assessment[],MATCH(Strong_Weakness[[#This Row],[INDEX]],Data_Assessment[INDEX],0),MATCH(Strong_Weakness[[#Headers],[NAME]],Data_Assessment[#Headers],0))</f>
        <v>Awang Setiadi</v>
      </c>
      <c r="C101" s="98"/>
      <c r="D101" s="98"/>
    </row>
    <row r="102" spans="1:4">
      <c r="A102" s="100">
        <f>ROW(Strong_Weakness[[#This Row],[INDEX]])-ROW(Strong_Weakness[[#Headers],[INDEX]])</f>
        <v>101</v>
      </c>
      <c r="B102" s="98" t="str">
        <f>INDEX(Data_Assessment[],MATCH(Strong_Weakness[[#This Row],[INDEX]],Data_Assessment[INDEX],0),MATCH(Strong_Weakness[[#Headers],[NAME]],Data_Assessment[#Headers],0))</f>
        <v>Abdul Manan</v>
      </c>
      <c r="C102" s="98"/>
      <c r="D102" s="98"/>
    </row>
    <row r="103" spans="1:4">
      <c r="A103" s="100">
        <f>ROW(Strong_Weakness[[#This Row],[INDEX]])-ROW(Strong_Weakness[[#Headers],[INDEX]])</f>
        <v>102</v>
      </c>
      <c r="B103" s="98" t="str">
        <f>INDEX(Data_Assessment[],MATCH(Strong_Weakness[[#This Row],[INDEX]],Data_Assessment[INDEX],0),MATCH(Strong_Weakness[[#Headers],[NAME]],Data_Assessment[#Headers],0))</f>
        <v>Edi Junaidi, Sp Ginting</v>
      </c>
      <c r="C103" s="98"/>
      <c r="D103" s="98"/>
    </row>
    <row r="104" spans="1:4">
      <c r="A104" s="100">
        <f>ROW(Strong_Weakness[[#This Row],[INDEX]])-ROW(Strong_Weakness[[#Headers],[INDEX]])</f>
        <v>103</v>
      </c>
      <c r="B104" s="98" t="str">
        <f>INDEX(Data_Assessment[],MATCH(Strong_Weakness[[#This Row],[INDEX]],Data_Assessment[INDEX],0),MATCH(Strong_Weakness[[#Headers],[NAME]],Data_Assessment[#Headers],0))</f>
        <v>I Made Sudania (Konsultan)</v>
      </c>
      <c r="C104" s="98"/>
      <c r="D104" s="98"/>
    </row>
    <row r="105" spans="1:4">
      <c r="A105" s="100">
        <f>ROW(Strong_Weakness[[#This Row],[INDEX]])-ROW(Strong_Weakness[[#Headers],[INDEX]])</f>
        <v>104</v>
      </c>
      <c r="B105" s="98" t="str">
        <f>INDEX(Data_Assessment[],MATCH(Strong_Weakness[[#This Row],[INDEX]],Data_Assessment[INDEX],0),MATCH(Strong_Weakness[[#Headers],[NAME]],Data_Assessment[#Headers],0))</f>
        <v>Hendra Manik</v>
      </c>
      <c r="C105" s="98"/>
      <c r="D105" s="98"/>
    </row>
    <row r="106" spans="1:4">
      <c r="A106" s="100">
        <f>ROW(Strong_Weakness[[#This Row],[INDEX]])-ROW(Strong_Weakness[[#Headers],[INDEX]])</f>
        <v>105</v>
      </c>
      <c r="B106" s="98" t="str">
        <f>INDEX(Data_Assessment[],MATCH(Strong_Weakness[[#This Row],[INDEX]],Data_Assessment[INDEX],0),MATCH(Strong_Weakness[[#Headers],[NAME]],Data_Assessment[#Headers],0))</f>
        <v>Heri Susanto</v>
      </c>
      <c r="C106" s="98"/>
      <c r="D106" s="98"/>
    </row>
    <row r="107" spans="1:4">
      <c r="A107" s="100">
        <f>ROW(Strong_Weakness[[#This Row],[INDEX]])-ROW(Strong_Weakness[[#Headers],[INDEX]])</f>
        <v>106</v>
      </c>
      <c r="B107" s="98" t="str">
        <f>INDEX(Data_Assessment[],MATCH(Strong_Weakness[[#This Row],[INDEX]],Data_Assessment[INDEX],0),MATCH(Strong_Weakness[[#Headers],[NAME]],Data_Assessment[#Headers],0))</f>
        <v>Muslim</v>
      </c>
      <c r="C107" s="98"/>
      <c r="D107" s="98"/>
    </row>
    <row r="108" spans="1:4">
      <c r="A108" s="100">
        <f>ROW(Strong_Weakness[[#This Row],[INDEX]])-ROW(Strong_Weakness[[#Headers],[INDEX]])</f>
        <v>107</v>
      </c>
      <c r="B108" s="98" t="str">
        <f>INDEX(Data_Assessment[],MATCH(Strong_Weakness[[#This Row],[INDEX]],Data_Assessment[INDEX],0),MATCH(Strong_Weakness[[#Headers],[NAME]],Data_Assessment[#Headers],0))</f>
        <v>Nadir Hakim</v>
      </c>
      <c r="C108" s="98"/>
      <c r="D108" s="98"/>
    </row>
    <row r="109" spans="1:4">
      <c r="A109" s="100">
        <f>ROW(Strong_Weakness[[#This Row],[INDEX]])-ROW(Strong_Weakness[[#Headers],[INDEX]])</f>
        <v>108</v>
      </c>
      <c r="B109" s="98" t="str">
        <f>INDEX(Data_Assessment[],MATCH(Strong_Weakness[[#This Row],[INDEX]],Data_Assessment[INDEX],0),MATCH(Strong_Weakness[[#Headers],[NAME]],Data_Assessment[#Headers],0))</f>
        <v>Rahmadanil</v>
      </c>
      <c r="C109" s="98"/>
      <c r="D109" s="98"/>
    </row>
    <row r="110" spans="1:4">
      <c r="A110" s="100">
        <f>ROW(Strong_Weakness[[#This Row],[INDEX]])-ROW(Strong_Weakness[[#Headers],[INDEX]])</f>
        <v>109</v>
      </c>
      <c r="B110" s="98" t="str">
        <f>INDEX(Data_Assessment[],MATCH(Strong_Weakness[[#This Row],[INDEX]],Data_Assessment[INDEX],0),MATCH(Strong_Weakness[[#Headers],[NAME]],Data_Assessment[#Headers],0))</f>
        <v>Mahmuddin</v>
      </c>
      <c r="C110" s="98"/>
      <c r="D110" s="98"/>
    </row>
    <row r="111" spans="1:4">
      <c r="A111" s="100">
        <f>ROW(Strong_Weakness[[#This Row],[INDEX]])-ROW(Strong_Weakness[[#Headers],[INDEX]])</f>
        <v>110</v>
      </c>
      <c r="B111" s="98" t="str">
        <f>INDEX(Data_Assessment[],MATCH(Strong_Weakness[[#This Row],[INDEX]],Data_Assessment[INDEX],0),MATCH(Strong_Weakness[[#Headers],[NAME]],Data_Assessment[#Headers],0))</f>
        <v>Deva Anggraini</v>
      </c>
      <c r="C111" s="98"/>
      <c r="D111" s="98"/>
    </row>
    <row r="112" spans="1:4">
      <c r="A112" s="100">
        <f>ROW(Strong_Weakness[[#This Row],[INDEX]])-ROW(Strong_Weakness[[#Headers],[INDEX]])</f>
        <v>111</v>
      </c>
      <c r="B112" s="98" t="str">
        <f>INDEX(Data_Assessment[],MATCH(Strong_Weakness[[#This Row],[INDEX]],Data_Assessment[INDEX],0),MATCH(Strong_Weakness[[#Headers],[NAME]],Data_Assessment[#Headers],0))</f>
        <v>Baginda Siregar</v>
      </c>
      <c r="C112" s="98"/>
      <c r="D112" s="98"/>
    </row>
    <row r="113" spans="1:4">
      <c r="A113" s="100">
        <f>ROW(Strong_Weakness[[#This Row],[INDEX]])-ROW(Strong_Weakness[[#Headers],[INDEX]])</f>
        <v>112</v>
      </c>
      <c r="B113" s="98" t="str">
        <f>INDEX(Data_Assessment[],MATCH(Strong_Weakness[[#This Row],[INDEX]],Data_Assessment[INDEX],0),MATCH(Strong_Weakness[[#Headers],[NAME]],Data_Assessment[#Headers],0))</f>
        <v>Ilyas Supriyanto</v>
      </c>
      <c r="C113" s="98"/>
      <c r="D113" s="98"/>
    </row>
    <row r="114" spans="1:4">
      <c r="A114" s="100">
        <f>ROW(Strong_Weakness[[#This Row],[INDEX]])-ROW(Strong_Weakness[[#Headers],[INDEX]])</f>
        <v>113</v>
      </c>
      <c r="B114" s="98" t="str">
        <f>INDEX(Data_Assessment[],MATCH(Strong_Weakness[[#This Row],[INDEX]],Data_Assessment[INDEX],0),MATCH(Strong_Weakness[[#Headers],[NAME]],Data_Assessment[#Headers],0))</f>
        <v>Samsidin</v>
      </c>
      <c r="C114" s="98"/>
      <c r="D114" s="98"/>
    </row>
    <row r="115" spans="1:4">
      <c r="A115" s="100">
        <f>ROW(Strong_Weakness[[#This Row],[INDEX]])-ROW(Strong_Weakness[[#Headers],[INDEX]])</f>
        <v>114</v>
      </c>
      <c r="B115" s="98" t="str">
        <f>INDEX(Data_Assessment[],MATCH(Strong_Weakness[[#This Row],[INDEX]],Data_Assessment[INDEX],0),MATCH(Strong_Weakness[[#Headers],[NAME]],Data_Assessment[#Headers],0))</f>
        <v>Neni Julistiani</v>
      </c>
      <c r="C115" s="98"/>
      <c r="D115" s="98"/>
    </row>
    <row r="116" spans="1:4">
      <c r="A116" s="100">
        <f>ROW(Strong_Weakness[[#This Row],[INDEX]])-ROW(Strong_Weakness[[#Headers],[INDEX]])</f>
        <v>115</v>
      </c>
      <c r="B116" s="98" t="str">
        <f>INDEX(Data_Assessment[],MATCH(Strong_Weakness[[#This Row],[INDEX]],Data_Assessment[INDEX],0),MATCH(Strong_Weakness[[#Headers],[NAME]],Data_Assessment[#Headers],0))</f>
        <v>Rizki Dian Ringga</v>
      </c>
      <c r="C116" s="98"/>
      <c r="D116" s="98"/>
    </row>
    <row r="117" spans="1:4">
      <c r="A117" s="100">
        <f>ROW(Strong_Weakness[[#This Row],[INDEX]])-ROW(Strong_Weakness[[#Headers],[INDEX]])</f>
        <v>116</v>
      </c>
      <c r="B117" s="98" t="str">
        <f>INDEX(Data_Assessment[],MATCH(Strong_Weakness[[#This Row],[INDEX]],Data_Assessment[INDEX],0),MATCH(Strong_Weakness[[#Headers],[NAME]],Data_Assessment[#Headers],0))</f>
        <v>Syahril, S.Sos</v>
      </c>
      <c r="C117" s="98"/>
      <c r="D117" s="98"/>
    </row>
    <row r="118" spans="1:4">
      <c r="A118" s="100">
        <f>ROW(Strong_Weakness[[#This Row],[INDEX]])-ROW(Strong_Weakness[[#Headers],[INDEX]])</f>
        <v>117</v>
      </c>
      <c r="B118" s="98" t="str">
        <f>INDEX(Data_Assessment[],MATCH(Strong_Weakness[[#This Row],[INDEX]],Data_Assessment[INDEX],0),MATCH(Strong_Weakness[[#Headers],[NAME]],Data_Assessment[#Headers],0))</f>
        <v>Dirja Rahmat</v>
      </c>
      <c r="C118" s="98"/>
      <c r="D118" s="98"/>
    </row>
    <row r="119" spans="1:4">
      <c r="A119" s="100">
        <f>ROW(Strong_Weakness[[#This Row],[INDEX]])-ROW(Strong_Weakness[[#Headers],[INDEX]])</f>
        <v>118</v>
      </c>
      <c r="B119" s="98" t="str">
        <f>INDEX(Data_Assessment[],MATCH(Strong_Weakness[[#This Row],[INDEX]],Data_Assessment[INDEX],0),MATCH(Strong_Weakness[[#Headers],[NAME]],Data_Assessment[#Headers],0))</f>
        <v>Denri Purba</v>
      </c>
      <c r="C119" s="98"/>
      <c r="D119" s="98"/>
    </row>
    <row r="120" spans="1:4">
      <c r="A120" s="100">
        <f>ROW(Strong_Weakness[[#This Row],[INDEX]])-ROW(Strong_Weakness[[#Headers],[INDEX]])</f>
        <v>119</v>
      </c>
      <c r="B120" s="98" t="str">
        <f>INDEX(Data_Assessment[],MATCH(Strong_Weakness[[#This Row],[INDEX]],Data_Assessment[INDEX],0),MATCH(Strong_Weakness[[#Headers],[NAME]],Data_Assessment[#Headers],0))</f>
        <v>Arlon Hot Pangoloi</v>
      </c>
      <c r="C120" s="98"/>
      <c r="D120" s="98"/>
    </row>
    <row r="121" spans="1:4">
      <c r="A121" s="100">
        <f>ROW(Strong_Weakness[[#This Row],[INDEX]])-ROW(Strong_Weakness[[#Headers],[INDEX]])</f>
        <v>120</v>
      </c>
      <c r="B121" s="98" t="str">
        <f>INDEX(Data_Assessment[],MATCH(Strong_Weakness[[#This Row],[INDEX]],Data_Assessment[INDEX],0),MATCH(Strong_Weakness[[#Headers],[NAME]],Data_Assessment[#Headers],0))</f>
        <v>Sopar Hutabarat</v>
      </c>
      <c r="C121" s="98"/>
      <c r="D121" s="98"/>
    </row>
    <row r="122" spans="1:4">
      <c r="A122" s="100">
        <f>ROW(Strong_Weakness[[#This Row],[INDEX]])-ROW(Strong_Weakness[[#Headers],[INDEX]])</f>
        <v>121</v>
      </c>
      <c r="B122" s="98" t="str">
        <f>INDEX(Data_Assessment[],MATCH(Strong_Weakness[[#This Row],[INDEX]],Data_Assessment[INDEX],0),MATCH(Strong_Weakness[[#Headers],[NAME]],Data_Assessment[#Headers],0))</f>
        <v>Ridho Maulia Buana</v>
      </c>
      <c r="C122" s="98"/>
      <c r="D122" s="98"/>
    </row>
    <row r="123" spans="1:4">
      <c r="A123" s="100">
        <f>ROW(Strong_Weakness[[#This Row],[INDEX]])-ROW(Strong_Weakness[[#Headers],[INDEX]])</f>
        <v>122</v>
      </c>
      <c r="B123" s="98" t="str">
        <f>INDEX(Data_Assessment[],MATCH(Strong_Weakness[[#This Row],[INDEX]],Data_Assessment[INDEX],0),MATCH(Strong_Weakness[[#Headers],[NAME]],Data_Assessment[#Headers],0))</f>
        <v>Aden Sudomo Siregar</v>
      </c>
      <c r="C123" s="98"/>
      <c r="D123" s="98"/>
    </row>
    <row r="124" spans="1:4">
      <c r="A124" s="100">
        <f>ROW(Strong_Weakness[[#This Row],[INDEX]])-ROW(Strong_Weakness[[#Headers],[INDEX]])</f>
        <v>123</v>
      </c>
      <c r="B124" s="98" t="str">
        <f>INDEX(Data_Assessment[],MATCH(Strong_Weakness[[#This Row],[INDEX]],Data_Assessment[INDEX],0),MATCH(Strong_Weakness[[#Headers],[NAME]],Data_Assessment[#Headers],0))</f>
        <v>Hendri Suprawono</v>
      </c>
      <c r="C124" s="98"/>
      <c r="D124" s="98"/>
    </row>
    <row r="125" spans="1:4">
      <c r="A125" s="100">
        <f>ROW(Strong_Weakness[[#This Row],[INDEX]])-ROW(Strong_Weakness[[#Headers],[INDEX]])</f>
        <v>124</v>
      </c>
      <c r="B125" s="98" t="str">
        <f>INDEX(Data_Assessment[],MATCH(Strong_Weakness[[#This Row],[INDEX]],Data_Assessment[INDEX],0),MATCH(Strong_Weakness[[#Headers],[NAME]],Data_Assessment[#Headers],0))</f>
        <v>J. Tarigan</v>
      </c>
      <c r="C125" s="98"/>
      <c r="D125" s="98"/>
    </row>
    <row r="126" spans="1:4">
      <c r="A126" s="100">
        <f>ROW(Strong_Weakness[[#This Row],[INDEX]])-ROW(Strong_Weakness[[#Headers],[INDEX]])</f>
        <v>125</v>
      </c>
      <c r="B126" s="98" t="str">
        <f>INDEX(Data_Assessment[],MATCH(Strong_Weakness[[#This Row],[INDEX]],Data_Assessment[INDEX],0),MATCH(Strong_Weakness[[#Headers],[NAME]],Data_Assessment[#Headers],0))</f>
        <v>Pandu Winata</v>
      </c>
      <c r="C126" s="98"/>
      <c r="D126" s="98"/>
    </row>
    <row r="127" spans="1:4">
      <c r="A127" s="100">
        <f>ROW(Strong_Weakness[[#This Row],[INDEX]])-ROW(Strong_Weakness[[#Headers],[INDEX]])</f>
        <v>126</v>
      </c>
      <c r="B127" s="98" t="str">
        <f>INDEX(Data_Assessment[],MATCH(Strong_Weakness[[#This Row],[INDEX]],Data_Assessment[INDEX],0),MATCH(Strong_Weakness[[#Headers],[NAME]],Data_Assessment[#Headers],0))</f>
        <v>Himawan Fazhly Siregar</v>
      </c>
      <c r="C127" s="98"/>
      <c r="D127" s="98"/>
    </row>
    <row r="128" spans="1:4">
      <c r="A128" s="100">
        <f>ROW(Strong_Weakness[[#This Row],[INDEX]])-ROW(Strong_Weakness[[#Headers],[INDEX]])</f>
        <v>127</v>
      </c>
      <c r="B128" s="98" t="str">
        <f>INDEX(Data_Assessment[],MATCH(Strong_Weakness[[#This Row],[INDEX]],Data_Assessment[INDEX],0),MATCH(Strong_Weakness[[#Headers],[NAME]],Data_Assessment[#Headers],0))</f>
        <v>Fiyang Arfiyanto</v>
      </c>
      <c r="C128" s="98"/>
      <c r="D128" s="98"/>
    </row>
    <row r="129" spans="1:4">
      <c r="A129" s="100">
        <f>ROW(Strong_Weakness[[#This Row],[INDEX]])-ROW(Strong_Weakness[[#Headers],[INDEX]])</f>
        <v>128</v>
      </c>
      <c r="B129" s="98" t="str">
        <f>INDEX(Data_Assessment[],MATCH(Strong_Weakness[[#This Row],[INDEX]],Data_Assessment[INDEX],0),MATCH(Strong_Weakness[[#Headers],[NAME]],Data_Assessment[#Headers],0))</f>
        <v>Ian Rulo Sembiring</v>
      </c>
      <c r="C129" s="98"/>
      <c r="D129" s="98"/>
    </row>
    <row r="130" spans="1:4">
      <c r="A130" s="100">
        <f>ROW(Strong_Weakness[[#This Row],[INDEX]])-ROW(Strong_Weakness[[#Headers],[INDEX]])</f>
        <v>129</v>
      </c>
      <c r="B130" s="98" t="str">
        <f>INDEX(Data_Assessment[],MATCH(Strong_Weakness[[#This Row],[INDEX]],Data_Assessment[INDEX],0),MATCH(Strong_Weakness[[#Headers],[NAME]],Data_Assessment[#Headers],0))</f>
        <v>Firman Rizki Harahap</v>
      </c>
      <c r="C130" s="98"/>
      <c r="D130" s="98"/>
    </row>
    <row r="131" spans="1:4">
      <c r="A131" s="100">
        <f>ROW(Strong_Weakness[[#This Row],[INDEX]])-ROW(Strong_Weakness[[#Headers],[INDEX]])</f>
        <v>130</v>
      </c>
      <c r="B131" s="98" t="str">
        <f>INDEX(Data_Assessment[],MATCH(Strong_Weakness[[#This Row],[INDEX]],Data_Assessment[INDEX],0),MATCH(Strong_Weakness[[#Headers],[NAME]],Data_Assessment[#Headers],0))</f>
        <v>Pang Stephani Tejo</v>
      </c>
      <c r="C131" s="98"/>
      <c r="D131" s="98"/>
    </row>
    <row r="132" spans="1:4">
      <c r="A132" s="100">
        <f>ROW(Strong_Weakness[[#This Row],[INDEX]])-ROW(Strong_Weakness[[#Headers],[INDEX]])</f>
        <v>131</v>
      </c>
      <c r="B132" s="98" t="str">
        <f>INDEX(Data_Assessment[],MATCH(Strong_Weakness[[#This Row],[INDEX]],Data_Assessment[INDEX],0),MATCH(Strong_Weakness[[#Headers],[NAME]],Data_Assessment[#Headers],0))</f>
        <v>Surya Darma</v>
      </c>
      <c r="C132" s="98"/>
      <c r="D132" s="98"/>
    </row>
    <row r="133" spans="1:4">
      <c r="A133" s="100">
        <f>ROW(Strong_Weakness[[#This Row],[INDEX]])-ROW(Strong_Weakness[[#Headers],[INDEX]])</f>
        <v>132</v>
      </c>
      <c r="B133" s="98" t="str">
        <f>INDEX(Data_Assessment[],MATCH(Strong_Weakness[[#This Row],[INDEX]],Data_Assessment[INDEX],0),MATCH(Strong_Weakness[[#Headers],[NAME]],Data_Assessment[#Headers],0))</f>
        <v>Arief Syarifudin</v>
      </c>
      <c r="C133" s="98"/>
      <c r="D133" s="98"/>
    </row>
    <row r="134" spans="1:4">
      <c r="A134" s="100">
        <f>ROW(Strong_Weakness[[#This Row],[INDEX]])-ROW(Strong_Weakness[[#Headers],[INDEX]])</f>
        <v>133</v>
      </c>
      <c r="B134" s="98" t="str">
        <f>INDEX(Data_Assessment[],MATCH(Strong_Weakness[[#This Row],[INDEX]],Data_Assessment[INDEX],0),MATCH(Strong_Weakness[[#Headers],[NAME]],Data_Assessment[#Headers],0))</f>
        <v>Mugiyanto</v>
      </c>
      <c r="C134" s="98"/>
      <c r="D134" s="98"/>
    </row>
    <row r="135" spans="1:4">
      <c r="A135" s="100">
        <f>ROW(Strong_Weakness[[#This Row],[INDEX]])-ROW(Strong_Weakness[[#Headers],[INDEX]])</f>
        <v>134</v>
      </c>
      <c r="B135" s="98" t="str">
        <f>INDEX(Data_Assessment[],MATCH(Strong_Weakness[[#This Row],[INDEX]],Data_Assessment[INDEX],0),MATCH(Strong_Weakness[[#Headers],[NAME]],Data_Assessment[#Headers],0))</f>
        <v>M. Syarif Hidayat</v>
      </c>
      <c r="C135" s="98"/>
      <c r="D135" s="98"/>
    </row>
    <row r="136" spans="1:4">
      <c r="A136" s="100">
        <f>ROW(Strong_Weakness[[#This Row],[INDEX]])-ROW(Strong_Weakness[[#Headers],[INDEX]])</f>
        <v>135</v>
      </c>
      <c r="B136" s="98" t="str">
        <f>INDEX(Data_Assessment[],MATCH(Strong_Weakness[[#This Row],[INDEX]],Data_Assessment[INDEX],0),MATCH(Strong_Weakness[[#Headers],[NAME]],Data_Assessment[#Headers],0))</f>
        <v>Hendri Yanto</v>
      </c>
      <c r="C136" s="98"/>
      <c r="D136" s="98"/>
    </row>
    <row r="137" spans="1:4">
      <c r="A137" s="100">
        <f>ROW(Strong_Weakness[[#This Row],[INDEX]])-ROW(Strong_Weakness[[#Headers],[INDEX]])</f>
        <v>136</v>
      </c>
      <c r="B137" s="98" t="str">
        <f>INDEX(Data_Assessment[],MATCH(Strong_Weakness[[#This Row],[INDEX]],Data_Assessment[INDEX],0),MATCH(Strong_Weakness[[#Headers],[NAME]],Data_Assessment[#Headers],0))</f>
        <v>Arbie Wijaya</v>
      </c>
      <c r="C137" s="98"/>
      <c r="D137" s="98"/>
    </row>
    <row r="138" spans="1:4">
      <c r="A138" s="100">
        <f>ROW(Strong_Weakness[[#This Row],[INDEX]])-ROW(Strong_Weakness[[#Headers],[INDEX]])</f>
        <v>137</v>
      </c>
      <c r="B138" s="98" t="str">
        <f>INDEX(Data_Assessment[],MATCH(Strong_Weakness[[#This Row],[INDEX]],Data_Assessment[INDEX],0),MATCH(Strong_Weakness[[#Headers],[NAME]],Data_Assessment[#Headers],0))</f>
        <v>Wantoro</v>
      </c>
      <c r="C138" s="98"/>
      <c r="D138" s="98"/>
    </row>
    <row r="139" spans="1:4">
      <c r="A139" s="100">
        <f>ROW(Strong_Weakness[[#This Row],[INDEX]])-ROW(Strong_Weakness[[#Headers],[INDEX]])</f>
        <v>138</v>
      </c>
      <c r="B139" s="98" t="str">
        <f>INDEX(Data_Assessment[],MATCH(Strong_Weakness[[#This Row],[INDEX]],Data_Assessment[INDEX],0),MATCH(Strong_Weakness[[#Headers],[NAME]],Data_Assessment[#Headers],0))</f>
        <v>Rizki Pratiwi Ningrum</v>
      </c>
      <c r="C139" s="98"/>
      <c r="D139" s="98"/>
    </row>
    <row r="140" spans="1:4">
      <c r="A140" s="100">
        <f>ROW(Strong_Weakness[[#This Row],[INDEX]])-ROW(Strong_Weakness[[#Headers],[INDEX]])</f>
        <v>139</v>
      </c>
      <c r="B140" s="98" t="str">
        <f>INDEX(Data_Assessment[],MATCH(Strong_Weakness[[#This Row],[INDEX]],Data_Assessment[INDEX],0),MATCH(Strong_Weakness[[#Headers],[NAME]],Data_Assessment[#Headers],0))</f>
        <v>Dudi Hermawan, SE</v>
      </c>
      <c r="C140" s="98"/>
      <c r="D140" s="98"/>
    </row>
    <row r="141" spans="1:4">
      <c r="A141" s="100">
        <f>ROW(Strong_Weakness[[#This Row],[INDEX]])-ROW(Strong_Weakness[[#Headers],[INDEX]])</f>
        <v>140</v>
      </c>
      <c r="B141" s="98" t="str">
        <f>INDEX(Data_Assessment[],MATCH(Strong_Weakness[[#This Row],[INDEX]],Data_Assessment[INDEX],0),MATCH(Strong_Weakness[[#Headers],[NAME]],Data_Assessment[#Headers],0))</f>
        <v>Andry Roy P.S., SE</v>
      </c>
      <c r="C141" s="98"/>
      <c r="D141" s="98"/>
    </row>
    <row r="142" spans="1:4">
      <c r="A142" s="100">
        <f>ROW(Strong_Weakness[[#This Row],[INDEX]])-ROW(Strong_Weakness[[#Headers],[INDEX]])</f>
        <v>141</v>
      </c>
      <c r="B142" s="98" t="str">
        <f>INDEX(Data_Assessment[],MATCH(Strong_Weakness[[#This Row],[INDEX]],Data_Assessment[INDEX],0),MATCH(Strong_Weakness[[#Headers],[NAME]],Data_Assessment[#Headers],0))</f>
        <v>Muhammad Syarifuddin</v>
      </c>
      <c r="C142" s="98"/>
      <c r="D142" s="98"/>
    </row>
    <row r="143" spans="1:4">
      <c r="A143" s="100">
        <f>ROW(Strong_Weakness[[#This Row],[INDEX]])-ROW(Strong_Weakness[[#Headers],[INDEX]])</f>
        <v>142</v>
      </c>
      <c r="B143" s="98" t="str">
        <f>INDEX(Data_Assessment[],MATCH(Strong_Weakness[[#This Row],[INDEX]],Data_Assessment[INDEX],0),MATCH(Strong_Weakness[[#Headers],[NAME]],Data_Assessment[#Headers],0))</f>
        <v>Sunaryo Sitopu</v>
      </c>
      <c r="C143" s="98"/>
      <c r="D143" s="98"/>
    </row>
    <row r="144" spans="1:4">
      <c r="A144" s="100">
        <f>ROW(Strong_Weakness[[#This Row],[INDEX]])-ROW(Strong_Weakness[[#Headers],[INDEX]])</f>
        <v>143</v>
      </c>
      <c r="B144" s="98" t="str">
        <f>INDEX(Data_Assessment[],MATCH(Strong_Weakness[[#This Row],[INDEX]],Data_Assessment[INDEX],0),MATCH(Strong_Weakness[[#Headers],[NAME]],Data_Assessment[#Headers],0))</f>
        <v>Gabriel Zulfiker</v>
      </c>
      <c r="C144" s="98"/>
      <c r="D144" s="98"/>
    </row>
    <row r="145" spans="1:4">
      <c r="A145" s="100">
        <f>ROW(Strong_Weakness[[#This Row],[INDEX]])-ROW(Strong_Weakness[[#Headers],[INDEX]])</f>
        <v>144</v>
      </c>
      <c r="B145" s="98" t="str">
        <f>INDEX(Data_Assessment[],MATCH(Strong_Weakness[[#This Row],[INDEX]],Data_Assessment[INDEX],0),MATCH(Strong_Weakness[[#Headers],[NAME]],Data_Assessment[#Headers],0))</f>
        <v>M. Zaimi Arif SPY</v>
      </c>
      <c r="C145" s="98"/>
      <c r="D145" s="98"/>
    </row>
    <row r="146" spans="1:4">
      <c r="A146" s="100">
        <f>ROW(Strong_Weakness[[#This Row],[INDEX]])-ROW(Strong_Weakness[[#Headers],[INDEX]])</f>
        <v>145</v>
      </c>
      <c r="B146" s="98" t="str">
        <f>INDEX(Data_Assessment[],MATCH(Strong_Weakness[[#This Row],[INDEX]],Data_Assessment[INDEX],0),MATCH(Strong_Weakness[[#Headers],[NAME]],Data_Assessment[#Headers],0))</f>
        <v>Ika Yunita Kartikasari</v>
      </c>
      <c r="C146" s="98"/>
      <c r="D146" s="98"/>
    </row>
    <row r="147" spans="1:4">
      <c r="A147" s="100">
        <f>ROW(Strong_Weakness[[#This Row],[INDEX]])-ROW(Strong_Weakness[[#Headers],[INDEX]])</f>
        <v>146</v>
      </c>
      <c r="B147" s="98" t="str">
        <f>INDEX(Data_Assessment[],MATCH(Strong_Weakness[[#This Row],[INDEX]],Data_Assessment[INDEX],0),MATCH(Strong_Weakness[[#Headers],[NAME]],Data_Assessment[#Headers],0))</f>
        <v>Hesron Tarigan</v>
      </c>
      <c r="C147" s="98"/>
      <c r="D147" s="98"/>
    </row>
    <row r="148" spans="1:4">
      <c r="A148" s="100">
        <f>ROW(Strong_Weakness[[#This Row],[INDEX]])-ROW(Strong_Weakness[[#Headers],[INDEX]])</f>
        <v>147</v>
      </c>
      <c r="B148" s="98" t="str">
        <f>INDEX(Data_Assessment[],MATCH(Strong_Weakness[[#This Row],[INDEX]],Data_Assessment[INDEX],0),MATCH(Strong_Weakness[[#Headers],[NAME]],Data_Assessment[#Headers],0))</f>
        <v>Gunawan Sakti</v>
      </c>
      <c r="C148" s="98"/>
      <c r="D148" s="98"/>
    </row>
    <row r="149" spans="1:4">
      <c r="A149" s="100">
        <f>ROW(Strong_Weakness[[#This Row],[INDEX]])-ROW(Strong_Weakness[[#Headers],[INDEX]])</f>
        <v>148</v>
      </c>
      <c r="B149" s="98" t="str">
        <f>INDEX(Data_Assessment[],MATCH(Strong_Weakness[[#This Row],[INDEX]],Data_Assessment[INDEX],0),MATCH(Strong_Weakness[[#Headers],[NAME]],Data_Assessment[#Headers],0))</f>
        <v>Indra Feriadi</v>
      </c>
      <c r="C149" s="98"/>
      <c r="D149" s="98"/>
    </row>
    <row r="150" spans="1:4">
      <c r="A150" s="100">
        <f>ROW(Strong_Weakness[[#This Row],[INDEX]])-ROW(Strong_Weakness[[#Headers],[INDEX]])</f>
        <v>149</v>
      </c>
      <c r="B150" s="98" t="str">
        <f>INDEX(Data_Assessment[],MATCH(Strong_Weakness[[#This Row],[INDEX]],Data_Assessment[INDEX],0),MATCH(Strong_Weakness[[#Headers],[NAME]],Data_Assessment[#Headers],0))</f>
        <v>Hasan Akmal Alatas</v>
      </c>
      <c r="C150" s="98"/>
      <c r="D150" s="98"/>
    </row>
    <row r="151" spans="1:4">
      <c r="A151" s="100">
        <f>ROW(Strong_Weakness[[#This Row],[INDEX]])-ROW(Strong_Weakness[[#Headers],[INDEX]])</f>
        <v>150</v>
      </c>
      <c r="B151" s="98" t="str">
        <f>INDEX(Data_Assessment[],MATCH(Strong_Weakness[[#This Row],[INDEX]],Data_Assessment[INDEX],0),MATCH(Strong_Weakness[[#Headers],[NAME]],Data_Assessment[#Headers],0))</f>
        <v>Dedi Kristanto</v>
      </c>
      <c r="C151" s="98"/>
      <c r="D151" s="98"/>
    </row>
    <row r="152" spans="1:4">
      <c r="A152" s="100">
        <f>ROW(Strong_Weakness[[#This Row],[INDEX]])-ROW(Strong_Weakness[[#Headers],[INDEX]])</f>
        <v>151</v>
      </c>
      <c r="B152" s="98" t="str">
        <f>INDEX(Data_Assessment[],MATCH(Strong_Weakness[[#This Row],[INDEX]],Data_Assessment[INDEX],0),MATCH(Strong_Weakness[[#Headers],[NAME]],Data_Assessment[#Headers],0))</f>
        <v>Henry Wijaya Purwa</v>
      </c>
      <c r="C152" s="98"/>
      <c r="D152" s="98"/>
    </row>
    <row r="153" spans="1:4">
      <c r="A153" s="100">
        <f>ROW(Strong_Weakness[[#This Row],[INDEX]])-ROW(Strong_Weakness[[#Headers],[INDEX]])</f>
        <v>152</v>
      </c>
      <c r="B153" s="98" t="str">
        <f>INDEX(Data_Assessment[],MATCH(Strong_Weakness[[#This Row],[INDEX]],Data_Assessment[INDEX],0),MATCH(Strong_Weakness[[#Headers],[NAME]],Data_Assessment[#Headers],0))</f>
        <v>Zulkarnaen</v>
      </c>
      <c r="C153" s="98"/>
      <c r="D153" s="98"/>
    </row>
    <row r="154" spans="1:4">
      <c r="A154" s="100">
        <f>ROW(Strong_Weakness[[#This Row],[INDEX]])-ROW(Strong_Weakness[[#Headers],[INDEX]])</f>
        <v>153</v>
      </c>
      <c r="B154" s="98" t="str">
        <f>INDEX(Data_Assessment[],MATCH(Strong_Weakness[[#This Row],[INDEX]],Data_Assessment[INDEX],0),MATCH(Strong_Weakness[[#Headers],[NAME]],Data_Assessment[#Headers],0))</f>
        <v>Devin</v>
      </c>
      <c r="C154" s="98"/>
      <c r="D154" s="98"/>
    </row>
    <row r="155" spans="1:4">
      <c r="A155" s="100">
        <f>ROW(Strong_Weakness[[#This Row],[INDEX]])-ROW(Strong_Weakness[[#Headers],[INDEX]])</f>
        <v>154</v>
      </c>
      <c r="B155" s="98" t="str">
        <f>INDEX(Data_Assessment[],MATCH(Strong_Weakness[[#This Row],[INDEX]],Data_Assessment[INDEX],0),MATCH(Strong_Weakness[[#Headers],[NAME]],Data_Assessment[#Headers],0))</f>
        <v>Widy Astuty, SE</v>
      </c>
      <c r="C155" s="98"/>
      <c r="D155" s="98"/>
    </row>
    <row r="156" spans="1:4">
      <c r="A156" s="100">
        <f>ROW(Strong_Weakness[[#This Row],[INDEX]])-ROW(Strong_Weakness[[#Headers],[INDEX]])</f>
        <v>155</v>
      </c>
      <c r="B156" s="98" t="str">
        <f>INDEX(Data_Assessment[],MATCH(Strong_Weakness[[#This Row],[INDEX]],Data_Assessment[INDEX],0),MATCH(Strong_Weakness[[#Headers],[NAME]],Data_Assessment[#Headers],0))</f>
        <v>Eko Matra Tantowie</v>
      </c>
      <c r="C156" s="98"/>
      <c r="D156" s="98"/>
    </row>
    <row r="157" spans="1:4">
      <c r="A157" s="100">
        <f>ROW(Strong_Weakness[[#This Row],[INDEX]])-ROW(Strong_Weakness[[#Headers],[INDEX]])</f>
        <v>156</v>
      </c>
      <c r="B157" s="98" t="str">
        <f>INDEX(Data_Assessment[],MATCH(Strong_Weakness[[#This Row],[INDEX]],Data_Assessment[INDEX],0),MATCH(Strong_Weakness[[#Headers],[NAME]],Data_Assessment[#Headers],0))</f>
        <v>Supriyani</v>
      </c>
      <c r="C157" s="98"/>
      <c r="D157" s="98"/>
    </row>
    <row r="158" spans="1:4">
      <c r="A158" s="100">
        <f>ROW(Strong_Weakness[[#This Row],[INDEX]])-ROW(Strong_Weakness[[#Headers],[INDEX]])</f>
        <v>157</v>
      </c>
      <c r="B158" s="98" t="str">
        <f>INDEX(Data_Assessment[],MATCH(Strong_Weakness[[#This Row],[INDEX]],Data_Assessment[INDEX],0),MATCH(Strong_Weakness[[#Headers],[NAME]],Data_Assessment[#Headers],0))</f>
        <v>Yudi Setiawan</v>
      </c>
      <c r="C158" s="98"/>
      <c r="D158" s="98"/>
    </row>
    <row r="159" spans="1:4">
      <c r="A159" s="100">
        <f>ROW(Strong_Weakness[[#This Row],[INDEX]])-ROW(Strong_Weakness[[#Headers],[INDEX]])</f>
        <v>158</v>
      </c>
      <c r="B159" s="98" t="str">
        <f>INDEX(Data_Assessment[],MATCH(Strong_Weakness[[#This Row],[INDEX]],Data_Assessment[INDEX],0),MATCH(Strong_Weakness[[#Headers],[NAME]],Data_Assessment[#Headers],0))</f>
        <v>Ikrama Anwar</v>
      </c>
      <c r="C159" s="98"/>
      <c r="D159" s="98"/>
    </row>
    <row r="160" spans="1:4">
      <c r="A160" s="100">
        <f>ROW(Strong_Weakness[[#This Row],[INDEX]])-ROW(Strong_Weakness[[#Headers],[INDEX]])</f>
        <v>159</v>
      </c>
      <c r="B160" s="98" t="str">
        <f>INDEX(Data_Assessment[],MATCH(Strong_Weakness[[#This Row],[INDEX]],Data_Assessment[INDEX],0),MATCH(Strong_Weakness[[#Headers],[NAME]],Data_Assessment[#Headers],0))</f>
        <v>Albert Halomoan Simarmata</v>
      </c>
      <c r="C160" s="98"/>
      <c r="D160" s="98"/>
    </row>
    <row r="161" spans="1:4">
      <c r="A161" s="100">
        <f>ROW(Strong_Weakness[[#This Row],[INDEX]])-ROW(Strong_Weakness[[#Headers],[INDEX]])</f>
        <v>160</v>
      </c>
      <c r="B161" s="98" t="str">
        <f>INDEX(Data_Assessment[],MATCH(Strong_Weakness[[#This Row],[INDEX]],Data_Assessment[INDEX],0),MATCH(Strong_Weakness[[#Headers],[NAME]],Data_Assessment[#Headers],0))</f>
        <v>Kurnia Ramadani Purba</v>
      </c>
      <c r="C161" s="98"/>
      <c r="D161" s="98"/>
    </row>
    <row r="162" spans="1:4">
      <c r="A162" s="100">
        <f>ROW(Strong_Weakness[[#This Row],[INDEX]])-ROW(Strong_Weakness[[#Headers],[INDEX]])</f>
        <v>161</v>
      </c>
      <c r="B162" s="98" t="str">
        <f>INDEX(Data_Assessment[],MATCH(Strong_Weakness[[#This Row],[INDEX]],Data_Assessment[INDEX],0),MATCH(Strong_Weakness[[#Headers],[NAME]],Data_Assessment[#Headers],0))</f>
        <v>Ririn Fitriana Lubis</v>
      </c>
      <c r="C162" s="98"/>
      <c r="D162" s="98"/>
    </row>
    <row r="163" spans="1:4">
      <c r="A163" s="100">
        <f>ROW(Strong_Weakness[[#This Row],[INDEX]])-ROW(Strong_Weakness[[#Headers],[INDEX]])</f>
        <v>162</v>
      </c>
      <c r="B163" s="98" t="str">
        <f>INDEX(Data_Assessment[],MATCH(Strong_Weakness[[#This Row],[INDEX]],Data_Assessment[INDEX],0),MATCH(Strong_Weakness[[#Headers],[NAME]],Data_Assessment[#Headers],0))</f>
        <v>Hardeep Kaur, SE</v>
      </c>
      <c r="C163" s="98"/>
      <c r="D163" s="98"/>
    </row>
    <row r="164" spans="1:4">
      <c r="A164" s="100">
        <f>ROW(Strong_Weakness[[#This Row],[INDEX]])-ROW(Strong_Weakness[[#Headers],[INDEX]])</f>
        <v>163</v>
      </c>
      <c r="B164" s="98" t="str">
        <f>INDEX(Data_Assessment[],MATCH(Strong_Weakness[[#This Row],[INDEX]],Data_Assessment[INDEX],0),MATCH(Strong_Weakness[[#Headers],[NAME]],Data_Assessment[#Headers],0))</f>
        <v>Raabiah</v>
      </c>
      <c r="C164" s="98"/>
      <c r="D164" s="98"/>
    </row>
    <row r="165" spans="1:4">
      <c r="A165" s="100">
        <f>ROW(Strong_Weakness[[#This Row],[INDEX]])-ROW(Strong_Weakness[[#Headers],[INDEX]])</f>
        <v>164</v>
      </c>
      <c r="B165" s="98" t="str">
        <f>INDEX(Data_Assessment[],MATCH(Strong_Weakness[[#This Row],[INDEX]],Data_Assessment[INDEX],0),MATCH(Strong_Weakness[[#Headers],[NAME]],Data_Assessment[#Headers],0))</f>
        <v>Wihawaty Wiharta</v>
      </c>
      <c r="C165" s="98"/>
      <c r="D165" s="98"/>
    </row>
    <row r="166" spans="1:4">
      <c r="A166" s="100">
        <f>ROW(Strong_Weakness[[#This Row],[INDEX]])-ROW(Strong_Weakness[[#Headers],[INDEX]])</f>
        <v>165</v>
      </c>
      <c r="B166" s="98" t="str">
        <f>INDEX(Data_Assessment[],MATCH(Strong_Weakness[[#This Row],[INDEX]],Data_Assessment[INDEX],0),MATCH(Strong_Weakness[[#Headers],[NAME]],Data_Assessment[#Headers],0))</f>
        <v>Himas Puspito Putra</v>
      </c>
      <c r="C166" s="98"/>
      <c r="D166" s="98"/>
    </row>
    <row r="167" spans="1:4">
      <c r="A167" s="100">
        <f>ROW(Strong_Weakness[[#This Row],[INDEX]])-ROW(Strong_Weakness[[#Headers],[INDEX]])</f>
        <v>166</v>
      </c>
      <c r="B167" s="98" t="str">
        <f>INDEX(Data_Assessment[],MATCH(Strong_Weakness[[#This Row],[INDEX]],Data_Assessment[INDEX],0),MATCH(Strong_Weakness[[#Headers],[NAME]],Data_Assessment[#Headers],0))</f>
        <v>Anjena Dewi</v>
      </c>
      <c r="C167" s="98"/>
      <c r="D167" s="98"/>
    </row>
    <row r="168" spans="1:4">
      <c r="A168" s="100">
        <f>ROW(Strong_Weakness[[#This Row],[INDEX]])-ROW(Strong_Weakness[[#Headers],[INDEX]])</f>
        <v>167</v>
      </c>
      <c r="B168" s="98" t="str">
        <f>INDEX(Data_Assessment[],MATCH(Strong_Weakness[[#This Row],[INDEX]],Data_Assessment[INDEX],0),MATCH(Strong_Weakness[[#Headers],[NAME]],Data_Assessment[#Headers],0))</f>
        <v>Mayenni Saudur Simamora</v>
      </c>
      <c r="C168" s="98"/>
      <c r="D168" s="98"/>
    </row>
    <row r="169" spans="1:4">
      <c r="A169" s="100">
        <f>ROW(Strong_Weakness[[#This Row],[INDEX]])-ROW(Strong_Weakness[[#Headers],[INDEX]])</f>
        <v>168</v>
      </c>
      <c r="B169" s="98" t="str">
        <f>INDEX(Data_Assessment[],MATCH(Strong_Weakness[[#This Row],[INDEX]],Data_Assessment[INDEX],0),MATCH(Strong_Weakness[[#Headers],[NAME]],Data_Assessment[#Headers],0))</f>
        <v>Dewi Sumarliah</v>
      </c>
      <c r="C169" s="98"/>
      <c r="D169" s="98"/>
    </row>
    <row r="170" spans="1:4">
      <c r="A170" s="100">
        <f>ROW(Strong_Weakness[[#This Row],[INDEX]])-ROW(Strong_Weakness[[#Headers],[INDEX]])</f>
        <v>169</v>
      </c>
      <c r="B170" s="98" t="str">
        <f>INDEX(Data_Assessment[],MATCH(Strong_Weakness[[#This Row],[INDEX]],Data_Assessment[INDEX],0),MATCH(Strong_Weakness[[#Headers],[NAME]],Data_Assessment[#Headers],0))</f>
        <v>Dwi Zunianti</v>
      </c>
      <c r="C170" s="98"/>
      <c r="D170" s="98"/>
    </row>
    <row r="171" spans="1:4">
      <c r="A171" s="100">
        <f>ROW(Strong_Weakness[[#This Row],[INDEX]])-ROW(Strong_Weakness[[#Headers],[INDEX]])</f>
        <v>170</v>
      </c>
      <c r="B171" s="98" t="str">
        <f>INDEX(Data_Assessment[],MATCH(Strong_Weakness[[#This Row],[INDEX]],Data_Assessment[INDEX],0),MATCH(Strong_Weakness[[#Headers],[NAME]],Data_Assessment[#Headers],0))</f>
        <v>Heriyanto, ST</v>
      </c>
      <c r="C171" s="98"/>
      <c r="D171" s="98"/>
    </row>
    <row r="172" spans="1:4">
      <c r="A172" s="100">
        <f>ROW(Strong_Weakness[[#This Row],[INDEX]])-ROW(Strong_Weakness[[#Headers],[INDEX]])</f>
        <v>171</v>
      </c>
      <c r="B172" s="98" t="str">
        <f>INDEX(Data_Assessment[],MATCH(Strong_Weakness[[#This Row],[INDEX]],Data_Assessment[INDEX],0),MATCH(Strong_Weakness[[#Headers],[NAME]],Data_Assessment[#Headers],0))</f>
        <v>Mhd Idrus Nasution</v>
      </c>
      <c r="C172" s="98"/>
      <c r="D172" s="98"/>
    </row>
    <row r="173" spans="1:4">
      <c r="A173" s="100">
        <f>ROW(Strong_Weakness[[#This Row],[INDEX]])-ROW(Strong_Weakness[[#Headers],[INDEX]])</f>
        <v>172</v>
      </c>
      <c r="B173" s="98" t="str">
        <f>INDEX(Data_Assessment[],MATCH(Strong_Weakness[[#This Row],[INDEX]],Data_Assessment[INDEX],0),MATCH(Strong_Weakness[[#Headers],[NAME]],Data_Assessment[#Headers],0))</f>
        <v>Muhammad Irsyad Jasin Gunawan</v>
      </c>
      <c r="C173" s="98"/>
      <c r="D173" s="98"/>
    </row>
    <row r="174" spans="1:4">
      <c r="A174" s="100">
        <f>ROW(Strong_Weakness[[#This Row],[INDEX]])-ROW(Strong_Weakness[[#Headers],[INDEX]])</f>
        <v>173</v>
      </c>
      <c r="B174" s="98" t="str">
        <f>INDEX(Data_Assessment[],MATCH(Strong_Weakness[[#This Row],[INDEX]],Data_Assessment[INDEX],0),MATCH(Strong_Weakness[[#Headers],[NAME]],Data_Assessment[#Headers],0))</f>
        <v>Mansur</v>
      </c>
      <c r="C174" s="98"/>
      <c r="D174" s="98"/>
    </row>
    <row r="175" spans="1:4">
      <c r="A175" s="100">
        <f>ROW(Strong_Weakness[[#This Row],[INDEX]])-ROW(Strong_Weakness[[#Headers],[INDEX]])</f>
        <v>174</v>
      </c>
      <c r="B175" s="98" t="str">
        <f>INDEX(Data_Assessment[],MATCH(Strong_Weakness[[#This Row],[INDEX]],Data_Assessment[INDEX],0),MATCH(Strong_Weakness[[#Headers],[NAME]],Data_Assessment[#Headers],0))</f>
        <v>Ahmad Jahri</v>
      </c>
      <c r="C175" s="98"/>
      <c r="D175" s="98"/>
    </row>
    <row r="176" spans="1:4">
      <c r="A176" s="100">
        <f>ROW(Strong_Weakness[[#This Row],[INDEX]])-ROW(Strong_Weakness[[#Headers],[INDEX]])</f>
        <v>175</v>
      </c>
      <c r="B176" s="98" t="str">
        <f>INDEX(Data_Assessment[],MATCH(Strong_Weakness[[#This Row],[INDEX]],Data_Assessment[INDEX],0),MATCH(Strong_Weakness[[#Headers],[NAME]],Data_Assessment[#Headers],0))</f>
        <v>Jimmy Bunawan</v>
      </c>
      <c r="C176" s="98"/>
      <c r="D176" s="98"/>
    </row>
    <row r="177" spans="1:4">
      <c r="A177" s="100">
        <f>ROW(Strong_Weakness[[#This Row],[INDEX]])-ROW(Strong_Weakness[[#Headers],[INDEX]])</f>
        <v>176</v>
      </c>
      <c r="B177" s="98" t="str">
        <f>INDEX(Data_Assessment[],MATCH(Strong_Weakness[[#This Row],[INDEX]],Data_Assessment[INDEX],0),MATCH(Strong_Weakness[[#Headers],[NAME]],Data_Assessment[#Headers],0))</f>
        <v>Diana Sari</v>
      </c>
      <c r="C177" s="98"/>
      <c r="D177" s="98"/>
    </row>
    <row r="178" spans="1:4">
      <c r="A178" s="100">
        <f>ROW(Strong_Weakness[[#This Row],[INDEX]])-ROW(Strong_Weakness[[#Headers],[INDEX]])</f>
        <v>177</v>
      </c>
      <c r="B178" s="98" t="str">
        <f>INDEX(Data_Assessment[],MATCH(Strong_Weakness[[#This Row],[INDEX]],Data_Assessment[INDEX],0),MATCH(Strong_Weakness[[#Headers],[NAME]],Data_Assessment[#Headers],0))</f>
        <v>F. Haryo Subyarto</v>
      </c>
      <c r="C178" s="98"/>
      <c r="D178" s="98"/>
    </row>
    <row r="179" spans="1:4">
      <c r="A179" s="100">
        <f>ROW(Strong_Weakness[[#This Row],[INDEX]])-ROW(Strong_Weakness[[#Headers],[INDEX]])</f>
        <v>178</v>
      </c>
      <c r="B179" s="98" t="str">
        <f>INDEX(Data_Assessment[],MATCH(Strong_Weakness[[#This Row],[INDEX]],Data_Assessment[INDEX],0),MATCH(Strong_Weakness[[#Headers],[NAME]],Data_Assessment[#Headers],0))</f>
        <v>Layla Bayoe Koesoema Sari</v>
      </c>
      <c r="C179" s="98"/>
      <c r="D179" s="98"/>
    </row>
    <row r="180" spans="1:4">
      <c r="A180" s="100">
        <f>ROW(Strong_Weakness[[#This Row],[INDEX]])-ROW(Strong_Weakness[[#Headers],[INDEX]])</f>
        <v>179</v>
      </c>
      <c r="B180" s="98" t="str">
        <f>INDEX(Data_Assessment[],MATCH(Strong_Weakness[[#This Row],[INDEX]],Data_Assessment[INDEX],0),MATCH(Strong_Weakness[[#Headers],[NAME]],Data_Assessment[#Headers],0))</f>
        <v>Ahmad Fauzi</v>
      </c>
      <c r="C180" s="98"/>
      <c r="D180" s="98"/>
    </row>
    <row r="181" spans="1:4">
      <c r="A181" s="100">
        <f>ROW(Strong_Weakness[[#This Row],[INDEX]])-ROW(Strong_Weakness[[#Headers],[INDEX]])</f>
        <v>180</v>
      </c>
      <c r="B181" s="98" t="str">
        <f>INDEX(Data_Assessment[],MATCH(Strong_Weakness[[#This Row],[INDEX]],Data_Assessment[INDEX],0),MATCH(Strong_Weakness[[#Headers],[NAME]],Data_Assessment[#Headers],0))</f>
        <v>Edi Akmal</v>
      </c>
      <c r="C181" s="98"/>
      <c r="D181" s="98"/>
    </row>
    <row r="182" spans="1:4">
      <c r="A182" s="100">
        <f>ROW(Strong_Weakness[[#This Row],[INDEX]])-ROW(Strong_Weakness[[#Headers],[INDEX]])</f>
        <v>181</v>
      </c>
      <c r="B182" s="98" t="str">
        <f>INDEX(Data_Assessment[],MATCH(Strong_Weakness[[#This Row],[INDEX]],Data_Assessment[INDEX],0),MATCH(Strong_Weakness[[#Headers],[NAME]],Data_Assessment[#Headers],0))</f>
        <v>Herry Hantono</v>
      </c>
      <c r="C182" s="98"/>
      <c r="D182" s="98"/>
    </row>
    <row r="183" spans="1:4">
      <c r="A183" s="100">
        <f>ROW(Strong_Weakness[[#This Row],[INDEX]])-ROW(Strong_Weakness[[#Headers],[INDEX]])</f>
        <v>182</v>
      </c>
      <c r="B183" s="98" t="str">
        <f>INDEX(Data_Assessment[],MATCH(Strong_Weakness[[#This Row],[INDEX]],Data_Assessment[INDEX],0),MATCH(Strong_Weakness[[#Headers],[NAME]],Data_Assessment[#Headers],0))</f>
        <v>Rawan</v>
      </c>
      <c r="C183" s="98"/>
      <c r="D183" s="98"/>
    </row>
    <row r="184" spans="1:4">
      <c r="A184" s="100">
        <f>ROW(Strong_Weakness[[#This Row],[INDEX]])-ROW(Strong_Weakness[[#Headers],[INDEX]])</f>
        <v>183</v>
      </c>
      <c r="B184" s="98" t="str">
        <f>INDEX(Data_Assessment[],MATCH(Strong_Weakness[[#This Row],[INDEX]],Data_Assessment[INDEX],0),MATCH(Strong_Weakness[[#Headers],[NAME]],Data_Assessment[#Headers],0))</f>
        <v>Roger H. Wiryawan</v>
      </c>
      <c r="C184" s="98"/>
      <c r="D184" s="98"/>
    </row>
    <row r="185" spans="1:4">
      <c r="A185" s="100">
        <f>ROW(Strong_Weakness[[#This Row],[INDEX]])-ROW(Strong_Weakness[[#Headers],[INDEX]])</f>
        <v>184</v>
      </c>
      <c r="B185" s="98" t="str">
        <f>INDEX(Data_Assessment[],MATCH(Strong_Weakness[[#This Row],[INDEX]],Data_Assessment[INDEX],0),MATCH(Strong_Weakness[[#Headers],[NAME]],Data_Assessment[#Headers],0))</f>
        <v>Andri Rustaman</v>
      </c>
      <c r="C185" s="98"/>
      <c r="D185" s="98"/>
    </row>
    <row r="186" spans="1:4">
      <c r="A186" s="100">
        <f>ROW(Strong_Weakness[[#This Row],[INDEX]])-ROW(Strong_Weakness[[#Headers],[INDEX]])</f>
        <v>185</v>
      </c>
      <c r="B186" s="98" t="str">
        <f>INDEX(Data_Assessment[],MATCH(Strong_Weakness[[#This Row],[INDEX]],Data_Assessment[INDEX],0),MATCH(Strong_Weakness[[#Headers],[NAME]],Data_Assessment[#Headers],0))</f>
        <v>Yenni Marlina                                </v>
      </c>
      <c r="C186" s="98"/>
      <c r="D186" s="98"/>
    </row>
    <row r="187" spans="1:4">
      <c r="A187" s="100">
        <f>ROW(Strong_Weakness[[#This Row],[INDEX]])-ROW(Strong_Weakness[[#Headers],[INDEX]])</f>
        <v>186</v>
      </c>
      <c r="B187" s="98" t="str">
        <f>INDEX(Data_Assessment[],MATCH(Strong_Weakness[[#This Row],[INDEX]],Data_Assessment[INDEX],0),MATCH(Strong_Weakness[[#Headers],[NAME]],Data_Assessment[#Headers],0))</f>
        <v>M. Syahid, Amd</v>
      </c>
      <c r="C187" s="98"/>
      <c r="D187" s="98"/>
    </row>
    <row r="188" spans="1:4">
      <c r="A188" s="100">
        <f>ROW(Strong_Weakness[[#This Row],[INDEX]])-ROW(Strong_Weakness[[#Headers],[INDEX]])</f>
        <v>187</v>
      </c>
      <c r="B188" s="98" t="str">
        <f>INDEX(Data_Assessment[],MATCH(Strong_Weakness[[#This Row],[INDEX]],Data_Assessment[INDEX],0),MATCH(Strong_Weakness[[#Headers],[NAME]],Data_Assessment[#Headers],0))</f>
        <v>Irma Ul Hidayah, SE</v>
      </c>
      <c r="C188" s="98"/>
      <c r="D188" s="98"/>
    </row>
    <row r="189" spans="1:4">
      <c r="A189" s="100">
        <f>ROW(Strong_Weakness[[#This Row],[INDEX]])-ROW(Strong_Weakness[[#Headers],[INDEX]])</f>
        <v>188</v>
      </c>
      <c r="B189" s="98" t="str">
        <f>INDEX(Data_Assessment[],MATCH(Strong_Weakness[[#This Row],[INDEX]],Data_Assessment[INDEX],0),MATCH(Strong_Weakness[[#Headers],[NAME]],Data_Assessment[#Headers],0))</f>
        <v>Febru Hartati, SH</v>
      </c>
      <c r="C189" s="98"/>
      <c r="D189" s="98"/>
    </row>
    <row r="190" spans="1:4">
      <c r="A190" s="100">
        <f>ROW(Strong_Weakness[[#This Row],[INDEX]])-ROW(Strong_Weakness[[#Headers],[INDEX]])</f>
        <v>189</v>
      </c>
      <c r="B190" s="98" t="str">
        <f>INDEX(Data_Assessment[],MATCH(Strong_Weakness[[#This Row],[INDEX]],Data_Assessment[INDEX],0),MATCH(Strong_Weakness[[#Headers],[NAME]],Data_Assessment[#Headers],0))</f>
        <v>Jupiter Manurung</v>
      </c>
      <c r="C190" s="98"/>
      <c r="D190" s="98"/>
    </row>
    <row r="191" spans="1:4">
      <c r="A191" s="100">
        <f>ROW(Strong_Weakness[[#This Row],[INDEX]])-ROW(Strong_Weakness[[#Headers],[INDEX]])</f>
        <v>190</v>
      </c>
      <c r="B191" s="98" t="str">
        <f>INDEX(Data_Assessment[],MATCH(Strong_Weakness[[#This Row],[INDEX]],Data_Assessment[INDEX],0),MATCH(Strong_Weakness[[#Headers],[NAME]],Data_Assessment[#Headers],0))</f>
        <v>Dedy Darwinsyah</v>
      </c>
      <c r="C191" s="98"/>
      <c r="D191" s="98"/>
    </row>
    <row r="192" spans="1:4">
      <c r="A192" s="100">
        <f>ROW(Strong_Weakness[[#This Row],[INDEX]])-ROW(Strong_Weakness[[#Headers],[INDEX]])</f>
        <v>191</v>
      </c>
      <c r="B192" s="98" t="str">
        <f>INDEX(Data_Assessment[],MATCH(Strong_Weakness[[#This Row],[INDEX]],Data_Assessment[INDEX],0),MATCH(Strong_Weakness[[#Headers],[NAME]],Data_Assessment[#Headers],0))</f>
        <v>Yoki Hermanto</v>
      </c>
      <c r="C192" s="98"/>
      <c r="D192" s="98"/>
    </row>
    <row r="193" spans="1:4">
      <c r="A193" s="100">
        <f>ROW(Strong_Weakness[[#This Row],[INDEX]])-ROW(Strong_Weakness[[#Headers],[INDEX]])</f>
        <v>192</v>
      </c>
      <c r="B193" s="98" t="str">
        <f>INDEX(Data_Assessment[],MATCH(Strong_Weakness[[#This Row],[INDEX]],Data_Assessment[INDEX],0),MATCH(Strong_Weakness[[#Headers],[NAME]],Data_Assessment[#Headers],0))</f>
        <v>Jeskia Eduard Tuwoliu</v>
      </c>
      <c r="C193" s="98"/>
      <c r="D193" s="98"/>
    </row>
    <row r="194" spans="1:4">
      <c r="A194" s="100">
        <f>ROW(Strong_Weakness[[#This Row],[INDEX]])-ROW(Strong_Weakness[[#Headers],[INDEX]])</f>
        <v>193</v>
      </c>
      <c r="B194" s="98" t="str">
        <f>INDEX(Data_Assessment[],MATCH(Strong_Weakness[[#This Row],[INDEX]],Data_Assessment[INDEX],0),MATCH(Strong_Weakness[[#Headers],[NAME]],Data_Assessment[#Headers],0))</f>
        <v>Sri Prihatini</v>
      </c>
      <c r="C194" s="98"/>
      <c r="D194" s="98"/>
    </row>
    <row r="195" spans="1:4">
      <c r="A195" s="100">
        <f>ROW(Strong_Weakness[[#This Row],[INDEX]])-ROW(Strong_Weakness[[#Headers],[INDEX]])</f>
        <v>194</v>
      </c>
      <c r="B195" s="98" t="str">
        <f>INDEX(Data_Assessment[],MATCH(Strong_Weakness[[#This Row],[INDEX]],Data_Assessment[INDEX],0),MATCH(Strong_Weakness[[#Headers],[NAME]],Data_Assessment[#Headers],0))</f>
        <v>Nurdiana</v>
      </c>
      <c r="C195" s="98"/>
      <c r="D195" s="98"/>
    </row>
    <row r="196" spans="1:4">
      <c r="A196" s="100">
        <f>ROW(Strong_Weakness[[#This Row],[INDEX]])-ROW(Strong_Weakness[[#Headers],[INDEX]])</f>
        <v>195</v>
      </c>
      <c r="B196" s="98" t="str">
        <f>INDEX(Data_Assessment[],MATCH(Strong_Weakness[[#This Row],[INDEX]],Data_Assessment[INDEX],0),MATCH(Strong_Weakness[[#Headers],[NAME]],Data_Assessment[#Headers],0))</f>
        <v>Ajiswarman</v>
      </c>
      <c r="C196" s="98"/>
      <c r="D196" s="98"/>
    </row>
    <row r="197" spans="1:4">
      <c r="A197" s="100">
        <f>ROW(Strong_Weakness[[#This Row],[INDEX]])-ROW(Strong_Weakness[[#Headers],[INDEX]])</f>
        <v>196</v>
      </c>
      <c r="B197" s="98" t="str">
        <f>INDEX(Data_Assessment[],MATCH(Strong_Weakness[[#This Row],[INDEX]],Data_Assessment[INDEX],0),MATCH(Strong_Weakness[[#Headers],[NAME]],Data_Assessment[#Headers],0))</f>
        <v>Redo Laksana</v>
      </c>
      <c r="C197" s="98"/>
      <c r="D197" s="98"/>
    </row>
    <row r="198" spans="1:4">
      <c r="A198" s="100">
        <f>ROW(Strong_Weakness[[#This Row],[INDEX]])-ROW(Strong_Weakness[[#Headers],[INDEX]])</f>
        <v>197</v>
      </c>
      <c r="B198" s="98" t="str">
        <f>INDEX(Data_Assessment[],MATCH(Strong_Weakness[[#This Row],[INDEX]],Data_Assessment[INDEX],0),MATCH(Strong_Weakness[[#Headers],[NAME]],Data_Assessment[#Headers],0))</f>
        <v>Yul Khairil</v>
      </c>
      <c r="C198" s="98"/>
      <c r="D198" s="98"/>
    </row>
    <row r="199" spans="1:4">
      <c r="A199" s="100">
        <f>ROW(Strong_Weakness[[#This Row],[INDEX]])-ROW(Strong_Weakness[[#Headers],[INDEX]])</f>
        <v>198</v>
      </c>
      <c r="B199" s="98" t="str">
        <f>INDEX(Data_Assessment[],MATCH(Strong_Weakness[[#This Row],[INDEX]],Data_Assessment[INDEX],0),MATCH(Strong_Weakness[[#Headers],[NAME]],Data_Assessment[#Headers],0))</f>
        <v>Muhammad Reza Aprizar S. Sos</v>
      </c>
      <c r="C199" s="98"/>
      <c r="D199" s="98"/>
    </row>
    <row r="200" spans="1:4">
      <c r="A200" s="100">
        <f>ROW(Strong_Weakness[[#This Row],[INDEX]])-ROW(Strong_Weakness[[#Headers],[INDEX]])</f>
        <v>199</v>
      </c>
      <c r="B200" s="98" t="str">
        <f>INDEX(Data_Assessment[],MATCH(Strong_Weakness[[#This Row],[INDEX]],Data_Assessment[INDEX],0),MATCH(Strong_Weakness[[#Headers],[NAME]],Data_Assessment[#Headers],0))</f>
        <v>Yahya Suhendra</v>
      </c>
      <c r="C200" s="98"/>
      <c r="D200" s="98"/>
    </row>
    <row r="201" spans="1:4">
      <c r="A201" s="100">
        <f>ROW(Strong_Weakness[[#This Row],[INDEX]])-ROW(Strong_Weakness[[#Headers],[INDEX]])</f>
        <v>200</v>
      </c>
      <c r="B201" s="98" t="str">
        <f>INDEX(Data_Assessment[],MATCH(Strong_Weakness[[#This Row],[INDEX]],Data_Assessment[INDEX],0),MATCH(Strong_Weakness[[#Headers],[NAME]],Data_Assessment[#Headers],0))</f>
        <v>Lusi Rantegau</v>
      </c>
      <c r="C201" s="98"/>
      <c r="D201" s="98"/>
    </row>
    <row r="202" spans="1:4">
      <c r="A202" s="100">
        <f>ROW(Strong_Weakness[[#This Row],[INDEX]])-ROW(Strong_Weakness[[#Headers],[INDEX]])</f>
        <v>201</v>
      </c>
      <c r="B202" s="98" t="str">
        <f>INDEX(Data_Assessment[],MATCH(Strong_Weakness[[#This Row],[INDEX]],Data_Assessment[INDEX],0),MATCH(Strong_Weakness[[#Headers],[NAME]],Data_Assessment[#Headers],0))</f>
        <v>Endang Karni S</v>
      </c>
      <c r="C202" s="98"/>
      <c r="D202" s="98"/>
    </row>
    <row r="203" spans="1:4">
      <c r="A203" s="100">
        <f>ROW(Strong_Weakness[[#This Row],[INDEX]])-ROW(Strong_Weakness[[#Headers],[INDEX]])</f>
        <v>202</v>
      </c>
      <c r="B203" s="98" t="str">
        <f>INDEX(Data_Assessment[],MATCH(Strong_Weakness[[#This Row],[INDEX]],Data_Assessment[INDEX],0),MATCH(Strong_Weakness[[#Headers],[NAME]],Data_Assessment[#Headers],0))</f>
        <v>Irwan Disanto</v>
      </c>
      <c r="C203" s="98"/>
      <c r="D203" s="98"/>
    </row>
    <row r="204" spans="1:4">
      <c r="A204" s="100">
        <f>ROW(Strong_Weakness[[#This Row],[INDEX]])-ROW(Strong_Weakness[[#Headers],[INDEX]])</f>
        <v>203</v>
      </c>
      <c r="B204" s="98" t="str">
        <f>INDEX(Data_Assessment[],MATCH(Strong_Weakness[[#This Row],[INDEX]],Data_Assessment[INDEX],0),MATCH(Strong_Weakness[[#Headers],[NAME]],Data_Assessment[#Headers],0))</f>
        <v>Ivan Ibrahim Lubis, Ir.</v>
      </c>
      <c r="C204" s="98"/>
      <c r="D204" s="98"/>
    </row>
    <row r="205" spans="1:4">
      <c r="A205" s="100">
        <f>ROW(Strong_Weakness[[#This Row],[INDEX]])-ROW(Strong_Weakness[[#Headers],[INDEX]])</f>
        <v>204</v>
      </c>
      <c r="B205" s="98" t="str">
        <f>INDEX(Data_Assessment[],MATCH(Strong_Weakness[[#This Row],[INDEX]],Data_Assessment[INDEX],0),MATCH(Strong_Weakness[[#Headers],[NAME]],Data_Assessment[#Headers],0))</f>
        <v>Abdul Haris, SH</v>
      </c>
      <c r="C205" s="98"/>
      <c r="D205" s="98"/>
    </row>
    <row r="206" spans="1:4">
      <c r="A206" s="100">
        <f>ROW(Strong_Weakness[[#This Row],[INDEX]])-ROW(Strong_Weakness[[#Headers],[INDEX]])</f>
        <v>205</v>
      </c>
      <c r="B206" s="98" t="str">
        <f>INDEX(Data_Assessment[],MATCH(Strong_Weakness[[#This Row],[INDEX]],Data_Assessment[INDEX],0),MATCH(Strong_Weakness[[#Headers],[NAME]],Data_Assessment[#Headers],0))</f>
        <v>Sissy Apriany</v>
      </c>
      <c r="C206" s="98"/>
      <c r="D206" s="98"/>
    </row>
    <row r="207" spans="1:4">
      <c r="A207" s="100">
        <f>ROW(Strong_Weakness[[#This Row],[INDEX]])-ROW(Strong_Weakness[[#Headers],[INDEX]])</f>
        <v>206</v>
      </c>
      <c r="B207" s="98" t="str">
        <f>INDEX(Data_Assessment[],MATCH(Strong_Weakness[[#This Row],[INDEX]],Data_Assessment[INDEX],0),MATCH(Strong_Weakness[[#Headers],[NAME]],Data_Assessment[#Headers],0))</f>
        <v>Suhari Muryono</v>
      </c>
      <c r="C207" s="98"/>
      <c r="D207" s="98"/>
    </row>
    <row r="208" spans="1:4">
      <c r="A208" s="100">
        <f>ROW(Strong_Weakness[[#This Row],[INDEX]])-ROW(Strong_Weakness[[#Headers],[INDEX]])</f>
        <v>207</v>
      </c>
      <c r="B208" s="98" t="str">
        <f>INDEX(Data_Assessment[],MATCH(Strong_Weakness[[#This Row],[INDEX]],Data_Assessment[INDEX],0),MATCH(Strong_Weakness[[#Headers],[NAME]],Data_Assessment[#Headers],0))</f>
        <v>Ayu Herlyanti</v>
      </c>
      <c r="C208" s="98"/>
      <c r="D208" s="98"/>
    </row>
    <row r="209" spans="1:4">
      <c r="A209" s="100">
        <f>ROW(Strong_Weakness[[#This Row],[INDEX]])-ROW(Strong_Weakness[[#Headers],[INDEX]])</f>
        <v>208</v>
      </c>
      <c r="B209" s="98" t="str">
        <f>INDEX(Data_Assessment[],MATCH(Strong_Weakness[[#This Row],[INDEX]],Data_Assessment[INDEX],0),MATCH(Strong_Weakness[[#Headers],[NAME]],Data_Assessment[#Headers],0))</f>
        <v>Bermart Aron Parapat</v>
      </c>
      <c r="C209" s="98"/>
      <c r="D209" s="98"/>
    </row>
    <row r="210" spans="1:4">
      <c r="A210" s="100">
        <f>ROW(Strong_Weakness[[#This Row],[INDEX]])-ROW(Strong_Weakness[[#Headers],[INDEX]])</f>
        <v>209</v>
      </c>
      <c r="B210" s="98" t="str">
        <f>INDEX(Data_Assessment[],MATCH(Strong_Weakness[[#This Row],[INDEX]],Data_Assessment[INDEX],0),MATCH(Strong_Weakness[[#Headers],[NAME]],Data_Assessment[#Headers],0))</f>
        <v>Chanra Hendrianto</v>
      </c>
      <c r="C210" s="98"/>
      <c r="D210" s="98"/>
    </row>
    <row r="211" spans="1:4">
      <c r="A211" s="100">
        <f>ROW(Strong_Weakness[[#This Row],[INDEX]])-ROW(Strong_Weakness[[#Headers],[INDEX]])</f>
        <v>210</v>
      </c>
      <c r="B211" s="98" t="str">
        <f>INDEX(Data_Assessment[],MATCH(Strong_Weakness[[#This Row],[INDEX]],Data_Assessment[INDEX],0),MATCH(Strong_Weakness[[#Headers],[NAME]],Data_Assessment[#Headers],0))</f>
        <v>Herianto</v>
      </c>
      <c r="C211" s="98"/>
      <c r="D211" s="98"/>
    </row>
    <row r="212" spans="1:4">
      <c r="A212" s="100">
        <f>ROW(Strong_Weakness[[#This Row],[INDEX]])-ROW(Strong_Weakness[[#Headers],[INDEX]])</f>
        <v>211</v>
      </c>
      <c r="B212" s="98" t="str">
        <f>INDEX(Data_Assessment[],MATCH(Strong_Weakness[[#This Row],[INDEX]],Data_Assessment[INDEX],0),MATCH(Strong_Weakness[[#Headers],[NAME]],Data_Assessment[#Headers],0))</f>
        <v>Apriono</v>
      </c>
      <c r="C212" s="98"/>
      <c r="D212" s="98"/>
    </row>
    <row r="213" spans="1:4">
      <c r="A213" s="100">
        <f>ROW(Strong_Weakness[[#This Row],[INDEX]])-ROW(Strong_Weakness[[#Headers],[INDEX]])</f>
        <v>212</v>
      </c>
      <c r="B213" s="98" t="str">
        <f>INDEX(Data_Assessment[],MATCH(Strong_Weakness[[#This Row],[INDEX]],Data_Assessment[INDEX],0),MATCH(Strong_Weakness[[#Headers],[NAME]],Data_Assessment[#Headers],0))</f>
        <v>Andy Wijaya</v>
      </c>
      <c r="C213" s="98"/>
      <c r="D213" s="98"/>
    </row>
    <row r="214" spans="1:4">
      <c r="A214" s="100">
        <f>ROW(Strong_Weakness[[#This Row],[INDEX]])-ROW(Strong_Weakness[[#Headers],[INDEX]])</f>
        <v>213</v>
      </c>
      <c r="B214" s="98" t="str">
        <f>INDEX(Data_Assessment[],MATCH(Strong_Weakness[[#This Row],[INDEX]],Data_Assessment[INDEX],0),MATCH(Strong_Weakness[[#Headers],[NAME]],Data_Assessment[#Headers],0))</f>
        <v>Andri Guntur</v>
      </c>
      <c r="C214" s="98"/>
      <c r="D214" s="98"/>
    </row>
    <row r="215" spans="1:4">
      <c r="A215" s="100">
        <f>ROW(Strong_Weakness[[#This Row],[INDEX]])-ROW(Strong_Weakness[[#Headers],[INDEX]])</f>
        <v>214</v>
      </c>
      <c r="B215" s="98" t="str">
        <f>INDEX(Data_Assessment[],MATCH(Strong_Weakness[[#This Row],[INDEX]],Data_Assessment[INDEX],0),MATCH(Strong_Weakness[[#Headers],[NAME]],Data_Assessment[#Headers],0))</f>
        <v>Handrofo</v>
      </c>
      <c r="C215" s="98"/>
      <c r="D215" s="98"/>
    </row>
    <row r="216" spans="1:4">
      <c r="A216" s="100">
        <f>ROW(Strong_Weakness[[#This Row],[INDEX]])-ROW(Strong_Weakness[[#Headers],[INDEX]])</f>
        <v>215</v>
      </c>
      <c r="B216" s="98" t="str">
        <f>INDEX(Data_Assessment[],MATCH(Strong_Weakness[[#This Row],[INDEX]],Data_Assessment[INDEX],0),MATCH(Strong_Weakness[[#Headers],[NAME]],Data_Assessment[#Headers],0))</f>
        <v>Pujianto</v>
      </c>
      <c r="C216" s="98"/>
      <c r="D216" s="98"/>
    </row>
    <row r="217" spans="1:4">
      <c r="A217" s="100">
        <f>ROW(Strong_Weakness[[#This Row],[INDEX]])-ROW(Strong_Weakness[[#Headers],[INDEX]])</f>
        <v>216</v>
      </c>
      <c r="B217" s="98" t="str">
        <f>INDEX(Data_Assessment[],MATCH(Strong_Weakness[[#This Row],[INDEX]],Data_Assessment[INDEX],0),MATCH(Strong_Weakness[[#Headers],[NAME]],Data_Assessment[#Headers],0))</f>
        <v>Pujianto</v>
      </c>
      <c r="C217" s="98"/>
      <c r="D217" s="98"/>
    </row>
    <row r="218" spans="1:4">
      <c r="A218" s="100">
        <f>ROW(Strong_Weakness[[#This Row],[INDEX]])-ROW(Strong_Weakness[[#Headers],[INDEX]])</f>
        <v>217</v>
      </c>
      <c r="B218" s="98" t="str">
        <f>INDEX(Data_Assessment[],MATCH(Strong_Weakness[[#This Row],[INDEX]],Data_Assessment[INDEX],0),MATCH(Strong_Weakness[[#Headers],[NAME]],Data_Assessment[#Headers],0))</f>
        <v>Feny Ardiansyah</v>
      </c>
      <c r="C218" s="98"/>
      <c r="D218" s="98"/>
    </row>
    <row r="219" spans="1:4">
      <c r="A219" s="100">
        <f>ROW(Strong_Weakness[[#This Row],[INDEX]])-ROW(Strong_Weakness[[#Headers],[INDEX]])</f>
        <v>218</v>
      </c>
      <c r="B219" s="98" t="str">
        <f>INDEX(Data_Assessment[],MATCH(Strong_Weakness[[#This Row],[INDEX]],Data_Assessment[INDEX],0),MATCH(Strong_Weakness[[#Headers],[NAME]],Data_Assessment[#Headers],0))</f>
        <v>Sujoko</v>
      </c>
      <c r="C219" s="98"/>
      <c r="D219" s="98"/>
    </row>
    <row r="220" spans="1:4">
      <c r="A220" s="100">
        <f>ROW(Strong_Weakness[[#This Row],[INDEX]])-ROW(Strong_Weakness[[#Headers],[INDEX]])</f>
        <v>219</v>
      </c>
      <c r="B220" s="98" t="str">
        <f>INDEX(Data_Assessment[],MATCH(Strong_Weakness[[#This Row],[INDEX]],Data_Assessment[INDEX],0),MATCH(Strong_Weakness[[#Headers],[NAME]],Data_Assessment[#Headers],0))</f>
        <v>Erizal. SE</v>
      </c>
      <c r="C220" s="98"/>
      <c r="D220" s="98"/>
    </row>
    <row r="221" spans="1:4">
      <c r="A221" s="100">
        <f>ROW(Strong_Weakness[[#This Row],[INDEX]])-ROW(Strong_Weakness[[#Headers],[INDEX]])</f>
        <v>220</v>
      </c>
      <c r="B221" s="98" t="str">
        <f>INDEX(Data_Assessment[],MATCH(Strong_Weakness[[#This Row],[INDEX]],Data_Assessment[INDEX],0),MATCH(Strong_Weakness[[#Headers],[NAME]],Data_Assessment[#Headers],0))</f>
        <v>Anang Susanto</v>
      </c>
      <c r="C221" s="98"/>
      <c r="D221" s="98"/>
    </row>
    <row r="222" spans="1:4">
      <c r="A222" s="100">
        <f>ROW(Strong_Weakness[[#This Row],[INDEX]])-ROW(Strong_Weakness[[#Headers],[INDEX]])</f>
        <v>221</v>
      </c>
      <c r="B222" s="98" t="str">
        <f>INDEX(Data_Assessment[],MATCH(Strong_Weakness[[#This Row],[INDEX]],Data_Assessment[INDEX],0),MATCH(Strong_Weakness[[#Headers],[NAME]],Data_Assessment[#Headers],0))</f>
        <v>Lily Chairani</v>
      </c>
      <c r="C222" s="98"/>
      <c r="D222" s="98"/>
    </row>
    <row r="223" spans="1:4">
      <c r="A223" s="100">
        <f>ROW(Strong_Weakness[[#This Row],[INDEX]])-ROW(Strong_Weakness[[#Headers],[INDEX]])</f>
        <v>222</v>
      </c>
      <c r="B223" s="98" t="str">
        <f>INDEX(Data_Assessment[],MATCH(Strong_Weakness[[#This Row],[INDEX]],Data_Assessment[INDEX],0),MATCH(Strong_Weakness[[#Headers],[NAME]],Data_Assessment[#Headers],0))</f>
        <v>Fahruli Manurung</v>
      </c>
      <c r="C223" s="98"/>
      <c r="D223" s="98"/>
    </row>
    <row r="224" spans="1:4">
      <c r="A224" s="100">
        <f>ROW(Strong_Weakness[[#This Row],[INDEX]])-ROW(Strong_Weakness[[#Headers],[INDEX]])</f>
        <v>223</v>
      </c>
      <c r="B224" s="98" t="str">
        <f>INDEX(Data_Assessment[],MATCH(Strong_Weakness[[#This Row],[INDEX]],Data_Assessment[INDEX],0),MATCH(Strong_Weakness[[#Headers],[NAME]],Data_Assessment[#Headers],0))</f>
        <v>Mariana</v>
      </c>
      <c r="C224" s="98"/>
      <c r="D224" s="98"/>
    </row>
    <row r="225" spans="1:4">
      <c r="A225" s="100">
        <f>ROW(Strong_Weakness[[#This Row],[INDEX]])-ROW(Strong_Weakness[[#Headers],[INDEX]])</f>
        <v>224</v>
      </c>
      <c r="B225" s="98" t="str">
        <f>INDEX(Data_Assessment[],MATCH(Strong_Weakness[[#This Row],[INDEX]],Data_Assessment[INDEX],0),MATCH(Strong_Weakness[[#Headers],[NAME]],Data_Assessment[#Headers],0))</f>
        <v>M. Damiri Malisie, Ir.</v>
      </c>
      <c r="C225" s="98"/>
      <c r="D225" s="98"/>
    </row>
    <row r="226" spans="1:4">
      <c r="A226" s="100">
        <f>ROW(Strong_Weakness[[#This Row],[INDEX]])-ROW(Strong_Weakness[[#Headers],[INDEX]])</f>
        <v>225</v>
      </c>
      <c r="B226" s="98" t="str">
        <f>INDEX(Data_Assessment[],MATCH(Strong_Weakness[[#This Row],[INDEX]],Data_Assessment[INDEX],0),MATCH(Strong_Weakness[[#Headers],[NAME]],Data_Assessment[#Headers],0))</f>
        <v>Muhammad Rizqi Dwi Prasetyo</v>
      </c>
      <c r="C226" s="98"/>
      <c r="D226" s="98"/>
    </row>
    <row r="227" spans="1:4">
      <c r="A227" s="100">
        <f>ROW(Strong_Weakness[[#This Row],[INDEX]])-ROW(Strong_Weakness[[#Headers],[INDEX]])</f>
        <v>226</v>
      </c>
      <c r="B227" s="98" t="str">
        <f>INDEX(Data_Assessment[],MATCH(Strong_Weakness[[#This Row],[INDEX]],Data_Assessment[INDEX],0),MATCH(Strong_Weakness[[#Headers],[NAME]],Data_Assessment[#Headers],0))</f>
        <v>Akhmad Farizal</v>
      </c>
      <c r="C227" s="98"/>
      <c r="D227" s="98"/>
    </row>
    <row r="228" spans="1:4">
      <c r="A228" s="100">
        <f>ROW(Strong_Weakness[[#This Row],[INDEX]])-ROW(Strong_Weakness[[#Headers],[INDEX]])</f>
        <v>227</v>
      </c>
      <c r="B228" s="98" t="str">
        <f>INDEX(Data_Assessment[],MATCH(Strong_Weakness[[#This Row],[INDEX]],Data_Assessment[INDEX],0),MATCH(Strong_Weakness[[#Headers],[NAME]],Data_Assessment[#Headers],0))</f>
        <v>Agus Wahyudi</v>
      </c>
      <c r="C228" s="98"/>
      <c r="D228" s="98"/>
    </row>
    <row r="229" spans="1:4">
      <c r="A229" s="100">
        <f>ROW(Strong_Weakness[[#This Row],[INDEX]])-ROW(Strong_Weakness[[#Headers],[INDEX]])</f>
        <v>228</v>
      </c>
      <c r="B229" s="98" t="str">
        <f>INDEX(Data_Assessment[],MATCH(Strong_Weakness[[#This Row],[INDEX]],Data_Assessment[INDEX],0),MATCH(Strong_Weakness[[#Headers],[NAME]],Data_Assessment[#Headers],0))</f>
        <v>Rathih Komala Dewi</v>
      </c>
      <c r="C229" s="98"/>
      <c r="D229" s="98"/>
    </row>
    <row r="230" spans="1:4">
      <c r="A230" s="100">
        <f>ROW(Strong_Weakness[[#This Row],[INDEX]])-ROW(Strong_Weakness[[#Headers],[INDEX]])</f>
        <v>229</v>
      </c>
      <c r="B230" s="98" t="str">
        <f>INDEX(Data_Assessment[],MATCH(Strong_Weakness[[#This Row],[INDEX]],Data_Assessment[INDEX],0),MATCH(Strong_Weakness[[#Headers],[NAME]],Data_Assessment[#Headers],0))</f>
        <v>Helena Eva Sinuraya</v>
      </c>
      <c r="C230" s="98"/>
      <c r="D230" s="98"/>
    </row>
    <row r="231" spans="1:4">
      <c r="A231" s="100">
        <f>ROW(Strong_Weakness[[#This Row],[INDEX]])-ROW(Strong_Weakness[[#Headers],[INDEX]])</f>
        <v>230</v>
      </c>
      <c r="B231" s="98" t="str">
        <f>INDEX(Data_Assessment[],MATCH(Strong_Weakness[[#This Row],[INDEX]],Data_Assessment[INDEX],0),MATCH(Strong_Weakness[[#Headers],[NAME]],Data_Assessment[#Headers],0))</f>
        <v>Agus Suhardi</v>
      </c>
      <c r="C231" s="98"/>
      <c r="D231" s="98"/>
    </row>
    <row r="232" spans="1:4">
      <c r="A232" s="100">
        <f>ROW(Strong_Weakness[[#This Row],[INDEX]])-ROW(Strong_Weakness[[#Headers],[INDEX]])</f>
        <v>231</v>
      </c>
      <c r="B232" s="98" t="str">
        <f>INDEX(Data_Assessment[],MATCH(Strong_Weakness[[#This Row],[INDEX]],Data_Assessment[INDEX],0),MATCH(Strong_Weakness[[#Headers],[NAME]],Data_Assessment[#Headers],0))</f>
        <v>T. Muhammad Iqbal, Ir.</v>
      </c>
      <c r="C232" s="98"/>
      <c r="D232" s="98"/>
    </row>
    <row r="233" spans="1:4">
      <c r="A233" s="100">
        <f>ROW(Strong_Weakness[[#This Row],[INDEX]])-ROW(Strong_Weakness[[#Headers],[INDEX]])</f>
        <v>232</v>
      </c>
      <c r="B233" s="98" t="str">
        <f>INDEX(Data_Assessment[],MATCH(Strong_Weakness[[#This Row],[INDEX]],Data_Assessment[INDEX],0),MATCH(Strong_Weakness[[#Headers],[NAME]],Data_Assessment[#Headers],0))</f>
        <v>M. Irpan Tarigan</v>
      </c>
      <c r="C233" s="98"/>
      <c r="D233" s="98"/>
    </row>
    <row r="234" spans="1:4">
      <c r="A234" s="100">
        <f>ROW(Strong_Weakness[[#This Row],[INDEX]])-ROW(Strong_Weakness[[#Headers],[INDEX]])</f>
        <v>233</v>
      </c>
      <c r="B234" s="98" t="str">
        <f>INDEX(Data_Assessment[],MATCH(Strong_Weakness[[#This Row],[INDEX]],Data_Assessment[INDEX],0),MATCH(Strong_Weakness[[#Headers],[NAME]],Data_Assessment[#Headers],0))</f>
        <v>Eva Meutia</v>
      </c>
      <c r="C234" s="98"/>
      <c r="D234" s="98"/>
    </row>
    <row r="235" spans="1:4">
      <c r="A235" s="100">
        <f>ROW(Strong_Weakness[[#This Row],[INDEX]])-ROW(Strong_Weakness[[#Headers],[INDEX]])</f>
        <v>234</v>
      </c>
      <c r="B235" s="98" t="str">
        <f>INDEX(Data_Assessment[],MATCH(Strong_Weakness[[#This Row],[INDEX]],Data_Assessment[INDEX],0),MATCH(Strong_Weakness[[#Headers],[NAME]],Data_Assessment[#Headers],0))</f>
        <v>Nasri Harris, Ir.</v>
      </c>
      <c r="C235" s="98"/>
      <c r="D235" s="98"/>
    </row>
    <row r="236" spans="1:4">
      <c r="A236" s="100">
        <f>ROW(Strong_Weakness[[#This Row],[INDEX]])-ROW(Strong_Weakness[[#Headers],[INDEX]])</f>
        <v>235</v>
      </c>
      <c r="B236" s="98" t="str">
        <f>INDEX(Data_Assessment[],MATCH(Strong_Weakness[[#This Row],[INDEX]],Data_Assessment[INDEX],0),MATCH(Strong_Weakness[[#Headers],[NAME]],Data_Assessment[#Headers],0))</f>
        <v>Padli Okmas Jaya</v>
      </c>
      <c r="C236" s="98"/>
      <c r="D236" s="98"/>
    </row>
    <row r="237" spans="1:4">
      <c r="A237" s="100">
        <f>ROW(Strong_Weakness[[#This Row],[INDEX]])-ROW(Strong_Weakness[[#Headers],[INDEX]])</f>
        <v>236</v>
      </c>
      <c r="B237" s="98" t="str">
        <f>INDEX(Data_Assessment[],MATCH(Strong_Weakness[[#This Row],[INDEX]],Data_Assessment[INDEX],0),MATCH(Strong_Weakness[[#Headers],[NAME]],Data_Assessment[#Headers],0))</f>
        <v>Havier Januar</v>
      </c>
      <c r="C237" s="98"/>
      <c r="D237" s="98"/>
    </row>
    <row r="238" spans="1:4">
      <c r="A238" s="100">
        <f>ROW(Strong_Weakness[[#This Row],[INDEX]])-ROW(Strong_Weakness[[#Headers],[INDEX]])</f>
        <v>237</v>
      </c>
      <c r="B238" s="98" t="str">
        <f>INDEX(Data_Assessment[],MATCH(Strong_Weakness[[#This Row],[INDEX]],Data_Assessment[INDEX],0),MATCH(Strong_Weakness[[#Headers],[NAME]],Data_Assessment[#Headers],0))</f>
        <v>Astricx Yoyok</v>
      </c>
      <c r="C238" s="98"/>
      <c r="D238" s="98"/>
    </row>
    <row r="239" spans="1:4">
      <c r="A239" s="100">
        <f>ROW(Strong_Weakness[[#This Row],[INDEX]])-ROW(Strong_Weakness[[#Headers],[INDEX]])</f>
        <v>238</v>
      </c>
      <c r="B239" s="98" t="str">
        <f>INDEX(Data_Assessment[],MATCH(Strong_Weakness[[#This Row],[INDEX]],Data_Assessment[INDEX],0),MATCH(Strong_Weakness[[#Headers],[NAME]],Data_Assessment[#Headers],0))</f>
        <v>Urip Hari Utomo</v>
      </c>
      <c r="C239" s="98"/>
      <c r="D239" s="98"/>
    </row>
    <row r="240" spans="1:4">
      <c r="A240" s="100">
        <f>ROW(Strong_Weakness[[#This Row],[INDEX]])-ROW(Strong_Weakness[[#Headers],[INDEX]])</f>
        <v>239</v>
      </c>
      <c r="B240" s="98" t="str">
        <f>INDEX(Data_Assessment[],MATCH(Strong_Weakness[[#This Row],[INDEX]],Data_Assessment[INDEX],0),MATCH(Strong_Weakness[[#Headers],[NAME]],Data_Assessment[#Headers],0))</f>
        <v>Irfan Febrianto</v>
      </c>
      <c r="C240" s="98"/>
      <c r="D240" s="98"/>
    </row>
    <row r="241" spans="1:4">
      <c r="A241" s="100">
        <f>ROW(Strong_Weakness[[#This Row],[INDEX]])-ROW(Strong_Weakness[[#Headers],[INDEX]])</f>
        <v>240</v>
      </c>
      <c r="B241" s="98" t="str">
        <f>INDEX(Data_Assessment[],MATCH(Strong_Weakness[[#This Row],[INDEX]],Data_Assessment[INDEX],0),MATCH(Strong_Weakness[[#Headers],[NAME]],Data_Assessment[#Headers],0))</f>
        <v>Erwin Yusrianta Bangun, Ir.</v>
      </c>
      <c r="C241" s="98"/>
      <c r="D241" s="98"/>
    </row>
    <row r="242" spans="1:4">
      <c r="A242" s="100">
        <f>ROW(Strong_Weakness[[#This Row],[INDEX]])-ROW(Strong_Weakness[[#Headers],[INDEX]])</f>
        <v>241</v>
      </c>
      <c r="B242" s="98" t="str">
        <f>INDEX(Data_Assessment[],MATCH(Strong_Weakness[[#This Row],[INDEX]],Data_Assessment[INDEX],0),MATCH(Strong_Weakness[[#Headers],[NAME]],Data_Assessment[#Headers],0))</f>
        <v>Yeni Setianingsih</v>
      </c>
      <c r="C242" s="98"/>
      <c r="D242" s="98"/>
    </row>
    <row r="243" spans="1:4">
      <c r="A243" s="100">
        <f>ROW(Strong_Weakness[[#This Row],[INDEX]])-ROW(Strong_Weakness[[#Headers],[INDEX]])</f>
        <v>242</v>
      </c>
      <c r="B243" s="98" t="str">
        <f>INDEX(Data_Assessment[],MATCH(Strong_Weakness[[#This Row],[INDEX]],Data_Assessment[INDEX],0),MATCH(Strong_Weakness[[#Headers],[NAME]],Data_Assessment[#Headers],0))</f>
        <v>Jefri Hidayat</v>
      </c>
      <c r="C243" s="98"/>
      <c r="D243" s="98"/>
    </row>
    <row r="244" spans="1:4">
      <c r="A244" s="100">
        <f>ROW(Strong_Weakness[[#This Row],[INDEX]])-ROW(Strong_Weakness[[#Headers],[INDEX]])</f>
        <v>243</v>
      </c>
      <c r="B244" s="98" t="str">
        <f>INDEX(Data_Assessment[],MATCH(Strong_Weakness[[#This Row],[INDEX]],Data_Assessment[INDEX],0),MATCH(Strong_Weakness[[#Headers],[NAME]],Data_Assessment[#Headers],0))</f>
        <v>Caturina Maryati, SP</v>
      </c>
      <c r="C244" s="98"/>
      <c r="D244" s="98"/>
    </row>
    <row r="245" spans="1:4">
      <c r="A245" s="100">
        <f>ROW(Strong_Weakness[[#This Row],[INDEX]])-ROW(Strong_Weakness[[#Headers],[INDEX]])</f>
        <v>244</v>
      </c>
      <c r="B245" s="98" t="str">
        <f>INDEX(Data_Assessment[],MATCH(Strong_Weakness[[#This Row],[INDEX]],Data_Assessment[INDEX],0),MATCH(Strong_Weakness[[#Headers],[NAME]],Data_Assessment[#Headers],0))</f>
        <v>Muhammad Saifun Nizam</v>
      </c>
      <c r="C245" s="98"/>
      <c r="D245" s="98"/>
    </row>
    <row r="246" spans="1:4">
      <c r="A246" s="100">
        <f>ROW(Strong_Weakness[[#This Row],[INDEX]])-ROW(Strong_Weakness[[#Headers],[INDEX]])</f>
        <v>245</v>
      </c>
      <c r="B246" s="98" t="str">
        <f>INDEX(Data_Assessment[],MATCH(Strong_Weakness[[#This Row],[INDEX]],Data_Assessment[INDEX],0),MATCH(Strong_Weakness[[#Headers],[NAME]],Data_Assessment[#Headers],0))</f>
        <v>Evamiko Sofiah</v>
      </c>
      <c r="C246" s="98"/>
      <c r="D246" s="98"/>
    </row>
    <row r="247" spans="1:4">
      <c r="A247" s="100">
        <f>ROW(Strong_Weakness[[#This Row],[INDEX]])-ROW(Strong_Weakness[[#Headers],[INDEX]])</f>
        <v>246</v>
      </c>
      <c r="B247" s="98" t="str">
        <f>INDEX(Data_Assessment[],MATCH(Strong_Weakness[[#This Row],[INDEX]],Data_Assessment[INDEX],0),MATCH(Strong_Weakness[[#Headers],[NAME]],Data_Assessment[#Headers],0))</f>
        <v>Ari Bahtiar</v>
      </c>
      <c r="C247" s="98"/>
      <c r="D247" s="98"/>
    </row>
    <row r="248" spans="1:4">
      <c r="A248" s="100">
        <f>ROW(Strong_Weakness[[#This Row],[INDEX]])-ROW(Strong_Weakness[[#Headers],[INDEX]])</f>
        <v>247</v>
      </c>
      <c r="B248" s="98" t="str">
        <f>INDEX(Data_Assessment[],MATCH(Strong_Weakness[[#This Row],[INDEX]],Data_Assessment[INDEX],0),MATCH(Strong_Weakness[[#Headers],[NAME]],Data_Assessment[#Headers],0))</f>
        <v>Sitti Fadhilah</v>
      </c>
      <c r="C248" s="98"/>
      <c r="D248" s="98"/>
    </row>
    <row r="249" spans="1:4">
      <c r="A249" s="100">
        <f>ROW(Strong_Weakness[[#This Row],[INDEX]])-ROW(Strong_Weakness[[#Headers],[INDEX]])</f>
        <v>248</v>
      </c>
      <c r="B249" s="98" t="str">
        <f>INDEX(Data_Assessment[],MATCH(Strong_Weakness[[#This Row],[INDEX]],Data_Assessment[INDEX],0),MATCH(Strong_Weakness[[#Headers],[NAME]],Data_Assessment[#Headers],0))</f>
        <v>Endang Mulyono</v>
      </c>
      <c r="C249" s="98"/>
      <c r="D249" s="98"/>
    </row>
    <row r="250" spans="1:4">
      <c r="A250" s="100">
        <f>ROW(Strong_Weakness[[#This Row],[INDEX]])-ROW(Strong_Weakness[[#Headers],[INDEX]])</f>
        <v>249</v>
      </c>
      <c r="B250" s="98" t="str">
        <f>INDEX(Data_Assessment[],MATCH(Strong_Weakness[[#This Row],[INDEX]],Data_Assessment[INDEX],0),MATCH(Strong_Weakness[[#Headers],[NAME]],Data_Assessment[#Headers],0))</f>
        <v>Suriyanto</v>
      </c>
      <c r="C250" s="98"/>
      <c r="D250" s="98"/>
    </row>
    <row r="251" spans="1:4">
      <c r="A251" s="100">
        <f>ROW(Strong_Weakness[[#This Row],[INDEX]])-ROW(Strong_Weakness[[#Headers],[INDEX]])</f>
        <v>250</v>
      </c>
      <c r="B251" s="98" t="str">
        <f>INDEX(Data_Assessment[],MATCH(Strong_Weakness[[#This Row],[INDEX]],Data_Assessment[INDEX],0),MATCH(Strong_Weakness[[#Headers],[NAME]],Data_Assessment[#Headers],0))</f>
        <v>Ahmad Nur</v>
      </c>
      <c r="C251" s="98"/>
      <c r="D251" s="98"/>
    </row>
    <row r="252" spans="1:4">
      <c r="A252" s="100">
        <f>ROW(Strong_Weakness[[#This Row],[INDEX]])-ROW(Strong_Weakness[[#Headers],[INDEX]])</f>
        <v>251</v>
      </c>
      <c r="B252" s="98" t="str">
        <f>INDEX(Data_Assessment[],MATCH(Strong_Weakness[[#This Row],[INDEX]],Data_Assessment[INDEX],0),MATCH(Strong_Weakness[[#Headers],[NAME]],Data_Assessment[#Headers],0))</f>
        <v>Elvian Satya P., SH</v>
      </c>
      <c r="C252" s="98"/>
      <c r="D252" s="98"/>
    </row>
    <row r="253" spans="1:4">
      <c r="A253" s="100">
        <f>ROW(Strong_Weakness[[#This Row],[INDEX]])-ROW(Strong_Weakness[[#Headers],[INDEX]])</f>
        <v>252</v>
      </c>
      <c r="B253" s="98" t="str">
        <f>INDEX(Data_Assessment[],MATCH(Strong_Weakness[[#This Row],[INDEX]],Data_Assessment[INDEX],0),MATCH(Strong_Weakness[[#Headers],[NAME]],Data_Assessment[#Headers],0))</f>
        <v>Suhaina Tasrima, ST</v>
      </c>
      <c r="C253" s="98"/>
      <c r="D253" s="98"/>
    </row>
    <row r="254" spans="1:4">
      <c r="A254" s="100">
        <f>ROW(Strong_Weakness[[#This Row],[INDEX]])-ROW(Strong_Weakness[[#Headers],[INDEX]])</f>
        <v>253</v>
      </c>
      <c r="B254" s="98" t="str">
        <f>INDEX(Data_Assessment[],MATCH(Strong_Weakness[[#This Row],[INDEX]],Data_Assessment[INDEX],0),MATCH(Strong_Weakness[[#Headers],[NAME]],Data_Assessment[#Headers],0))</f>
        <v>Masniari Sianturi</v>
      </c>
      <c r="C254" s="98"/>
      <c r="D254" s="98"/>
    </row>
    <row r="255" spans="1:4">
      <c r="A255" s="100">
        <f>ROW(Strong_Weakness[[#This Row],[INDEX]])-ROW(Strong_Weakness[[#Headers],[INDEX]])</f>
        <v>254</v>
      </c>
      <c r="B255" s="98" t="str">
        <f>INDEX(Data_Assessment[],MATCH(Strong_Weakness[[#This Row],[INDEX]],Data_Assessment[INDEX],0),MATCH(Strong_Weakness[[#Headers],[NAME]],Data_Assessment[#Headers],0))</f>
        <v>Firdaus Azis</v>
      </c>
      <c r="C255" s="98"/>
      <c r="D255" s="98"/>
    </row>
    <row r="256" spans="1:4">
      <c r="A256" s="100">
        <f>ROW(Strong_Weakness[[#This Row],[INDEX]])-ROW(Strong_Weakness[[#Headers],[INDEX]])</f>
        <v>255</v>
      </c>
      <c r="B256" s="98" t="str">
        <f>INDEX(Data_Assessment[],MATCH(Strong_Weakness[[#This Row],[INDEX]],Data_Assessment[INDEX],0),MATCH(Strong_Weakness[[#Headers],[NAME]],Data_Assessment[#Headers],0))</f>
        <v>Endang Saptorini</v>
      </c>
      <c r="C256" s="98"/>
      <c r="D256" s="98"/>
    </row>
    <row r="257" spans="1:4">
      <c r="A257" s="100">
        <f>ROW(Strong_Weakness[[#This Row],[INDEX]])-ROW(Strong_Weakness[[#Headers],[INDEX]])</f>
        <v>256</v>
      </c>
      <c r="B257" s="98" t="str">
        <f>INDEX(Data_Assessment[],MATCH(Strong_Weakness[[#This Row],[INDEX]],Data_Assessment[INDEX],0),MATCH(Strong_Weakness[[#Headers],[NAME]],Data_Assessment[#Headers],0))</f>
        <v>Sumartini</v>
      </c>
      <c r="C257" s="98"/>
      <c r="D257" s="98"/>
    </row>
    <row r="258" spans="1:4">
      <c r="A258" s="100">
        <f>ROW(Strong_Weakness[[#This Row],[INDEX]])-ROW(Strong_Weakness[[#Headers],[INDEX]])</f>
        <v>257</v>
      </c>
      <c r="B258" s="98" t="str">
        <f>INDEX(Data_Assessment[],MATCH(Strong_Weakness[[#This Row],[INDEX]],Data_Assessment[INDEX],0),MATCH(Strong_Weakness[[#Headers],[NAME]],Data_Assessment[#Headers],0))</f>
        <v>Ahmad Khairi Lubis, Ir</v>
      </c>
      <c r="C258" s="98"/>
      <c r="D258" s="98"/>
    </row>
    <row r="259" spans="1:4">
      <c r="A259" s="100">
        <f>ROW(Strong_Weakness[[#This Row],[INDEX]])-ROW(Strong_Weakness[[#Headers],[INDEX]])</f>
        <v>258</v>
      </c>
      <c r="B259" s="98" t="str">
        <f>INDEX(Data_Assessment[],MATCH(Strong_Weakness[[#This Row],[INDEX]],Data_Assessment[INDEX],0),MATCH(Strong_Weakness[[#Headers],[NAME]],Data_Assessment[#Headers],0))</f>
        <v>Abdullah Sandi, SH</v>
      </c>
      <c r="C259" s="98"/>
      <c r="D259" s="98"/>
    </row>
    <row r="260" spans="1:4">
      <c r="A260" s="100">
        <f>ROW(Strong_Weakness[[#This Row],[INDEX]])-ROW(Strong_Weakness[[#Headers],[INDEX]])</f>
        <v>259</v>
      </c>
      <c r="B260" s="98" t="str">
        <f>INDEX(Data_Assessment[],MATCH(Strong_Weakness[[#This Row],[INDEX]],Data_Assessment[INDEX],0),MATCH(Strong_Weakness[[#Headers],[NAME]],Data_Assessment[#Headers],0))</f>
        <v>Ade Susilo</v>
      </c>
      <c r="C260" s="98"/>
      <c r="D260" s="98"/>
    </row>
    <row r="261" spans="1:4">
      <c r="A261" s="100">
        <f>ROW(Strong_Weakness[[#This Row],[INDEX]])-ROW(Strong_Weakness[[#Headers],[INDEX]])</f>
        <v>260</v>
      </c>
      <c r="B261" s="98" t="str">
        <f>INDEX(Data_Assessment[],MATCH(Strong_Weakness[[#This Row],[INDEX]],Data_Assessment[INDEX],0),MATCH(Strong_Weakness[[#Headers],[NAME]],Data_Assessment[#Headers],0))</f>
        <v>R. Suprayogi Syahputra</v>
      </c>
      <c r="C261" s="98"/>
      <c r="D261" s="98"/>
    </row>
    <row r="262" spans="1:4">
      <c r="A262" s="100">
        <f>ROW(Strong_Weakness[[#This Row],[INDEX]])-ROW(Strong_Weakness[[#Headers],[INDEX]])</f>
        <v>261</v>
      </c>
      <c r="B262" s="98" t="str">
        <f>INDEX(Data_Assessment[],MATCH(Strong_Weakness[[#This Row],[INDEX]],Data_Assessment[INDEX],0),MATCH(Strong_Weakness[[#Headers],[NAME]],Data_Assessment[#Headers],0))</f>
        <v>Edi Muntazar</v>
      </c>
      <c r="C262" s="98"/>
      <c r="D262" s="98"/>
    </row>
    <row r="263" spans="1:4">
      <c r="A263" s="100">
        <f>ROW(Strong_Weakness[[#This Row],[INDEX]])-ROW(Strong_Weakness[[#Headers],[INDEX]])</f>
        <v>262</v>
      </c>
      <c r="B263" s="98" t="str">
        <f>INDEX(Data_Assessment[],MATCH(Strong_Weakness[[#This Row],[INDEX]],Data_Assessment[INDEX],0),MATCH(Strong_Weakness[[#Headers],[NAME]],Data_Assessment[#Headers],0))</f>
        <v>Wilson</v>
      </c>
      <c r="C263" s="98"/>
      <c r="D263" s="98"/>
    </row>
    <row r="264" spans="1:4">
      <c r="A264" s="100">
        <f>ROW(Strong_Weakness[[#This Row],[INDEX]])-ROW(Strong_Weakness[[#Headers],[INDEX]])</f>
        <v>263</v>
      </c>
      <c r="B264" s="98" t="str">
        <f>INDEX(Data_Assessment[],MATCH(Strong_Weakness[[#This Row],[INDEX]],Data_Assessment[INDEX],0),MATCH(Strong_Weakness[[#Headers],[NAME]],Data_Assessment[#Headers],0))</f>
        <v>Saeri</v>
      </c>
      <c r="C264" s="98"/>
      <c r="D264" s="98"/>
    </row>
    <row r="265" spans="1:4">
      <c r="A265" s="100">
        <f>ROW(Strong_Weakness[[#This Row],[INDEX]])-ROW(Strong_Weakness[[#Headers],[INDEX]])</f>
        <v>264</v>
      </c>
      <c r="B265" s="98" t="str">
        <f>INDEX(Data_Assessment[],MATCH(Strong_Weakness[[#This Row],[INDEX]],Data_Assessment[INDEX],0),MATCH(Strong_Weakness[[#Headers],[NAME]],Data_Assessment[#Headers],0))</f>
        <v>Agus Wahyu Widodo</v>
      </c>
      <c r="C265" s="98"/>
      <c r="D265" s="98"/>
    </row>
    <row r="266" spans="1:4">
      <c r="A266" s="100">
        <f>ROW(Strong_Weakness[[#This Row],[INDEX]])-ROW(Strong_Weakness[[#Headers],[INDEX]])</f>
        <v>265</v>
      </c>
      <c r="B266" s="98" t="str">
        <f>INDEX(Data_Assessment[],MATCH(Strong_Weakness[[#This Row],[INDEX]],Data_Assessment[INDEX],0),MATCH(Strong_Weakness[[#Headers],[NAME]],Data_Assessment[#Headers],0))</f>
        <v>Adek Irwan</v>
      </c>
      <c r="C266" s="98"/>
      <c r="D266" s="98"/>
    </row>
    <row r="267" spans="1:4">
      <c r="A267" s="100">
        <f>ROW(Strong_Weakness[[#This Row],[INDEX]])-ROW(Strong_Weakness[[#Headers],[INDEX]])</f>
        <v>266</v>
      </c>
      <c r="B267" s="98" t="str">
        <f>INDEX(Data_Assessment[],MATCH(Strong_Weakness[[#This Row],[INDEX]],Data_Assessment[INDEX],0),MATCH(Strong_Weakness[[#Headers],[NAME]],Data_Assessment[#Headers],0))</f>
        <v>M. Sufinur</v>
      </c>
      <c r="C267" s="98"/>
      <c r="D267" s="98"/>
    </row>
    <row r="268" spans="1:4">
      <c r="A268" s="100">
        <f>ROW(Strong_Weakness[[#This Row],[INDEX]])-ROW(Strong_Weakness[[#Headers],[INDEX]])</f>
        <v>267</v>
      </c>
      <c r="B268" s="98" t="str">
        <f>INDEX(Data_Assessment[],MATCH(Strong_Weakness[[#This Row],[INDEX]],Data_Assessment[INDEX],0),MATCH(Strong_Weakness[[#Headers],[NAME]],Data_Assessment[#Headers],0))</f>
        <v>Muhammad Dimas Hertanto</v>
      </c>
      <c r="C268" s="98"/>
      <c r="D268" s="98"/>
    </row>
    <row r="269" spans="1:4">
      <c r="A269" s="100">
        <f>ROW(Strong_Weakness[[#This Row],[INDEX]])-ROW(Strong_Weakness[[#Headers],[INDEX]])</f>
        <v>268</v>
      </c>
      <c r="B269" s="98" t="str">
        <f>INDEX(Data_Assessment[],MATCH(Strong_Weakness[[#This Row],[INDEX]],Data_Assessment[INDEX],0),MATCH(Strong_Weakness[[#Headers],[NAME]],Data_Assessment[#Headers],0))</f>
        <v>Sabar Widodo</v>
      </c>
      <c r="C269" s="98"/>
      <c r="D269" s="98"/>
    </row>
    <row r="270" spans="1:4">
      <c r="A270" s="100">
        <f>ROW(Strong_Weakness[[#This Row],[INDEX]])-ROW(Strong_Weakness[[#Headers],[INDEX]])</f>
        <v>269</v>
      </c>
      <c r="B270" s="98" t="str">
        <f>INDEX(Data_Assessment[],MATCH(Strong_Weakness[[#This Row],[INDEX]],Data_Assessment[INDEX],0),MATCH(Strong_Weakness[[#Headers],[NAME]],Data_Assessment[#Headers],0))</f>
        <v>Meilany Sari Ulina</v>
      </c>
      <c r="C270" s="98"/>
      <c r="D270" s="98"/>
    </row>
    <row r="271" spans="1:4">
      <c r="A271" s="100">
        <f>ROW(Strong_Weakness[[#This Row],[INDEX]])-ROW(Strong_Weakness[[#Headers],[INDEX]])</f>
        <v>270</v>
      </c>
      <c r="B271" s="98" t="str">
        <f>INDEX(Data_Assessment[],MATCH(Strong_Weakness[[#This Row],[INDEX]],Data_Assessment[INDEX],0),MATCH(Strong_Weakness[[#Headers],[NAME]],Data_Assessment[#Headers],0))</f>
        <v>Yenmy Felina</v>
      </c>
      <c r="C271" s="98"/>
      <c r="D271" s="98"/>
    </row>
    <row r="272" spans="1:4">
      <c r="A272" s="100">
        <f>ROW(Strong_Weakness[[#This Row],[INDEX]])-ROW(Strong_Weakness[[#Headers],[INDEX]])</f>
        <v>271</v>
      </c>
      <c r="B272" s="98" t="str">
        <f>INDEX(Data_Assessment[],MATCH(Strong_Weakness[[#This Row],[INDEX]],Data_Assessment[INDEX],0),MATCH(Strong_Weakness[[#Headers],[NAME]],Data_Assessment[#Headers],0))</f>
        <v>M. Taufik Lahabu</v>
      </c>
      <c r="C272" s="98"/>
      <c r="D272" s="98"/>
    </row>
    <row r="273" spans="1:4">
      <c r="A273" s="100">
        <f>ROW(Strong_Weakness[[#This Row],[INDEX]])-ROW(Strong_Weakness[[#Headers],[INDEX]])</f>
        <v>272</v>
      </c>
      <c r="B273" s="98" t="str">
        <f>INDEX(Data_Assessment[],MATCH(Strong_Weakness[[#This Row],[INDEX]],Data_Assessment[INDEX],0),MATCH(Strong_Weakness[[#Headers],[NAME]],Data_Assessment[#Headers],0))</f>
        <v>Vertiny Wulansari</v>
      </c>
      <c r="C273" s="98"/>
      <c r="D273" s="98"/>
    </row>
    <row r="274" spans="1:4">
      <c r="A274" s="100">
        <f>ROW(Strong_Weakness[[#This Row],[INDEX]])-ROW(Strong_Weakness[[#Headers],[INDEX]])</f>
        <v>273</v>
      </c>
      <c r="B274" s="98" t="str">
        <f>INDEX(Data_Assessment[],MATCH(Strong_Weakness[[#This Row],[INDEX]],Data_Assessment[INDEX],0),MATCH(Strong_Weakness[[#Headers],[NAME]],Data_Assessment[#Headers],0))</f>
        <v>Rika Tania</v>
      </c>
      <c r="C274" s="98"/>
      <c r="D274" s="98"/>
    </row>
    <row r="275" spans="1:4">
      <c r="A275" s="100">
        <f>ROW(Strong_Weakness[[#This Row],[INDEX]])-ROW(Strong_Weakness[[#Headers],[INDEX]])</f>
        <v>274</v>
      </c>
      <c r="B275" s="98" t="str">
        <f>INDEX(Data_Assessment[],MATCH(Strong_Weakness[[#This Row],[INDEX]],Data_Assessment[INDEX],0),MATCH(Strong_Weakness[[#Headers],[NAME]],Data_Assessment[#Headers],0))</f>
        <v>Mercy Nuh</v>
      </c>
      <c r="C275" s="98"/>
      <c r="D275" s="98"/>
    </row>
    <row r="276" spans="1:4">
      <c r="A276" s="100">
        <f>ROW(Strong_Weakness[[#This Row],[INDEX]])-ROW(Strong_Weakness[[#Headers],[INDEX]])</f>
        <v>275</v>
      </c>
      <c r="B276" s="98" t="str">
        <f>INDEX(Data_Assessment[],MATCH(Strong_Weakness[[#This Row],[INDEX]],Data_Assessment[INDEX],0),MATCH(Strong_Weakness[[#Headers],[NAME]],Data_Assessment[#Headers],0))</f>
        <v>Nopial Ishak</v>
      </c>
      <c r="C276" s="98"/>
      <c r="D276" s="98"/>
    </row>
    <row r="277" spans="1:4">
      <c r="A277" s="100">
        <f>ROW(Strong_Weakness[[#This Row],[INDEX]])-ROW(Strong_Weakness[[#Headers],[INDEX]])</f>
        <v>276</v>
      </c>
      <c r="B277" s="98" t="str">
        <f>INDEX(Data_Assessment[],MATCH(Strong_Weakness[[#This Row],[INDEX]],Data_Assessment[INDEX],0),MATCH(Strong_Weakness[[#Headers],[NAME]],Data_Assessment[#Headers],0))</f>
        <v>Herdyana Achmadi</v>
      </c>
      <c r="C277" s="98"/>
      <c r="D277" s="98"/>
    </row>
    <row r="278" spans="1:4">
      <c r="A278" s="100">
        <f>ROW(Strong_Weakness[[#This Row],[INDEX]])-ROW(Strong_Weakness[[#Headers],[INDEX]])</f>
        <v>277</v>
      </c>
      <c r="B278" s="98" t="str">
        <f>INDEX(Data_Assessment[],MATCH(Strong_Weakness[[#This Row],[INDEX]],Data_Assessment[INDEX],0),MATCH(Strong_Weakness[[#Headers],[NAME]],Data_Assessment[#Headers],0))</f>
        <v>Anggoro Santoso</v>
      </c>
      <c r="C278" s="98"/>
      <c r="D278" s="98"/>
    </row>
    <row r="279" spans="1:4">
      <c r="A279" s="100">
        <f>ROW(Strong_Weakness[[#This Row],[INDEX]])-ROW(Strong_Weakness[[#Headers],[INDEX]])</f>
        <v>278</v>
      </c>
      <c r="B279" s="98" t="str">
        <f>INDEX(Data_Assessment[],MATCH(Strong_Weakness[[#This Row],[INDEX]],Data_Assessment[INDEX],0),MATCH(Strong_Weakness[[#Headers],[NAME]],Data_Assessment[#Headers],0))</f>
        <v>Rika Ade Septiana</v>
      </c>
      <c r="C279" s="98"/>
      <c r="D279" s="98"/>
    </row>
    <row r="280" spans="1:4">
      <c r="A280" s="100">
        <f>ROW(Strong_Weakness[[#This Row],[INDEX]])-ROW(Strong_Weakness[[#Headers],[INDEX]])</f>
        <v>279</v>
      </c>
      <c r="B280" s="98" t="str">
        <f>INDEX(Data_Assessment[],MATCH(Strong_Weakness[[#This Row],[INDEX]],Data_Assessment[INDEX],0),MATCH(Strong_Weakness[[#Headers],[NAME]],Data_Assessment[#Headers],0))</f>
        <v>Heru Hermawan</v>
      </c>
      <c r="C280" s="98"/>
      <c r="D280" s="98"/>
    </row>
    <row r="281" spans="1:4">
      <c r="A281" s="100">
        <f>ROW(Strong_Weakness[[#This Row],[INDEX]])-ROW(Strong_Weakness[[#Headers],[INDEX]])</f>
        <v>280</v>
      </c>
      <c r="B281" s="98" t="str">
        <f>INDEX(Data_Assessment[],MATCH(Strong_Weakness[[#This Row],[INDEX]],Data_Assessment[INDEX],0),MATCH(Strong_Weakness[[#Headers],[NAME]],Data_Assessment[#Headers],0))</f>
        <v>Donni Febianto</v>
      </c>
      <c r="C281" s="98"/>
      <c r="D281" s="98"/>
    </row>
    <row r="282" spans="1:4">
      <c r="A282" s="100">
        <f>ROW(Strong_Weakness[[#This Row],[INDEX]])-ROW(Strong_Weakness[[#Headers],[INDEX]])</f>
        <v>281</v>
      </c>
      <c r="B282" s="98" t="str">
        <f>INDEX(Data_Assessment[],MATCH(Strong_Weakness[[#This Row],[INDEX]],Data_Assessment[INDEX],0),MATCH(Strong_Weakness[[#Headers],[NAME]],Data_Assessment[#Headers],0))</f>
        <v>Susanty Loka</v>
      </c>
      <c r="C282" s="98"/>
      <c r="D282" s="98"/>
    </row>
    <row r="283" spans="1:4">
      <c r="A283" s="100">
        <f>ROW(Strong_Weakness[[#This Row],[INDEX]])-ROW(Strong_Weakness[[#Headers],[INDEX]])</f>
        <v>282</v>
      </c>
      <c r="B283" s="98" t="str">
        <f>INDEX(Data_Assessment[],MATCH(Strong_Weakness[[#This Row],[INDEX]],Data_Assessment[INDEX],0),MATCH(Strong_Weakness[[#Headers],[NAME]],Data_Assessment[#Headers],0))</f>
        <v>Irpan Irawan</v>
      </c>
      <c r="C283" s="98"/>
      <c r="D283" s="98"/>
    </row>
    <row r="284" spans="1:4">
      <c r="A284" s="100">
        <f>ROW(Strong_Weakness[[#This Row],[INDEX]])-ROW(Strong_Weakness[[#Headers],[INDEX]])</f>
        <v>283</v>
      </c>
      <c r="B284" s="98" t="str">
        <f>INDEX(Data_Assessment[],MATCH(Strong_Weakness[[#This Row],[INDEX]],Data_Assessment[INDEX],0),MATCH(Strong_Weakness[[#Headers],[NAME]],Data_Assessment[#Headers],0))</f>
        <v>Septiyani</v>
      </c>
      <c r="C284" s="98"/>
      <c r="D284" s="98"/>
    </row>
    <row r="285" spans="1:4">
      <c r="A285" s="100">
        <f>ROW(Strong_Weakness[[#This Row],[INDEX]])-ROW(Strong_Weakness[[#Headers],[INDEX]])</f>
        <v>284</v>
      </c>
      <c r="B285" s="98" t="str">
        <f>INDEX(Data_Assessment[],MATCH(Strong_Weakness[[#This Row],[INDEX]],Data_Assessment[INDEX],0),MATCH(Strong_Weakness[[#Headers],[NAME]],Data_Assessment[#Headers],0))</f>
        <v>Rengga Prabualam</v>
      </c>
      <c r="C285" s="98"/>
      <c r="D285" s="98"/>
    </row>
    <row r="286" spans="1:4">
      <c r="A286" s="100">
        <f>ROW(Strong_Weakness[[#This Row],[INDEX]])-ROW(Strong_Weakness[[#Headers],[INDEX]])</f>
        <v>285</v>
      </c>
      <c r="B286" s="98" t="str">
        <f>INDEX(Data_Assessment[],MATCH(Strong_Weakness[[#This Row],[INDEX]],Data_Assessment[INDEX],0),MATCH(Strong_Weakness[[#Headers],[NAME]],Data_Assessment[#Headers],0))</f>
        <v>Felicita Maureen Cassela</v>
      </c>
      <c r="C286" s="98"/>
      <c r="D286" s="98"/>
    </row>
    <row r="287" spans="1:4">
      <c r="A287" s="100">
        <f>ROW(Strong_Weakness[[#This Row],[INDEX]])-ROW(Strong_Weakness[[#Headers],[INDEX]])</f>
        <v>286</v>
      </c>
      <c r="B287" s="98" t="str">
        <f>INDEX(Data_Assessment[],MATCH(Strong_Weakness[[#This Row],[INDEX]],Data_Assessment[INDEX],0),MATCH(Strong_Weakness[[#Headers],[NAME]],Data_Assessment[#Headers],0))</f>
        <v>Dian Fidelia</v>
      </c>
      <c r="C287" s="98"/>
      <c r="D287" s="98"/>
    </row>
    <row r="288" spans="1:4">
      <c r="A288" s="100">
        <f>ROW(Strong_Weakness[[#This Row],[INDEX]])-ROW(Strong_Weakness[[#Headers],[INDEX]])</f>
        <v>287</v>
      </c>
      <c r="B288" s="98" t="str">
        <f>INDEX(Data_Assessment[],MATCH(Strong_Weakness[[#This Row],[INDEX]],Data_Assessment[INDEX],0),MATCH(Strong_Weakness[[#Headers],[NAME]],Data_Assessment[#Headers],0))</f>
        <v>Indah Rosnindah</v>
      </c>
      <c r="C288" s="98"/>
      <c r="D288" s="98"/>
    </row>
    <row r="289" spans="1:4">
      <c r="A289" s="100">
        <f>ROW(Strong_Weakness[[#This Row],[INDEX]])-ROW(Strong_Weakness[[#Headers],[INDEX]])</f>
        <v>288</v>
      </c>
      <c r="B289" s="98" t="str">
        <f>INDEX(Data_Assessment[],MATCH(Strong_Weakness[[#This Row],[INDEX]],Data_Assessment[INDEX],0),MATCH(Strong_Weakness[[#Headers],[NAME]],Data_Assessment[#Headers],0))</f>
        <v>Muhammad Abbas</v>
      </c>
      <c r="C289" s="98"/>
      <c r="D289" s="98"/>
    </row>
    <row r="290" spans="1:4">
      <c r="A290" s="100">
        <f>ROW(Strong_Weakness[[#This Row],[INDEX]])-ROW(Strong_Weakness[[#Headers],[INDEX]])</f>
        <v>289</v>
      </c>
      <c r="B290" s="98" t="str">
        <f>INDEX(Data_Assessment[],MATCH(Strong_Weakness[[#This Row],[INDEX]],Data_Assessment[INDEX],0),MATCH(Strong_Weakness[[#Headers],[NAME]],Data_Assessment[#Headers],0))</f>
        <v>Jumansyah</v>
      </c>
      <c r="C290" s="98"/>
      <c r="D290" s="98"/>
    </row>
    <row r="291" spans="1:4">
      <c r="A291" s="100">
        <f>ROW(Strong_Weakness[[#This Row],[INDEX]])-ROW(Strong_Weakness[[#Headers],[INDEX]])</f>
        <v>290</v>
      </c>
      <c r="B291" s="98" t="str">
        <f>INDEX(Data_Assessment[],MATCH(Strong_Weakness[[#This Row],[INDEX]],Data_Assessment[INDEX],0),MATCH(Strong_Weakness[[#Headers],[NAME]],Data_Assessment[#Headers],0))</f>
        <v>Fitrah Putranda Ramadan</v>
      </c>
      <c r="C291" s="98"/>
      <c r="D291" s="98"/>
    </row>
    <row r="292" spans="1:4">
      <c r="A292" s="100">
        <f>ROW(Strong_Weakness[[#This Row],[INDEX]])-ROW(Strong_Weakness[[#Headers],[INDEX]])</f>
        <v>291</v>
      </c>
      <c r="B292" s="98" t="str">
        <f>INDEX(Data_Assessment[],MATCH(Strong_Weakness[[#This Row],[INDEX]],Data_Assessment[INDEX],0),MATCH(Strong_Weakness[[#Headers],[NAME]],Data_Assessment[#Headers],0))</f>
        <v>Endah Resmiati Madnawidjaja</v>
      </c>
      <c r="C292" s="98"/>
      <c r="D292" s="98"/>
    </row>
    <row r="293" spans="1:4">
      <c r="A293" s="100">
        <f>ROW(Strong_Weakness[[#This Row],[INDEX]])-ROW(Strong_Weakness[[#Headers],[INDEX]])</f>
        <v>292</v>
      </c>
      <c r="B293" s="98" t="str">
        <f>INDEX(Data_Assessment[],MATCH(Strong_Weakness[[#This Row],[INDEX]],Data_Assessment[INDEX],0),MATCH(Strong_Weakness[[#Headers],[NAME]],Data_Assessment[#Headers],0))</f>
        <v>Halima Tusadiah</v>
      </c>
      <c r="C293" s="98"/>
      <c r="D293" s="98"/>
    </row>
    <row r="294" spans="1:4">
      <c r="A294" s="100">
        <f>ROW(Strong_Weakness[[#This Row],[INDEX]])-ROW(Strong_Weakness[[#Headers],[INDEX]])</f>
        <v>293</v>
      </c>
      <c r="B294" s="98" t="str">
        <f>INDEX(Data_Assessment[],MATCH(Strong_Weakness[[#This Row],[INDEX]],Data_Assessment[INDEX],0),MATCH(Strong_Weakness[[#Headers],[NAME]],Data_Assessment[#Headers],0))</f>
        <v>Werdini</v>
      </c>
      <c r="C294" s="98"/>
      <c r="D294" s="98"/>
    </row>
    <row r="295" spans="1:4">
      <c r="A295" s="100">
        <f>ROW(Strong_Weakness[[#This Row],[INDEX]])-ROW(Strong_Weakness[[#Headers],[INDEX]])</f>
        <v>294</v>
      </c>
      <c r="B295" s="98" t="str">
        <f>INDEX(Data_Assessment[],MATCH(Strong_Weakness[[#This Row],[INDEX]],Data_Assessment[INDEX],0),MATCH(Strong_Weakness[[#Headers],[NAME]],Data_Assessment[#Headers],0))</f>
        <v>Eko Budi Prasetyo</v>
      </c>
      <c r="C295" s="98"/>
      <c r="D295" s="98"/>
    </row>
    <row r="296" spans="1:4">
      <c r="A296" s="100">
        <f>ROW(Strong_Weakness[[#This Row],[INDEX]])-ROW(Strong_Weakness[[#Headers],[INDEX]])</f>
        <v>295</v>
      </c>
      <c r="B296" s="98" t="str">
        <f>INDEX(Data_Assessment[],MATCH(Strong_Weakness[[#This Row],[INDEX]],Data_Assessment[INDEX],0),MATCH(Strong_Weakness[[#Headers],[NAME]],Data_Assessment[#Headers],0))</f>
        <v>Kris Hendarjo Setiawan</v>
      </c>
      <c r="C296" s="98"/>
      <c r="D296" s="98"/>
    </row>
    <row r="297" spans="1:4">
      <c r="A297" s="100">
        <f>ROW(Strong_Weakness[[#This Row],[INDEX]])-ROW(Strong_Weakness[[#Headers],[INDEX]])</f>
        <v>296</v>
      </c>
      <c r="B297" s="98" t="str">
        <f>INDEX(Data_Assessment[],MATCH(Strong_Weakness[[#This Row],[INDEX]],Data_Assessment[INDEX],0),MATCH(Strong_Weakness[[#Headers],[NAME]],Data_Assessment[#Headers],0))</f>
        <v>Sungging Agni Bhargo</v>
      </c>
      <c r="C297" s="98"/>
      <c r="D297" s="98"/>
    </row>
    <row r="298" spans="1:4">
      <c r="A298" s="100">
        <f>ROW(Strong_Weakness[[#This Row],[INDEX]])-ROW(Strong_Weakness[[#Headers],[INDEX]])</f>
        <v>297</v>
      </c>
      <c r="B298" s="98" t="str">
        <f>INDEX(Data_Assessment[],MATCH(Strong_Weakness[[#This Row],[INDEX]],Data_Assessment[INDEX],0),MATCH(Strong_Weakness[[#Headers],[NAME]],Data_Assessment[#Headers],0))</f>
        <v>Fadli Munawar</v>
      </c>
      <c r="C298" s="98"/>
      <c r="D298" s="98"/>
    </row>
    <row r="299" spans="1:4">
      <c r="A299" s="100">
        <f>ROW(Strong_Weakness[[#This Row],[INDEX]])-ROW(Strong_Weakness[[#Headers],[INDEX]])</f>
        <v>298</v>
      </c>
      <c r="B299" s="98" t="str">
        <f>INDEX(Data_Assessment[],MATCH(Strong_Weakness[[#This Row],[INDEX]],Data_Assessment[INDEX],0),MATCH(Strong_Weakness[[#Headers],[NAME]],Data_Assessment[#Headers],0))</f>
        <v>Astry Lestari</v>
      </c>
      <c r="C299" s="98"/>
      <c r="D299" s="98"/>
    </row>
    <row r="300" spans="1:4">
      <c r="A300" s="100">
        <f>ROW(Strong_Weakness[[#This Row],[INDEX]])-ROW(Strong_Weakness[[#Headers],[INDEX]])</f>
        <v>299</v>
      </c>
      <c r="B300" s="98" t="str">
        <f>INDEX(Data_Assessment[],MATCH(Strong_Weakness[[#This Row],[INDEX]],Data_Assessment[INDEX],0),MATCH(Strong_Weakness[[#Headers],[NAME]],Data_Assessment[#Headers],0))</f>
        <v>Lusi Marlinda</v>
      </c>
      <c r="C300" s="98"/>
      <c r="D300" s="98"/>
    </row>
    <row r="301" spans="1:4">
      <c r="A301" s="100">
        <f>ROW(Strong_Weakness[[#This Row],[INDEX]])-ROW(Strong_Weakness[[#Headers],[INDEX]])</f>
        <v>300</v>
      </c>
      <c r="B301" s="98" t="str">
        <f>INDEX(Data_Assessment[],MATCH(Strong_Weakness[[#This Row],[INDEX]],Data_Assessment[INDEX],0),MATCH(Strong_Weakness[[#Headers],[NAME]],Data_Assessment[#Headers],0))</f>
        <v>Setyo Arie Wahyudi</v>
      </c>
      <c r="C301" s="98"/>
      <c r="D301" s="98"/>
    </row>
    <row r="302" spans="1:4">
      <c r="A302" s="100">
        <f>ROW(Strong_Weakness[[#This Row],[INDEX]])-ROW(Strong_Weakness[[#Headers],[INDEX]])</f>
        <v>301</v>
      </c>
      <c r="B302" s="98" t="str">
        <f>INDEX(Data_Assessment[],MATCH(Strong_Weakness[[#This Row],[INDEX]],Data_Assessment[INDEX],0),MATCH(Strong_Weakness[[#Headers],[NAME]],Data_Assessment[#Headers],0))</f>
        <v>Susman Haryono</v>
      </c>
      <c r="C302" s="98"/>
      <c r="D302" s="98"/>
    </row>
    <row r="303" spans="1:4">
      <c r="A303" s="100">
        <f>ROW(Strong_Weakness[[#This Row],[INDEX]])-ROW(Strong_Weakness[[#Headers],[INDEX]])</f>
        <v>302</v>
      </c>
      <c r="B303" s="98" t="str">
        <f>INDEX(Data_Assessment[],MATCH(Strong_Weakness[[#This Row],[INDEX]],Data_Assessment[INDEX],0),MATCH(Strong_Weakness[[#Headers],[NAME]],Data_Assessment[#Headers],0))</f>
        <v>Budiman</v>
      </c>
      <c r="C303" s="98"/>
      <c r="D303" s="98"/>
    </row>
    <row r="304" spans="1:4">
      <c r="A304" s="100">
        <f>ROW(Strong_Weakness[[#This Row],[INDEX]])-ROW(Strong_Weakness[[#Headers],[INDEX]])</f>
        <v>303</v>
      </c>
      <c r="B304" s="98" t="str">
        <f>INDEX(Data_Assessment[],MATCH(Strong_Weakness[[#This Row],[INDEX]],Data_Assessment[INDEX],0),MATCH(Strong_Weakness[[#Headers],[NAME]],Data_Assessment[#Headers],0))</f>
        <v>M. Ihsan An Auwali</v>
      </c>
      <c r="C304" s="98"/>
      <c r="D304" s="98"/>
    </row>
    <row r="305" spans="1:4">
      <c r="A305" s="100">
        <f>ROW(Strong_Weakness[[#This Row],[INDEX]])-ROW(Strong_Weakness[[#Headers],[INDEX]])</f>
        <v>304</v>
      </c>
      <c r="B305" s="98" t="str">
        <f>INDEX(Data_Assessment[],MATCH(Strong_Weakness[[#This Row],[INDEX]],Data_Assessment[INDEX],0),MATCH(Strong_Weakness[[#Headers],[NAME]],Data_Assessment[#Headers],0))</f>
        <v>Fransis Fabiana Dj.</v>
      </c>
      <c r="C305" s="98"/>
      <c r="D305" s="98"/>
    </row>
    <row r="306" spans="1:4">
      <c r="A306" s="100">
        <f>ROW(Strong_Weakness[[#This Row],[INDEX]])-ROW(Strong_Weakness[[#Headers],[INDEX]])</f>
        <v>305</v>
      </c>
      <c r="B306" s="98" t="str">
        <f>INDEX(Data_Assessment[],MATCH(Strong_Weakness[[#This Row],[INDEX]],Data_Assessment[INDEX],0),MATCH(Strong_Weakness[[#Headers],[NAME]],Data_Assessment[#Headers],0))</f>
        <v>M. Mahadani Lubis</v>
      </c>
      <c r="C306" s="98"/>
      <c r="D306" s="98"/>
    </row>
    <row r="307" spans="1:4">
      <c r="A307" s="100">
        <f>ROW(Strong_Weakness[[#This Row],[INDEX]])-ROW(Strong_Weakness[[#Headers],[INDEX]])</f>
        <v>306</v>
      </c>
      <c r="B307" s="98" t="str">
        <f>INDEX(Data_Assessment[],MATCH(Strong_Weakness[[#This Row],[INDEX]],Data_Assessment[INDEX],0),MATCH(Strong_Weakness[[#Headers],[NAME]],Data_Assessment[#Headers],0))</f>
        <v>Zarmeini Diana Marga</v>
      </c>
      <c r="C307" s="98"/>
      <c r="D307" s="98"/>
    </row>
    <row r="308" spans="1:4">
      <c r="A308" s="100">
        <f>ROW(Strong_Weakness[[#This Row],[INDEX]])-ROW(Strong_Weakness[[#Headers],[INDEX]])</f>
        <v>307</v>
      </c>
      <c r="B308" s="98" t="str">
        <f>INDEX(Data_Assessment[],MATCH(Strong_Weakness[[#This Row],[INDEX]],Data_Assessment[INDEX],0),MATCH(Strong_Weakness[[#Headers],[NAME]],Data_Assessment[#Headers],0))</f>
        <v>Muhammad Abror</v>
      </c>
      <c r="C308" s="98"/>
      <c r="D308" s="98"/>
    </row>
    <row r="309" spans="1:4">
      <c r="A309" s="100">
        <f>ROW(Strong_Weakness[[#This Row],[INDEX]])-ROW(Strong_Weakness[[#Headers],[INDEX]])</f>
        <v>308</v>
      </c>
      <c r="B309" s="98" t="str">
        <f>INDEX(Data_Assessment[],MATCH(Strong_Weakness[[#This Row],[INDEX]],Data_Assessment[INDEX],0),MATCH(Strong_Weakness[[#Headers],[NAME]],Data_Assessment[#Headers],0))</f>
        <v>Agung Tri Setiawan</v>
      </c>
      <c r="C309" s="98"/>
      <c r="D309" s="98"/>
    </row>
    <row r="310" spans="1:4">
      <c r="A310" s="100">
        <f>ROW(Strong_Weakness[[#This Row],[INDEX]])-ROW(Strong_Weakness[[#Headers],[INDEX]])</f>
        <v>309</v>
      </c>
      <c r="B310" s="98" t="str">
        <f>INDEX(Data_Assessment[],MATCH(Strong_Weakness[[#This Row],[INDEX]],Data_Assessment[INDEX],0),MATCH(Strong_Weakness[[#Headers],[NAME]],Data_Assessment[#Headers],0))</f>
        <v>Emma Suryani Siregar </v>
      </c>
      <c r="C310" s="98"/>
      <c r="D310" s="98"/>
    </row>
    <row r="311" spans="1:4">
      <c r="A311" s="100">
        <f>ROW(Strong_Weakness[[#This Row],[INDEX]])-ROW(Strong_Weakness[[#Headers],[INDEX]])</f>
        <v>310</v>
      </c>
      <c r="B311" s="98" t="str">
        <f>INDEX(Data_Assessment[],MATCH(Strong_Weakness[[#This Row],[INDEX]],Data_Assessment[INDEX],0),MATCH(Strong_Weakness[[#Headers],[NAME]],Data_Assessment[#Headers],0))</f>
        <v>Amalia Tri Kurnia</v>
      </c>
      <c r="C311" s="98"/>
      <c r="D311" s="98"/>
    </row>
    <row r="312" spans="1:4">
      <c r="A312" s="100">
        <f>ROW(Strong_Weakness[[#This Row],[INDEX]])-ROW(Strong_Weakness[[#Headers],[INDEX]])</f>
        <v>311</v>
      </c>
      <c r="B312" s="98" t="str">
        <f>INDEX(Data_Assessment[],MATCH(Strong_Weakness[[#This Row],[INDEX]],Data_Assessment[INDEX],0),MATCH(Strong_Weakness[[#Headers],[NAME]],Data_Assessment[#Headers],0))</f>
        <v>Sangkot</v>
      </c>
      <c r="C312" s="98"/>
      <c r="D312" s="98"/>
    </row>
    <row r="313" spans="1:4">
      <c r="A313" s="100">
        <f>ROW(Strong_Weakness[[#This Row],[INDEX]])-ROW(Strong_Weakness[[#Headers],[INDEX]])</f>
        <v>312</v>
      </c>
      <c r="B313" s="98" t="str">
        <f>INDEX(Data_Assessment[],MATCH(Strong_Weakness[[#This Row],[INDEX]],Data_Assessment[INDEX],0),MATCH(Strong_Weakness[[#Headers],[NAME]],Data_Assessment[#Headers],0))</f>
        <v>Hafni Rahmadani</v>
      </c>
      <c r="C313" s="98"/>
      <c r="D313" s="98"/>
    </row>
    <row r="314" spans="1:4">
      <c r="A314" s="100">
        <f>ROW(Strong_Weakness[[#This Row],[INDEX]])-ROW(Strong_Weakness[[#Headers],[INDEX]])</f>
        <v>313</v>
      </c>
      <c r="B314" s="98" t="str">
        <f>INDEX(Data_Assessment[],MATCH(Strong_Weakness[[#This Row],[INDEX]],Data_Assessment[INDEX],0),MATCH(Strong_Weakness[[#Headers],[NAME]],Data_Assessment[#Headers],0))</f>
        <v>Suhermanto</v>
      </c>
      <c r="C314" s="98"/>
      <c r="D314" s="98"/>
    </row>
    <row r="315" spans="1:4">
      <c r="A315" s="100">
        <f>ROW(Strong_Weakness[[#This Row],[INDEX]])-ROW(Strong_Weakness[[#Headers],[INDEX]])</f>
        <v>314</v>
      </c>
      <c r="B315" s="98" t="str">
        <f>INDEX(Data_Assessment[],MATCH(Strong_Weakness[[#This Row],[INDEX]],Data_Assessment[INDEX],0),MATCH(Strong_Weakness[[#Headers],[NAME]],Data_Assessment[#Headers],0))</f>
        <v>Edi Kurnawan</v>
      </c>
      <c r="C315" s="98"/>
      <c r="D315" s="98"/>
    </row>
    <row r="316" spans="1:4">
      <c r="A316" s="100">
        <f>ROW(Strong_Weakness[[#This Row],[INDEX]])-ROW(Strong_Weakness[[#Headers],[INDEX]])</f>
        <v>315</v>
      </c>
      <c r="B316" s="98" t="str">
        <f>INDEX(Data_Assessment[],MATCH(Strong_Weakness[[#This Row],[INDEX]],Data_Assessment[INDEX],0),MATCH(Strong_Weakness[[#Headers],[NAME]],Data_Assessment[#Headers],0))</f>
        <v>Lise Lisdiyana, Dra.</v>
      </c>
      <c r="C316" s="98"/>
      <c r="D316" s="98"/>
    </row>
    <row r="317" spans="1:4">
      <c r="A317" s="100">
        <f>ROW(Strong_Weakness[[#This Row],[INDEX]])-ROW(Strong_Weakness[[#Headers],[INDEX]])</f>
        <v>316</v>
      </c>
      <c r="B317" s="98" t="str">
        <f>INDEX(Data_Assessment[],MATCH(Strong_Weakness[[#This Row],[INDEX]],Data_Assessment[INDEX],0),MATCH(Strong_Weakness[[#Headers],[NAME]],Data_Assessment[#Headers],0))</f>
        <v>Harry Ericson Iswandar, Ir.</v>
      </c>
      <c r="C317" s="98"/>
      <c r="D317" s="98"/>
    </row>
    <row r="318" spans="1:4">
      <c r="A318" s="100">
        <f>ROW(Strong_Weakness[[#This Row],[INDEX]])-ROW(Strong_Weakness[[#Headers],[INDEX]])</f>
        <v>317</v>
      </c>
      <c r="B318" s="98" t="str">
        <f>INDEX(Data_Assessment[],MATCH(Strong_Weakness[[#This Row],[INDEX]],Data_Assessment[INDEX],0),MATCH(Strong_Weakness[[#Headers],[NAME]],Data_Assessment[#Headers],0))</f>
        <v>Yugo Leonardo</v>
      </c>
      <c r="C318" s="98"/>
      <c r="D318" s="98"/>
    </row>
    <row r="319" spans="1:4">
      <c r="A319" s="100">
        <f>ROW(Strong_Weakness[[#This Row],[INDEX]])-ROW(Strong_Weakness[[#Headers],[INDEX]])</f>
        <v>318</v>
      </c>
      <c r="B319" s="98" t="str">
        <f>INDEX(Data_Assessment[],MATCH(Strong_Weakness[[#This Row],[INDEX]],Data_Assessment[INDEX],0),MATCH(Strong_Weakness[[#Headers],[NAME]],Data_Assessment[#Headers],0))</f>
        <v>Ayu Milani</v>
      </c>
      <c r="C319" s="98"/>
      <c r="D319" s="98"/>
    </row>
    <row r="320" spans="1:4">
      <c r="A320" s="100">
        <f>ROW(Strong_Weakness[[#This Row],[INDEX]])-ROW(Strong_Weakness[[#Headers],[INDEX]])</f>
        <v>319</v>
      </c>
      <c r="B320" s="98" t="str">
        <f>INDEX(Data_Assessment[],MATCH(Strong_Weakness[[#This Row],[INDEX]],Data_Assessment[INDEX],0),MATCH(Strong_Weakness[[#Headers],[NAME]],Data_Assessment[#Headers],0))</f>
        <v>Isna Arianti</v>
      </c>
      <c r="C320" s="98"/>
      <c r="D320" s="98"/>
    </row>
    <row r="321" spans="1:4">
      <c r="A321" s="100">
        <f>ROW(Strong_Weakness[[#This Row],[INDEX]])-ROW(Strong_Weakness[[#Headers],[INDEX]])</f>
        <v>320</v>
      </c>
      <c r="B321" s="98" t="str">
        <f>INDEX(Data_Assessment[],MATCH(Strong_Weakness[[#This Row],[INDEX]],Data_Assessment[INDEX],0),MATCH(Strong_Weakness[[#Headers],[NAME]],Data_Assessment[#Headers],0))</f>
        <v>Olviyani Nasution</v>
      </c>
      <c r="C321" s="98"/>
      <c r="D321" s="98"/>
    </row>
    <row r="322" spans="1:4">
      <c r="A322" s="100">
        <f>ROW(Strong_Weakness[[#This Row],[INDEX]])-ROW(Strong_Weakness[[#Headers],[INDEX]])</f>
        <v>321</v>
      </c>
      <c r="B322" s="98" t="str">
        <f>INDEX(Data_Assessment[],MATCH(Strong_Weakness[[#This Row],[INDEX]],Data_Assessment[INDEX],0),MATCH(Strong_Weakness[[#Headers],[NAME]],Data_Assessment[#Headers],0))</f>
        <v>Abdul Mutholib</v>
      </c>
      <c r="C322" s="98"/>
      <c r="D322" s="98"/>
    </row>
    <row r="323" spans="1:4">
      <c r="A323" s="100">
        <f>ROW(Strong_Weakness[[#This Row],[INDEX]])-ROW(Strong_Weakness[[#Headers],[INDEX]])</f>
        <v>322</v>
      </c>
      <c r="B323" s="98" t="str">
        <f>INDEX(Data_Assessment[],MATCH(Strong_Weakness[[#This Row],[INDEX]],Data_Assessment[INDEX],0),MATCH(Strong_Weakness[[#Headers],[NAME]],Data_Assessment[#Headers],0))</f>
        <v>Intan Purnamasari</v>
      </c>
      <c r="C323" s="98"/>
      <c r="D323" s="98"/>
    </row>
    <row r="324" spans="1:4">
      <c r="A324" s="100">
        <f>ROW(Strong_Weakness[[#This Row],[INDEX]])-ROW(Strong_Weakness[[#Headers],[INDEX]])</f>
        <v>323</v>
      </c>
      <c r="B324" s="98" t="str">
        <f>INDEX(Data_Assessment[],MATCH(Strong_Weakness[[#This Row],[INDEX]],Data_Assessment[INDEX],0),MATCH(Strong_Weakness[[#Headers],[NAME]],Data_Assessment[#Headers],0))</f>
        <v>Himawan Fansuri</v>
      </c>
      <c r="C324" s="98"/>
      <c r="D324" s="98"/>
    </row>
    <row r="325" spans="1:4">
      <c r="A325" s="100">
        <f>ROW(Strong_Weakness[[#This Row],[INDEX]])-ROW(Strong_Weakness[[#Headers],[INDEX]])</f>
        <v>324</v>
      </c>
      <c r="B325" s="98" t="str">
        <f>INDEX(Data_Assessment[],MATCH(Strong_Weakness[[#This Row],[INDEX]],Data_Assessment[INDEX],0),MATCH(Strong_Weakness[[#Headers],[NAME]],Data_Assessment[#Headers],0))</f>
        <v>Joko Handoko Hadi Prasetyo</v>
      </c>
      <c r="C325" s="98"/>
      <c r="D325" s="98"/>
    </row>
    <row r="326" spans="1:4">
      <c r="A326" s="100">
        <f>ROW(Strong_Weakness[[#This Row],[INDEX]])-ROW(Strong_Weakness[[#Headers],[INDEX]])</f>
        <v>325</v>
      </c>
      <c r="B326" s="98" t="str">
        <f>INDEX(Data_Assessment[],MATCH(Strong_Weakness[[#This Row],[INDEX]],Data_Assessment[INDEX],0),MATCH(Strong_Weakness[[#Headers],[NAME]],Data_Assessment[#Headers],0))</f>
        <v>Haratua Ritonga</v>
      </c>
      <c r="C326" s="98"/>
      <c r="D326" s="98"/>
    </row>
    <row r="327" spans="1:4">
      <c r="A327" s="100">
        <f>ROW(Strong_Weakness[[#This Row],[INDEX]])-ROW(Strong_Weakness[[#Headers],[INDEX]])</f>
        <v>326</v>
      </c>
      <c r="B327" s="98" t="str">
        <f>INDEX(Data_Assessment[],MATCH(Strong_Weakness[[#This Row],[INDEX]],Data_Assessment[INDEX],0),MATCH(Strong_Weakness[[#Headers],[NAME]],Data_Assessment[#Headers],0))</f>
        <v>Muna Murnianjari, S.Si</v>
      </c>
      <c r="C327" s="98"/>
      <c r="D327" s="98"/>
    </row>
    <row r="328" spans="1:4">
      <c r="A328" s="100">
        <f>ROW(Strong_Weakness[[#This Row],[INDEX]])-ROW(Strong_Weakness[[#Headers],[INDEX]])</f>
        <v>327</v>
      </c>
      <c r="B328" s="98" t="str">
        <f>INDEX(Data_Assessment[],MATCH(Strong_Weakness[[#This Row],[INDEX]],Data_Assessment[INDEX],0),MATCH(Strong_Weakness[[#Headers],[NAME]],Data_Assessment[#Headers],0))</f>
        <v>Lia Handayani</v>
      </c>
      <c r="C328" s="98"/>
      <c r="D328" s="98"/>
    </row>
    <row r="329" spans="1:4">
      <c r="A329" s="100">
        <f>ROW(Strong_Weakness[[#This Row],[INDEX]])-ROW(Strong_Weakness[[#Headers],[INDEX]])</f>
        <v>328</v>
      </c>
      <c r="B329" s="98" t="str">
        <f>INDEX(Data_Assessment[],MATCH(Strong_Weakness[[#This Row],[INDEX]],Data_Assessment[INDEX],0),MATCH(Strong_Weakness[[#Headers],[NAME]],Data_Assessment[#Headers],0))</f>
        <v>Triningsih</v>
      </c>
      <c r="C329" s="98"/>
      <c r="D329" s="98"/>
    </row>
    <row r="330" spans="1:4">
      <c r="A330" s="100">
        <f>ROW(Strong_Weakness[[#This Row],[INDEX]])-ROW(Strong_Weakness[[#Headers],[INDEX]])</f>
        <v>329</v>
      </c>
      <c r="B330" s="98" t="str">
        <f>INDEX(Data_Assessment[],MATCH(Strong_Weakness[[#This Row],[INDEX]],Data_Assessment[INDEX],0),MATCH(Strong_Weakness[[#Headers],[NAME]],Data_Assessment[#Headers],0))</f>
        <v>Friska Lesmana</v>
      </c>
      <c r="C330" s="98"/>
      <c r="D330" s="98"/>
    </row>
    <row r="331" spans="1:4">
      <c r="A331" s="100">
        <f>ROW(Strong_Weakness[[#This Row],[INDEX]])-ROW(Strong_Weakness[[#Headers],[INDEX]])</f>
        <v>330</v>
      </c>
      <c r="B331" s="98" t="str">
        <f>INDEX(Data_Assessment[],MATCH(Strong_Weakness[[#This Row],[INDEX]],Data_Assessment[INDEX],0),MATCH(Strong_Weakness[[#Headers],[NAME]],Data_Assessment[#Headers],0))</f>
        <v>Hary Nugraha Sugiarto</v>
      </c>
      <c r="C331" s="98"/>
      <c r="D331" s="98"/>
    </row>
    <row r="332" spans="1:4">
      <c r="A332" s="100">
        <f>ROW(Strong_Weakness[[#This Row],[INDEX]])-ROW(Strong_Weakness[[#Headers],[INDEX]])</f>
        <v>331</v>
      </c>
      <c r="B332" s="98" t="str">
        <f>INDEX(Data_Assessment[],MATCH(Strong_Weakness[[#This Row],[INDEX]],Data_Assessment[INDEX],0),MATCH(Strong_Weakness[[#Headers],[NAME]],Data_Assessment[#Headers],0))</f>
        <v>Hendra Surya</v>
      </c>
      <c r="C332" s="98"/>
      <c r="D332" s="98"/>
    </row>
    <row r="333" spans="1:4">
      <c r="A333" s="100">
        <f>ROW(Strong_Weakness[[#This Row],[INDEX]])-ROW(Strong_Weakness[[#Headers],[INDEX]])</f>
        <v>332</v>
      </c>
      <c r="B333" s="98" t="str">
        <f>INDEX(Data_Assessment[],MATCH(Strong_Weakness[[#This Row],[INDEX]],Data_Assessment[INDEX],0),MATCH(Strong_Weakness[[#Headers],[NAME]],Data_Assessment[#Headers],0))</f>
        <v>Angga Premana</v>
      </c>
      <c r="C333" s="98"/>
      <c r="D333" s="98"/>
    </row>
    <row r="334" spans="1:4">
      <c r="A334" s="100">
        <f>ROW(Strong_Weakness[[#This Row],[INDEX]])-ROW(Strong_Weakness[[#Headers],[INDEX]])</f>
        <v>333</v>
      </c>
      <c r="B334" s="98" t="str">
        <f>INDEX(Data_Assessment[],MATCH(Strong_Weakness[[#This Row],[INDEX]],Data_Assessment[INDEX],0),MATCH(Strong_Weakness[[#Headers],[NAME]],Data_Assessment[#Headers],0))</f>
        <v>Nikanor Purba</v>
      </c>
      <c r="C334" s="98"/>
      <c r="D334" s="98"/>
    </row>
    <row r="335" spans="1:4">
      <c r="A335" s="100">
        <f>ROW(Strong_Weakness[[#This Row],[INDEX]])-ROW(Strong_Weakness[[#Headers],[INDEX]])</f>
        <v>334</v>
      </c>
      <c r="B335" s="98" t="str">
        <f>INDEX(Data_Assessment[],MATCH(Strong_Weakness[[#This Row],[INDEX]],Data_Assessment[INDEX],0),MATCH(Strong_Weakness[[#Headers],[NAME]],Data_Assessment[#Headers],0))</f>
        <v>Ivan Andri Harianja</v>
      </c>
      <c r="C335" s="98"/>
      <c r="D335" s="98"/>
    </row>
    <row r="336" spans="1:4">
      <c r="A336" s="100">
        <f>ROW(Strong_Weakness[[#This Row],[INDEX]])-ROW(Strong_Weakness[[#Headers],[INDEX]])</f>
        <v>335</v>
      </c>
      <c r="B336" s="98" t="str">
        <f>INDEX(Data_Assessment[],MATCH(Strong_Weakness[[#This Row],[INDEX]],Data_Assessment[INDEX],0),MATCH(Strong_Weakness[[#Headers],[NAME]],Data_Assessment[#Headers],0))</f>
        <v>Dodi Riyanda</v>
      </c>
      <c r="C336" s="98"/>
      <c r="D336" s="98"/>
    </row>
    <row r="337" spans="1:4">
      <c r="A337" s="100">
        <f>ROW(Strong_Weakness[[#This Row],[INDEX]])-ROW(Strong_Weakness[[#Headers],[INDEX]])</f>
        <v>336</v>
      </c>
      <c r="B337" s="98" t="str">
        <f>INDEX(Data_Assessment[],MATCH(Strong_Weakness[[#This Row],[INDEX]],Data_Assessment[INDEX],0),MATCH(Strong_Weakness[[#Headers],[NAME]],Data_Assessment[#Headers],0))</f>
        <v>Bramandita Silaen</v>
      </c>
      <c r="C337" s="98"/>
      <c r="D337" s="98"/>
    </row>
    <row r="338" spans="1:4">
      <c r="A338" s="100">
        <f>ROW(Strong_Weakness[[#This Row],[INDEX]])-ROW(Strong_Weakness[[#Headers],[INDEX]])</f>
        <v>337</v>
      </c>
      <c r="B338" s="98" t="str">
        <f>INDEX(Data_Assessment[],MATCH(Strong_Weakness[[#This Row],[INDEX]],Data_Assessment[INDEX],0),MATCH(Strong_Weakness[[#Headers],[NAME]],Data_Assessment[#Headers],0))</f>
        <v>Chandra Septian</v>
      </c>
      <c r="C338" s="98"/>
      <c r="D338" s="98"/>
    </row>
    <row r="339" spans="1:4">
      <c r="A339" s="100">
        <f>ROW(Strong_Weakness[[#This Row],[INDEX]])-ROW(Strong_Weakness[[#Headers],[INDEX]])</f>
        <v>338</v>
      </c>
      <c r="B339" s="98" t="str">
        <f>INDEX(Data_Assessment[],MATCH(Strong_Weakness[[#This Row],[INDEX]],Data_Assessment[INDEX],0),MATCH(Strong_Weakness[[#Headers],[NAME]],Data_Assessment[#Headers],0))</f>
        <v>Herman</v>
      </c>
      <c r="C339" s="98"/>
      <c r="D339" s="98"/>
    </row>
    <row r="340" spans="1:4">
      <c r="A340" s="100">
        <f>ROW(Strong_Weakness[[#This Row],[INDEX]])-ROW(Strong_Weakness[[#Headers],[INDEX]])</f>
        <v>339</v>
      </c>
      <c r="B340" s="98" t="str">
        <f>INDEX(Data_Assessment[],MATCH(Strong_Weakness[[#This Row],[INDEX]],Data_Assessment[INDEX],0),MATCH(Strong_Weakness[[#Headers],[NAME]],Data_Assessment[#Headers],0))</f>
        <v>Edy Suprayitno</v>
      </c>
      <c r="C340" s="98"/>
      <c r="D340" s="98"/>
    </row>
    <row r="341" spans="1:4">
      <c r="A341" s="100">
        <f>ROW(Strong_Weakness[[#This Row],[INDEX]])-ROW(Strong_Weakness[[#Headers],[INDEX]])</f>
        <v>340</v>
      </c>
      <c r="B341" s="98" t="str">
        <f>INDEX(Data_Assessment[],MATCH(Strong_Weakness[[#This Row],[INDEX]],Data_Assessment[INDEX],0),MATCH(Strong_Weakness[[#Headers],[NAME]],Data_Assessment[#Headers],0))</f>
        <v>Dimas Hastito Siregar</v>
      </c>
      <c r="C341" s="98"/>
      <c r="D341" s="98"/>
    </row>
    <row r="342" spans="1:4">
      <c r="A342" s="100">
        <f>ROW(Strong_Weakness[[#This Row],[INDEX]])-ROW(Strong_Weakness[[#Headers],[INDEX]])</f>
        <v>341</v>
      </c>
      <c r="B342" s="98" t="str">
        <f>INDEX(Data_Assessment[],MATCH(Strong_Weakness[[#This Row],[INDEX]],Data_Assessment[INDEX],0),MATCH(Strong_Weakness[[#Headers],[NAME]],Data_Assessment[#Headers],0))</f>
        <v>Agustinus K. Wiratama</v>
      </c>
      <c r="C342" s="98"/>
      <c r="D342" s="98"/>
    </row>
    <row r="343" spans="1:4">
      <c r="A343" s="100">
        <f>ROW(Strong_Weakness[[#This Row],[INDEX]])-ROW(Strong_Weakness[[#Headers],[INDEX]])</f>
        <v>342</v>
      </c>
      <c r="B343" s="98" t="str">
        <f>INDEX(Data_Assessment[],MATCH(Strong_Weakness[[#This Row],[INDEX]],Data_Assessment[INDEX],0),MATCH(Strong_Weakness[[#Headers],[NAME]],Data_Assessment[#Headers],0))</f>
        <v>Irfansyah, St Purnama</v>
      </c>
      <c r="C343" s="98"/>
      <c r="D343" s="98"/>
    </row>
    <row r="344" spans="1:4">
      <c r="A344" s="100">
        <f>ROW(Strong_Weakness[[#This Row],[INDEX]])-ROW(Strong_Weakness[[#Headers],[INDEX]])</f>
        <v>343</v>
      </c>
      <c r="B344" s="98" t="str">
        <f>INDEX(Data_Assessment[],MATCH(Strong_Weakness[[#This Row],[INDEX]],Data_Assessment[INDEX],0),MATCH(Strong_Weakness[[#Headers],[NAME]],Data_Assessment[#Headers],0))</f>
        <v>Muhammad Alwan Ryandi Siregar</v>
      </c>
      <c r="C344" s="98"/>
      <c r="D344" s="98"/>
    </row>
    <row r="345" spans="1:4">
      <c r="A345" s="100">
        <f>ROW(Strong_Weakness[[#This Row],[INDEX]])-ROW(Strong_Weakness[[#Headers],[INDEX]])</f>
        <v>344</v>
      </c>
      <c r="B345" s="98" t="str">
        <f>INDEX(Data_Assessment[],MATCH(Strong_Weakness[[#This Row],[INDEX]],Data_Assessment[INDEX],0),MATCH(Strong_Weakness[[#Headers],[NAME]],Data_Assessment[#Headers],0))</f>
        <v>Rina Suzana</v>
      </c>
      <c r="C345" s="98"/>
      <c r="D345" s="98"/>
    </row>
    <row r="346" spans="1:4">
      <c r="A346" s="100">
        <f>ROW(Strong_Weakness[[#This Row],[INDEX]])-ROW(Strong_Weakness[[#Headers],[INDEX]])</f>
        <v>345</v>
      </c>
      <c r="B346" s="98" t="str">
        <f>INDEX(Data_Assessment[],MATCH(Strong_Weakness[[#This Row],[INDEX]],Data_Assessment[INDEX],0),MATCH(Strong_Weakness[[#Headers],[NAME]],Data_Assessment[#Headers],0))</f>
        <v>Rajohan Saragih</v>
      </c>
      <c r="C346" s="98"/>
      <c r="D346" s="98"/>
    </row>
    <row r="347" spans="1:4">
      <c r="A347" s="100">
        <f>ROW(Strong_Weakness[[#This Row],[INDEX]])-ROW(Strong_Weakness[[#Headers],[INDEX]])</f>
        <v>346</v>
      </c>
      <c r="B347" s="98" t="str">
        <f>INDEX(Data_Assessment[],MATCH(Strong_Weakness[[#This Row],[INDEX]],Data_Assessment[INDEX],0),MATCH(Strong_Weakness[[#Headers],[NAME]],Data_Assessment[#Headers],0))</f>
        <v>Jenni Wardi Purba</v>
      </c>
      <c r="C347" s="98"/>
      <c r="D347" s="98"/>
    </row>
    <row r="348" spans="1:4">
      <c r="A348" s="100">
        <f>ROW(Strong_Weakness[[#This Row],[INDEX]])-ROW(Strong_Weakness[[#Headers],[INDEX]])</f>
        <v>347</v>
      </c>
      <c r="B348" s="98" t="str">
        <f>INDEX(Data_Assessment[],MATCH(Strong_Weakness[[#This Row],[INDEX]],Data_Assessment[INDEX],0),MATCH(Strong_Weakness[[#Headers],[NAME]],Data_Assessment[#Headers],0))</f>
        <v>Rusli, SH</v>
      </c>
      <c r="C348" s="98"/>
      <c r="D348" s="98"/>
    </row>
    <row r="349" spans="1:4">
      <c r="A349" s="100">
        <f>ROW(Strong_Weakness[[#This Row],[INDEX]])-ROW(Strong_Weakness[[#Headers],[INDEX]])</f>
        <v>348</v>
      </c>
      <c r="B349" s="98" t="str">
        <f>INDEX(Data_Assessment[],MATCH(Strong_Weakness[[#This Row],[INDEX]],Data_Assessment[INDEX],0),MATCH(Strong_Weakness[[#Headers],[NAME]],Data_Assessment[#Headers],0))</f>
        <v>Roy E. Wicaksono</v>
      </c>
      <c r="C349" s="98"/>
      <c r="D349" s="98"/>
    </row>
    <row r="350" spans="1:4">
      <c r="A350" s="100">
        <f>ROW(Strong_Weakness[[#This Row],[INDEX]])-ROW(Strong_Weakness[[#Headers],[INDEX]])</f>
        <v>349</v>
      </c>
      <c r="B350" s="98" t="str">
        <f>INDEX(Data_Assessment[],MATCH(Strong_Weakness[[#This Row],[INDEX]],Data_Assessment[INDEX],0),MATCH(Strong_Weakness[[#Headers],[NAME]],Data_Assessment[#Headers],0))</f>
        <v>Mirza Dhika Ginta Surbakti</v>
      </c>
      <c r="C350" s="98"/>
      <c r="D350" s="98"/>
    </row>
    <row r="351" spans="1:4">
      <c r="A351" s="100">
        <f>ROW(Strong_Weakness[[#This Row],[INDEX]])-ROW(Strong_Weakness[[#Headers],[INDEX]])</f>
        <v>350</v>
      </c>
      <c r="B351" s="98" t="str">
        <f>INDEX(Data_Assessment[],MATCH(Strong_Weakness[[#This Row],[INDEX]],Data_Assessment[INDEX],0),MATCH(Strong_Weakness[[#Headers],[NAME]],Data_Assessment[#Headers],0))</f>
        <v>Taty Dwie Setya Nasution</v>
      </c>
      <c r="C351" s="98"/>
      <c r="D351" s="98"/>
    </row>
    <row r="352" spans="1:4">
      <c r="A352" s="100">
        <f>ROW(Strong_Weakness[[#This Row],[INDEX]])-ROW(Strong_Weakness[[#Headers],[INDEX]])</f>
        <v>351</v>
      </c>
      <c r="B352" s="98" t="str">
        <f>INDEX(Data_Assessment[],MATCH(Strong_Weakness[[#This Row],[INDEX]],Data_Assessment[INDEX],0),MATCH(Strong_Weakness[[#Headers],[NAME]],Data_Assessment[#Headers],0))</f>
        <v>Tony Thamrin</v>
      </c>
      <c r="C352" s="98"/>
      <c r="D352" s="98"/>
    </row>
    <row r="353" spans="1:4">
      <c r="A353" s="100">
        <f>ROW(Strong_Weakness[[#This Row],[INDEX]])-ROW(Strong_Weakness[[#Headers],[INDEX]])</f>
        <v>352</v>
      </c>
      <c r="B353" s="98" t="str">
        <f>INDEX(Data_Assessment[],MATCH(Strong_Weakness[[#This Row],[INDEX]],Data_Assessment[INDEX],0),MATCH(Strong_Weakness[[#Headers],[NAME]],Data_Assessment[#Headers],0))</f>
        <v>Melkias Bernandes Manik</v>
      </c>
      <c r="C353" s="98"/>
      <c r="D353" s="98"/>
    </row>
    <row r="354" spans="1:4">
      <c r="A354" s="100">
        <f>ROW(Strong_Weakness[[#This Row],[INDEX]])-ROW(Strong_Weakness[[#Headers],[INDEX]])</f>
        <v>353</v>
      </c>
      <c r="B354" s="98" t="str">
        <f>INDEX(Data_Assessment[],MATCH(Strong_Weakness[[#This Row],[INDEX]],Data_Assessment[INDEX],0),MATCH(Strong_Weakness[[#Headers],[NAME]],Data_Assessment[#Headers],0))</f>
        <v>Daniel Ortega Purba</v>
      </c>
      <c r="C354" s="98"/>
      <c r="D354" s="98"/>
    </row>
    <row r="355" spans="1:4">
      <c r="A355" s="100">
        <f>ROW(Strong_Weakness[[#This Row],[INDEX]])-ROW(Strong_Weakness[[#Headers],[INDEX]])</f>
        <v>354</v>
      </c>
      <c r="B355" s="98" t="str">
        <f>INDEX(Data_Assessment[],MATCH(Strong_Weakness[[#This Row],[INDEX]],Data_Assessment[INDEX],0),MATCH(Strong_Weakness[[#Headers],[NAME]],Data_Assessment[#Headers],0))</f>
        <v>Feri Susanto</v>
      </c>
      <c r="C355" s="98"/>
      <c r="D355" s="98"/>
    </row>
    <row r="356" spans="1:4">
      <c r="A356" s="100">
        <f>ROW(Strong_Weakness[[#This Row],[INDEX]])-ROW(Strong_Weakness[[#Headers],[INDEX]])</f>
        <v>355</v>
      </c>
      <c r="B356" s="98" t="str">
        <f>INDEX(Data_Assessment[],MATCH(Strong_Weakness[[#This Row],[INDEX]],Data_Assessment[INDEX],0),MATCH(Strong_Weakness[[#Headers],[NAME]],Data_Assessment[#Headers],0))</f>
        <v>Wahyu Nofiyanto</v>
      </c>
      <c r="C356" s="98"/>
      <c r="D356" s="98"/>
    </row>
    <row r="357" spans="1:4">
      <c r="A357" s="100">
        <f>ROW(Strong_Weakness[[#This Row],[INDEX]])-ROW(Strong_Weakness[[#Headers],[INDEX]])</f>
        <v>356</v>
      </c>
      <c r="B357" s="98" t="str">
        <f>INDEX(Data_Assessment[],MATCH(Strong_Weakness[[#This Row],[INDEX]],Data_Assessment[INDEX],0),MATCH(Strong_Weakness[[#Headers],[NAME]],Data_Assessment[#Headers],0))</f>
        <v>Harry Prasetyo</v>
      </c>
      <c r="C357" s="98"/>
      <c r="D357" s="98"/>
    </row>
    <row r="358" spans="1:4">
      <c r="A358" s="100">
        <f>ROW(Strong_Weakness[[#This Row],[INDEX]])-ROW(Strong_Weakness[[#Headers],[INDEX]])</f>
        <v>357</v>
      </c>
      <c r="B358" s="98" t="str">
        <f>INDEX(Data_Assessment[],MATCH(Strong_Weakness[[#This Row],[INDEX]],Data_Assessment[INDEX],0),MATCH(Strong_Weakness[[#Headers],[NAME]],Data_Assessment[#Headers],0))</f>
        <v>Muhammad Arif</v>
      </c>
      <c r="C358" s="98"/>
      <c r="D358" s="98"/>
    </row>
    <row r="359" spans="1:4">
      <c r="A359" s="100">
        <f>ROW(Strong_Weakness[[#This Row],[INDEX]])-ROW(Strong_Weakness[[#Headers],[INDEX]])</f>
        <v>358</v>
      </c>
      <c r="B359" s="98" t="str">
        <f>INDEX(Data_Assessment[],MATCH(Strong_Weakness[[#This Row],[INDEX]],Data_Assessment[INDEX],0),MATCH(Strong_Weakness[[#Headers],[NAME]],Data_Assessment[#Headers],0))</f>
        <v>A.S.Sundiono</v>
      </c>
      <c r="C359" s="98"/>
      <c r="D359" s="98"/>
    </row>
    <row r="360" spans="1:4">
      <c r="A360" s="100">
        <f>ROW(Strong_Weakness[[#This Row],[INDEX]])-ROW(Strong_Weakness[[#Headers],[INDEX]])</f>
        <v>359</v>
      </c>
      <c r="B360" s="98" t="str">
        <f>INDEX(Data_Assessment[],MATCH(Strong_Weakness[[#This Row],[INDEX]],Data_Assessment[INDEX],0),MATCH(Strong_Weakness[[#Headers],[NAME]],Data_Assessment[#Headers],0))</f>
        <v>Jefri Rahmadani</v>
      </c>
      <c r="C360" s="98"/>
      <c r="D360" s="98"/>
    </row>
    <row r="361" spans="1:4">
      <c r="A361" s="100">
        <f>ROW(Strong_Weakness[[#This Row],[INDEX]])-ROW(Strong_Weakness[[#Headers],[INDEX]])</f>
        <v>360</v>
      </c>
      <c r="B361" s="98" t="str">
        <f>INDEX(Data_Assessment[],MATCH(Strong_Weakness[[#This Row],[INDEX]],Data_Assessment[INDEX],0),MATCH(Strong_Weakness[[#Headers],[NAME]],Data_Assessment[#Headers],0))</f>
        <v>Agustian Syahputra</v>
      </c>
      <c r="C361" s="98"/>
      <c r="D361" s="98"/>
    </row>
    <row r="362" spans="1:4">
      <c r="A362" s="100">
        <f>ROW(Strong_Weakness[[#This Row],[INDEX]])-ROW(Strong_Weakness[[#Headers],[INDEX]])</f>
        <v>361</v>
      </c>
      <c r="B362" s="98" t="str">
        <f>INDEX(Data_Assessment[],MATCH(Strong_Weakness[[#This Row],[INDEX]],Data_Assessment[INDEX],0),MATCH(Strong_Weakness[[#Headers],[NAME]],Data_Assessment[#Headers],0))</f>
        <v>Jenny Hotnida Simanjuntak</v>
      </c>
      <c r="C362" s="98"/>
      <c r="D362" s="98"/>
    </row>
    <row r="363" spans="1:4">
      <c r="A363" s="100">
        <f>ROW(Strong_Weakness[[#This Row],[INDEX]])-ROW(Strong_Weakness[[#Headers],[INDEX]])</f>
        <v>362</v>
      </c>
      <c r="B363" s="98" t="str">
        <f>INDEX(Data_Assessment[],MATCH(Strong_Weakness[[#This Row],[INDEX]],Data_Assessment[INDEX],0),MATCH(Strong_Weakness[[#Headers],[NAME]],Data_Assessment[#Headers],0))</f>
        <v>Yudhi Libriadianny</v>
      </c>
      <c r="C363" s="98"/>
      <c r="D363" s="98"/>
    </row>
    <row r="364" spans="1:4">
      <c r="A364" s="100">
        <f>ROW(Strong_Weakness[[#This Row],[INDEX]])-ROW(Strong_Weakness[[#Headers],[INDEX]])</f>
        <v>363</v>
      </c>
      <c r="B364" s="98" t="str">
        <f>INDEX(Data_Assessment[],MATCH(Strong_Weakness[[#This Row],[INDEX]],Data_Assessment[INDEX],0),MATCH(Strong_Weakness[[#Headers],[NAME]],Data_Assessment[#Headers],0))</f>
        <v>Adi Syahputra</v>
      </c>
      <c r="C364" s="98"/>
      <c r="D364" s="98"/>
    </row>
    <row r="365" spans="1:4">
      <c r="A365" s="100">
        <f>ROW(Strong_Weakness[[#This Row],[INDEX]])-ROW(Strong_Weakness[[#Headers],[INDEX]])</f>
        <v>364</v>
      </c>
      <c r="B365" s="98" t="str">
        <f>INDEX(Data_Assessment[],MATCH(Strong_Weakness[[#This Row],[INDEX]],Data_Assessment[INDEX],0),MATCH(Strong_Weakness[[#Headers],[NAME]],Data_Assessment[#Headers],0))</f>
        <v>M Yudha Pratama</v>
      </c>
      <c r="C365" s="98"/>
      <c r="D365" s="98"/>
    </row>
    <row r="366" spans="1:4">
      <c r="A366" s="100">
        <f>ROW(Strong_Weakness[[#This Row],[INDEX]])-ROW(Strong_Weakness[[#Headers],[INDEX]])</f>
        <v>365</v>
      </c>
      <c r="B366" s="98" t="str">
        <f>INDEX(Data_Assessment[],MATCH(Strong_Weakness[[#This Row],[INDEX]],Data_Assessment[INDEX],0),MATCH(Strong_Weakness[[#Headers],[NAME]],Data_Assessment[#Headers],0))</f>
        <v>Iswandra</v>
      </c>
      <c r="C366" s="98"/>
      <c r="D366" s="98"/>
    </row>
    <row r="367" spans="1:4">
      <c r="A367" s="100">
        <f>ROW(Strong_Weakness[[#This Row],[INDEX]])-ROW(Strong_Weakness[[#Headers],[INDEX]])</f>
        <v>366</v>
      </c>
      <c r="B367" s="98" t="str">
        <f>INDEX(Data_Assessment[],MATCH(Strong_Weakness[[#This Row],[INDEX]],Data_Assessment[INDEX],0),MATCH(Strong_Weakness[[#Headers],[NAME]],Data_Assessment[#Headers],0))</f>
        <v>Hasby Ariandi</v>
      </c>
      <c r="C367" s="98"/>
      <c r="D367" s="98"/>
    </row>
    <row r="368" spans="1:4">
      <c r="A368" s="100">
        <f>ROW(Strong_Weakness[[#This Row],[INDEX]])-ROW(Strong_Weakness[[#Headers],[INDEX]])</f>
        <v>367</v>
      </c>
      <c r="B368" s="98" t="str">
        <f>INDEX(Data_Assessment[],MATCH(Strong_Weakness[[#This Row],[INDEX]],Data_Assessment[INDEX],0),MATCH(Strong_Weakness[[#Headers],[NAME]],Data_Assessment[#Headers],0))</f>
        <v>Surya Agus Irawan</v>
      </c>
      <c r="C368" s="98"/>
      <c r="D368" s="98"/>
    </row>
    <row r="369" spans="1:4">
      <c r="A369" s="100">
        <f>ROW(Strong_Weakness[[#This Row],[INDEX]])-ROW(Strong_Weakness[[#Headers],[INDEX]])</f>
        <v>368</v>
      </c>
      <c r="B369" s="98" t="str">
        <f>INDEX(Data_Assessment[],MATCH(Strong_Weakness[[#This Row],[INDEX]],Data_Assessment[INDEX],0),MATCH(Strong_Weakness[[#Headers],[NAME]],Data_Assessment[#Headers],0))</f>
        <v>Tonton M. Piskariyanto</v>
      </c>
      <c r="C369" s="98"/>
      <c r="D369" s="98"/>
    </row>
    <row r="370" spans="1:4">
      <c r="A370" s="100">
        <f>ROW(Strong_Weakness[[#This Row],[INDEX]])-ROW(Strong_Weakness[[#Headers],[INDEX]])</f>
        <v>369</v>
      </c>
      <c r="B370" s="98" t="str">
        <f>INDEX(Data_Assessment[],MATCH(Strong_Weakness[[#This Row],[INDEX]],Data_Assessment[INDEX],0),MATCH(Strong_Weakness[[#Headers],[NAME]],Data_Assessment[#Headers],0))</f>
        <v>Dedi Sahputra Hutabarat</v>
      </c>
      <c r="C370" s="98"/>
      <c r="D370" s="98"/>
    </row>
    <row r="371" spans="1:4">
      <c r="A371" s="100">
        <f>ROW(Strong_Weakness[[#This Row],[INDEX]])-ROW(Strong_Weakness[[#Headers],[INDEX]])</f>
        <v>370</v>
      </c>
      <c r="B371" s="98" t="str">
        <f>INDEX(Data_Assessment[],MATCH(Strong_Weakness[[#This Row],[INDEX]],Data_Assessment[INDEX],0),MATCH(Strong_Weakness[[#Headers],[NAME]],Data_Assessment[#Headers],0))</f>
        <v>Manur Hutahaean</v>
      </c>
      <c r="C371" s="98"/>
      <c r="D371" s="98"/>
    </row>
    <row r="372" spans="1:4">
      <c r="A372" s="100">
        <f>ROW(Strong_Weakness[[#This Row],[INDEX]])-ROW(Strong_Weakness[[#Headers],[INDEX]])</f>
        <v>371</v>
      </c>
      <c r="B372" s="98" t="str">
        <f>INDEX(Data_Assessment[],MATCH(Strong_Weakness[[#This Row],[INDEX]],Data_Assessment[INDEX],0),MATCH(Strong_Weakness[[#Headers],[NAME]],Data_Assessment[#Headers],0))</f>
        <v>Andi Suranta Meliala</v>
      </c>
      <c r="C372" s="98"/>
      <c r="D372" s="98"/>
    </row>
    <row r="373" spans="1:4">
      <c r="A373" s="100">
        <f>ROW(Strong_Weakness[[#This Row],[INDEX]])-ROW(Strong_Weakness[[#Headers],[INDEX]])</f>
        <v>372</v>
      </c>
      <c r="B373" s="98" t="str">
        <f>INDEX(Data_Assessment[],MATCH(Strong_Weakness[[#This Row],[INDEX]],Data_Assessment[INDEX],0),MATCH(Strong_Weakness[[#Headers],[NAME]],Data_Assessment[#Headers],0))</f>
        <v>Benyamin Suwito Rahardjo</v>
      </c>
      <c r="C373" s="98"/>
      <c r="D373" s="98"/>
    </row>
    <row r="374" spans="1:4">
      <c r="A374" s="100">
        <f>ROW(Strong_Weakness[[#This Row],[INDEX]])-ROW(Strong_Weakness[[#Headers],[INDEX]])</f>
        <v>373</v>
      </c>
      <c r="B374" s="98" t="str">
        <f>INDEX(Data_Assessment[],MATCH(Strong_Weakness[[#This Row],[INDEX]],Data_Assessment[INDEX],0),MATCH(Strong_Weakness[[#Headers],[NAME]],Data_Assessment[#Headers],0))</f>
        <v>Erasio Akbar</v>
      </c>
      <c r="C374" s="98"/>
      <c r="D374" s="98"/>
    </row>
    <row r="375" spans="1:4">
      <c r="A375" s="100">
        <f>ROW(Strong_Weakness[[#This Row],[INDEX]])-ROW(Strong_Weakness[[#Headers],[INDEX]])</f>
        <v>374</v>
      </c>
      <c r="B375" s="98" t="str">
        <f>INDEX(Data_Assessment[],MATCH(Strong_Weakness[[#This Row],[INDEX]],Data_Assessment[INDEX],0),MATCH(Strong_Weakness[[#Headers],[NAME]],Data_Assessment[#Headers],0))</f>
        <v>Nanang Budi Istiyanto</v>
      </c>
      <c r="C375" s="98"/>
      <c r="D375" s="98"/>
    </row>
    <row r="376" spans="1:4">
      <c r="A376" s="100">
        <f>ROW(Strong_Weakness[[#This Row],[INDEX]])-ROW(Strong_Weakness[[#Headers],[INDEX]])</f>
        <v>375</v>
      </c>
      <c r="B376" s="98" t="str">
        <f>INDEX(Data_Assessment[],MATCH(Strong_Weakness[[#This Row],[INDEX]],Data_Assessment[INDEX],0),MATCH(Strong_Weakness[[#Headers],[NAME]],Data_Assessment[#Headers],0))</f>
        <v>Rudolf Van Hallen Harianja</v>
      </c>
      <c r="C376" s="98"/>
      <c r="D376" s="98"/>
    </row>
    <row r="377" spans="1:4">
      <c r="A377" s="100">
        <f>ROW(Strong_Weakness[[#This Row],[INDEX]])-ROW(Strong_Weakness[[#Headers],[INDEX]])</f>
        <v>376</v>
      </c>
      <c r="B377" s="98" t="str">
        <f>INDEX(Data_Assessment[],MATCH(Strong_Weakness[[#This Row],[INDEX]],Data_Assessment[INDEX],0),MATCH(Strong_Weakness[[#Headers],[NAME]],Data_Assessment[#Headers],0))</f>
        <v>Tani Cipto Nugroho</v>
      </c>
      <c r="C377" s="98"/>
      <c r="D377" s="98"/>
    </row>
    <row r="378" spans="1:4">
      <c r="A378" s="100">
        <f>ROW(Strong_Weakness[[#This Row],[INDEX]])-ROW(Strong_Weakness[[#Headers],[INDEX]])</f>
        <v>377</v>
      </c>
      <c r="B378" s="98" t="str">
        <f>INDEX(Data_Assessment[],MATCH(Strong_Weakness[[#This Row],[INDEX]],Data_Assessment[INDEX],0),MATCH(Strong_Weakness[[#Headers],[NAME]],Data_Assessment[#Headers],0))</f>
        <v>Rizki Hamdani Nasution</v>
      </c>
      <c r="C378" s="98"/>
      <c r="D378" s="98"/>
    </row>
    <row r="379" spans="1:4">
      <c r="A379" s="100">
        <f>ROW(Strong_Weakness[[#This Row],[INDEX]])-ROW(Strong_Weakness[[#Headers],[INDEX]])</f>
        <v>378</v>
      </c>
      <c r="B379" s="98" t="str">
        <f>INDEX(Data_Assessment[],MATCH(Strong_Weakness[[#This Row],[INDEX]],Data_Assessment[INDEX],0),MATCH(Strong_Weakness[[#Headers],[NAME]],Data_Assessment[#Headers],0))</f>
        <v>Anton Heryudhanto</v>
      </c>
      <c r="C379" s="98"/>
      <c r="D379" s="98"/>
    </row>
    <row r="380" spans="1:4">
      <c r="A380" s="100">
        <f>ROW(Strong_Weakness[[#This Row],[INDEX]])-ROW(Strong_Weakness[[#Headers],[INDEX]])</f>
        <v>379</v>
      </c>
      <c r="B380" s="98" t="str">
        <f>INDEX(Data_Assessment[],MATCH(Strong_Weakness[[#This Row],[INDEX]],Data_Assessment[INDEX],0),MATCH(Strong_Weakness[[#Headers],[NAME]],Data_Assessment[#Headers],0))</f>
        <v>Diki Prasetyo</v>
      </c>
      <c r="C380" s="98"/>
      <c r="D380" s="98"/>
    </row>
    <row r="381" spans="1:4">
      <c r="A381" s="100">
        <f>ROW(Strong_Weakness[[#This Row],[INDEX]])-ROW(Strong_Weakness[[#Headers],[INDEX]])</f>
        <v>380</v>
      </c>
      <c r="B381" s="98" t="str">
        <f>INDEX(Data_Assessment[],MATCH(Strong_Weakness[[#This Row],[INDEX]],Data_Assessment[INDEX],0),MATCH(Strong_Weakness[[#Headers],[NAME]],Data_Assessment[#Headers],0))</f>
        <v>Benny Chandra</v>
      </c>
      <c r="C381" s="98"/>
      <c r="D381" s="98"/>
    </row>
    <row r="382" spans="1:4">
      <c r="A382" s="100">
        <f>ROW(Strong_Weakness[[#This Row],[INDEX]])-ROW(Strong_Weakness[[#Headers],[INDEX]])</f>
        <v>381</v>
      </c>
      <c r="B382" s="98" t="str">
        <f>INDEX(Data_Assessment[],MATCH(Strong_Weakness[[#This Row],[INDEX]],Data_Assessment[INDEX],0),MATCH(Strong_Weakness[[#Headers],[NAME]],Data_Assessment[#Headers],0))</f>
        <v>Do'a Suryanto Taupik</v>
      </c>
      <c r="C382" s="98"/>
      <c r="D382" s="98"/>
    </row>
    <row r="383" spans="1:4">
      <c r="A383" s="100">
        <f>ROW(Strong_Weakness[[#This Row],[INDEX]])-ROW(Strong_Weakness[[#Headers],[INDEX]])</f>
        <v>382</v>
      </c>
      <c r="B383" s="98" t="str">
        <f>INDEX(Data_Assessment[],MATCH(Strong_Weakness[[#This Row],[INDEX]],Data_Assessment[INDEX],0),MATCH(Strong_Weakness[[#Headers],[NAME]],Data_Assessment[#Headers],0))</f>
        <v>Danilast</v>
      </c>
      <c r="C383" s="98"/>
      <c r="D383" s="98"/>
    </row>
    <row r="384" spans="1:4">
      <c r="A384" s="100">
        <f>ROW(Strong_Weakness[[#This Row],[INDEX]])-ROW(Strong_Weakness[[#Headers],[INDEX]])</f>
        <v>383</v>
      </c>
      <c r="B384" s="98" t="str">
        <f>INDEX(Data_Assessment[],MATCH(Strong_Weakness[[#This Row],[INDEX]],Data_Assessment[INDEX],0),MATCH(Strong_Weakness[[#Headers],[NAME]],Data_Assessment[#Headers],0))</f>
        <v>Muhammad Ikhsan Maulana Lubis</v>
      </c>
      <c r="C384" s="98"/>
      <c r="D384" s="98"/>
    </row>
    <row r="385" spans="1:4">
      <c r="A385" s="100">
        <f>ROW(Strong_Weakness[[#This Row],[INDEX]])-ROW(Strong_Weakness[[#Headers],[INDEX]])</f>
        <v>384</v>
      </c>
      <c r="B385" s="98" t="str">
        <f>INDEX(Data_Assessment[],MATCH(Strong_Weakness[[#This Row],[INDEX]],Data_Assessment[INDEX],0),MATCH(Strong_Weakness[[#Headers],[NAME]],Data_Assessment[#Headers],0))</f>
        <v>Soni Saputra, Spi</v>
      </c>
      <c r="C385" s="98"/>
      <c r="D385" s="98"/>
    </row>
    <row r="386" spans="1:4">
      <c r="A386" s="100">
        <f>ROW(Strong_Weakness[[#This Row],[INDEX]])-ROW(Strong_Weakness[[#Headers],[INDEX]])</f>
        <v>385</v>
      </c>
      <c r="B386" s="98" t="str">
        <f>INDEX(Data_Assessment[],MATCH(Strong_Weakness[[#This Row],[INDEX]],Data_Assessment[INDEX],0),MATCH(Strong_Weakness[[#Headers],[NAME]],Data_Assessment[#Headers],0))</f>
        <v>Benrus Hollom Saragih</v>
      </c>
      <c r="C386" s="98"/>
      <c r="D386" s="98"/>
    </row>
    <row r="387" spans="1:4">
      <c r="A387" s="100">
        <f>ROW(Strong_Weakness[[#This Row],[INDEX]])-ROW(Strong_Weakness[[#Headers],[INDEX]])</f>
        <v>386</v>
      </c>
      <c r="B387" s="98" t="str">
        <f>INDEX(Data_Assessment[],MATCH(Strong_Weakness[[#This Row],[INDEX]],Data_Assessment[INDEX],0),MATCH(Strong_Weakness[[#Headers],[NAME]],Data_Assessment[#Headers],0))</f>
        <v>Yuliana</v>
      </c>
      <c r="C387" s="98"/>
      <c r="D387" s="98"/>
    </row>
    <row r="388" spans="1:4">
      <c r="A388" s="100">
        <f>ROW(Strong_Weakness[[#This Row],[INDEX]])-ROW(Strong_Weakness[[#Headers],[INDEX]])</f>
        <v>387</v>
      </c>
      <c r="B388" s="98" t="str">
        <f>INDEX(Data_Assessment[],MATCH(Strong_Weakness[[#This Row],[INDEX]],Data_Assessment[INDEX],0),MATCH(Strong_Weakness[[#Headers],[NAME]],Data_Assessment[#Headers],0))</f>
        <v>Syndu Dwiki Arisandi</v>
      </c>
      <c r="C388" s="98"/>
      <c r="D388" s="98"/>
    </row>
    <row r="389" spans="1:4">
      <c r="A389" s="100">
        <f>ROW(Strong_Weakness[[#This Row],[INDEX]])-ROW(Strong_Weakness[[#Headers],[INDEX]])</f>
        <v>388</v>
      </c>
      <c r="B389" s="98" t="str">
        <f>INDEX(Data_Assessment[],MATCH(Strong_Weakness[[#This Row],[INDEX]],Data_Assessment[INDEX],0),MATCH(Strong_Weakness[[#Headers],[NAME]],Data_Assessment[#Headers],0))</f>
        <v>Albert Oktapianus Silaban</v>
      </c>
      <c r="C389" s="98"/>
      <c r="D389" s="98"/>
    </row>
    <row r="390" spans="1:4">
      <c r="A390" s="100">
        <f>ROW(Strong_Weakness[[#This Row],[INDEX]])-ROW(Strong_Weakness[[#Headers],[INDEX]])</f>
        <v>389</v>
      </c>
      <c r="B390" s="98" t="str">
        <f>INDEX(Data_Assessment[],MATCH(Strong_Weakness[[#This Row],[INDEX]],Data_Assessment[INDEX],0),MATCH(Strong_Weakness[[#Headers],[NAME]],Data_Assessment[#Headers],0))</f>
        <v>Wira Mustafa</v>
      </c>
      <c r="C390" s="98"/>
      <c r="D390" s="98"/>
    </row>
    <row r="391" spans="1:4">
      <c r="A391" s="100">
        <f>ROW(Strong_Weakness[[#This Row],[INDEX]])-ROW(Strong_Weakness[[#Headers],[INDEX]])</f>
        <v>390</v>
      </c>
      <c r="B391" s="98" t="str">
        <f>INDEX(Data_Assessment[],MATCH(Strong_Weakness[[#This Row],[INDEX]],Data_Assessment[INDEX],0),MATCH(Strong_Weakness[[#Headers],[NAME]],Data_Assessment[#Headers],0))</f>
        <v>Amriliadi Bintang Sopandi</v>
      </c>
      <c r="C391" s="98"/>
      <c r="D391" s="98"/>
    </row>
    <row r="392" spans="1:4">
      <c r="A392" s="100">
        <f>ROW(Strong_Weakness[[#This Row],[INDEX]])-ROW(Strong_Weakness[[#Headers],[INDEX]])</f>
        <v>391</v>
      </c>
      <c r="B392" s="98" t="str">
        <f>INDEX(Data_Assessment[],MATCH(Strong_Weakness[[#This Row],[INDEX]],Data_Assessment[INDEX],0),MATCH(Strong_Weakness[[#Headers],[NAME]],Data_Assessment[#Headers],0))</f>
        <v>Rudi Gunarso, SP</v>
      </c>
      <c r="C392" s="98"/>
      <c r="D392" s="98"/>
    </row>
    <row r="393" spans="1:4">
      <c r="A393" s="100">
        <f>ROW(Strong_Weakness[[#This Row],[INDEX]])-ROW(Strong_Weakness[[#Headers],[INDEX]])</f>
        <v>392</v>
      </c>
      <c r="B393" s="98" t="str">
        <f>INDEX(Data_Assessment[],MATCH(Strong_Weakness[[#This Row],[INDEX]],Data_Assessment[INDEX],0),MATCH(Strong_Weakness[[#Headers],[NAME]],Data_Assessment[#Headers],0))</f>
        <v>Daniel Karel G. Warouw</v>
      </c>
      <c r="C393" s="98"/>
      <c r="D393" s="98"/>
    </row>
    <row r="394" spans="1:4">
      <c r="A394" s="100">
        <f>ROW(Strong_Weakness[[#This Row],[INDEX]])-ROW(Strong_Weakness[[#Headers],[INDEX]])</f>
        <v>393</v>
      </c>
      <c r="B394" s="98" t="str">
        <f>INDEX(Data_Assessment[],MATCH(Strong_Weakness[[#This Row],[INDEX]],Data_Assessment[INDEX],0),MATCH(Strong_Weakness[[#Headers],[NAME]],Data_Assessment[#Headers],0))</f>
        <v>Yohanes Karni</v>
      </c>
      <c r="C394" s="98"/>
      <c r="D394" s="98"/>
    </row>
    <row r="395" spans="1:4">
      <c r="A395" s="100">
        <f>ROW(Strong_Weakness[[#This Row],[INDEX]])-ROW(Strong_Weakness[[#Headers],[INDEX]])</f>
        <v>394</v>
      </c>
      <c r="B395" s="98" t="str">
        <f>INDEX(Data_Assessment[],MATCH(Strong_Weakness[[#This Row],[INDEX]],Data_Assessment[INDEX],0),MATCH(Strong_Weakness[[#Headers],[NAME]],Data_Assessment[#Headers],0))</f>
        <v>Choirul May Affandi Siregar</v>
      </c>
      <c r="C395" s="98"/>
      <c r="D395" s="98"/>
    </row>
    <row r="396" spans="1:4">
      <c r="A396" s="100">
        <f>ROW(Strong_Weakness[[#This Row],[INDEX]])-ROW(Strong_Weakness[[#Headers],[INDEX]])</f>
        <v>395</v>
      </c>
      <c r="B396" s="98" t="str">
        <f>INDEX(Data_Assessment[],MATCH(Strong_Weakness[[#This Row],[INDEX]],Data_Assessment[INDEX],0),MATCH(Strong_Weakness[[#Headers],[NAME]],Data_Assessment[#Headers],0))</f>
        <v>Dharmawan</v>
      </c>
      <c r="C396" s="98"/>
      <c r="D396" s="98"/>
    </row>
    <row r="397" spans="1:4">
      <c r="A397" s="100">
        <f>ROW(Strong_Weakness[[#This Row],[INDEX]])-ROW(Strong_Weakness[[#Headers],[INDEX]])</f>
        <v>396</v>
      </c>
      <c r="B397" s="98" t="str">
        <f>INDEX(Data_Assessment[],MATCH(Strong_Weakness[[#This Row],[INDEX]],Data_Assessment[INDEX],0),MATCH(Strong_Weakness[[#Headers],[NAME]],Data_Assessment[#Headers],0))</f>
        <v>Maya Endah Wulandari</v>
      </c>
      <c r="C397" s="98"/>
      <c r="D397" s="98"/>
    </row>
    <row r="398" spans="1:4">
      <c r="A398" s="100">
        <f>ROW(Strong_Weakness[[#This Row],[INDEX]])-ROW(Strong_Weakness[[#Headers],[INDEX]])</f>
        <v>397</v>
      </c>
      <c r="B398" s="98" t="str">
        <f>INDEX(Data_Assessment[],MATCH(Strong_Weakness[[#This Row],[INDEX]],Data_Assessment[INDEX],0),MATCH(Strong_Weakness[[#Headers],[NAME]],Data_Assessment[#Headers],0))</f>
        <v>Alan Rescue Sagala</v>
      </c>
      <c r="C398" s="98"/>
      <c r="D398" s="98"/>
    </row>
    <row r="399" spans="1:4">
      <c r="A399" s="100">
        <f>ROW(Strong_Weakness[[#This Row],[INDEX]])-ROW(Strong_Weakness[[#Headers],[INDEX]])</f>
        <v>398</v>
      </c>
      <c r="B399" s="98" t="str">
        <f>INDEX(Data_Assessment[],MATCH(Strong_Weakness[[#This Row],[INDEX]],Data_Assessment[INDEX],0),MATCH(Strong_Weakness[[#Headers],[NAME]],Data_Assessment[#Headers],0))</f>
        <v>Helmi Winda Sinamo</v>
      </c>
      <c r="C399" s="98"/>
      <c r="D399" s="98"/>
    </row>
    <row r="400" spans="1:4">
      <c r="A400" s="100">
        <f>ROW(Strong_Weakness[[#This Row],[INDEX]])-ROW(Strong_Weakness[[#Headers],[INDEX]])</f>
        <v>399</v>
      </c>
      <c r="B400" s="98" t="str">
        <f>INDEX(Data_Assessment[],MATCH(Strong_Weakness[[#This Row],[INDEX]],Data_Assessment[INDEX],0),MATCH(Strong_Weakness[[#Headers],[NAME]],Data_Assessment[#Headers],0))</f>
        <v>Arif Kurnia Nasution</v>
      </c>
      <c r="C400" s="98"/>
      <c r="D400" s="98"/>
    </row>
    <row r="401" spans="1:4">
      <c r="A401" s="100">
        <f>ROW(Strong_Weakness[[#This Row],[INDEX]])-ROW(Strong_Weakness[[#Headers],[INDEX]])</f>
        <v>400</v>
      </c>
      <c r="B401" s="98" t="str">
        <f>INDEX(Data_Assessment[],MATCH(Strong_Weakness[[#This Row],[INDEX]],Data_Assessment[INDEX],0),MATCH(Strong_Weakness[[#Headers],[NAME]],Data_Assessment[#Headers],0))</f>
        <v>Christian Dinata</v>
      </c>
      <c r="C401" s="98"/>
      <c r="D401" s="98"/>
    </row>
    <row r="402" spans="1:4">
      <c r="A402" s="100">
        <f>ROW(Strong_Weakness[[#This Row],[INDEX]])-ROW(Strong_Weakness[[#Headers],[INDEX]])</f>
        <v>401</v>
      </c>
      <c r="B402" s="98" t="str">
        <f>INDEX(Data_Assessment[],MATCH(Strong_Weakness[[#This Row],[INDEX]],Data_Assessment[INDEX],0),MATCH(Strong_Weakness[[#Headers],[NAME]],Data_Assessment[#Headers],0))</f>
        <v>Rori Rumenda</v>
      </c>
      <c r="C402" s="98"/>
      <c r="D402" s="98"/>
    </row>
    <row r="403" spans="1:4">
      <c r="A403" s="100">
        <f>ROW(Strong_Weakness[[#This Row],[INDEX]])-ROW(Strong_Weakness[[#Headers],[INDEX]])</f>
        <v>402</v>
      </c>
      <c r="B403" s="98" t="str">
        <f>INDEX(Data_Assessment[],MATCH(Strong_Weakness[[#This Row],[INDEX]],Data_Assessment[INDEX],0),MATCH(Strong_Weakness[[#Headers],[NAME]],Data_Assessment[#Headers],0))</f>
        <v>Hamka Singadilaga</v>
      </c>
      <c r="C403" s="98"/>
      <c r="D403" s="98"/>
    </row>
    <row r="404" spans="1:4">
      <c r="A404" s="100">
        <f>ROW(Strong_Weakness[[#This Row],[INDEX]])-ROW(Strong_Weakness[[#Headers],[INDEX]])</f>
        <v>403</v>
      </c>
      <c r="B404" s="98" t="str">
        <f>INDEX(Data_Assessment[],MATCH(Strong_Weakness[[#This Row],[INDEX]],Data_Assessment[INDEX],0),MATCH(Strong_Weakness[[#Headers],[NAME]],Data_Assessment[#Headers],0))</f>
        <v>Adiyat Anugrah</v>
      </c>
      <c r="C404" s="98"/>
      <c r="D404" s="98"/>
    </row>
    <row r="405" spans="1:4">
      <c r="A405" s="100">
        <f>ROW(Strong_Weakness[[#This Row],[INDEX]])-ROW(Strong_Weakness[[#Headers],[INDEX]])</f>
        <v>404</v>
      </c>
      <c r="B405" s="98" t="str">
        <f>INDEX(Data_Assessment[],MATCH(Strong_Weakness[[#This Row],[INDEX]],Data_Assessment[INDEX],0),MATCH(Strong_Weakness[[#Headers],[NAME]],Data_Assessment[#Headers],0))</f>
        <v>Johan</v>
      </c>
      <c r="C405" s="98"/>
      <c r="D405" s="98"/>
    </row>
    <row r="406" spans="1:4">
      <c r="A406" s="100">
        <f>ROW(Strong_Weakness[[#This Row],[INDEX]])-ROW(Strong_Weakness[[#Headers],[INDEX]])</f>
        <v>405</v>
      </c>
      <c r="B406" s="98" t="str">
        <f>INDEX(Data_Assessment[],MATCH(Strong_Weakness[[#This Row],[INDEX]],Data_Assessment[INDEX],0),MATCH(Strong_Weakness[[#Headers],[NAME]],Data_Assessment[#Headers],0))</f>
        <v>Sanusi Dongoran</v>
      </c>
      <c r="C406" s="98"/>
      <c r="D406" s="98"/>
    </row>
    <row r="407" spans="1:4">
      <c r="A407" s="100">
        <f>ROW(Strong_Weakness[[#This Row],[INDEX]])-ROW(Strong_Weakness[[#Headers],[INDEX]])</f>
        <v>406</v>
      </c>
      <c r="B407" s="98" t="str">
        <f>INDEX(Data_Assessment[],MATCH(Strong_Weakness[[#This Row],[INDEX]],Data_Assessment[INDEX],0),MATCH(Strong_Weakness[[#Headers],[NAME]],Data_Assessment[#Headers],0))</f>
        <v>Frans Ferdinand Situmorang</v>
      </c>
      <c r="C407" s="98"/>
      <c r="D407" s="98"/>
    </row>
    <row r="408" spans="1:4">
      <c r="A408" s="100">
        <f>ROW(Strong_Weakness[[#This Row],[INDEX]])-ROW(Strong_Weakness[[#Headers],[INDEX]])</f>
        <v>407</v>
      </c>
      <c r="B408" s="98" t="str">
        <f>INDEX(Data_Assessment[],MATCH(Strong_Weakness[[#This Row],[INDEX]],Data_Assessment[INDEX],0),MATCH(Strong_Weakness[[#Headers],[NAME]],Data_Assessment[#Headers],0))</f>
        <v>Muhammad Waras</v>
      </c>
      <c r="C408" s="98"/>
      <c r="D408" s="98"/>
    </row>
    <row r="409" spans="1:4">
      <c r="A409" s="100">
        <f>ROW(Strong_Weakness[[#This Row],[INDEX]])-ROW(Strong_Weakness[[#Headers],[INDEX]])</f>
        <v>408</v>
      </c>
      <c r="B409" s="98" t="str">
        <f>INDEX(Data_Assessment[],MATCH(Strong_Weakness[[#This Row],[INDEX]],Data_Assessment[INDEX],0),MATCH(Strong_Weakness[[#Headers],[NAME]],Data_Assessment[#Headers],0))</f>
        <v>Andi Wira Primawan</v>
      </c>
      <c r="C409" s="98"/>
      <c r="D409" s="98"/>
    </row>
    <row r="410" spans="1:4">
      <c r="A410" s="100">
        <f>ROW(Strong_Weakness[[#This Row],[INDEX]])-ROW(Strong_Weakness[[#Headers],[INDEX]])</f>
        <v>409</v>
      </c>
      <c r="B410" s="98" t="str">
        <f>INDEX(Data_Assessment[],MATCH(Strong_Weakness[[#This Row],[INDEX]],Data_Assessment[INDEX],0),MATCH(Strong_Weakness[[#Headers],[NAME]],Data_Assessment[#Headers],0))</f>
        <v>Irfansyah, St</v>
      </c>
      <c r="C410" s="98"/>
      <c r="D410" s="98"/>
    </row>
    <row r="411" spans="1:4">
      <c r="A411" s="100">
        <f>ROW(Strong_Weakness[[#This Row],[INDEX]])-ROW(Strong_Weakness[[#Headers],[INDEX]])</f>
        <v>410</v>
      </c>
      <c r="B411" s="98" t="str">
        <f>INDEX(Data_Assessment[],MATCH(Strong_Weakness[[#This Row],[INDEX]],Data_Assessment[INDEX],0),MATCH(Strong_Weakness[[#Headers],[NAME]],Data_Assessment[#Headers],0))</f>
        <v>Doddy Trisna Damanik</v>
      </c>
      <c r="C411" s="98"/>
      <c r="D411" s="98"/>
    </row>
    <row r="412" spans="1:4">
      <c r="A412" s="100">
        <f>ROW(Strong_Weakness[[#This Row],[INDEX]])-ROW(Strong_Weakness[[#Headers],[INDEX]])</f>
        <v>411</v>
      </c>
      <c r="B412" s="98" t="str">
        <f>INDEX(Data_Assessment[],MATCH(Strong_Weakness[[#This Row],[INDEX]],Data_Assessment[INDEX],0),MATCH(Strong_Weakness[[#Headers],[NAME]],Data_Assessment[#Headers],0))</f>
        <v>Fauzie Syam Prasetyo Yibri</v>
      </c>
      <c r="C412" s="98"/>
      <c r="D412" s="98"/>
    </row>
    <row r="413" spans="1:4">
      <c r="A413" s="100">
        <f>ROW(Strong_Weakness[[#This Row],[INDEX]])-ROW(Strong_Weakness[[#Headers],[INDEX]])</f>
        <v>412</v>
      </c>
      <c r="B413" s="98" t="str">
        <f>INDEX(Data_Assessment[],MATCH(Strong_Weakness[[#This Row],[INDEX]],Data_Assessment[INDEX],0),MATCH(Strong_Weakness[[#Headers],[NAME]],Data_Assessment[#Headers],0))</f>
        <v>Faisal Ahmad, Ir.</v>
      </c>
      <c r="C413" s="98"/>
      <c r="D413" s="98"/>
    </row>
    <row r="414" spans="1:4">
      <c r="A414" s="100">
        <f>ROW(Strong_Weakness[[#This Row],[INDEX]])-ROW(Strong_Weakness[[#Headers],[INDEX]])</f>
        <v>413</v>
      </c>
      <c r="B414" s="98" t="str">
        <f>INDEX(Data_Assessment[],MATCH(Strong_Weakness[[#This Row],[INDEX]],Data_Assessment[INDEX],0),MATCH(Strong_Weakness[[#Headers],[NAME]],Data_Assessment[#Headers],0))</f>
        <v>Angelus Pacis Nababan</v>
      </c>
      <c r="C414" s="98"/>
      <c r="D414" s="98"/>
    </row>
    <row r="415" spans="1:4">
      <c r="A415" s="100">
        <f>ROW(Strong_Weakness[[#This Row],[INDEX]])-ROW(Strong_Weakness[[#Headers],[INDEX]])</f>
        <v>414</v>
      </c>
      <c r="B415" s="98" t="str">
        <f>INDEX(Data_Assessment[],MATCH(Strong_Weakness[[#This Row],[INDEX]],Data_Assessment[INDEX],0),MATCH(Strong_Weakness[[#Headers],[NAME]],Data_Assessment[#Headers],0))</f>
        <v>Sjahwarsja Imral, Ir.</v>
      </c>
      <c r="C415" s="98"/>
      <c r="D415" s="98"/>
    </row>
    <row r="416" spans="1:4">
      <c r="A416" s="100">
        <f>ROW(Strong_Weakness[[#This Row],[INDEX]])-ROW(Strong_Weakness[[#Headers],[INDEX]])</f>
        <v>415</v>
      </c>
      <c r="B416" s="98" t="str">
        <f>INDEX(Data_Assessment[],MATCH(Strong_Weakness[[#This Row],[INDEX]],Data_Assessment[INDEX],0),MATCH(Strong_Weakness[[#Headers],[NAME]],Data_Assessment[#Headers],0))</f>
        <v>Firman, Amd</v>
      </c>
      <c r="C416" s="98"/>
      <c r="D416" s="98"/>
    </row>
    <row r="417" spans="1:4">
      <c r="A417" s="100">
        <f>ROW(Strong_Weakness[[#This Row],[INDEX]])-ROW(Strong_Weakness[[#Headers],[INDEX]])</f>
        <v>416</v>
      </c>
      <c r="B417" s="98" t="str">
        <f>INDEX(Data_Assessment[],MATCH(Strong_Weakness[[#This Row],[INDEX]],Data_Assessment[INDEX],0),MATCH(Strong_Weakness[[#Headers],[NAME]],Data_Assessment[#Headers],0))</f>
        <v>Nurhasanah Hasibuan</v>
      </c>
      <c r="C417" s="98"/>
      <c r="D417" s="98"/>
    </row>
    <row r="418" spans="1:4">
      <c r="A418" s="100">
        <f>ROW(Strong_Weakness[[#This Row],[INDEX]])-ROW(Strong_Weakness[[#Headers],[INDEX]])</f>
        <v>417</v>
      </c>
      <c r="B418" s="98" t="str">
        <f>INDEX(Data_Assessment[],MATCH(Strong_Weakness[[#This Row],[INDEX]],Data_Assessment[INDEX],0),MATCH(Strong_Weakness[[#Headers],[NAME]],Data_Assessment[#Headers],0))</f>
        <v>Nengsih Samady</v>
      </c>
      <c r="C418" s="98"/>
      <c r="D418" s="98"/>
    </row>
    <row r="419" spans="1:4">
      <c r="A419" s="100">
        <f>ROW(Strong_Weakness[[#This Row],[INDEX]])-ROW(Strong_Weakness[[#Headers],[INDEX]])</f>
        <v>418</v>
      </c>
      <c r="B419" s="98" t="str">
        <f>INDEX(Data_Assessment[],MATCH(Strong_Weakness[[#This Row],[INDEX]],Data_Assessment[INDEX],0),MATCH(Strong_Weakness[[#Headers],[NAME]],Data_Assessment[#Headers],0))</f>
        <v>M. Irwansyah, Ir.</v>
      </c>
      <c r="C419" s="98"/>
      <c r="D419" s="98"/>
    </row>
    <row r="420" spans="1:4">
      <c r="A420" s="100">
        <f>ROW(Strong_Weakness[[#This Row],[INDEX]])-ROW(Strong_Weakness[[#Headers],[INDEX]])</f>
        <v>419</v>
      </c>
      <c r="B420" s="98" t="str">
        <f>INDEX(Data_Assessment[],MATCH(Strong_Weakness[[#This Row],[INDEX]],Data_Assessment[INDEX],0),MATCH(Strong_Weakness[[#Headers],[NAME]],Data_Assessment[#Headers],0))</f>
        <v>Kamal Sidik, ST</v>
      </c>
      <c r="C420" s="98"/>
      <c r="D420" s="98"/>
    </row>
    <row r="421" spans="1:4">
      <c r="A421" s="100">
        <f>ROW(Strong_Weakness[[#This Row],[INDEX]])-ROW(Strong_Weakness[[#Headers],[INDEX]])</f>
        <v>420</v>
      </c>
      <c r="B421" s="98" t="str">
        <f>INDEX(Data_Assessment[],MATCH(Strong_Weakness[[#This Row],[INDEX]],Data_Assessment[INDEX],0),MATCH(Strong_Weakness[[#Headers],[NAME]],Data_Assessment[#Headers],0))</f>
        <v>Hendrik Hayata</v>
      </c>
      <c r="C421" s="98"/>
      <c r="D421" s="98"/>
    </row>
    <row r="422" spans="1:4">
      <c r="A422" s="100">
        <f>ROW(Strong_Weakness[[#This Row],[INDEX]])-ROW(Strong_Weakness[[#Headers],[INDEX]])</f>
        <v>421</v>
      </c>
      <c r="B422" s="98" t="str">
        <f>INDEX(Data_Assessment[],MATCH(Strong_Weakness[[#This Row],[INDEX]],Data_Assessment[INDEX],0),MATCH(Strong_Weakness[[#Headers],[NAME]],Data_Assessment[#Headers],0))</f>
        <v>Joko Priyatmoko, SE</v>
      </c>
      <c r="C422" s="98"/>
      <c r="D422" s="98"/>
    </row>
    <row r="423" spans="1:4">
      <c r="A423" s="100">
        <f>ROW(Strong_Weakness[[#This Row],[INDEX]])-ROW(Strong_Weakness[[#Headers],[INDEX]])</f>
        <v>422</v>
      </c>
      <c r="B423" s="98" t="str">
        <f>INDEX(Data_Assessment[],MATCH(Strong_Weakness[[#This Row],[INDEX]],Data_Assessment[INDEX],0),MATCH(Strong_Weakness[[#Headers],[NAME]],Data_Assessment[#Headers],0))</f>
        <v>Fachrizal Nurdin Pane, Ir.</v>
      </c>
      <c r="C423" s="98"/>
      <c r="D423" s="98"/>
    </row>
    <row r="424" spans="1:4">
      <c r="A424" s="100">
        <f>ROW(Strong_Weakness[[#This Row],[INDEX]])-ROW(Strong_Weakness[[#Headers],[INDEX]])</f>
        <v>423</v>
      </c>
      <c r="B424" s="98" t="str">
        <f>INDEX(Data_Assessment[],MATCH(Strong_Weakness[[#This Row],[INDEX]],Data_Assessment[INDEX],0),MATCH(Strong_Weakness[[#Headers],[NAME]],Data_Assessment[#Headers],0))</f>
        <v>Hasan Zaini Putra</v>
      </c>
      <c r="C424" s="98"/>
      <c r="D424" s="98"/>
    </row>
    <row r="425" spans="1:4">
      <c r="A425" s="100">
        <f>ROW(Strong_Weakness[[#This Row],[INDEX]])-ROW(Strong_Weakness[[#Headers],[INDEX]])</f>
        <v>424</v>
      </c>
      <c r="B425" s="98" t="str">
        <f>INDEX(Data_Assessment[],MATCH(Strong_Weakness[[#This Row],[INDEX]],Data_Assessment[INDEX],0),MATCH(Strong_Weakness[[#Headers],[NAME]],Data_Assessment[#Headers],0))</f>
        <v>M. Febrianto</v>
      </c>
      <c r="C425" s="98"/>
      <c r="D425" s="98"/>
    </row>
    <row r="426" spans="1:4">
      <c r="A426" s="100">
        <f>ROW(Strong_Weakness[[#This Row],[INDEX]])-ROW(Strong_Weakness[[#Headers],[INDEX]])</f>
        <v>425</v>
      </c>
      <c r="B426" s="98" t="str">
        <f>INDEX(Data_Assessment[],MATCH(Strong_Weakness[[#This Row],[INDEX]],Data_Assessment[INDEX],0),MATCH(Strong_Weakness[[#Headers],[NAME]],Data_Assessment[#Headers],0))</f>
        <v>Zulkifly Rensius Situngkir</v>
      </c>
      <c r="C426" s="98"/>
      <c r="D426" s="98"/>
    </row>
    <row r="427" spans="1:4">
      <c r="A427" s="100">
        <f>ROW(Strong_Weakness[[#This Row],[INDEX]])-ROW(Strong_Weakness[[#Headers],[INDEX]])</f>
        <v>426</v>
      </c>
      <c r="B427" s="98" t="str">
        <f>INDEX(Data_Assessment[],MATCH(Strong_Weakness[[#This Row],[INDEX]],Data_Assessment[INDEX],0),MATCH(Strong_Weakness[[#Headers],[NAME]],Data_Assessment[#Headers],0))</f>
        <v>Lashot P. Sidabutar, Ir.</v>
      </c>
      <c r="C427" s="98"/>
      <c r="D427" s="98"/>
    </row>
    <row r="428" spans="1:4">
      <c r="A428" s="100">
        <f>ROW(Strong_Weakness[[#This Row],[INDEX]])-ROW(Strong_Weakness[[#Headers],[INDEX]])</f>
        <v>427</v>
      </c>
      <c r="B428" s="98" t="str">
        <f>INDEX(Data_Assessment[],MATCH(Strong_Weakness[[#This Row],[INDEX]],Data_Assessment[INDEX],0),MATCH(Strong_Weakness[[#Headers],[NAME]],Data_Assessment[#Headers],0))</f>
        <v>Tri Teguh Wibowo</v>
      </c>
      <c r="C428" s="98"/>
      <c r="D428" s="98"/>
    </row>
    <row r="429" spans="1:4">
      <c r="A429" s="100">
        <f>ROW(Strong_Weakness[[#This Row],[INDEX]])-ROW(Strong_Weakness[[#Headers],[INDEX]])</f>
        <v>428</v>
      </c>
      <c r="B429" s="98" t="str">
        <f>INDEX(Data_Assessment[],MATCH(Strong_Weakness[[#This Row],[INDEX]],Data_Assessment[INDEX],0),MATCH(Strong_Weakness[[#Headers],[NAME]],Data_Assessment[#Headers],0))</f>
        <v>Syukur Ariadin, Sp</v>
      </c>
      <c r="C429" s="98"/>
      <c r="D429" s="98"/>
    </row>
    <row r="430" spans="1:4">
      <c r="A430" s="100">
        <f>ROW(Strong_Weakness[[#This Row],[INDEX]])-ROW(Strong_Weakness[[#Headers],[INDEX]])</f>
        <v>429</v>
      </c>
      <c r="B430" s="98" t="str">
        <f>INDEX(Data_Assessment[],MATCH(Strong_Weakness[[#This Row],[INDEX]],Data_Assessment[INDEX],0),MATCH(Strong_Weakness[[#Headers],[NAME]],Data_Assessment[#Headers],0))</f>
        <v>Fahruli Susanto</v>
      </c>
      <c r="C430" s="98"/>
      <c r="D430" s="98"/>
    </row>
    <row r="431" spans="1:4">
      <c r="A431" s="100">
        <f>ROW(Strong_Weakness[[#This Row],[INDEX]])-ROW(Strong_Weakness[[#Headers],[INDEX]])</f>
        <v>430</v>
      </c>
      <c r="B431" s="98" t="str">
        <f>INDEX(Data_Assessment[],MATCH(Strong_Weakness[[#This Row],[INDEX]],Data_Assessment[INDEX],0),MATCH(Strong_Weakness[[#Headers],[NAME]],Data_Assessment[#Headers],0))</f>
        <v>Prengki Siregar</v>
      </c>
      <c r="C431" s="98"/>
      <c r="D431" s="98"/>
    </row>
    <row r="432" spans="1:4">
      <c r="A432" s="100">
        <f>ROW(Strong_Weakness[[#This Row],[INDEX]])-ROW(Strong_Weakness[[#Headers],[INDEX]])</f>
        <v>431</v>
      </c>
      <c r="B432" s="98" t="str">
        <f>INDEX(Data_Assessment[],MATCH(Strong_Weakness[[#This Row],[INDEX]],Data_Assessment[INDEX],0),MATCH(Strong_Weakness[[#Headers],[NAME]],Data_Assessment[#Headers],0))</f>
        <v>Rudi Rizal</v>
      </c>
      <c r="C432" s="98"/>
      <c r="D432" s="98"/>
    </row>
    <row r="433" spans="1:4">
      <c r="A433" s="100">
        <f>ROW(Strong_Weakness[[#This Row],[INDEX]])-ROW(Strong_Weakness[[#Headers],[INDEX]])</f>
        <v>432</v>
      </c>
      <c r="B433" s="98" t="str">
        <f>INDEX(Data_Assessment[],MATCH(Strong_Weakness[[#This Row],[INDEX]],Data_Assessment[INDEX],0),MATCH(Strong_Weakness[[#Headers],[NAME]],Data_Assessment[#Headers],0))</f>
        <v>Robbi Aditya Candra Batubara</v>
      </c>
      <c r="C433" s="98"/>
      <c r="D433" s="98"/>
    </row>
    <row r="434" spans="1:4">
      <c r="A434" s="100">
        <f>ROW(Strong_Weakness[[#This Row],[INDEX]])-ROW(Strong_Weakness[[#Headers],[INDEX]])</f>
        <v>433</v>
      </c>
      <c r="B434" s="98" t="str">
        <f>INDEX(Data_Assessment[],MATCH(Strong_Weakness[[#This Row],[INDEX]],Data_Assessment[INDEX],0),MATCH(Strong_Weakness[[#Headers],[NAME]],Data_Assessment[#Headers],0))</f>
        <v>Pramujo Sri Hatmoko</v>
      </c>
      <c r="C434" s="98"/>
      <c r="D434" s="98"/>
    </row>
    <row r="435" spans="1:4">
      <c r="A435" s="100">
        <f>ROW(Strong_Weakness[[#This Row],[INDEX]])-ROW(Strong_Weakness[[#Headers],[INDEX]])</f>
        <v>434</v>
      </c>
      <c r="B435" s="98" t="str">
        <f>INDEX(Data_Assessment[],MATCH(Strong_Weakness[[#This Row],[INDEX]],Data_Assessment[INDEX],0),MATCH(Strong_Weakness[[#Headers],[NAME]],Data_Assessment[#Headers],0))</f>
        <v>Dedi Yanto Syahputra</v>
      </c>
      <c r="C435" s="98"/>
      <c r="D435" s="98"/>
    </row>
    <row r="436" spans="1:4">
      <c r="A436" s="100">
        <f>ROW(Strong_Weakness[[#This Row],[INDEX]])-ROW(Strong_Weakness[[#Headers],[INDEX]])</f>
        <v>435</v>
      </c>
      <c r="B436" s="98" t="str">
        <f>INDEX(Data_Assessment[],MATCH(Strong_Weakness[[#This Row],[INDEX]],Data_Assessment[INDEX],0),MATCH(Strong_Weakness[[#Headers],[NAME]],Data_Assessment[#Headers],0))</f>
        <v>Rico Haryanto P Hutabalian</v>
      </c>
      <c r="C436" s="98"/>
      <c r="D436" s="98"/>
    </row>
    <row r="437" spans="1:4">
      <c r="A437" s="100">
        <f>ROW(Strong_Weakness[[#This Row],[INDEX]])-ROW(Strong_Weakness[[#Headers],[INDEX]])</f>
        <v>436</v>
      </c>
      <c r="B437" s="98" t="str">
        <f>INDEX(Data_Assessment[],MATCH(Strong_Weakness[[#This Row],[INDEX]],Data_Assessment[INDEX],0),MATCH(Strong_Weakness[[#Headers],[NAME]],Data_Assessment[#Headers],0))</f>
        <v>Surya Affandi</v>
      </c>
      <c r="C437" s="98"/>
      <c r="D437" s="98"/>
    </row>
    <row r="438" spans="1:4">
      <c r="A438" s="100">
        <f>ROW(Strong_Weakness[[#This Row],[INDEX]])-ROW(Strong_Weakness[[#Headers],[INDEX]])</f>
        <v>437</v>
      </c>
      <c r="B438" s="98" t="str">
        <f>INDEX(Data_Assessment[],MATCH(Strong_Weakness[[#This Row],[INDEX]],Data_Assessment[INDEX],0),MATCH(Strong_Weakness[[#Headers],[NAME]],Data_Assessment[#Headers],0))</f>
        <v>Fahriza Khairi Siregar</v>
      </c>
      <c r="C438" s="98"/>
      <c r="D438" s="98"/>
    </row>
    <row r="439" spans="1:4">
      <c r="A439" s="100">
        <f>ROW(Strong_Weakness[[#This Row],[INDEX]])-ROW(Strong_Weakness[[#Headers],[INDEX]])</f>
        <v>438</v>
      </c>
      <c r="B439" s="98" t="str">
        <f>INDEX(Data_Assessment[],MATCH(Strong_Weakness[[#This Row],[INDEX]],Data_Assessment[INDEX],0),MATCH(Strong_Weakness[[#Headers],[NAME]],Data_Assessment[#Headers],0))</f>
        <v>Eri Epriyanto</v>
      </c>
      <c r="C439" s="98"/>
      <c r="D439" s="98"/>
    </row>
    <row r="440" spans="1:4">
      <c r="A440" s="100">
        <f>ROW(Strong_Weakness[[#This Row],[INDEX]])-ROW(Strong_Weakness[[#Headers],[INDEX]])</f>
        <v>439</v>
      </c>
      <c r="B440" s="98" t="str">
        <f>INDEX(Data_Assessment[],MATCH(Strong_Weakness[[#This Row],[INDEX]],Data_Assessment[INDEX],0),MATCH(Strong_Weakness[[#Headers],[NAME]],Data_Assessment[#Headers],0))</f>
        <v>M. Nur Arfan, Ir.</v>
      </c>
      <c r="C440" s="98"/>
      <c r="D440" s="98"/>
    </row>
    <row r="441" spans="1:4">
      <c r="A441" s="100">
        <f>ROW(Strong_Weakness[[#This Row],[INDEX]])-ROW(Strong_Weakness[[#Headers],[INDEX]])</f>
        <v>440</v>
      </c>
      <c r="B441" s="98" t="str">
        <f>INDEX(Data_Assessment[],MATCH(Strong_Weakness[[#This Row],[INDEX]],Data_Assessment[INDEX],0),MATCH(Strong_Weakness[[#Headers],[NAME]],Data_Assessment[#Headers],0))</f>
        <v>Suarina Tarigan, Ir.</v>
      </c>
      <c r="C441" s="98"/>
      <c r="D441" s="98"/>
    </row>
    <row r="442" spans="1:4">
      <c r="A442" s="100">
        <f>ROW(Strong_Weakness[[#This Row],[INDEX]])-ROW(Strong_Weakness[[#Headers],[INDEX]])</f>
        <v>441</v>
      </c>
      <c r="B442" s="98" t="str">
        <f>INDEX(Data_Assessment[],MATCH(Strong_Weakness[[#This Row],[INDEX]],Data_Assessment[INDEX],0),MATCH(Strong_Weakness[[#Headers],[NAME]],Data_Assessment[#Headers],0))</f>
        <v>Bustami Saragih, Ir.</v>
      </c>
      <c r="C442" s="98"/>
      <c r="D442" s="98"/>
    </row>
    <row r="443" spans="1:4">
      <c r="A443" s="100">
        <f>ROW(Strong_Weakness[[#This Row],[INDEX]])-ROW(Strong_Weakness[[#Headers],[INDEX]])</f>
        <v>442</v>
      </c>
      <c r="B443" s="98" t="str">
        <f>INDEX(Data_Assessment[],MATCH(Strong_Weakness[[#This Row],[INDEX]],Data_Assessment[INDEX],0),MATCH(Strong_Weakness[[#Headers],[NAME]],Data_Assessment[#Headers],0))</f>
        <v>Donni Iandes A. Siagian</v>
      </c>
      <c r="C443" s="98"/>
      <c r="D443" s="98"/>
    </row>
    <row r="444" spans="1:4">
      <c r="A444" s="100">
        <f>ROW(Strong_Weakness[[#This Row],[INDEX]])-ROW(Strong_Weakness[[#Headers],[INDEX]])</f>
        <v>443</v>
      </c>
      <c r="B444" s="98" t="str">
        <f>INDEX(Data_Assessment[],MATCH(Strong_Weakness[[#This Row],[INDEX]],Data_Assessment[INDEX],0),MATCH(Strong_Weakness[[#Headers],[NAME]],Data_Assessment[#Headers],0))</f>
        <v>Januariska, SP</v>
      </c>
      <c r="C444" s="98"/>
      <c r="D444" s="98"/>
    </row>
    <row r="445" spans="1:4">
      <c r="A445" s="100">
        <f>ROW(Strong_Weakness[[#This Row],[INDEX]])-ROW(Strong_Weakness[[#Headers],[INDEX]])</f>
        <v>444</v>
      </c>
      <c r="B445" s="98" t="str">
        <f>INDEX(Data_Assessment[],MATCH(Strong_Weakness[[#This Row],[INDEX]],Data_Assessment[INDEX],0),MATCH(Strong_Weakness[[#Headers],[NAME]],Data_Assessment[#Headers],0))</f>
        <v>Bayu Setiawan</v>
      </c>
      <c r="C445" s="98"/>
      <c r="D445" s="98"/>
    </row>
    <row r="446" spans="1:4">
      <c r="A446" s="100">
        <f>ROW(Strong_Weakness[[#This Row],[INDEX]])-ROW(Strong_Weakness[[#Headers],[INDEX]])</f>
        <v>445</v>
      </c>
      <c r="B446" s="98" t="str">
        <f>INDEX(Data_Assessment[],MATCH(Strong_Weakness[[#This Row],[INDEX]],Data_Assessment[INDEX],0),MATCH(Strong_Weakness[[#Headers],[NAME]],Data_Assessment[#Headers],0))</f>
        <v>Muliono</v>
      </c>
      <c r="C446" s="98"/>
      <c r="D446" s="98"/>
    </row>
    <row r="447" spans="1:4">
      <c r="A447" s="100">
        <f>ROW(Strong_Weakness[[#This Row],[INDEX]])-ROW(Strong_Weakness[[#Headers],[INDEX]])</f>
        <v>446</v>
      </c>
      <c r="B447" s="98" t="str">
        <f>INDEX(Data_Assessment[],MATCH(Strong_Weakness[[#This Row],[INDEX]],Data_Assessment[INDEX],0),MATCH(Strong_Weakness[[#Headers],[NAME]],Data_Assessment[#Headers],0))</f>
        <v>Nandra Nettra</v>
      </c>
      <c r="C447" s="98"/>
      <c r="D447" s="98"/>
    </row>
    <row r="448" spans="1:4">
      <c r="A448" s="100">
        <f>ROW(Strong_Weakness[[#This Row],[INDEX]])-ROW(Strong_Weakness[[#Headers],[INDEX]])</f>
        <v>447</v>
      </c>
      <c r="B448" s="98" t="str">
        <f>INDEX(Data_Assessment[],MATCH(Strong_Weakness[[#This Row],[INDEX]],Data_Assessment[INDEX],0),MATCH(Strong_Weakness[[#Headers],[NAME]],Data_Assessment[#Headers],0))</f>
        <v>Irham Syaukani</v>
      </c>
      <c r="C448" s="98"/>
      <c r="D448" s="98"/>
    </row>
    <row r="449" spans="1:4">
      <c r="A449" s="100">
        <f>ROW(Strong_Weakness[[#This Row],[INDEX]])-ROW(Strong_Weakness[[#Headers],[INDEX]])</f>
        <v>448</v>
      </c>
      <c r="B449" s="98" t="str">
        <f>INDEX(Data_Assessment[],MATCH(Strong_Weakness[[#This Row],[INDEX]],Data_Assessment[INDEX],0),MATCH(Strong_Weakness[[#Headers],[NAME]],Data_Assessment[#Headers],0))</f>
        <v>Herry Michael Saragih</v>
      </c>
      <c r="C449" s="98"/>
      <c r="D449" s="98"/>
    </row>
    <row r="450" spans="1:4">
      <c r="A450" s="100">
        <f>ROW(Strong_Weakness[[#This Row],[INDEX]])-ROW(Strong_Weakness[[#Headers],[INDEX]])</f>
        <v>449</v>
      </c>
      <c r="B450" s="98" t="str">
        <f>INDEX(Data_Assessment[],MATCH(Strong_Weakness[[#This Row],[INDEX]],Data_Assessment[INDEX],0),MATCH(Strong_Weakness[[#Headers],[NAME]],Data_Assessment[#Headers],0))</f>
        <v>Jon Waldinson Pereddy Damanik</v>
      </c>
      <c r="C450" s="98"/>
      <c r="D450" s="98"/>
    </row>
    <row r="451" spans="1:4">
      <c r="A451" s="100">
        <f>ROW(Strong_Weakness[[#This Row],[INDEX]])-ROW(Strong_Weakness[[#Headers],[INDEX]])</f>
        <v>450</v>
      </c>
      <c r="B451" s="98" t="str">
        <f>INDEX(Data_Assessment[],MATCH(Strong_Weakness[[#This Row],[INDEX]],Data_Assessment[INDEX],0),MATCH(Strong_Weakness[[#Headers],[NAME]],Data_Assessment[#Headers],0))</f>
        <v>Ahmad Fadly, Ir.</v>
      </c>
      <c r="C451" s="98"/>
      <c r="D451" s="98"/>
    </row>
    <row r="452" spans="1:4">
      <c r="A452" s="100">
        <f>ROW(Strong_Weakness[[#This Row],[INDEX]])-ROW(Strong_Weakness[[#Headers],[INDEX]])</f>
        <v>451</v>
      </c>
      <c r="B452" s="98" t="str">
        <f>INDEX(Data_Assessment[],MATCH(Strong_Weakness[[#This Row],[INDEX]],Data_Assessment[INDEX],0),MATCH(Strong_Weakness[[#Headers],[NAME]],Data_Assessment[#Headers],0))</f>
        <v>Eco Hariyadi</v>
      </c>
      <c r="C452" s="98"/>
      <c r="D452" s="98"/>
    </row>
    <row r="453" spans="1:4">
      <c r="A453" s="100">
        <f>ROW(Strong_Weakness[[#This Row],[INDEX]])-ROW(Strong_Weakness[[#Headers],[INDEX]])</f>
        <v>452</v>
      </c>
      <c r="B453" s="98" t="str">
        <f>INDEX(Data_Assessment[],MATCH(Strong_Weakness[[#This Row],[INDEX]],Data_Assessment[INDEX],0),MATCH(Strong_Weakness[[#Headers],[NAME]],Data_Assessment[#Headers],0))</f>
        <v>Lambok Martinovel Sianturi</v>
      </c>
      <c r="C453" s="98"/>
      <c r="D453" s="98"/>
    </row>
    <row r="454" spans="1:4">
      <c r="A454" s="100">
        <f>ROW(Strong_Weakness[[#This Row],[INDEX]])-ROW(Strong_Weakness[[#Headers],[INDEX]])</f>
        <v>453</v>
      </c>
      <c r="B454" s="98" t="str">
        <f>INDEX(Data_Assessment[],MATCH(Strong_Weakness[[#This Row],[INDEX]],Data_Assessment[INDEX],0),MATCH(Strong_Weakness[[#Headers],[NAME]],Data_Assessment[#Headers],0))</f>
        <v>Iqbal Koyoto</v>
      </c>
      <c r="C454" s="98"/>
      <c r="D454" s="98"/>
    </row>
    <row r="455" spans="1:4">
      <c r="A455" s="100">
        <f>ROW(Strong_Weakness[[#This Row],[INDEX]])-ROW(Strong_Weakness[[#Headers],[INDEX]])</f>
        <v>454</v>
      </c>
      <c r="B455" s="98" t="str">
        <f>INDEX(Data_Assessment[],MATCH(Strong_Weakness[[#This Row],[INDEX]],Data_Assessment[INDEX],0),MATCH(Strong_Weakness[[#Headers],[NAME]],Data_Assessment[#Headers],0))</f>
        <v>Aswin Indra Utama</v>
      </c>
      <c r="C455" s="98"/>
      <c r="D455" s="98"/>
    </row>
    <row r="456" spans="1:4">
      <c r="A456" s="100">
        <f>ROW(Strong_Weakness[[#This Row],[INDEX]])-ROW(Strong_Weakness[[#Headers],[INDEX]])</f>
        <v>455</v>
      </c>
      <c r="B456" s="98" t="str">
        <f>INDEX(Data_Assessment[],MATCH(Strong_Weakness[[#This Row],[INDEX]],Data_Assessment[INDEX],0),MATCH(Strong_Weakness[[#Headers],[NAME]],Data_Assessment[#Headers],0))</f>
        <v>Abadi Pramana Pelawi</v>
      </c>
      <c r="C456" s="98"/>
      <c r="D456" s="98"/>
    </row>
    <row r="457" spans="1:4">
      <c r="A457" s="100">
        <f>ROW(Strong_Weakness[[#This Row],[INDEX]])-ROW(Strong_Weakness[[#Headers],[INDEX]])</f>
        <v>456</v>
      </c>
      <c r="B457" s="98" t="str">
        <f>INDEX(Data_Assessment[],MATCH(Strong_Weakness[[#This Row],[INDEX]],Data_Assessment[INDEX],0),MATCH(Strong_Weakness[[#Headers],[NAME]],Data_Assessment[#Headers],0))</f>
        <v>T. Affian Bachri, Ir.</v>
      </c>
      <c r="C457" s="98"/>
      <c r="D457" s="98"/>
    </row>
    <row r="458" spans="1:4">
      <c r="A458" s="100">
        <f>ROW(Strong_Weakness[[#This Row],[INDEX]])-ROW(Strong_Weakness[[#Headers],[INDEX]])</f>
        <v>457</v>
      </c>
      <c r="B458" s="98" t="str">
        <f>INDEX(Data_Assessment[],MATCH(Strong_Weakness[[#This Row],[INDEX]],Data_Assessment[INDEX],0),MATCH(Strong_Weakness[[#Headers],[NAME]],Data_Assessment[#Headers],0))</f>
        <v>Chairil Anwar Ridwan, SP</v>
      </c>
      <c r="C458" s="98"/>
      <c r="D458" s="98"/>
    </row>
    <row r="459" spans="1:4">
      <c r="A459" s="100">
        <f>ROW(Strong_Weakness[[#This Row],[INDEX]])-ROW(Strong_Weakness[[#Headers],[INDEX]])</f>
        <v>458</v>
      </c>
      <c r="B459" s="98" t="str">
        <f>INDEX(Data_Assessment[],MATCH(Strong_Weakness[[#This Row],[INDEX]],Data_Assessment[INDEX],0),MATCH(Strong_Weakness[[#Headers],[NAME]],Data_Assessment[#Headers],0))</f>
        <v>Aditia Rizki Doantha Purba</v>
      </c>
      <c r="C459" s="98"/>
      <c r="D459" s="98"/>
    </row>
    <row r="460" spans="1:4">
      <c r="A460" s="100">
        <f>ROW(Strong_Weakness[[#This Row],[INDEX]])-ROW(Strong_Weakness[[#Headers],[INDEX]])</f>
        <v>459</v>
      </c>
      <c r="B460" s="98" t="str">
        <f>INDEX(Data_Assessment[],MATCH(Strong_Weakness[[#This Row],[INDEX]],Data_Assessment[INDEX],0),MATCH(Strong_Weakness[[#Headers],[NAME]],Data_Assessment[#Headers],0))</f>
        <v>M. Ali Osmar, Ir.</v>
      </c>
      <c r="C460" s="98"/>
      <c r="D460" s="98"/>
    </row>
    <row r="461" spans="1:4">
      <c r="A461" s="100">
        <f>ROW(Strong_Weakness[[#This Row],[INDEX]])-ROW(Strong_Weakness[[#Headers],[INDEX]])</f>
        <v>460</v>
      </c>
      <c r="B461" s="98" t="str">
        <f>INDEX(Data_Assessment[],MATCH(Strong_Weakness[[#This Row],[INDEX]],Data_Assessment[INDEX],0),MATCH(Strong_Weakness[[#Headers],[NAME]],Data_Assessment[#Headers],0))</f>
        <v>M. Agustian Lesmana</v>
      </c>
      <c r="C461" s="98"/>
      <c r="D461" s="98"/>
    </row>
    <row r="462" spans="1:4">
      <c r="A462" s="100">
        <f>ROW(Strong_Weakness[[#This Row],[INDEX]])-ROW(Strong_Weakness[[#Headers],[INDEX]])</f>
        <v>461</v>
      </c>
      <c r="B462" s="98" t="str">
        <f>INDEX(Data_Assessment[],MATCH(Strong_Weakness[[#This Row],[INDEX]],Data_Assessment[INDEX],0),MATCH(Strong_Weakness[[#Headers],[NAME]],Data_Assessment[#Headers],0))</f>
        <v>Aswin Adami, Ir.</v>
      </c>
      <c r="C462" s="98"/>
      <c r="D462" s="98"/>
    </row>
    <row r="463" spans="1:4">
      <c r="A463" s="100">
        <f>ROW(Strong_Weakness[[#This Row],[INDEX]])-ROW(Strong_Weakness[[#Headers],[INDEX]])</f>
        <v>462</v>
      </c>
      <c r="B463" s="98" t="str">
        <f>INDEX(Data_Assessment[],MATCH(Strong_Weakness[[#This Row],[INDEX]],Data_Assessment[INDEX],0),MATCH(Strong_Weakness[[#Headers],[NAME]],Data_Assessment[#Headers],0))</f>
        <v>Budi Yansari N. Ir.</v>
      </c>
      <c r="C463" s="98"/>
      <c r="D463" s="98"/>
    </row>
    <row r="464" spans="1:4">
      <c r="A464" s="100">
        <f>ROW(Strong_Weakness[[#This Row],[INDEX]])-ROW(Strong_Weakness[[#Headers],[INDEX]])</f>
        <v>463</v>
      </c>
      <c r="B464" s="98" t="str">
        <f>INDEX(Data_Assessment[],MATCH(Strong_Weakness[[#This Row],[INDEX]],Data_Assessment[INDEX],0),MATCH(Strong_Weakness[[#Headers],[NAME]],Data_Assessment[#Headers],0))</f>
        <v>Indra Hardian Matondang</v>
      </c>
      <c r="C464" s="98"/>
      <c r="D464" s="98"/>
    </row>
    <row r="465" spans="1:4">
      <c r="A465" s="100">
        <f>ROW(Strong_Weakness[[#This Row],[INDEX]])-ROW(Strong_Weakness[[#Headers],[INDEX]])</f>
        <v>464</v>
      </c>
      <c r="B465" s="98" t="str">
        <f>INDEX(Data_Assessment[],MATCH(Strong_Weakness[[#This Row],[INDEX]],Data_Assessment[INDEX],0),MATCH(Strong_Weakness[[#Headers],[NAME]],Data_Assessment[#Headers],0))</f>
        <v>Ahmad Buhori, Ir.</v>
      </c>
      <c r="C465" s="98"/>
      <c r="D465" s="98"/>
    </row>
    <row r="466" spans="1:4">
      <c r="A466" s="100">
        <f>ROW(Strong_Weakness[[#This Row],[INDEX]])-ROW(Strong_Weakness[[#Headers],[INDEX]])</f>
        <v>465</v>
      </c>
      <c r="B466" s="98" t="str">
        <f>INDEX(Data_Assessment[],MATCH(Strong_Weakness[[#This Row],[INDEX]],Data_Assessment[INDEX],0),MATCH(Strong_Weakness[[#Headers],[NAME]],Data_Assessment[#Headers],0))</f>
        <v>Ardiansyah</v>
      </c>
      <c r="C466" s="98"/>
      <c r="D466" s="98"/>
    </row>
    <row r="467" spans="1:4">
      <c r="A467" s="100">
        <f>ROW(Strong_Weakness[[#This Row],[INDEX]])-ROW(Strong_Weakness[[#Headers],[INDEX]])</f>
        <v>466</v>
      </c>
      <c r="B467" s="98" t="str">
        <f>INDEX(Data_Assessment[],MATCH(Strong_Weakness[[#This Row],[INDEX]],Data_Assessment[INDEX],0),MATCH(Strong_Weakness[[#Headers],[NAME]],Data_Assessment[#Headers],0))</f>
        <v>Ahmad Husin</v>
      </c>
      <c r="C467" s="98"/>
      <c r="D467" s="98"/>
    </row>
    <row r="468" spans="1:4">
      <c r="A468" s="100">
        <f>ROW(Strong_Weakness[[#This Row],[INDEX]])-ROW(Strong_Weakness[[#Headers],[INDEX]])</f>
        <v>467</v>
      </c>
      <c r="B468" s="98" t="str">
        <f>INDEX(Data_Assessment[],MATCH(Strong_Weakness[[#This Row],[INDEX]],Data_Assessment[INDEX],0),MATCH(Strong_Weakness[[#Headers],[NAME]],Data_Assessment[#Headers],0))</f>
        <v>Fernando Sirait</v>
      </c>
      <c r="C468" s="98"/>
      <c r="D468" s="98"/>
    </row>
    <row r="469" spans="1:4">
      <c r="A469" s="100">
        <f>ROW(Strong_Weakness[[#This Row],[INDEX]])-ROW(Strong_Weakness[[#Headers],[INDEX]])</f>
        <v>468</v>
      </c>
      <c r="B469" s="98" t="str">
        <f>INDEX(Data_Assessment[],MATCH(Strong_Weakness[[#This Row],[INDEX]],Data_Assessment[INDEX],0),MATCH(Strong_Weakness[[#Headers],[NAME]],Data_Assessment[#Headers],0))</f>
        <v>Irhammuddin, Ir.</v>
      </c>
      <c r="C469" s="98"/>
      <c r="D469" s="98"/>
    </row>
    <row r="470" spans="1:4">
      <c r="A470" s="100">
        <f>ROW(Strong_Weakness[[#This Row],[INDEX]])-ROW(Strong_Weakness[[#Headers],[INDEX]])</f>
        <v>469</v>
      </c>
      <c r="B470" s="98" t="str">
        <f>INDEX(Data_Assessment[],MATCH(Strong_Weakness[[#This Row],[INDEX]],Data_Assessment[INDEX],0),MATCH(Strong_Weakness[[#Headers],[NAME]],Data_Assessment[#Headers],0))</f>
        <v>Primanta Sembiring</v>
      </c>
      <c r="C470" s="98"/>
      <c r="D470" s="98"/>
    </row>
    <row r="471" spans="1:4">
      <c r="A471" s="100">
        <f>ROW(Strong_Weakness[[#This Row],[INDEX]])-ROW(Strong_Weakness[[#Headers],[INDEX]])</f>
        <v>470</v>
      </c>
      <c r="B471" s="98" t="str">
        <f>INDEX(Data_Assessment[],MATCH(Strong_Weakness[[#This Row],[INDEX]],Data_Assessment[INDEX],0),MATCH(Strong_Weakness[[#Headers],[NAME]],Data_Assessment[#Headers],0))</f>
        <v>Agus Syahputra</v>
      </c>
      <c r="C471" s="98"/>
      <c r="D471" s="98"/>
    </row>
    <row r="472" spans="1:4">
      <c r="A472" s="100">
        <f>ROW(Strong_Weakness[[#This Row],[INDEX]])-ROW(Strong_Weakness[[#Headers],[INDEX]])</f>
        <v>471</v>
      </c>
      <c r="B472" s="98" t="str">
        <f>INDEX(Data_Assessment[],MATCH(Strong_Weakness[[#This Row],[INDEX]],Data_Assessment[INDEX],0),MATCH(Strong_Weakness[[#Headers],[NAME]],Data_Assessment[#Headers],0))</f>
        <v>Raj Suhendra, Ir.</v>
      </c>
      <c r="C472" s="98"/>
      <c r="D472" s="98"/>
    </row>
    <row r="473" spans="1:4">
      <c r="A473" s="100">
        <f>ROW(Strong_Weakness[[#This Row],[INDEX]])-ROW(Strong_Weakness[[#Headers],[INDEX]])</f>
        <v>472</v>
      </c>
      <c r="B473" s="98" t="str">
        <f>INDEX(Data_Assessment[],MATCH(Strong_Weakness[[#This Row],[INDEX]],Data_Assessment[INDEX],0),MATCH(Strong_Weakness[[#Headers],[NAME]],Data_Assessment[#Headers],0))</f>
        <v>Ari Susilo Sijabat</v>
      </c>
      <c r="C473" s="98"/>
      <c r="D473" s="98"/>
    </row>
    <row r="474" spans="1:4">
      <c r="A474" s="100">
        <f>ROW(Strong_Weakness[[#This Row],[INDEX]])-ROW(Strong_Weakness[[#Headers],[INDEX]])</f>
        <v>473</v>
      </c>
      <c r="B474" s="98" t="str">
        <f>INDEX(Data_Assessment[],MATCH(Strong_Weakness[[#This Row],[INDEX]],Data_Assessment[INDEX],0),MATCH(Strong_Weakness[[#Headers],[NAME]],Data_Assessment[#Headers],0))</f>
        <v>Parulian Siahaan</v>
      </c>
      <c r="C474" s="98"/>
      <c r="D474" s="98"/>
    </row>
    <row r="475" spans="1:4">
      <c r="A475" s="100">
        <f>ROW(Strong_Weakness[[#This Row],[INDEX]])-ROW(Strong_Weakness[[#Headers],[INDEX]])</f>
        <v>474</v>
      </c>
      <c r="B475" s="98" t="str">
        <f>INDEX(Data_Assessment[],MATCH(Strong_Weakness[[#This Row],[INDEX]],Data_Assessment[INDEX],0),MATCH(Strong_Weakness[[#Headers],[NAME]],Data_Assessment[#Headers],0))</f>
        <v>Zulkifli Nizam, Ir.</v>
      </c>
      <c r="C475" s="98"/>
      <c r="D475" s="98"/>
    </row>
    <row r="476" spans="1:4">
      <c r="A476" s="100">
        <f>ROW(Strong_Weakness[[#This Row],[INDEX]])-ROW(Strong_Weakness[[#Headers],[INDEX]])</f>
        <v>475</v>
      </c>
      <c r="B476" s="98" t="str">
        <f>INDEX(Data_Assessment[],MATCH(Strong_Weakness[[#This Row],[INDEX]],Data_Assessment[INDEX],0),MATCH(Strong_Weakness[[#Headers],[NAME]],Data_Assessment[#Headers],0))</f>
        <v>Sukardi</v>
      </c>
      <c r="C476" s="98"/>
      <c r="D476" s="98"/>
    </row>
    <row r="477" spans="1:4">
      <c r="A477" s="100">
        <f>ROW(Strong_Weakness[[#This Row],[INDEX]])-ROW(Strong_Weakness[[#Headers],[INDEX]])</f>
        <v>476</v>
      </c>
      <c r="B477" s="98" t="str">
        <f>INDEX(Data_Assessment[],MATCH(Strong_Weakness[[#This Row],[INDEX]],Data_Assessment[INDEX],0),MATCH(Strong_Weakness[[#Headers],[NAME]],Data_Assessment[#Headers],0))</f>
        <v>Nazmiardi, Ir.</v>
      </c>
      <c r="C477" s="98"/>
      <c r="D477" s="98"/>
    </row>
    <row r="478" spans="1:4">
      <c r="A478" s="100">
        <f>ROW(Strong_Weakness[[#This Row],[INDEX]])-ROW(Strong_Weakness[[#Headers],[INDEX]])</f>
        <v>477</v>
      </c>
      <c r="B478" s="98" t="str">
        <f>INDEX(Data_Assessment[],MATCH(Strong_Weakness[[#This Row],[INDEX]],Data_Assessment[INDEX],0),MATCH(Strong_Weakness[[#Headers],[NAME]],Data_Assessment[#Headers],0))</f>
        <v>Karin Anggita Sari</v>
      </c>
      <c r="C478" s="98"/>
      <c r="D478" s="98"/>
    </row>
    <row r="479" spans="1:4">
      <c r="A479" s="100">
        <f>ROW(Strong_Weakness[[#This Row],[INDEX]])-ROW(Strong_Weakness[[#Headers],[INDEX]])</f>
        <v>478</v>
      </c>
      <c r="B479" s="98" t="str">
        <f>INDEX(Data_Assessment[],MATCH(Strong_Weakness[[#This Row],[INDEX]],Data_Assessment[INDEX],0),MATCH(Strong_Weakness[[#Headers],[NAME]],Data_Assessment[#Headers],0))</f>
        <v>Limsep Tarigan</v>
      </c>
      <c r="C479" s="98"/>
      <c r="D479" s="98"/>
    </row>
    <row r="480" spans="1:4">
      <c r="A480" s="100">
        <f>ROW(Strong_Weakness[[#This Row],[INDEX]])-ROW(Strong_Weakness[[#Headers],[INDEX]])</f>
        <v>479</v>
      </c>
      <c r="B480" s="98" t="str">
        <f>INDEX(Data_Assessment[],MATCH(Strong_Weakness[[#This Row],[INDEX]],Data_Assessment[INDEX],0),MATCH(Strong_Weakness[[#Headers],[NAME]],Data_Assessment[#Headers],0))</f>
        <v>Nazari, Ir.</v>
      </c>
      <c r="C480" s="98"/>
      <c r="D480" s="98"/>
    </row>
    <row r="481" spans="1:4">
      <c r="A481" s="100">
        <f>ROW(Strong_Weakness[[#This Row],[INDEX]])-ROW(Strong_Weakness[[#Headers],[INDEX]])</f>
        <v>480</v>
      </c>
      <c r="B481" s="98" t="str">
        <f>INDEX(Data_Assessment[],MATCH(Strong_Weakness[[#This Row],[INDEX]],Data_Assessment[INDEX],0),MATCH(Strong_Weakness[[#Headers],[NAME]],Data_Assessment[#Headers],0))</f>
        <v>Ali Imron, Ir.</v>
      </c>
      <c r="C481" s="98"/>
      <c r="D481" s="98"/>
    </row>
    <row r="482" spans="1:4">
      <c r="A482" s="100">
        <f>ROW(Strong_Weakness[[#This Row],[INDEX]])-ROW(Strong_Weakness[[#Headers],[INDEX]])</f>
        <v>481</v>
      </c>
      <c r="B482" s="98" t="str">
        <f>INDEX(Data_Assessment[],MATCH(Strong_Weakness[[#This Row],[INDEX]],Data_Assessment[INDEX],0),MATCH(Strong_Weakness[[#Headers],[NAME]],Data_Assessment[#Headers],0))</f>
        <v>Bekti Peni Herianto, Ir.</v>
      </c>
      <c r="C482" s="98"/>
      <c r="D482" s="98"/>
    </row>
    <row r="483" spans="1:4">
      <c r="A483" s="100">
        <f>ROW(Strong_Weakness[[#This Row],[INDEX]])-ROW(Strong_Weakness[[#Headers],[INDEX]])</f>
        <v>482</v>
      </c>
      <c r="B483" s="98" t="str">
        <f>INDEX(Data_Assessment[],MATCH(Strong_Weakness[[#This Row],[INDEX]],Data_Assessment[INDEX],0),MATCH(Strong_Weakness[[#Headers],[NAME]],Data_Assessment[#Headers],0))</f>
        <v>Hendra Kesuma, SP</v>
      </c>
      <c r="C483" s="98"/>
      <c r="D483" s="98"/>
    </row>
    <row r="484" spans="1:4">
      <c r="A484" s="100">
        <f>ROW(Strong_Weakness[[#This Row],[INDEX]])-ROW(Strong_Weakness[[#Headers],[INDEX]])</f>
        <v>483</v>
      </c>
      <c r="B484" s="98" t="str">
        <f>INDEX(Data_Assessment[],MATCH(Strong_Weakness[[#This Row],[INDEX]],Data_Assessment[INDEX],0),MATCH(Strong_Weakness[[#Headers],[NAME]],Data_Assessment[#Headers],0))</f>
        <v>Hendrik Hariyadi</v>
      </c>
      <c r="C484" s="98"/>
      <c r="D484" s="98"/>
    </row>
    <row r="485" spans="1:4">
      <c r="A485" s="100">
        <f>ROW(Strong_Weakness[[#This Row],[INDEX]])-ROW(Strong_Weakness[[#Headers],[INDEX]])</f>
        <v>484</v>
      </c>
      <c r="B485" s="98" t="str">
        <f>INDEX(Data_Assessment[],MATCH(Strong_Weakness[[#This Row],[INDEX]],Data_Assessment[INDEX],0),MATCH(Strong_Weakness[[#Headers],[NAME]],Data_Assessment[#Headers],0))</f>
        <v>Lamarius Sitompul, Ir.</v>
      </c>
      <c r="C485" s="98"/>
      <c r="D485" s="98"/>
    </row>
    <row r="486" spans="1:4">
      <c r="A486" s="100">
        <f>ROW(Strong_Weakness[[#This Row],[INDEX]])-ROW(Strong_Weakness[[#Headers],[INDEX]])</f>
        <v>485</v>
      </c>
      <c r="B486" s="98" t="str">
        <f>INDEX(Data_Assessment[],MATCH(Strong_Weakness[[#This Row],[INDEX]],Data_Assessment[INDEX],0),MATCH(Strong_Weakness[[#Headers],[NAME]],Data_Assessment[#Headers],0))</f>
        <v>Miko Rayendra, Ir.</v>
      </c>
      <c r="C486" s="98"/>
      <c r="D486" s="98"/>
    </row>
    <row r="487" spans="1:4">
      <c r="A487" s="100">
        <f>ROW(Strong_Weakness[[#This Row],[INDEX]])-ROW(Strong_Weakness[[#Headers],[INDEX]])</f>
        <v>486</v>
      </c>
      <c r="B487" s="98" t="str">
        <f>INDEX(Data_Assessment[],MATCH(Strong_Weakness[[#This Row],[INDEX]],Data_Assessment[INDEX],0),MATCH(Strong_Weakness[[#Headers],[NAME]],Data_Assessment[#Headers],0))</f>
        <v>Frantus Tamba, Ir.</v>
      </c>
      <c r="C487" s="98"/>
      <c r="D487" s="98"/>
    </row>
    <row r="488" spans="1:4">
      <c r="A488" s="100">
        <f>ROW(Strong_Weakness[[#This Row],[INDEX]])-ROW(Strong_Weakness[[#Headers],[INDEX]])</f>
        <v>487</v>
      </c>
      <c r="B488" s="98" t="str">
        <f>INDEX(Data_Assessment[],MATCH(Strong_Weakness[[#This Row],[INDEX]],Data_Assessment[INDEX],0),MATCH(Strong_Weakness[[#Headers],[NAME]],Data_Assessment[#Headers],0))</f>
        <v>Suroto, Ir.</v>
      </c>
      <c r="C488" s="98"/>
      <c r="D488" s="98"/>
    </row>
    <row r="489" spans="1:4">
      <c r="A489" s="100">
        <f>ROW(Strong_Weakness[[#This Row],[INDEX]])-ROW(Strong_Weakness[[#Headers],[INDEX]])</f>
        <v>488</v>
      </c>
      <c r="B489" s="98" t="str">
        <f>INDEX(Data_Assessment[],MATCH(Strong_Weakness[[#This Row],[INDEX]],Data_Assessment[INDEX],0),MATCH(Strong_Weakness[[#Headers],[NAME]],Data_Assessment[#Headers],0))</f>
        <v>Badai Tropik, Ir.</v>
      </c>
      <c r="C489" s="98"/>
      <c r="D489" s="98"/>
    </row>
    <row r="490" spans="1:4">
      <c r="A490" s="100">
        <f>ROW(Strong_Weakness[[#This Row],[INDEX]])-ROW(Strong_Weakness[[#Headers],[INDEX]])</f>
        <v>489</v>
      </c>
      <c r="B490" s="98" t="str">
        <f>INDEX(Data_Assessment[],MATCH(Strong_Weakness[[#This Row],[INDEX]],Data_Assessment[INDEX],0),MATCH(Strong_Weakness[[#Headers],[NAME]],Data_Assessment[#Headers],0))</f>
        <v>Edy Syahputra, Ir.</v>
      </c>
      <c r="C490" s="98"/>
      <c r="D490" s="98"/>
    </row>
    <row r="491" spans="1:4">
      <c r="A491" s="100">
        <f>ROW(Strong_Weakness[[#This Row],[INDEX]])-ROW(Strong_Weakness[[#Headers],[INDEX]])</f>
        <v>490</v>
      </c>
      <c r="B491" s="98" t="str">
        <f>INDEX(Data_Assessment[],MATCH(Strong_Weakness[[#This Row],[INDEX]],Data_Assessment[INDEX],0),MATCH(Strong_Weakness[[#Headers],[NAME]],Data_Assessment[#Headers],0))</f>
        <v>Feri Atmaja</v>
      </c>
      <c r="C491" s="98"/>
      <c r="D491" s="98"/>
    </row>
    <row r="492" spans="1:4">
      <c r="A492" s="100">
        <f>ROW(Strong_Weakness[[#This Row],[INDEX]])-ROW(Strong_Weakness[[#Headers],[INDEX]])</f>
        <v>491</v>
      </c>
      <c r="B492" s="98" t="str">
        <f>INDEX(Data_Assessment[],MATCH(Strong_Weakness[[#This Row],[INDEX]],Data_Assessment[INDEX],0),MATCH(Strong_Weakness[[#Headers],[NAME]],Data_Assessment[#Headers],0))</f>
        <v>Selamat Karya Budi Saragih</v>
      </c>
      <c r="C492" s="98"/>
      <c r="D492" s="98"/>
    </row>
    <row r="493" spans="1:4">
      <c r="A493" s="100">
        <f>ROW(Strong_Weakness[[#This Row],[INDEX]])-ROW(Strong_Weakness[[#Headers],[INDEX]])</f>
        <v>492</v>
      </c>
      <c r="B493" s="98" t="str">
        <f>INDEX(Data_Assessment[],MATCH(Strong_Weakness[[#This Row],[INDEX]],Data_Assessment[INDEX],0),MATCH(Strong_Weakness[[#Headers],[NAME]],Data_Assessment[#Headers],0))</f>
        <v>Parlaungan Hasibuan, Ir.</v>
      </c>
      <c r="C493" s="98"/>
      <c r="D493" s="98"/>
    </row>
    <row r="494" spans="1:4">
      <c r="A494" s="100">
        <f>ROW(Strong_Weakness[[#This Row],[INDEX]])-ROW(Strong_Weakness[[#Headers],[INDEX]])</f>
        <v>493</v>
      </c>
      <c r="B494" s="98" t="str">
        <f>INDEX(Data_Assessment[],MATCH(Strong_Weakness[[#This Row],[INDEX]],Data_Assessment[INDEX],0),MATCH(Strong_Weakness[[#Headers],[NAME]],Data_Assessment[#Headers],0))</f>
        <v>Sepdi Sinaga, SP</v>
      </c>
      <c r="C494" s="98"/>
      <c r="D494" s="98"/>
    </row>
    <row r="495" spans="1:4">
      <c r="A495" s="100">
        <f>ROW(Strong_Weakness[[#This Row],[INDEX]])-ROW(Strong_Weakness[[#Headers],[INDEX]])</f>
        <v>494</v>
      </c>
      <c r="B495" s="98" t="str">
        <f>INDEX(Data_Assessment[],MATCH(Strong_Weakness[[#This Row],[INDEX]],Data_Assessment[INDEX],0),MATCH(Strong_Weakness[[#Headers],[NAME]],Data_Assessment[#Headers],0))</f>
        <v>Haposan Siagian</v>
      </c>
      <c r="C495" s="98"/>
      <c r="D495" s="98"/>
    </row>
    <row r="496" spans="1:4">
      <c r="A496" s="100">
        <f>ROW(Strong_Weakness[[#This Row],[INDEX]])-ROW(Strong_Weakness[[#Headers],[INDEX]])</f>
        <v>495</v>
      </c>
      <c r="B496" s="98" t="str">
        <f>INDEX(Data_Assessment[],MATCH(Strong_Weakness[[#This Row],[INDEX]],Data_Assessment[INDEX],0),MATCH(Strong_Weakness[[#Headers],[NAME]],Data_Assessment[#Headers],0))</f>
        <v>Maman Surachman, Ir.</v>
      </c>
      <c r="C496" s="98"/>
      <c r="D496" s="98"/>
    </row>
    <row r="497" spans="1:4">
      <c r="A497" s="100">
        <f>ROW(Strong_Weakness[[#This Row],[INDEX]])-ROW(Strong_Weakness[[#Headers],[INDEX]])</f>
        <v>496</v>
      </c>
      <c r="B497" s="98" t="str">
        <f>INDEX(Data_Assessment[],MATCH(Strong_Weakness[[#This Row],[INDEX]],Data_Assessment[INDEX],0),MATCH(Strong_Weakness[[#Headers],[NAME]],Data_Assessment[#Headers],0))</f>
        <v>Sopan Tarigan</v>
      </c>
      <c r="C497" s="98"/>
      <c r="D497" s="98"/>
    </row>
    <row r="498" spans="1:4">
      <c r="A498" s="100">
        <f>ROW(Strong_Weakness[[#This Row],[INDEX]])-ROW(Strong_Weakness[[#Headers],[INDEX]])</f>
        <v>497</v>
      </c>
      <c r="B498" s="98" t="str">
        <f>INDEX(Data_Assessment[],MATCH(Strong_Weakness[[#This Row],[INDEX]],Data_Assessment[INDEX],0),MATCH(Strong_Weakness[[#Headers],[NAME]],Data_Assessment[#Headers],0))</f>
        <v>Anzary Nur Azis, Ir</v>
      </c>
      <c r="C498" s="98"/>
      <c r="D498" s="98"/>
    </row>
    <row r="499" spans="1:4">
      <c r="A499" s="100">
        <f>ROW(Strong_Weakness[[#This Row],[INDEX]])-ROW(Strong_Weakness[[#Headers],[INDEX]])</f>
        <v>498</v>
      </c>
      <c r="B499" s="98" t="str">
        <f>INDEX(Data_Assessment[],MATCH(Strong_Weakness[[#This Row],[INDEX]],Data_Assessment[INDEX],0),MATCH(Strong_Weakness[[#Headers],[NAME]],Data_Assessment[#Headers],0))</f>
        <v>Syaiful Bahri, Ir.</v>
      </c>
      <c r="C499" s="98"/>
      <c r="D499" s="98"/>
    </row>
    <row r="500" spans="1:4">
      <c r="A500" s="100">
        <f>ROW(Strong_Weakness[[#This Row],[INDEX]])-ROW(Strong_Weakness[[#Headers],[INDEX]])</f>
        <v>499</v>
      </c>
      <c r="B500" s="98" t="str">
        <f>INDEX(Data_Assessment[],MATCH(Strong_Weakness[[#This Row],[INDEX]],Data_Assessment[INDEX],0),MATCH(Strong_Weakness[[#Headers],[NAME]],Data_Assessment[#Headers],0))</f>
        <v>Sujoko Hardianto</v>
      </c>
      <c r="C500" s="98"/>
      <c r="D500" s="98"/>
    </row>
    <row r="501" spans="1:4">
      <c r="A501" s="100">
        <f>ROW(Strong_Weakness[[#This Row],[INDEX]])-ROW(Strong_Weakness[[#Headers],[INDEX]])</f>
        <v>500</v>
      </c>
      <c r="B501" s="98" t="str">
        <f>INDEX(Data_Assessment[],MATCH(Strong_Weakness[[#This Row],[INDEX]],Data_Assessment[INDEX],0),MATCH(Strong_Weakness[[#Headers],[NAME]],Data_Assessment[#Headers],0))</f>
        <v>Oktario Alfriandi S.</v>
      </c>
      <c r="C501" s="98"/>
      <c r="D501" s="98"/>
    </row>
    <row r="502" spans="1:4">
      <c r="A502" s="100">
        <f>ROW(Strong_Weakness[[#This Row],[INDEX]])-ROW(Strong_Weakness[[#Headers],[INDEX]])</f>
        <v>501</v>
      </c>
      <c r="B502" s="98" t="str">
        <f>INDEX(Data_Assessment[],MATCH(Strong_Weakness[[#This Row],[INDEX]],Data_Assessment[INDEX],0),MATCH(Strong_Weakness[[#Headers],[NAME]],Data_Assessment[#Headers],0))</f>
        <v>Suharsih, Ir.</v>
      </c>
      <c r="C502" s="98"/>
      <c r="D502" s="98"/>
    </row>
    <row r="503" spans="1:4">
      <c r="A503" s="100">
        <f>ROW(Strong_Weakness[[#This Row],[INDEX]])-ROW(Strong_Weakness[[#Headers],[INDEX]])</f>
        <v>502</v>
      </c>
      <c r="B503" s="98" t="str">
        <f>INDEX(Data_Assessment[],MATCH(Strong_Weakness[[#This Row],[INDEX]],Data_Assessment[INDEX],0),MATCH(Strong_Weakness[[#Headers],[NAME]],Data_Assessment[#Headers],0))</f>
        <v>Andre Daniel Nababan</v>
      </c>
      <c r="C503" s="98"/>
      <c r="D503" s="98"/>
    </row>
    <row r="504" spans="1:4">
      <c r="A504" s="100">
        <f>ROW(Strong_Weakness[[#This Row],[INDEX]])-ROW(Strong_Weakness[[#Headers],[INDEX]])</f>
        <v>503</v>
      </c>
      <c r="B504" s="98" t="str">
        <f>INDEX(Data_Assessment[],MATCH(Strong_Weakness[[#This Row],[INDEX]],Data_Assessment[INDEX],0),MATCH(Strong_Weakness[[#Headers],[NAME]],Data_Assessment[#Headers],0))</f>
        <v>Dheandry Pratama Usman</v>
      </c>
      <c r="C504" s="98"/>
      <c r="D504" s="98"/>
    </row>
    <row r="505" spans="1:4">
      <c r="A505" s="100">
        <f>ROW(Strong_Weakness[[#This Row],[INDEX]])-ROW(Strong_Weakness[[#Headers],[INDEX]])</f>
        <v>504</v>
      </c>
      <c r="B505" s="98" t="str">
        <f>INDEX(Data_Assessment[],MATCH(Strong_Weakness[[#This Row],[INDEX]],Data_Assessment[INDEX],0),MATCH(Strong_Weakness[[#Headers],[NAME]],Data_Assessment[#Headers],0))</f>
        <v>Bambang Widyantoro, Ir.</v>
      </c>
      <c r="C505" s="98"/>
      <c r="D505" s="98"/>
    </row>
    <row r="506" spans="1:4">
      <c r="A506" s="100">
        <f>ROW(Strong_Weakness[[#This Row],[INDEX]])-ROW(Strong_Weakness[[#Headers],[INDEX]])</f>
        <v>505</v>
      </c>
      <c r="B506" s="98" t="str">
        <f>INDEX(Data_Assessment[],MATCH(Strong_Weakness[[#This Row],[INDEX]],Data_Assessment[INDEX],0),MATCH(Strong_Weakness[[#Headers],[NAME]],Data_Assessment[#Headers],0))</f>
        <v>Marwan Ritonga, Ir.</v>
      </c>
      <c r="C506" s="98"/>
      <c r="D506" s="98"/>
    </row>
    <row r="507" spans="1:4">
      <c r="A507" s="100">
        <f>ROW(Strong_Weakness[[#This Row],[INDEX]])-ROW(Strong_Weakness[[#Headers],[INDEX]])</f>
        <v>506</v>
      </c>
      <c r="B507" s="98" t="str">
        <f>INDEX(Data_Assessment[],MATCH(Strong_Weakness[[#This Row],[INDEX]],Data_Assessment[INDEX],0),MATCH(Strong_Weakness[[#Headers],[NAME]],Data_Assessment[#Headers],0))</f>
        <v>Rudian Sabili</v>
      </c>
      <c r="C507" s="98"/>
      <c r="D507" s="98"/>
    </row>
    <row r="508" spans="1:4">
      <c r="A508" s="100">
        <f>ROW(Strong_Weakness[[#This Row],[INDEX]])-ROW(Strong_Weakness[[#Headers],[INDEX]])</f>
        <v>507</v>
      </c>
      <c r="B508" s="98" t="str">
        <f>INDEX(Data_Assessment[],MATCH(Strong_Weakness[[#This Row],[INDEX]],Data_Assessment[INDEX],0),MATCH(Strong_Weakness[[#Headers],[NAME]],Data_Assessment[#Headers],0))</f>
        <v>Amir Hasan Parinduri, Ir.</v>
      </c>
      <c r="C508" s="98"/>
      <c r="D508" s="98"/>
    </row>
    <row r="509" spans="1:4">
      <c r="A509" s="100">
        <f>ROW(Strong_Weakness[[#This Row],[INDEX]])-ROW(Strong_Weakness[[#Headers],[INDEX]])</f>
        <v>508</v>
      </c>
      <c r="B509" s="98" t="str">
        <f>INDEX(Data_Assessment[],MATCH(Strong_Weakness[[#This Row],[INDEX]],Data_Assessment[INDEX],0),MATCH(Strong_Weakness[[#Headers],[NAME]],Data_Assessment[#Headers],0))</f>
        <v>Sahala Simorangkir</v>
      </c>
      <c r="C509" s="98"/>
      <c r="D509" s="98"/>
    </row>
    <row r="510" spans="1:4">
      <c r="A510" s="100">
        <f>ROW(Strong_Weakness[[#This Row],[INDEX]])-ROW(Strong_Weakness[[#Headers],[INDEX]])</f>
        <v>509</v>
      </c>
      <c r="B510" s="98" t="str">
        <f>INDEX(Data_Assessment[],MATCH(Strong_Weakness[[#This Row],[INDEX]],Data_Assessment[INDEX],0),MATCH(Strong_Weakness[[#Headers],[NAME]],Data_Assessment[#Headers],0))</f>
        <v>Dedi Armaidiansyah Lbs</v>
      </c>
      <c r="C510" s="98"/>
      <c r="D510" s="98"/>
    </row>
    <row r="511" spans="1:4">
      <c r="A511" s="100">
        <f>ROW(Strong_Weakness[[#This Row],[INDEX]])-ROW(Strong_Weakness[[#Headers],[INDEX]])</f>
        <v>510</v>
      </c>
      <c r="B511" s="98" t="str">
        <f>INDEX(Data_Assessment[],MATCH(Strong_Weakness[[#This Row],[INDEX]],Data_Assessment[INDEX],0),MATCH(Strong_Weakness[[#Headers],[NAME]],Data_Assessment[#Headers],0))</f>
        <v>Septian Fransiskus Simbolon</v>
      </c>
      <c r="C511" s="98"/>
      <c r="D511" s="98"/>
    </row>
    <row r="512" spans="1:4">
      <c r="A512" s="100">
        <f>ROW(Strong_Weakness[[#This Row],[INDEX]])-ROW(Strong_Weakness[[#Headers],[INDEX]])</f>
        <v>511</v>
      </c>
      <c r="B512" s="98" t="str">
        <f>INDEX(Data_Assessment[],MATCH(Strong_Weakness[[#This Row],[INDEX]],Data_Assessment[INDEX],0),MATCH(Strong_Weakness[[#Headers],[NAME]],Data_Assessment[#Headers],0))</f>
        <v>Sarbatua Harahap</v>
      </c>
      <c r="C512" s="98"/>
      <c r="D512" s="98"/>
    </row>
    <row r="513" spans="1:4">
      <c r="A513" s="100">
        <f>ROW(Strong_Weakness[[#This Row],[INDEX]])-ROW(Strong_Weakness[[#Headers],[INDEX]])</f>
        <v>512</v>
      </c>
      <c r="B513" s="98" t="str">
        <f>INDEX(Data_Assessment[],MATCH(Strong_Weakness[[#This Row],[INDEX]],Data_Assessment[INDEX],0),MATCH(Strong_Weakness[[#Headers],[NAME]],Data_Assessment[#Headers],0))</f>
        <v>Sarso Suparto. Amd</v>
      </c>
      <c r="C513" s="98"/>
      <c r="D513" s="98"/>
    </row>
    <row r="514" spans="1:4">
      <c r="A514" s="100">
        <f>ROW(Strong_Weakness[[#This Row],[INDEX]])-ROW(Strong_Weakness[[#Headers],[INDEX]])</f>
        <v>513</v>
      </c>
      <c r="B514" s="98" t="str">
        <f>INDEX(Data_Assessment[],MATCH(Strong_Weakness[[#This Row],[INDEX]],Data_Assessment[INDEX],0),MATCH(Strong_Weakness[[#Headers],[NAME]],Data_Assessment[#Headers],0))</f>
        <v>Rhiky Handayani Sinaga</v>
      </c>
      <c r="C514" s="98"/>
      <c r="D514" s="98"/>
    </row>
    <row r="515" spans="1:4">
      <c r="A515" s="100">
        <f>ROW(Strong_Weakness[[#This Row],[INDEX]])-ROW(Strong_Weakness[[#Headers],[INDEX]])</f>
        <v>514</v>
      </c>
      <c r="B515" s="98" t="str">
        <f>INDEX(Data_Assessment[],MATCH(Strong_Weakness[[#This Row],[INDEX]],Data_Assessment[INDEX],0),MATCH(Strong_Weakness[[#Headers],[NAME]],Data_Assessment[#Headers],0))</f>
        <v>Jaya Hartono</v>
      </c>
      <c r="C515" s="98"/>
      <c r="D515" s="98"/>
    </row>
    <row r="516" spans="1:4">
      <c r="A516" s="100">
        <f>ROW(Strong_Weakness[[#This Row],[INDEX]])-ROW(Strong_Weakness[[#Headers],[INDEX]])</f>
        <v>515</v>
      </c>
      <c r="B516" s="98" t="str">
        <f>INDEX(Data_Assessment[],MATCH(Strong_Weakness[[#This Row],[INDEX]],Data_Assessment[INDEX],0),MATCH(Strong_Weakness[[#Headers],[NAME]],Data_Assessment[#Headers],0))</f>
        <v>Rinaldi, Ir.</v>
      </c>
      <c r="C516" s="98"/>
      <c r="D516" s="98"/>
    </row>
    <row r="517" spans="1:4">
      <c r="A517" s="100">
        <f>ROW(Strong_Weakness[[#This Row],[INDEX]])-ROW(Strong_Weakness[[#Headers],[INDEX]])</f>
        <v>516</v>
      </c>
      <c r="B517" s="98" t="str">
        <f>INDEX(Data_Assessment[],MATCH(Strong_Weakness[[#This Row],[INDEX]],Data_Assessment[INDEX],0),MATCH(Strong_Weakness[[#Headers],[NAME]],Data_Assessment[#Headers],0))</f>
        <v>Gusmara Hakim</v>
      </c>
      <c r="C517" s="98"/>
      <c r="D517" s="98"/>
    </row>
    <row r="518" spans="1:4">
      <c r="A518" s="100">
        <f>ROW(Strong_Weakness[[#This Row],[INDEX]])-ROW(Strong_Weakness[[#Headers],[INDEX]])</f>
        <v>517</v>
      </c>
      <c r="B518" s="98" t="str">
        <f>INDEX(Data_Assessment[],MATCH(Strong_Weakness[[#This Row],[INDEX]],Data_Assessment[INDEX],0),MATCH(Strong_Weakness[[#Headers],[NAME]],Data_Assessment[#Headers],0))</f>
        <v>Agus Triyanto</v>
      </c>
      <c r="C518" s="98"/>
      <c r="D518" s="98"/>
    </row>
    <row r="519" spans="1:4">
      <c r="A519" s="100">
        <f>ROW(Strong_Weakness[[#This Row],[INDEX]])-ROW(Strong_Weakness[[#Headers],[INDEX]])</f>
        <v>518</v>
      </c>
      <c r="B519" s="98" t="str">
        <f>INDEX(Data_Assessment[],MATCH(Strong_Weakness[[#This Row],[INDEX]],Data_Assessment[INDEX],0),MATCH(Strong_Weakness[[#Headers],[NAME]],Data_Assessment[#Headers],0))</f>
        <v>Jasarlim Sinaga, Ir.</v>
      </c>
      <c r="C519" s="98"/>
      <c r="D519" s="98"/>
    </row>
    <row r="520" spans="1:4">
      <c r="A520" s="100">
        <f>ROW(Strong_Weakness[[#This Row],[INDEX]])-ROW(Strong_Weakness[[#Headers],[INDEX]])</f>
        <v>519</v>
      </c>
      <c r="B520" s="98" t="str">
        <f>INDEX(Data_Assessment[],MATCH(Strong_Weakness[[#This Row],[INDEX]],Data_Assessment[INDEX],0),MATCH(Strong_Weakness[[#Headers],[NAME]],Data_Assessment[#Headers],0))</f>
        <v>Albert Sembiring, Ir.</v>
      </c>
      <c r="C520" s="98"/>
      <c r="D520" s="98"/>
    </row>
    <row r="521" spans="1:4">
      <c r="A521" s="100">
        <f>ROW(Strong_Weakness[[#This Row],[INDEX]])-ROW(Strong_Weakness[[#Headers],[INDEX]])</f>
        <v>520</v>
      </c>
      <c r="B521" s="98" t="str">
        <f>INDEX(Data_Assessment[],MATCH(Strong_Weakness[[#This Row],[INDEX]],Data_Assessment[INDEX],0),MATCH(Strong_Weakness[[#Headers],[NAME]],Data_Assessment[#Headers],0))</f>
        <v>Harianto Tarigan</v>
      </c>
      <c r="C521" s="98"/>
      <c r="D521" s="98"/>
    </row>
    <row r="522" spans="1:4">
      <c r="A522" s="100">
        <f>ROW(Strong_Weakness[[#This Row],[INDEX]])-ROW(Strong_Weakness[[#Headers],[INDEX]])</f>
        <v>521</v>
      </c>
      <c r="B522" s="98" t="str">
        <f>INDEX(Data_Assessment[],MATCH(Strong_Weakness[[#This Row],[INDEX]],Data_Assessment[INDEX],0),MATCH(Strong_Weakness[[#Headers],[NAME]],Data_Assessment[#Headers],0))</f>
        <v>T.M. Hidayat</v>
      </c>
      <c r="C522" s="98"/>
      <c r="D522" s="98"/>
    </row>
    <row r="523" spans="1:4">
      <c r="A523" s="100">
        <f>ROW(Strong_Weakness[[#This Row],[INDEX]])-ROW(Strong_Weakness[[#Headers],[INDEX]])</f>
        <v>522</v>
      </c>
      <c r="B523" s="98" t="str">
        <f>INDEX(Data_Assessment[],MATCH(Strong_Weakness[[#This Row],[INDEX]],Data_Assessment[INDEX],0),MATCH(Strong_Weakness[[#Headers],[NAME]],Data_Assessment[#Headers],0))</f>
        <v>Ir. Rudi Tambun</v>
      </c>
      <c r="C523" s="98"/>
      <c r="D523" s="98"/>
    </row>
    <row r="524" spans="1:4">
      <c r="A524" s="100">
        <f>ROW(Strong_Weakness[[#This Row],[INDEX]])-ROW(Strong_Weakness[[#Headers],[INDEX]])</f>
        <v>523</v>
      </c>
      <c r="B524" s="98" t="str">
        <f>INDEX(Data_Assessment[],MATCH(Strong_Weakness[[#This Row],[INDEX]],Data_Assessment[INDEX],0),MATCH(Strong_Weakness[[#Headers],[NAME]],Data_Assessment[#Headers],0))</f>
        <v>Siti Hawa, Ir.</v>
      </c>
      <c r="C524" s="98"/>
      <c r="D524" s="98"/>
    </row>
    <row r="525" spans="1:4">
      <c r="A525" s="100">
        <f>ROW(Strong_Weakness[[#This Row],[INDEX]])-ROW(Strong_Weakness[[#Headers],[INDEX]])</f>
        <v>524</v>
      </c>
      <c r="B525" s="98" t="str">
        <f>INDEX(Data_Assessment[],MATCH(Strong_Weakness[[#This Row],[INDEX]],Data_Assessment[INDEX],0),MATCH(Strong_Weakness[[#Headers],[NAME]],Data_Assessment[#Headers],0))</f>
        <v>Dani Sartika Saragih</v>
      </c>
      <c r="C525" s="98"/>
      <c r="D525" s="98"/>
    </row>
    <row r="526" spans="1:4">
      <c r="A526" s="100">
        <f>ROW(Strong_Weakness[[#This Row],[INDEX]])-ROW(Strong_Weakness[[#Headers],[INDEX]])</f>
        <v>525</v>
      </c>
      <c r="B526" s="98" t="str">
        <f>INDEX(Data_Assessment[],MATCH(Strong_Weakness[[#This Row],[INDEX]],Data_Assessment[INDEX],0),MATCH(Strong_Weakness[[#Headers],[NAME]],Data_Assessment[#Headers],0))</f>
        <v>Sigit Aditya</v>
      </c>
      <c r="C526" s="98"/>
      <c r="D526" s="98"/>
    </row>
    <row r="527" spans="1:4">
      <c r="A527" s="100">
        <f>ROW(Strong_Weakness[[#This Row],[INDEX]])-ROW(Strong_Weakness[[#Headers],[INDEX]])</f>
        <v>526</v>
      </c>
      <c r="B527" s="98" t="str">
        <f>INDEX(Data_Assessment[],MATCH(Strong_Weakness[[#This Row],[INDEX]],Data_Assessment[INDEX],0),MATCH(Strong_Weakness[[#Headers],[NAME]],Data_Assessment[#Headers],0))</f>
        <v>Rahmat Husaini, Ir</v>
      </c>
      <c r="C527" s="98"/>
      <c r="D527" s="98"/>
    </row>
    <row r="528" spans="1:4">
      <c r="A528" s="100">
        <f>ROW(Strong_Weakness[[#This Row],[INDEX]])-ROW(Strong_Weakness[[#Headers],[INDEX]])</f>
        <v>527</v>
      </c>
      <c r="B528" s="98" t="str">
        <f>INDEX(Data_Assessment[],MATCH(Strong_Weakness[[#This Row],[INDEX]],Data_Assessment[INDEX],0),MATCH(Strong_Weakness[[#Headers],[NAME]],Data_Assessment[#Headers],0))</f>
        <v>Chairul Fikri, Ir.</v>
      </c>
      <c r="C528" s="98"/>
      <c r="D528" s="98"/>
    </row>
    <row r="529" spans="1:4">
      <c r="A529" s="100">
        <f>ROW(Strong_Weakness[[#This Row],[INDEX]])-ROW(Strong_Weakness[[#Headers],[INDEX]])</f>
        <v>528</v>
      </c>
      <c r="B529" s="98" t="str">
        <f>INDEX(Data_Assessment[],MATCH(Strong_Weakness[[#This Row],[INDEX]],Data_Assessment[INDEX],0),MATCH(Strong_Weakness[[#Headers],[NAME]],Data_Assessment[#Headers],0))</f>
        <v>M. Alvi, Ir.</v>
      </c>
      <c r="C529" s="98"/>
      <c r="D529" s="98"/>
    </row>
    <row r="530" spans="1:4">
      <c r="A530" s="100">
        <f>ROW(Strong_Weakness[[#This Row],[INDEX]])-ROW(Strong_Weakness[[#Headers],[INDEX]])</f>
        <v>529</v>
      </c>
      <c r="B530" s="98" t="str">
        <f>INDEX(Data_Assessment[],MATCH(Strong_Weakness[[#This Row],[INDEX]],Data_Assessment[INDEX],0),MATCH(Strong_Weakness[[#Headers],[NAME]],Data_Assessment[#Headers],0))</f>
        <v>Khairuddin</v>
      </c>
      <c r="C530" s="98"/>
      <c r="D530" s="98"/>
    </row>
    <row r="531" spans="1:4">
      <c r="A531" s="100">
        <f>ROW(Strong_Weakness[[#This Row],[INDEX]])-ROW(Strong_Weakness[[#Headers],[INDEX]])</f>
        <v>530</v>
      </c>
      <c r="B531" s="98" t="str">
        <f>INDEX(Data_Assessment[],MATCH(Strong_Weakness[[#This Row],[INDEX]],Data_Assessment[INDEX],0),MATCH(Strong_Weakness[[#Headers],[NAME]],Data_Assessment[#Headers],0))</f>
        <v>Hanafi Ansari</v>
      </c>
      <c r="C531" s="98"/>
      <c r="D531" s="98"/>
    </row>
    <row r="532" spans="1:4">
      <c r="A532" s="100">
        <f>ROW(Strong_Weakness[[#This Row],[INDEX]])-ROW(Strong_Weakness[[#Headers],[INDEX]])</f>
        <v>531</v>
      </c>
      <c r="B532" s="98" t="str">
        <f>INDEX(Data_Assessment[],MATCH(Strong_Weakness[[#This Row],[INDEX]],Data_Assessment[INDEX],0),MATCH(Strong_Weakness[[#Headers],[NAME]],Data_Assessment[#Headers],0))</f>
        <v>Ari Sukhaira</v>
      </c>
      <c r="C532" s="98"/>
      <c r="D532" s="98"/>
    </row>
    <row r="533" spans="1:4">
      <c r="A533" s="100">
        <f>ROW(Strong_Weakness[[#This Row],[INDEX]])-ROW(Strong_Weakness[[#Headers],[INDEX]])</f>
        <v>532</v>
      </c>
      <c r="B533" s="98" t="str">
        <f>INDEX(Data_Assessment[],MATCH(Strong_Weakness[[#This Row],[INDEX]],Data_Assessment[INDEX],0),MATCH(Strong_Weakness[[#Headers],[NAME]],Data_Assessment[#Headers],0))</f>
        <v>Dedi Heryadi, Ir.</v>
      </c>
      <c r="C533" s="98"/>
      <c r="D533" s="98"/>
    </row>
    <row r="534" spans="1:4">
      <c r="A534" s="100">
        <f>ROW(Strong_Weakness[[#This Row],[INDEX]])-ROW(Strong_Weakness[[#Headers],[INDEX]])</f>
        <v>533</v>
      </c>
      <c r="B534" s="98" t="str">
        <f>INDEX(Data_Assessment[],MATCH(Strong_Weakness[[#This Row],[INDEX]],Data_Assessment[INDEX],0),MATCH(Strong_Weakness[[#Headers],[NAME]],Data_Assessment[#Headers],0))</f>
        <v>Sri Hardono, Ir.</v>
      </c>
      <c r="C534" s="98"/>
      <c r="D534" s="98"/>
    </row>
    <row r="535" spans="1:4">
      <c r="A535" s="100">
        <f>ROW(Strong_Weakness[[#This Row],[INDEX]])-ROW(Strong_Weakness[[#Headers],[INDEX]])</f>
        <v>534</v>
      </c>
      <c r="B535" s="98" t="str">
        <f>INDEX(Data_Assessment[],MATCH(Strong_Weakness[[#This Row],[INDEX]],Data_Assessment[INDEX],0),MATCH(Strong_Weakness[[#Headers],[NAME]],Data_Assessment[#Headers],0))</f>
        <v>Johan Surya Laksamana Siregar</v>
      </c>
      <c r="C535" s="98"/>
      <c r="D535" s="98"/>
    </row>
    <row r="536" spans="1:4">
      <c r="A536" s="100">
        <f>ROW(Strong_Weakness[[#This Row],[INDEX]])-ROW(Strong_Weakness[[#Headers],[INDEX]])</f>
        <v>535</v>
      </c>
      <c r="B536" s="98" t="str">
        <f>INDEX(Data_Assessment[],MATCH(Strong_Weakness[[#This Row],[INDEX]],Data_Assessment[INDEX],0),MATCH(Strong_Weakness[[#Headers],[NAME]],Data_Assessment[#Headers],0))</f>
        <v>Idham</v>
      </c>
      <c r="C536" s="98"/>
      <c r="D536" s="98"/>
    </row>
    <row r="537" spans="1:4">
      <c r="A537" s="100">
        <f>ROW(Strong_Weakness[[#This Row],[INDEX]])-ROW(Strong_Weakness[[#Headers],[INDEX]])</f>
        <v>536</v>
      </c>
      <c r="B537" s="98" t="str">
        <f>INDEX(Data_Assessment[],MATCH(Strong_Weakness[[#This Row],[INDEX]],Data_Assessment[INDEX],0),MATCH(Strong_Weakness[[#Headers],[NAME]],Data_Assessment[#Headers],0))</f>
        <v>Syahrul, Ir.</v>
      </c>
      <c r="C537" s="98"/>
      <c r="D537" s="98"/>
    </row>
    <row r="538" spans="1:4">
      <c r="A538" s="100">
        <f>ROW(Strong_Weakness[[#This Row],[INDEX]])-ROW(Strong_Weakness[[#Headers],[INDEX]])</f>
        <v>537</v>
      </c>
      <c r="B538" s="98" t="str">
        <f>INDEX(Data_Assessment[],MATCH(Strong_Weakness[[#This Row],[INDEX]],Data_Assessment[INDEX],0),MATCH(Strong_Weakness[[#Headers],[NAME]],Data_Assessment[#Headers],0))</f>
        <v>Sacra Surya Avensina</v>
      </c>
      <c r="C538" s="98"/>
      <c r="D538" s="98"/>
    </row>
    <row r="539" spans="1:4">
      <c r="A539" s="100">
        <f>ROW(Strong_Weakness[[#This Row],[INDEX]])-ROW(Strong_Weakness[[#Headers],[INDEX]])</f>
        <v>538</v>
      </c>
      <c r="B539" s="98" t="str">
        <f>INDEX(Data_Assessment[],MATCH(Strong_Weakness[[#This Row],[INDEX]],Data_Assessment[INDEX],0),MATCH(Strong_Weakness[[#Headers],[NAME]],Data_Assessment[#Headers],0))</f>
        <v>Punguan Sinaga</v>
      </c>
      <c r="C539" s="98"/>
      <c r="D539" s="98"/>
    </row>
    <row r="540" spans="1:4">
      <c r="A540" s="100">
        <f>ROW(Strong_Weakness[[#This Row],[INDEX]])-ROW(Strong_Weakness[[#Headers],[INDEX]])</f>
        <v>539</v>
      </c>
      <c r="B540" s="98" t="str">
        <f>INDEX(Data_Assessment[],MATCH(Strong_Weakness[[#This Row],[INDEX]],Data_Assessment[INDEX],0),MATCH(Strong_Weakness[[#Headers],[NAME]],Data_Assessment[#Headers],0))</f>
        <v>Syahrudi Sagala</v>
      </c>
      <c r="C540" s="98"/>
      <c r="D540" s="98"/>
    </row>
    <row r="541" spans="1:4">
      <c r="A541" s="100">
        <f>ROW(Strong_Weakness[[#This Row],[INDEX]])-ROW(Strong_Weakness[[#Headers],[INDEX]])</f>
        <v>540</v>
      </c>
      <c r="B541" s="98" t="str">
        <f>INDEX(Data_Assessment[],MATCH(Strong_Weakness[[#This Row],[INDEX]],Data_Assessment[INDEX],0),MATCH(Strong_Weakness[[#Headers],[NAME]],Data_Assessment[#Headers],0))</f>
        <v>Dahrial, Ir.</v>
      </c>
      <c r="C541" s="98"/>
      <c r="D541" s="98"/>
    </row>
    <row r="542" spans="1:4">
      <c r="A542" s="100">
        <f>ROW(Strong_Weakness[[#This Row],[INDEX]])-ROW(Strong_Weakness[[#Headers],[INDEX]])</f>
        <v>541</v>
      </c>
      <c r="B542" s="98" t="str">
        <f>INDEX(Data_Assessment[],MATCH(Strong_Weakness[[#This Row],[INDEX]],Data_Assessment[INDEX],0),MATCH(Strong_Weakness[[#Headers],[NAME]],Data_Assessment[#Headers],0))</f>
        <v>M. Rahman Al Rasyid</v>
      </c>
      <c r="C542" s="98"/>
      <c r="D542" s="98"/>
    </row>
    <row r="543" spans="1:4">
      <c r="A543" s="100">
        <f>ROW(Strong_Weakness[[#This Row],[INDEX]])-ROW(Strong_Weakness[[#Headers],[INDEX]])</f>
        <v>542</v>
      </c>
      <c r="B543" s="98" t="str">
        <f>INDEX(Data_Assessment[],MATCH(Strong_Weakness[[#This Row],[INDEX]],Data_Assessment[INDEX],0),MATCH(Strong_Weakness[[#Headers],[NAME]],Data_Assessment[#Headers],0))</f>
        <v>Sulkifli Darman, Ir.</v>
      </c>
      <c r="C543" s="98"/>
      <c r="D543" s="98"/>
    </row>
    <row r="544" spans="1:4">
      <c r="A544" s="100">
        <f>ROW(Strong_Weakness[[#This Row],[INDEX]])-ROW(Strong_Weakness[[#Headers],[INDEX]])</f>
        <v>543</v>
      </c>
      <c r="B544" s="98" t="str">
        <f>INDEX(Data_Assessment[],MATCH(Strong_Weakness[[#This Row],[INDEX]],Data_Assessment[INDEX],0),MATCH(Strong_Weakness[[#Headers],[NAME]],Data_Assessment[#Headers],0))</f>
        <v>Bonar Parlindungan S.</v>
      </c>
      <c r="C544" s="98"/>
      <c r="D544" s="98"/>
    </row>
    <row r="545" spans="1:4">
      <c r="A545" s="100">
        <f>ROW(Strong_Weakness[[#This Row],[INDEX]])-ROW(Strong_Weakness[[#Headers],[INDEX]])</f>
        <v>544</v>
      </c>
      <c r="B545" s="98" t="str">
        <f>INDEX(Data_Assessment[],MATCH(Strong_Weakness[[#This Row],[INDEX]],Data_Assessment[INDEX],0),MATCH(Strong_Weakness[[#Headers],[NAME]],Data_Assessment[#Headers],0))</f>
        <v>Wahyu Trijatmiko</v>
      </c>
      <c r="C545" s="98"/>
      <c r="D545" s="98"/>
    </row>
    <row r="546" spans="1:4">
      <c r="A546" s="100">
        <f>ROW(Strong_Weakness[[#This Row],[INDEX]])-ROW(Strong_Weakness[[#Headers],[INDEX]])</f>
        <v>545</v>
      </c>
      <c r="B546" s="98" t="str">
        <f>INDEX(Data_Assessment[],MATCH(Strong_Weakness[[#This Row],[INDEX]],Data_Assessment[INDEX],0),MATCH(Strong_Weakness[[#Headers],[NAME]],Data_Assessment[#Headers],0))</f>
        <v>Rahmat Wibowo, Sp</v>
      </c>
      <c r="C546" s="98"/>
      <c r="D546" s="98"/>
    </row>
    <row r="547" spans="1:4">
      <c r="A547" s="100">
        <f>ROW(Strong_Weakness[[#This Row],[INDEX]])-ROW(Strong_Weakness[[#Headers],[INDEX]])</f>
        <v>546</v>
      </c>
      <c r="B547" s="98" t="str">
        <f>INDEX(Data_Assessment[],MATCH(Strong_Weakness[[#This Row],[INDEX]],Data_Assessment[INDEX],0),MATCH(Strong_Weakness[[#Headers],[NAME]],Data_Assessment[#Headers],0))</f>
        <v>Kaslan, Ir.</v>
      </c>
      <c r="C547" s="98"/>
      <c r="D547" s="98"/>
    </row>
    <row r="548" spans="1:4">
      <c r="A548" s="100">
        <f>ROW(Strong_Weakness[[#This Row],[INDEX]])-ROW(Strong_Weakness[[#Headers],[INDEX]])</f>
        <v>547</v>
      </c>
      <c r="B548" s="98" t="str">
        <f>INDEX(Data_Assessment[],MATCH(Strong_Weakness[[#This Row],[INDEX]],Data_Assessment[INDEX],0),MATCH(Strong_Weakness[[#Headers],[NAME]],Data_Assessment[#Headers],0))</f>
        <v>Baharaja A.S., Ir.</v>
      </c>
      <c r="C548" s="98"/>
      <c r="D548" s="98"/>
    </row>
    <row r="549" spans="1:4">
      <c r="A549" s="100">
        <f>ROW(Strong_Weakness[[#This Row],[INDEX]])-ROW(Strong_Weakness[[#Headers],[INDEX]])</f>
        <v>548</v>
      </c>
      <c r="B549" s="98" t="str">
        <f>INDEX(Data_Assessment[],MATCH(Strong_Weakness[[#This Row],[INDEX]],Data_Assessment[INDEX],0),MATCH(Strong_Weakness[[#Headers],[NAME]],Data_Assessment[#Headers],0))</f>
        <v>Darwin Siregar, Ir.</v>
      </c>
      <c r="C549" s="98"/>
      <c r="D549" s="98"/>
    </row>
    <row r="550" spans="1:4">
      <c r="A550" s="100">
        <f>ROW(Strong_Weakness[[#This Row],[INDEX]])-ROW(Strong_Weakness[[#Headers],[INDEX]])</f>
        <v>549</v>
      </c>
      <c r="B550" s="98" t="str">
        <f>INDEX(Data_Assessment[],MATCH(Strong_Weakness[[#This Row],[INDEX]],Data_Assessment[INDEX],0),MATCH(Strong_Weakness[[#Headers],[NAME]],Data_Assessment[#Headers],0))</f>
        <v>Muhammad Junaedi</v>
      </c>
      <c r="C550" s="98"/>
      <c r="D550" s="98"/>
    </row>
    <row r="551" spans="1:4">
      <c r="A551" s="100">
        <f>ROW(Strong_Weakness[[#This Row],[INDEX]])-ROW(Strong_Weakness[[#Headers],[INDEX]])</f>
        <v>550</v>
      </c>
      <c r="B551" s="98" t="str">
        <f>INDEX(Data_Assessment[],MATCH(Strong_Weakness[[#This Row],[INDEX]],Data_Assessment[INDEX],0),MATCH(Strong_Weakness[[#Headers],[NAME]],Data_Assessment[#Headers],0))</f>
        <v>Azhar, Ir.</v>
      </c>
      <c r="C551" s="98"/>
      <c r="D551" s="98"/>
    </row>
    <row r="552" spans="1:4">
      <c r="A552" s="100">
        <f>ROW(Strong_Weakness[[#This Row],[INDEX]])-ROW(Strong_Weakness[[#Headers],[INDEX]])</f>
        <v>551</v>
      </c>
      <c r="B552" s="98" t="str">
        <f>INDEX(Data_Assessment[],MATCH(Strong_Weakness[[#This Row],[INDEX]],Data_Assessment[INDEX],0),MATCH(Strong_Weakness[[#Headers],[NAME]],Data_Assessment[#Headers],0))</f>
        <v>T. Chairul Azhar, Ir.</v>
      </c>
      <c r="C552" s="98"/>
      <c r="D552" s="98"/>
    </row>
    <row r="553" spans="1:4">
      <c r="A553" s="100">
        <f>ROW(Strong_Weakness[[#This Row],[INDEX]])-ROW(Strong_Weakness[[#Headers],[INDEX]])</f>
        <v>552</v>
      </c>
      <c r="B553" s="98" t="str">
        <f>INDEX(Data_Assessment[],MATCH(Strong_Weakness[[#This Row],[INDEX]],Data_Assessment[INDEX],0),MATCH(Strong_Weakness[[#Headers],[NAME]],Data_Assessment[#Headers],0))</f>
        <v>Hasan Basri Siregar</v>
      </c>
      <c r="C553" s="98"/>
      <c r="D553" s="98"/>
    </row>
    <row r="554" spans="1:4">
      <c r="A554" s="100">
        <f>ROW(Strong_Weakness[[#This Row],[INDEX]])-ROW(Strong_Weakness[[#Headers],[INDEX]])</f>
        <v>553</v>
      </c>
      <c r="B554" s="98" t="str">
        <f>INDEX(Data_Assessment[],MATCH(Strong_Weakness[[#This Row],[INDEX]],Data_Assessment[INDEX],0),MATCH(Strong_Weakness[[#Headers],[NAME]],Data_Assessment[#Headers],0))</f>
        <v>Waldrin Manalu</v>
      </c>
      <c r="C554" s="98"/>
      <c r="D554" s="98"/>
    </row>
    <row r="555" spans="1:4">
      <c r="A555" s="100">
        <f>ROW(Strong_Weakness[[#This Row],[INDEX]])-ROW(Strong_Weakness[[#Headers],[INDEX]])</f>
        <v>554</v>
      </c>
      <c r="B555" s="98" t="str">
        <f>INDEX(Data_Assessment[],MATCH(Strong_Weakness[[#This Row],[INDEX]],Data_Assessment[INDEX],0),MATCH(Strong_Weakness[[#Headers],[NAME]],Data_Assessment[#Headers],0))</f>
        <v>Anas Mahyidin, Drs.</v>
      </c>
      <c r="C555" s="98"/>
      <c r="D555" s="98"/>
    </row>
    <row r="556" spans="1:4">
      <c r="A556" s="100">
        <f>ROW(Strong_Weakness[[#This Row],[INDEX]])-ROW(Strong_Weakness[[#Headers],[INDEX]])</f>
        <v>555</v>
      </c>
      <c r="B556" s="98" t="str">
        <f>INDEX(Data_Assessment[],MATCH(Strong_Weakness[[#This Row],[INDEX]],Data_Assessment[INDEX],0),MATCH(Strong_Weakness[[#Headers],[NAME]],Data_Assessment[#Headers],0))</f>
        <v>Efrijon Tanjung</v>
      </c>
      <c r="C556" s="98"/>
      <c r="D556" s="98"/>
    </row>
    <row r="557" spans="1:4">
      <c r="A557" s="100">
        <f>ROW(Strong_Weakness[[#This Row],[INDEX]])-ROW(Strong_Weakness[[#Headers],[INDEX]])</f>
        <v>556</v>
      </c>
      <c r="B557" s="98" t="str">
        <f>INDEX(Data_Assessment[],MATCH(Strong_Weakness[[#This Row],[INDEX]],Data_Assessment[INDEX],0),MATCH(Strong_Weakness[[#Headers],[NAME]],Data_Assessment[#Headers],0))</f>
        <v>Sazly Rais Marpaung</v>
      </c>
      <c r="C557" s="98"/>
      <c r="D557" s="98"/>
    </row>
    <row r="558" spans="1:4">
      <c r="A558" s="100">
        <f>ROW(Strong_Weakness[[#This Row],[INDEX]])-ROW(Strong_Weakness[[#Headers],[INDEX]])</f>
        <v>557</v>
      </c>
      <c r="B558" s="98" t="str">
        <f>INDEX(Data_Assessment[],MATCH(Strong_Weakness[[#This Row],[INDEX]],Data_Assessment[INDEX],0),MATCH(Strong_Weakness[[#Headers],[NAME]],Data_Assessment[#Headers],0))</f>
        <v>Yusnandar M. Syahani, Ir.</v>
      </c>
      <c r="C558" s="98"/>
      <c r="D558" s="98"/>
    </row>
    <row r="559" spans="1:4">
      <c r="A559" s="100">
        <f>ROW(Strong_Weakness[[#This Row],[INDEX]])-ROW(Strong_Weakness[[#Headers],[INDEX]])</f>
        <v>558</v>
      </c>
      <c r="B559" s="98" t="str">
        <f>INDEX(Data_Assessment[],MATCH(Strong_Weakness[[#This Row],[INDEX]],Data_Assessment[INDEX],0),MATCH(Strong_Weakness[[#Headers],[NAME]],Data_Assessment[#Headers],0))</f>
        <v>Agus Dedi Rusmanto</v>
      </c>
      <c r="C559" s="98"/>
      <c r="D559" s="98"/>
    </row>
    <row r="560" spans="1:4">
      <c r="A560" s="100">
        <f>ROW(Strong_Weakness[[#This Row],[INDEX]])-ROW(Strong_Weakness[[#Headers],[INDEX]])</f>
        <v>559</v>
      </c>
      <c r="B560" s="98" t="str">
        <f>INDEX(Data_Assessment[],MATCH(Strong_Weakness[[#This Row],[INDEX]],Data_Assessment[INDEX],0),MATCH(Strong_Weakness[[#Headers],[NAME]],Data_Assessment[#Headers],0))</f>
        <v>Islamuddin S., Ir.</v>
      </c>
      <c r="C560" s="98"/>
      <c r="D560" s="98"/>
    </row>
    <row r="561" spans="1:4">
      <c r="A561" s="100">
        <f>ROW(Strong_Weakness[[#This Row],[INDEX]])-ROW(Strong_Weakness[[#Headers],[INDEX]])</f>
        <v>560</v>
      </c>
      <c r="B561" s="98" t="str">
        <f>INDEX(Data_Assessment[],MATCH(Strong_Weakness[[#This Row],[INDEX]],Data_Assessment[INDEX],0),MATCH(Strong_Weakness[[#Headers],[NAME]],Data_Assessment[#Headers],0))</f>
        <v>Beny Asman, ST</v>
      </c>
      <c r="C561" s="98"/>
      <c r="D561" s="98"/>
    </row>
    <row r="562" spans="1:4">
      <c r="A562" s="100">
        <f>ROW(Strong_Weakness[[#This Row],[INDEX]])-ROW(Strong_Weakness[[#Headers],[INDEX]])</f>
        <v>561</v>
      </c>
      <c r="B562" s="98" t="str">
        <f>INDEX(Data_Assessment[],MATCH(Strong_Weakness[[#This Row],[INDEX]],Data_Assessment[INDEX],0),MATCH(Strong_Weakness[[#Headers],[NAME]],Data_Assessment[#Headers],0))</f>
        <v>Imran Taufik, Ir.</v>
      </c>
      <c r="C562" s="98"/>
      <c r="D562" s="98"/>
    </row>
    <row r="563" spans="1:4">
      <c r="A563" s="100">
        <f>ROW(Strong_Weakness[[#This Row],[INDEX]])-ROW(Strong_Weakness[[#Headers],[INDEX]])</f>
        <v>562</v>
      </c>
      <c r="B563" s="98" t="str">
        <f>INDEX(Data_Assessment[],MATCH(Strong_Weakness[[#This Row],[INDEX]],Data_Assessment[INDEX],0),MATCH(Strong_Weakness[[#Headers],[NAME]],Data_Assessment[#Headers],0))</f>
        <v>Ronald Pandapotan Simarmata</v>
      </c>
      <c r="C563" s="98"/>
      <c r="D563" s="98"/>
    </row>
    <row r="564" spans="1:4">
      <c r="A564" s="100">
        <f>ROW(Strong_Weakness[[#This Row],[INDEX]])-ROW(Strong_Weakness[[#Headers],[INDEX]])</f>
        <v>563</v>
      </c>
      <c r="B564" s="98" t="str">
        <f>INDEX(Data_Assessment[],MATCH(Strong_Weakness[[#This Row],[INDEX]],Data_Assessment[INDEX],0),MATCH(Strong_Weakness[[#Headers],[NAME]],Data_Assessment[#Headers],0))</f>
        <v>M. Surya Ardiyanto, Ir.</v>
      </c>
      <c r="C564" s="98"/>
      <c r="D564" s="98"/>
    </row>
    <row r="565" spans="1:4">
      <c r="A565" s="100">
        <f>ROW(Strong_Weakness[[#This Row],[INDEX]])-ROW(Strong_Weakness[[#Headers],[INDEX]])</f>
        <v>564</v>
      </c>
      <c r="B565" s="98" t="str">
        <f>INDEX(Data_Assessment[],MATCH(Strong_Weakness[[#This Row],[INDEX]],Data_Assessment[INDEX],0),MATCH(Strong_Weakness[[#Headers],[NAME]],Data_Assessment[#Headers],0))</f>
        <v>Dedi Arfin</v>
      </c>
      <c r="C565" s="98"/>
      <c r="D565" s="98"/>
    </row>
    <row r="566" spans="1:4">
      <c r="A566" s="100">
        <f>ROW(Strong_Weakness[[#This Row],[INDEX]])-ROW(Strong_Weakness[[#Headers],[INDEX]])</f>
        <v>565</v>
      </c>
      <c r="B566" s="98" t="str">
        <f>INDEX(Data_Assessment[],MATCH(Strong_Weakness[[#This Row],[INDEX]],Data_Assessment[INDEX],0),MATCH(Strong_Weakness[[#Headers],[NAME]],Data_Assessment[#Headers],0))</f>
        <v>Diah Retno</v>
      </c>
      <c r="C566" s="98"/>
      <c r="D566" s="98"/>
    </row>
    <row r="567" spans="1:4">
      <c r="A567" s="100">
        <f>ROW(Strong_Weakness[[#This Row],[INDEX]])-ROW(Strong_Weakness[[#Headers],[INDEX]])</f>
        <v>566</v>
      </c>
      <c r="B567" s="98" t="str">
        <f>INDEX(Data_Assessment[],MATCH(Strong_Weakness[[#This Row],[INDEX]],Data_Assessment[INDEX],0),MATCH(Strong_Weakness[[#Headers],[NAME]],Data_Assessment[#Headers],0))</f>
        <v>Radius Ginting</v>
      </c>
      <c r="C567" s="98"/>
      <c r="D567" s="98"/>
    </row>
    <row r="568" spans="1:4">
      <c r="A568" s="100">
        <f>ROW(Strong_Weakness[[#This Row],[INDEX]])-ROW(Strong_Weakness[[#Headers],[INDEX]])</f>
        <v>567</v>
      </c>
      <c r="B568" s="98" t="str">
        <f>INDEX(Data_Assessment[],MATCH(Strong_Weakness[[#This Row],[INDEX]],Data_Assessment[INDEX],0),MATCH(Strong_Weakness[[#Headers],[NAME]],Data_Assessment[#Headers],0))</f>
        <v>Budi Purwanto</v>
      </c>
      <c r="C568" s="98"/>
      <c r="D568" s="98"/>
    </row>
    <row r="569" spans="1:4">
      <c r="A569" s="100">
        <f>ROW(Strong_Weakness[[#This Row],[INDEX]])-ROW(Strong_Weakness[[#Headers],[INDEX]])</f>
        <v>568</v>
      </c>
      <c r="B569" s="98" t="str">
        <f>INDEX(Data_Assessment[],MATCH(Strong_Weakness[[#This Row],[INDEX]],Data_Assessment[INDEX],0),MATCH(Strong_Weakness[[#Headers],[NAME]],Data_Assessment[#Headers],0))</f>
        <v>Pebri Romodon</v>
      </c>
      <c r="C569" s="98"/>
      <c r="D569" s="98"/>
    </row>
    <row r="570" spans="1:4">
      <c r="A570" s="100">
        <f>ROW(Strong_Weakness[[#This Row],[INDEX]])-ROW(Strong_Weakness[[#Headers],[INDEX]])</f>
        <v>569</v>
      </c>
      <c r="B570" s="98" t="str">
        <f>INDEX(Data_Assessment[],MATCH(Strong_Weakness[[#This Row],[INDEX]],Data_Assessment[INDEX],0),MATCH(Strong_Weakness[[#Headers],[NAME]],Data_Assessment[#Headers],0))</f>
        <v>Bambang Irwansyah</v>
      </c>
      <c r="C570" s="98"/>
      <c r="D570" s="98"/>
    </row>
    <row r="571" spans="1:4">
      <c r="A571" s="100">
        <f>ROW(Strong_Weakness[[#This Row],[INDEX]])-ROW(Strong_Weakness[[#Headers],[INDEX]])</f>
        <v>570</v>
      </c>
      <c r="B571" s="98" t="str">
        <f>INDEX(Data_Assessment[],MATCH(Strong_Weakness[[#This Row],[INDEX]],Data_Assessment[INDEX],0),MATCH(Strong_Weakness[[#Headers],[NAME]],Data_Assessment[#Headers],0))</f>
        <v>Herdiansyah Barus</v>
      </c>
      <c r="C571" s="98"/>
      <c r="D571" s="98"/>
    </row>
    <row r="572" spans="1:4">
      <c r="A572" s="100">
        <f>ROW(Strong_Weakness[[#This Row],[INDEX]])-ROW(Strong_Weakness[[#Headers],[INDEX]])</f>
        <v>571</v>
      </c>
      <c r="B572" s="98" t="str">
        <f>INDEX(Data_Assessment[],MATCH(Strong_Weakness[[#This Row],[INDEX]],Data_Assessment[INDEX],0),MATCH(Strong_Weakness[[#Headers],[NAME]],Data_Assessment[#Headers],0))</f>
        <v>Rangkuti Simanjuntak</v>
      </c>
      <c r="C572" s="98"/>
      <c r="D572" s="98"/>
    </row>
    <row r="573" spans="1:4">
      <c r="A573" s="100">
        <f>ROW(Strong_Weakness[[#This Row],[INDEX]])-ROW(Strong_Weakness[[#Headers],[INDEX]])</f>
        <v>572</v>
      </c>
      <c r="B573" s="98" t="str">
        <f>INDEX(Data_Assessment[],MATCH(Strong_Weakness[[#This Row],[INDEX]],Data_Assessment[INDEX],0),MATCH(Strong_Weakness[[#Headers],[NAME]],Data_Assessment[#Headers],0))</f>
        <v>Hariyadi</v>
      </c>
      <c r="C573" s="98"/>
      <c r="D573" s="98"/>
    </row>
    <row r="574" spans="1:4">
      <c r="A574" s="100">
        <f>ROW(Strong_Weakness[[#This Row],[INDEX]])-ROW(Strong_Weakness[[#Headers],[INDEX]])</f>
        <v>573</v>
      </c>
      <c r="B574" s="98" t="str">
        <f>INDEX(Data_Assessment[],MATCH(Strong_Weakness[[#This Row],[INDEX]],Data_Assessment[INDEX],0),MATCH(Strong_Weakness[[#Headers],[NAME]],Data_Assessment[#Headers],0))</f>
        <v>Hadi Siswanto, Ir.</v>
      </c>
      <c r="C574" s="98"/>
      <c r="D574" s="98"/>
    </row>
    <row r="575" spans="1:4">
      <c r="A575" s="100">
        <f>ROW(Strong_Weakness[[#This Row],[INDEX]])-ROW(Strong_Weakness[[#Headers],[INDEX]])</f>
        <v>574</v>
      </c>
      <c r="B575" s="98" t="str">
        <f>INDEX(Data_Assessment[],MATCH(Strong_Weakness[[#This Row],[INDEX]],Data_Assessment[INDEX],0),MATCH(Strong_Weakness[[#Headers],[NAME]],Data_Assessment[#Headers],0))</f>
        <v>Irvan Tanjung S.T.</v>
      </c>
      <c r="C575" s="98"/>
      <c r="D575" s="98"/>
    </row>
    <row r="576" spans="1:4">
      <c r="A576" s="100">
        <f>ROW(Strong_Weakness[[#This Row],[INDEX]])-ROW(Strong_Weakness[[#Headers],[INDEX]])</f>
        <v>575</v>
      </c>
      <c r="B576" s="98" t="str">
        <f>INDEX(Data_Assessment[],MATCH(Strong_Weakness[[#This Row],[INDEX]],Data_Assessment[INDEX],0),MATCH(Strong_Weakness[[#Headers],[NAME]],Data_Assessment[#Headers],0))</f>
        <v>Nurhadi Masnur, SP</v>
      </c>
      <c r="C576" s="98"/>
      <c r="D576" s="98"/>
    </row>
    <row r="577" spans="1:4">
      <c r="A577" s="100">
        <f>ROW(Strong_Weakness[[#This Row],[INDEX]])-ROW(Strong_Weakness[[#Headers],[INDEX]])</f>
        <v>576</v>
      </c>
      <c r="B577" s="98" t="str">
        <f>INDEX(Data_Assessment[],MATCH(Strong_Weakness[[#This Row],[INDEX]],Data_Assessment[INDEX],0),MATCH(Strong_Weakness[[#Headers],[NAME]],Data_Assessment[#Headers],0))</f>
        <v>M. Rifai</v>
      </c>
      <c r="C577" s="98"/>
      <c r="D577" s="98"/>
    </row>
    <row r="578" spans="1:4">
      <c r="A578" s="100">
        <f>ROW(Strong_Weakness[[#This Row],[INDEX]])-ROW(Strong_Weakness[[#Headers],[INDEX]])</f>
        <v>577</v>
      </c>
      <c r="B578" s="98" t="str">
        <f>INDEX(Data_Assessment[],MATCH(Strong_Weakness[[#This Row],[INDEX]],Data_Assessment[INDEX],0),MATCH(Strong_Weakness[[#Headers],[NAME]],Data_Assessment[#Headers],0))</f>
        <v>Akhmad Khairi Nasution, Ir.</v>
      </c>
      <c r="C578" s="98"/>
      <c r="D578" s="98"/>
    </row>
    <row r="579" spans="1:4">
      <c r="A579" s="100">
        <f>ROW(Strong_Weakness[[#This Row],[INDEX]])-ROW(Strong_Weakness[[#Headers],[INDEX]])</f>
        <v>578</v>
      </c>
      <c r="B579" s="98" t="str">
        <f>INDEX(Data_Assessment[],MATCH(Strong_Weakness[[#This Row],[INDEX]],Data_Assessment[INDEX],0),MATCH(Strong_Weakness[[#Headers],[NAME]],Data_Assessment[#Headers],0))</f>
        <v>Efis Syafrijul Pulungan, Ir</v>
      </c>
      <c r="C579" s="98"/>
      <c r="D579" s="98"/>
    </row>
    <row r="580" spans="1:4">
      <c r="A580" s="100">
        <f>ROW(Strong_Weakness[[#This Row],[INDEX]])-ROW(Strong_Weakness[[#Headers],[INDEX]])</f>
        <v>579</v>
      </c>
      <c r="B580" s="98" t="str">
        <f>INDEX(Data_Assessment[],MATCH(Strong_Weakness[[#This Row],[INDEX]],Data_Assessment[INDEX],0),MATCH(Strong_Weakness[[#Headers],[NAME]],Data_Assessment[#Headers],0))</f>
        <v>M. Yamin, ST</v>
      </c>
      <c r="C580" s="98"/>
      <c r="D580" s="98"/>
    </row>
    <row r="581" spans="1:4">
      <c r="A581" s="100">
        <f>ROW(Strong_Weakness[[#This Row],[INDEX]])-ROW(Strong_Weakness[[#Headers],[INDEX]])</f>
        <v>580</v>
      </c>
      <c r="B581" s="98" t="str">
        <f>INDEX(Data_Assessment[],MATCH(Strong_Weakness[[#This Row],[INDEX]],Data_Assessment[INDEX],0),MATCH(Strong_Weakness[[#Headers],[NAME]],Data_Assessment[#Headers],0))</f>
        <v>Ferry Anggriawan, SC</v>
      </c>
      <c r="C581" s="98"/>
      <c r="D581" s="98"/>
    </row>
    <row r="582" spans="1:4">
      <c r="A582" s="100">
        <f>ROW(Strong_Weakness[[#This Row],[INDEX]])-ROW(Strong_Weakness[[#Headers],[INDEX]])</f>
        <v>581</v>
      </c>
      <c r="B582" s="98" t="str">
        <f>INDEX(Data_Assessment[],MATCH(Strong_Weakness[[#This Row],[INDEX]],Data_Assessment[INDEX],0),MATCH(Strong_Weakness[[#Headers],[NAME]],Data_Assessment[#Headers],0))</f>
        <v>Mhd. Riza Bangun</v>
      </c>
      <c r="C582" s="98"/>
      <c r="D582" s="98"/>
    </row>
    <row r="583" spans="1:4">
      <c r="A583" s="100">
        <f>ROW(Strong_Weakness[[#This Row],[INDEX]])-ROW(Strong_Weakness[[#Headers],[INDEX]])</f>
        <v>582</v>
      </c>
      <c r="B583" s="98" t="str">
        <f>INDEX(Data_Assessment[],MATCH(Strong_Weakness[[#This Row],[INDEX]],Data_Assessment[INDEX],0),MATCH(Strong_Weakness[[#Headers],[NAME]],Data_Assessment[#Headers],0))</f>
        <v>Arfan</v>
      </c>
      <c r="C583" s="98"/>
      <c r="D583" s="98"/>
    </row>
    <row r="584" spans="1:4">
      <c r="A584" s="100">
        <f>ROW(Strong_Weakness[[#This Row],[INDEX]])-ROW(Strong_Weakness[[#Headers],[INDEX]])</f>
        <v>583</v>
      </c>
      <c r="B584" s="98" t="str">
        <f>INDEX(Data_Assessment[],MATCH(Strong_Weakness[[#This Row],[INDEX]],Data_Assessment[INDEX],0),MATCH(Strong_Weakness[[#Headers],[NAME]],Data_Assessment[#Headers],0))</f>
        <v>Joko Malis</v>
      </c>
      <c r="C584" s="98"/>
      <c r="D584" s="98"/>
    </row>
    <row r="585" spans="1:4">
      <c r="A585" s="100">
        <f>ROW(Strong_Weakness[[#This Row],[INDEX]])-ROW(Strong_Weakness[[#Headers],[INDEX]])</f>
        <v>584</v>
      </c>
      <c r="B585" s="98" t="str">
        <f>INDEX(Data_Assessment[],MATCH(Strong_Weakness[[#This Row],[INDEX]],Data_Assessment[INDEX],0),MATCH(Strong_Weakness[[#Headers],[NAME]],Data_Assessment[#Headers],0))</f>
        <v>Dian Syahputra</v>
      </c>
      <c r="C585" s="98"/>
      <c r="D585" s="98"/>
    </row>
    <row r="586" spans="1:4">
      <c r="A586" s="100">
        <f>ROW(Strong_Weakness[[#This Row],[INDEX]])-ROW(Strong_Weakness[[#Headers],[INDEX]])</f>
        <v>585</v>
      </c>
      <c r="B586" s="98" t="str">
        <f>INDEX(Data_Assessment[],MATCH(Strong_Weakness[[#This Row],[INDEX]],Data_Assessment[INDEX],0),MATCH(Strong_Weakness[[#Headers],[NAME]],Data_Assessment[#Headers],0))</f>
        <v>Bambang Heriawan, Ir</v>
      </c>
      <c r="C586" s="98"/>
      <c r="D586" s="98"/>
    </row>
    <row r="587" spans="1:4">
      <c r="A587" s="100">
        <f>ROW(Strong_Weakness[[#This Row],[INDEX]])-ROW(Strong_Weakness[[#Headers],[INDEX]])</f>
        <v>586</v>
      </c>
      <c r="B587" s="98" t="str">
        <f>INDEX(Data_Assessment[],MATCH(Strong_Weakness[[#This Row],[INDEX]],Data_Assessment[INDEX],0),MATCH(Strong_Weakness[[#Headers],[NAME]],Data_Assessment[#Headers],0))</f>
        <v>Bahara Tua Tobing</v>
      </c>
      <c r="C587" s="98"/>
      <c r="D587" s="98"/>
    </row>
    <row r="588" spans="1:4">
      <c r="A588" s="100">
        <f>ROW(Strong_Weakness[[#This Row],[INDEX]])-ROW(Strong_Weakness[[#Headers],[INDEX]])</f>
        <v>587</v>
      </c>
      <c r="B588" s="98" t="str">
        <f>INDEX(Data_Assessment[],MATCH(Strong_Weakness[[#This Row],[INDEX]],Data_Assessment[INDEX],0),MATCH(Strong_Weakness[[#Headers],[NAME]],Data_Assessment[#Headers],0))</f>
        <v>Basuki Eka Jaya, Ir.</v>
      </c>
      <c r="C588" s="98"/>
      <c r="D588" s="98"/>
    </row>
    <row r="589" spans="1:4">
      <c r="A589" s="100">
        <f>ROW(Strong_Weakness[[#This Row],[INDEX]])-ROW(Strong_Weakness[[#Headers],[INDEX]])</f>
        <v>588</v>
      </c>
      <c r="B589" s="98" t="str">
        <f>INDEX(Data_Assessment[],MATCH(Strong_Weakness[[#This Row],[INDEX]],Data_Assessment[INDEX],0),MATCH(Strong_Weakness[[#Headers],[NAME]],Data_Assessment[#Headers],0))</f>
        <v>Catur Riyadi</v>
      </c>
      <c r="C589" s="98"/>
      <c r="D589" s="98"/>
    </row>
    <row r="590" spans="1:4">
      <c r="A590" s="100">
        <f>ROW(Strong_Weakness[[#This Row],[INDEX]])-ROW(Strong_Weakness[[#Headers],[INDEX]])</f>
        <v>589</v>
      </c>
      <c r="B590" s="98" t="str">
        <f>INDEX(Data_Assessment[],MATCH(Strong_Weakness[[#This Row],[INDEX]],Data_Assessment[INDEX],0),MATCH(Strong_Weakness[[#Headers],[NAME]],Data_Assessment[#Headers],0))</f>
        <v>Mahmudi Nasution, Ir.</v>
      </c>
      <c r="C590" s="98"/>
      <c r="D590" s="98"/>
    </row>
    <row r="591" spans="1:4">
      <c r="A591" s="100">
        <f>ROW(Strong_Weakness[[#This Row],[INDEX]])-ROW(Strong_Weakness[[#Headers],[INDEX]])</f>
        <v>590</v>
      </c>
      <c r="B591" s="98" t="str">
        <f>INDEX(Data_Assessment[],MATCH(Strong_Weakness[[#This Row],[INDEX]],Data_Assessment[INDEX],0),MATCH(Strong_Weakness[[#Headers],[NAME]],Data_Assessment[#Headers],0))</f>
        <v>Ahmad Zazili</v>
      </c>
      <c r="C591" s="98"/>
      <c r="D591" s="98"/>
    </row>
    <row r="592" spans="1:4">
      <c r="A592" s="100">
        <f>ROW(Strong_Weakness[[#This Row],[INDEX]])-ROW(Strong_Weakness[[#Headers],[INDEX]])</f>
        <v>591</v>
      </c>
      <c r="B592" s="98" t="str">
        <f>INDEX(Data_Assessment[],MATCH(Strong_Weakness[[#This Row],[INDEX]],Data_Assessment[INDEX],0),MATCH(Strong_Weakness[[#Headers],[NAME]],Data_Assessment[#Headers],0))</f>
        <v>Ardiyanto, Ir.</v>
      </c>
      <c r="C592" s="98"/>
      <c r="D592" s="98"/>
    </row>
    <row r="593" spans="1:4">
      <c r="A593" s="100">
        <f>ROW(Strong_Weakness[[#This Row],[INDEX]])-ROW(Strong_Weakness[[#Headers],[INDEX]])</f>
        <v>592</v>
      </c>
      <c r="B593" s="98" t="str">
        <f>INDEX(Data_Assessment[],MATCH(Strong_Weakness[[#This Row],[INDEX]],Data_Assessment[INDEX],0),MATCH(Strong_Weakness[[#Headers],[NAME]],Data_Assessment[#Headers],0))</f>
        <v>Harun Antonius Surbakti</v>
      </c>
      <c r="C593" s="98"/>
      <c r="D593" s="98"/>
    </row>
    <row r="594" spans="1:4">
      <c r="A594" s="100">
        <f>ROW(Strong_Weakness[[#This Row],[INDEX]])-ROW(Strong_Weakness[[#Headers],[INDEX]])</f>
        <v>593</v>
      </c>
      <c r="B594" s="98" t="str">
        <f>INDEX(Data_Assessment[],MATCH(Strong_Weakness[[#This Row],[INDEX]],Data_Assessment[INDEX],0),MATCH(Strong_Weakness[[#Headers],[NAME]],Data_Assessment[#Headers],0))</f>
        <v>Muchlisin</v>
      </c>
      <c r="C594" s="98"/>
      <c r="D594" s="98"/>
    </row>
    <row r="595" spans="1:4">
      <c r="A595" s="100">
        <f>ROW(Strong_Weakness[[#This Row],[INDEX]])-ROW(Strong_Weakness[[#Headers],[INDEX]])</f>
        <v>594</v>
      </c>
      <c r="B595" s="98" t="str">
        <f>INDEX(Data_Assessment[],MATCH(Strong_Weakness[[#This Row],[INDEX]],Data_Assessment[INDEX],0),MATCH(Strong_Weakness[[#Headers],[NAME]],Data_Assessment[#Headers],0))</f>
        <v>Parhan Asyura</v>
      </c>
      <c r="C595" s="98"/>
      <c r="D595" s="98"/>
    </row>
    <row r="596" spans="1:4">
      <c r="A596" s="100">
        <f>ROW(Strong_Weakness[[#This Row],[INDEX]])-ROW(Strong_Weakness[[#Headers],[INDEX]])</f>
        <v>595</v>
      </c>
      <c r="B596" s="98" t="str">
        <f>INDEX(Data_Assessment[],MATCH(Strong_Weakness[[#This Row],[INDEX]],Data_Assessment[INDEX],0),MATCH(Strong_Weakness[[#Headers],[NAME]],Data_Assessment[#Headers],0))</f>
        <v>Sumantri</v>
      </c>
      <c r="C596" s="98"/>
      <c r="D596" s="98"/>
    </row>
    <row r="597" spans="1:4">
      <c r="A597" s="100">
        <f>ROW(Strong_Weakness[[#This Row],[INDEX]])-ROW(Strong_Weakness[[#Headers],[INDEX]])</f>
        <v>596</v>
      </c>
      <c r="B597" s="98" t="str">
        <f>INDEX(Data_Assessment[],MATCH(Strong_Weakness[[#This Row],[INDEX]],Data_Assessment[INDEX],0),MATCH(Strong_Weakness[[#Headers],[NAME]],Data_Assessment[#Headers],0))</f>
        <v>Wesly Pasaribu</v>
      </c>
      <c r="C597" s="98"/>
      <c r="D597" s="98"/>
    </row>
    <row r="598" spans="1:4">
      <c r="A598" s="100">
        <f>ROW(Strong_Weakness[[#This Row],[INDEX]])-ROW(Strong_Weakness[[#Headers],[INDEX]])</f>
        <v>597</v>
      </c>
      <c r="B598" s="98" t="str">
        <f>INDEX(Data_Assessment[],MATCH(Strong_Weakness[[#This Row],[INDEX]],Data_Assessment[INDEX],0),MATCH(Strong_Weakness[[#Headers],[NAME]],Data_Assessment[#Headers],0))</f>
        <v>T. Arliansyah</v>
      </c>
      <c r="C598" s="98"/>
      <c r="D598" s="98"/>
    </row>
    <row r="599" spans="1:4">
      <c r="A599" s="100">
        <f>ROW(Strong_Weakness[[#This Row],[INDEX]])-ROW(Strong_Weakness[[#Headers],[INDEX]])</f>
        <v>598</v>
      </c>
      <c r="B599" s="98" t="str">
        <f>INDEX(Data_Assessment[],MATCH(Strong_Weakness[[#This Row],[INDEX]],Data_Assessment[INDEX],0),MATCH(Strong_Weakness[[#Headers],[NAME]],Data_Assessment[#Headers],0))</f>
        <v>Sofiyan Yuliansyah Rangkuti</v>
      </c>
      <c r="C599" s="98"/>
      <c r="D599" s="98"/>
    </row>
    <row r="600" spans="1:4">
      <c r="A600" s="100">
        <f>ROW(Strong_Weakness[[#This Row],[INDEX]])-ROW(Strong_Weakness[[#Headers],[INDEX]])</f>
        <v>599</v>
      </c>
      <c r="B600" s="98" t="str">
        <f>INDEX(Data_Assessment[],MATCH(Strong_Weakness[[#This Row],[INDEX]],Data_Assessment[INDEX],0),MATCH(Strong_Weakness[[#Headers],[NAME]],Data_Assessment[#Headers],0))</f>
        <v>Wawan Heru Kusmawan, ST</v>
      </c>
      <c r="C600" s="98"/>
      <c r="D600" s="98"/>
    </row>
    <row r="601" spans="1:4">
      <c r="A601" s="100">
        <f>ROW(Strong_Weakness[[#This Row],[INDEX]])-ROW(Strong_Weakness[[#Headers],[INDEX]])</f>
        <v>600</v>
      </c>
      <c r="B601" s="98" t="str">
        <f>INDEX(Data_Assessment[],MATCH(Strong_Weakness[[#This Row],[INDEX]],Data_Assessment[INDEX],0),MATCH(Strong_Weakness[[#Headers],[NAME]],Data_Assessment[#Headers],0))</f>
        <v>Teddi Atmaja MS</v>
      </c>
      <c r="C601" s="98"/>
      <c r="D601" s="98"/>
    </row>
    <row r="602" spans="1:4">
      <c r="A602" s="100">
        <f>ROW(Strong_Weakness[[#This Row],[INDEX]])-ROW(Strong_Weakness[[#Headers],[INDEX]])</f>
        <v>601</v>
      </c>
      <c r="B602" s="98" t="str">
        <f>INDEX(Data_Assessment[],MATCH(Strong_Weakness[[#This Row],[INDEX]],Data_Assessment[INDEX],0),MATCH(Strong_Weakness[[#Headers],[NAME]],Data_Assessment[#Headers],0))</f>
        <v>Mahdian Suwito</v>
      </c>
      <c r="C602" s="98"/>
      <c r="D602" s="98"/>
    </row>
    <row r="603" spans="1:4">
      <c r="A603" s="100">
        <f>ROW(Strong_Weakness[[#This Row],[INDEX]])-ROW(Strong_Weakness[[#Headers],[INDEX]])</f>
        <v>602</v>
      </c>
      <c r="B603" s="98" t="str">
        <f>INDEX(Data_Assessment[],MATCH(Strong_Weakness[[#This Row],[INDEX]],Data_Assessment[INDEX],0),MATCH(Strong_Weakness[[#Headers],[NAME]],Data_Assessment[#Headers],0))</f>
        <v>Yoseph Jan Phieter Pakpahan</v>
      </c>
      <c r="C603" s="98"/>
      <c r="D603" s="98"/>
    </row>
    <row r="604" spans="1:4">
      <c r="A604" s="100">
        <f>ROW(Strong_Weakness[[#This Row],[INDEX]])-ROW(Strong_Weakness[[#Headers],[INDEX]])</f>
        <v>603</v>
      </c>
      <c r="B604" s="98" t="str">
        <f>INDEX(Data_Assessment[],MATCH(Strong_Weakness[[#This Row],[INDEX]],Data_Assessment[INDEX],0),MATCH(Strong_Weakness[[#Headers],[NAME]],Data_Assessment[#Headers],0))</f>
        <v>Afrianto</v>
      </c>
      <c r="C604" s="98"/>
      <c r="D604" s="98"/>
    </row>
    <row r="605" spans="1:4">
      <c r="A605" s="100">
        <f>ROW(Strong_Weakness[[#This Row],[INDEX]])-ROW(Strong_Weakness[[#Headers],[INDEX]])</f>
        <v>604</v>
      </c>
      <c r="B605" s="98" t="str">
        <f>INDEX(Data_Assessment[],MATCH(Strong_Weakness[[#This Row],[INDEX]],Data_Assessment[INDEX],0),MATCH(Strong_Weakness[[#Headers],[NAME]],Data_Assessment[#Headers],0))</f>
        <v>Dewi Widyastuti, SP</v>
      </c>
      <c r="C605" s="98"/>
      <c r="D605" s="98"/>
    </row>
    <row r="606" spans="1:4">
      <c r="A606" s="100">
        <f>ROW(Strong_Weakness[[#This Row],[INDEX]])-ROW(Strong_Weakness[[#Headers],[INDEX]])</f>
        <v>605</v>
      </c>
      <c r="B606" s="98" t="str">
        <f>INDEX(Data_Assessment[],MATCH(Strong_Weakness[[#This Row],[INDEX]],Data_Assessment[INDEX],0),MATCH(Strong_Weakness[[#Headers],[NAME]],Data_Assessment[#Headers],0))</f>
        <v>Sinar Mulia Munthe</v>
      </c>
      <c r="C606" s="98"/>
      <c r="D606" s="98"/>
    </row>
    <row r="607" spans="1:4">
      <c r="A607" s="100">
        <f>ROW(Strong_Weakness[[#This Row],[INDEX]])-ROW(Strong_Weakness[[#Headers],[INDEX]])</f>
        <v>606</v>
      </c>
      <c r="B607" s="98" t="str">
        <f>INDEX(Data_Assessment[],MATCH(Strong_Weakness[[#This Row],[INDEX]],Data_Assessment[INDEX],0),MATCH(Strong_Weakness[[#Headers],[NAME]],Data_Assessment[#Headers],0))</f>
        <v>Muhammad Endra Sukma Sadly</v>
      </c>
      <c r="C607" s="98"/>
      <c r="D607" s="98"/>
    </row>
    <row r="608" spans="1:4">
      <c r="A608" s="100">
        <f>ROW(Strong_Weakness[[#This Row],[INDEX]])-ROW(Strong_Weakness[[#Headers],[INDEX]])</f>
        <v>607</v>
      </c>
      <c r="B608" s="98" t="str">
        <f>INDEX(Data_Assessment[],MATCH(Strong_Weakness[[#This Row],[INDEX]],Data_Assessment[INDEX],0),MATCH(Strong_Weakness[[#Headers],[NAME]],Data_Assessment[#Headers],0))</f>
        <v>Sihar Manurung</v>
      </c>
      <c r="C608" s="98"/>
      <c r="D608" s="98"/>
    </row>
    <row r="609" spans="1:4">
      <c r="A609" s="100">
        <f>ROW(Strong_Weakness[[#This Row],[INDEX]])-ROW(Strong_Weakness[[#Headers],[INDEX]])</f>
        <v>608</v>
      </c>
      <c r="B609" s="98" t="str">
        <f>INDEX(Data_Assessment[],MATCH(Strong_Weakness[[#This Row],[INDEX]],Data_Assessment[INDEX],0),MATCH(Strong_Weakness[[#Headers],[NAME]],Data_Assessment[#Headers],0))</f>
        <v>Dicky Budiman</v>
      </c>
      <c r="C609" s="98"/>
      <c r="D609" s="98"/>
    </row>
    <row r="610" spans="1:4">
      <c r="A610" s="100">
        <f>ROW(Strong_Weakness[[#This Row],[INDEX]])-ROW(Strong_Weakness[[#Headers],[INDEX]])</f>
        <v>609</v>
      </c>
      <c r="B610" s="98" t="str">
        <f>INDEX(Data_Assessment[],MATCH(Strong_Weakness[[#This Row],[INDEX]],Data_Assessment[INDEX],0),MATCH(Strong_Weakness[[#Headers],[NAME]],Data_Assessment[#Headers],0))</f>
        <v>Rusden Pandiangan</v>
      </c>
      <c r="C610" s="98"/>
      <c r="D610" s="98"/>
    </row>
    <row r="611" spans="1:4">
      <c r="A611" s="100">
        <f>ROW(Strong_Weakness[[#This Row],[INDEX]])-ROW(Strong_Weakness[[#Headers],[INDEX]])</f>
        <v>610</v>
      </c>
      <c r="B611" s="98" t="str">
        <f>INDEX(Data_Assessment[],MATCH(Strong_Weakness[[#This Row],[INDEX]],Data_Assessment[INDEX],0),MATCH(Strong_Weakness[[#Headers],[NAME]],Data_Assessment[#Headers],0))</f>
        <v>Fadly Gunawan, Ir.</v>
      </c>
      <c r="C611" s="98"/>
      <c r="D611" s="98"/>
    </row>
    <row r="612" spans="1:4">
      <c r="A612" s="100">
        <f>ROW(Strong_Weakness[[#This Row],[INDEX]])-ROW(Strong_Weakness[[#Headers],[INDEX]])</f>
        <v>611</v>
      </c>
      <c r="B612" s="98" t="str">
        <f>INDEX(Data_Assessment[],MATCH(Strong_Weakness[[#This Row],[INDEX]],Data_Assessment[INDEX],0),MATCH(Strong_Weakness[[#Headers],[NAME]],Data_Assessment[#Headers],0))</f>
        <v>Hot Maruli Tua Damanik</v>
      </c>
      <c r="C612" s="98"/>
      <c r="D612" s="98"/>
    </row>
    <row r="613" spans="1:4">
      <c r="A613" s="100">
        <f>ROW(Strong_Weakness[[#This Row],[INDEX]])-ROW(Strong_Weakness[[#Headers],[INDEX]])</f>
        <v>612</v>
      </c>
      <c r="B613" s="98" t="str">
        <f>INDEX(Data_Assessment[],MATCH(Strong_Weakness[[#This Row],[INDEX]],Data_Assessment[INDEX],0),MATCH(Strong_Weakness[[#Headers],[NAME]],Data_Assessment[#Headers],0))</f>
        <v>Andi La Tenri Ruwa</v>
      </c>
      <c r="C613" s="98"/>
      <c r="D613" s="98"/>
    </row>
    <row r="614" spans="1:4">
      <c r="A614" s="100">
        <f>ROW(Strong_Weakness[[#This Row],[INDEX]])-ROW(Strong_Weakness[[#Headers],[INDEX]])</f>
        <v>613</v>
      </c>
      <c r="B614" s="98" t="str">
        <f>INDEX(Data_Assessment[],MATCH(Strong_Weakness[[#This Row],[INDEX]],Data_Assessment[INDEX],0),MATCH(Strong_Weakness[[#Headers],[NAME]],Data_Assessment[#Headers],0))</f>
        <v>Osten Panjaitan, Ir.</v>
      </c>
      <c r="C614" s="98"/>
      <c r="D614" s="98"/>
    </row>
    <row r="615" spans="1:4">
      <c r="A615" s="100">
        <f>ROW(Strong_Weakness[[#This Row],[INDEX]])-ROW(Strong_Weakness[[#Headers],[INDEX]])</f>
        <v>614</v>
      </c>
      <c r="B615" s="98" t="str">
        <f>INDEX(Data_Assessment[],MATCH(Strong_Weakness[[#This Row],[INDEX]],Data_Assessment[INDEX],0),MATCH(Strong_Weakness[[#Headers],[NAME]],Data_Assessment[#Headers],0))</f>
        <v>Ros Subagyo</v>
      </c>
      <c r="C615" s="98"/>
      <c r="D615" s="98"/>
    </row>
    <row r="616" spans="1:4">
      <c r="A616" s="100">
        <f>ROW(Strong_Weakness[[#This Row],[INDEX]])-ROW(Strong_Weakness[[#Headers],[INDEX]])</f>
        <v>615</v>
      </c>
      <c r="B616" s="98" t="str">
        <f>INDEX(Data_Assessment[],MATCH(Strong_Weakness[[#This Row],[INDEX]],Data_Assessment[INDEX],0),MATCH(Strong_Weakness[[#Headers],[NAME]],Data_Assessment[#Headers],0))</f>
        <v>M. Zulfikri</v>
      </c>
      <c r="C616" s="98"/>
      <c r="D616" s="98"/>
    </row>
    <row r="617" spans="1:4">
      <c r="A617" s="100">
        <f>ROW(Strong_Weakness[[#This Row],[INDEX]])-ROW(Strong_Weakness[[#Headers],[INDEX]])</f>
        <v>616</v>
      </c>
      <c r="B617" s="98" t="str">
        <f>INDEX(Data_Assessment[],MATCH(Strong_Weakness[[#This Row],[INDEX]],Data_Assessment[INDEX],0),MATCH(Strong_Weakness[[#Headers],[NAME]],Data_Assessment[#Headers],0))</f>
        <v>Syafri, SP</v>
      </c>
      <c r="C617" s="98"/>
      <c r="D617" s="98"/>
    </row>
    <row r="618" spans="1:4">
      <c r="A618" s="100">
        <f>ROW(Strong_Weakness[[#This Row],[INDEX]])-ROW(Strong_Weakness[[#Headers],[INDEX]])</f>
        <v>617</v>
      </c>
      <c r="B618" s="98" t="str">
        <f>INDEX(Data_Assessment[],MATCH(Strong_Weakness[[#This Row],[INDEX]],Data_Assessment[INDEX],0),MATCH(Strong_Weakness[[#Headers],[NAME]],Data_Assessment[#Headers],0))</f>
        <v>Nanang Masyudi</v>
      </c>
      <c r="C618" s="98"/>
      <c r="D618" s="98"/>
    </row>
    <row r="619" spans="1:4">
      <c r="A619" s="100">
        <f>ROW(Strong_Weakness[[#This Row],[INDEX]])-ROW(Strong_Weakness[[#Headers],[INDEX]])</f>
        <v>618</v>
      </c>
      <c r="B619" s="98" t="str">
        <f>INDEX(Data_Assessment[],MATCH(Strong_Weakness[[#This Row],[INDEX]],Data_Assessment[INDEX],0),MATCH(Strong_Weakness[[#Headers],[NAME]],Data_Assessment[#Headers],0))</f>
        <v>Muhammad Syafruddin</v>
      </c>
      <c r="C619" s="98"/>
      <c r="D619" s="98"/>
    </row>
    <row r="620" spans="1:4">
      <c r="A620" s="100">
        <f>ROW(Strong_Weakness[[#This Row],[INDEX]])-ROW(Strong_Weakness[[#Headers],[INDEX]])</f>
        <v>619</v>
      </c>
      <c r="B620" s="98" t="str">
        <f>INDEX(Data_Assessment[],MATCH(Strong_Weakness[[#This Row],[INDEX]],Data_Assessment[INDEX],0),MATCH(Strong_Weakness[[#Headers],[NAME]],Data_Assessment[#Headers],0))</f>
        <v>Hazrianda Muda Siregar</v>
      </c>
      <c r="C620" s="98"/>
      <c r="D620" s="98"/>
    </row>
    <row r="621" spans="1:4">
      <c r="A621" s="100">
        <f>ROW(Strong_Weakness[[#This Row],[INDEX]])-ROW(Strong_Weakness[[#Headers],[INDEX]])</f>
        <v>620</v>
      </c>
      <c r="B621" s="98" t="str">
        <f>INDEX(Data_Assessment[],MATCH(Strong_Weakness[[#This Row],[INDEX]],Data_Assessment[INDEX],0),MATCH(Strong_Weakness[[#Headers],[NAME]],Data_Assessment[#Headers],0))</f>
        <v>Tarmizi Sihotang</v>
      </c>
      <c r="C621" s="98"/>
      <c r="D621" s="98"/>
    </row>
    <row r="622" spans="1:4">
      <c r="A622" s="100">
        <f>ROW(Strong_Weakness[[#This Row],[INDEX]])-ROW(Strong_Weakness[[#Headers],[INDEX]])</f>
        <v>621</v>
      </c>
      <c r="B622" s="98" t="str">
        <f>INDEX(Data_Assessment[],MATCH(Strong_Weakness[[#This Row],[INDEX]],Data_Assessment[INDEX],0),MATCH(Strong_Weakness[[#Headers],[NAME]],Data_Assessment[#Headers],0))</f>
        <v>Esron Sitanggang, Ir.</v>
      </c>
      <c r="C622" s="98"/>
      <c r="D622" s="98"/>
    </row>
    <row r="623" spans="1:4">
      <c r="A623" s="100">
        <f>ROW(Strong_Weakness[[#This Row],[INDEX]])-ROW(Strong_Weakness[[#Headers],[INDEX]])</f>
        <v>622</v>
      </c>
      <c r="B623" s="98" t="str">
        <f>INDEX(Data_Assessment[],MATCH(Strong_Weakness[[#This Row],[INDEX]],Data_Assessment[INDEX],0),MATCH(Strong_Weakness[[#Headers],[NAME]],Data_Assessment[#Headers],0))</f>
        <v>Mumad Hadiman</v>
      </c>
      <c r="C623" s="98"/>
      <c r="D623" s="98"/>
    </row>
    <row r="624" spans="1:4">
      <c r="A624" s="100">
        <f>ROW(Strong_Weakness[[#This Row],[INDEX]])-ROW(Strong_Weakness[[#Headers],[INDEX]])</f>
        <v>623</v>
      </c>
      <c r="B624" s="98" t="str">
        <f>INDEX(Data_Assessment[],MATCH(Strong_Weakness[[#This Row],[INDEX]],Data_Assessment[INDEX],0),MATCH(Strong_Weakness[[#Headers],[NAME]],Data_Assessment[#Headers],0))</f>
        <v>Rodi</v>
      </c>
      <c r="C624" s="98"/>
      <c r="D624" s="98"/>
    </row>
    <row r="625" spans="1:4">
      <c r="A625" s="100">
        <f>ROW(Strong_Weakness[[#This Row],[INDEX]])-ROW(Strong_Weakness[[#Headers],[INDEX]])</f>
        <v>624</v>
      </c>
      <c r="B625" s="98" t="str">
        <f>INDEX(Data_Assessment[],MATCH(Strong_Weakness[[#This Row],[INDEX]],Data_Assessment[INDEX],0),MATCH(Strong_Weakness[[#Headers],[NAME]],Data_Assessment[#Headers],0))</f>
        <v>Fitri Wahyuni Simbolon</v>
      </c>
      <c r="C625" s="98"/>
      <c r="D625" s="98"/>
    </row>
    <row r="626" spans="1:4">
      <c r="A626" s="100">
        <f>ROW(Strong_Weakness[[#This Row],[INDEX]])-ROW(Strong_Weakness[[#Headers],[INDEX]])</f>
        <v>625</v>
      </c>
      <c r="B626" s="98" t="str">
        <f>INDEX(Data_Assessment[],MATCH(Strong_Weakness[[#This Row],[INDEX]],Data_Assessment[INDEX],0),MATCH(Strong_Weakness[[#Headers],[NAME]],Data_Assessment[#Headers],0))</f>
        <v>Sabar Siahaan, Ir.</v>
      </c>
      <c r="C626" s="98"/>
      <c r="D626" s="98"/>
    </row>
    <row r="627" spans="1:4">
      <c r="A627" s="100">
        <f>ROW(Strong_Weakness[[#This Row],[INDEX]])-ROW(Strong_Weakness[[#Headers],[INDEX]])</f>
        <v>626</v>
      </c>
      <c r="B627" s="98" t="str">
        <f>INDEX(Data_Assessment[],MATCH(Strong_Weakness[[#This Row],[INDEX]],Data_Assessment[INDEX],0),MATCH(Strong_Weakness[[#Headers],[NAME]],Data_Assessment[#Headers],0))</f>
        <v>Jeffry Pabianto</v>
      </c>
      <c r="C627" s="98"/>
      <c r="D627" s="98"/>
    </row>
    <row r="628" spans="1:4">
      <c r="A628" s="100">
        <f>ROW(Strong_Weakness[[#This Row],[INDEX]])-ROW(Strong_Weakness[[#Headers],[INDEX]])</f>
        <v>627</v>
      </c>
      <c r="B628" s="98" t="str">
        <f>INDEX(Data_Assessment[],MATCH(Strong_Weakness[[#This Row],[INDEX]],Data_Assessment[INDEX],0),MATCH(Strong_Weakness[[#Headers],[NAME]],Data_Assessment[#Headers],0))</f>
        <v>Nanang Setiawan</v>
      </c>
      <c r="C628" s="98"/>
      <c r="D628" s="98"/>
    </row>
    <row r="629" spans="1:4">
      <c r="A629" s="100">
        <f>ROW(Strong_Weakness[[#This Row],[INDEX]])-ROW(Strong_Weakness[[#Headers],[INDEX]])</f>
        <v>628</v>
      </c>
      <c r="B629" s="98" t="str">
        <f>INDEX(Data_Assessment[],MATCH(Strong_Weakness[[#This Row],[INDEX]],Data_Assessment[INDEX],0),MATCH(Strong_Weakness[[#Headers],[NAME]],Data_Assessment[#Headers],0))</f>
        <v>Muhammad Bin Haes</v>
      </c>
      <c r="C629" s="98"/>
      <c r="D629" s="98"/>
    </row>
    <row r="630" spans="1:4">
      <c r="A630" s="100">
        <f>ROW(Strong_Weakness[[#This Row],[INDEX]])-ROW(Strong_Weakness[[#Headers],[INDEX]])</f>
        <v>629</v>
      </c>
      <c r="B630" s="98" t="str">
        <f>INDEX(Data_Assessment[],MATCH(Strong_Weakness[[#This Row],[INDEX]],Data_Assessment[INDEX],0),MATCH(Strong_Weakness[[#Headers],[NAME]],Data_Assessment[#Headers],0))</f>
        <v>M Wahyu Septiadi Putra</v>
      </c>
      <c r="C630" s="98"/>
      <c r="D630" s="98"/>
    </row>
    <row r="631" spans="1:4">
      <c r="A631" s="100">
        <f>ROW(Strong_Weakness[[#This Row],[INDEX]])-ROW(Strong_Weakness[[#Headers],[INDEX]])</f>
        <v>630</v>
      </c>
      <c r="B631" s="98" t="str">
        <f>INDEX(Data_Assessment[],MATCH(Strong_Weakness[[#This Row],[INDEX]],Data_Assessment[INDEX],0),MATCH(Strong_Weakness[[#Headers],[NAME]],Data_Assessment[#Headers],0))</f>
        <v>Hadi Sutarno</v>
      </c>
      <c r="C631" s="98"/>
      <c r="D631" s="98"/>
    </row>
    <row r="632" spans="1:4">
      <c r="A632" s="100">
        <f>ROW(Strong_Weakness[[#This Row],[INDEX]])-ROW(Strong_Weakness[[#Headers],[INDEX]])</f>
        <v>631</v>
      </c>
      <c r="B632" s="98" t="str">
        <f>INDEX(Data_Assessment[],MATCH(Strong_Weakness[[#This Row],[INDEX]],Data_Assessment[INDEX],0),MATCH(Strong_Weakness[[#Headers],[NAME]],Data_Assessment[#Headers],0))</f>
        <v>Repen Tance Sitepu</v>
      </c>
      <c r="C632" s="98"/>
      <c r="D632" s="98"/>
    </row>
    <row r="633" spans="1:4">
      <c r="A633" s="100">
        <f>ROW(Strong_Weakness[[#This Row],[INDEX]])-ROW(Strong_Weakness[[#Headers],[INDEX]])</f>
        <v>632</v>
      </c>
      <c r="B633" s="98" t="str">
        <f>INDEX(Data_Assessment[],MATCH(Strong_Weakness[[#This Row],[INDEX]],Data_Assessment[INDEX],0),MATCH(Strong_Weakness[[#Headers],[NAME]],Data_Assessment[#Headers],0))</f>
        <v>Yusuf Syuaib Lubis</v>
      </c>
      <c r="C633" s="98"/>
      <c r="D633" s="98"/>
    </row>
    <row r="634" spans="1:4">
      <c r="A634" s="100">
        <f>ROW(Strong_Weakness[[#This Row],[INDEX]])-ROW(Strong_Weakness[[#Headers],[INDEX]])</f>
        <v>633</v>
      </c>
      <c r="B634" s="98" t="str">
        <f>INDEX(Data_Assessment[],MATCH(Strong_Weakness[[#This Row],[INDEX]],Data_Assessment[INDEX],0),MATCH(Strong_Weakness[[#Headers],[NAME]],Data_Assessment[#Headers],0))</f>
        <v>Ismail A. Kaharu</v>
      </c>
      <c r="C634" s="98"/>
      <c r="D634" s="98"/>
    </row>
    <row r="635" spans="1:4">
      <c r="A635" s="100">
        <f>ROW(Strong_Weakness[[#This Row],[INDEX]])-ROW(Strong_Weakness[[#Headers],[INDEX]])</f>
        <v>634</v>
      </c>
      <c r="B635" s="98" t="str">
        <f>INDEX(Data_Assessment[],MATCH(Strong_Weakness[[#This Row],[INDEX]],Data_Assessment[INDEX],0),MATCH(Strong_Weakness[[#Headers],[NAME]],Data_Assessment[#Headers],0))</f>
        <v>Sigit Nurcahyo</v>
      </c>
      <c r="C635" s="98"/>
      <c r="D635" s="98"/>
    </row>
    <row r="636" spans="1:4">
      <c r="A636" s="100">
        <f>ROW(Strong_Weakness[[#This Row],[INDEX]])-ROW(Strong_Weakness[[#Headers],[INDEX]])</f>
        <v>635</v>
      </c>
      <c r="B636" s="98" t="str">
        <f>INDEX(Data_Assessment[],MATCH(Strong_Weakness[[#This Row],[INDEX]],Data_Assessment[INDEX],0),MATCH(Strong_Weakness[[#Headers],[NAME]],Data_Assessment[#Headers],0))</f>
        <v>Binsar Mangatas Tua Barasa</v>
      </c>
      <c r="C636" s="98"/>
      <c r="D636" s="98"/>
    </row>
    <row r="637" spans="1:4">
      <c r="A637" s="100">
        <f>ROW(Strong_Weakness[[#This Row],[INDEX]])-ROW(Strong_Weakness[[#Headers],[INDEX]])</f>
        <v>636</v>
      </c>
      <c r="B637" s="98" t="str">
        <f>INDEX(Data_Assessment[],MATCH(Strong_Weakness[[#This Row],[INDEX]],Data_Assessment[INDEX],0),MATCH(Strong_Weakness[[#Headers],[NAME]],Data_Assessment[#Headers],0))</f>
        <v>Ronda Ginting</v>
      </c>
      <c r="C637" s="98"/>
      <c r="D637" s="98"/>
    </row>
    <row r="638" spans="1:4">
      <c r="A638" s="100">
        <f>ROW(Strong_Weakness[[#This Row],[INDEX]])-ROW(Strong_Weakness[[#Headers],[INDEX]])</f>
        <v>637</v>
      </c>
      <c r="B638" s="98" t="str">
        <f>INDEX(Data_Assessment[],MATCH(Strong_Weakness[[#This Row],[INDEX]],Data_Assessment[INDEX],0),MATCH(Strong_Weakness[[#Headers],[NAME]],Data_Assessment[#Headers],0))</f>
        <v>Syamsuddin U.</v>
      </c>
      <c r="C638" s="98"/>
      <c r="D638" s="98"/>
    </row>
    <row r="639" spans="1:4">
      <c r="A639" s="100">
        <f>ROW(Strong_Weakness[[#This Row],[INDEX]])-ROW(Strong_Weakness[[#Headers],[INDEX]])</f>
        <v>638</v>
      </c>
      <c r="B639" s="98" t="str">
        <f>INDEX(Data_Assessment[],MATCH(Strong_Weakness[[#This Row],[INDEX]],Data_Assessment[INDEX],0),MATCH(Strong_Weakness[[#Headers],[NAME]],Data_Assessment[#Headers],0))</f>
        <v>Septian Pardamean Hutagaol</v>
      </c>
      <c r="C639" s="98"/>
      <c r="D639" s="98"/>
    </row>
    <row r="640" spans="1:4">
      <c r="A640" s="100">
        <f>ROW(Strong_Weakness[[#This Row],[INDEX]])-ROW(Strong_Weakness[[#Headers],[INDEX]])</f>
        <v>639</v>
      </c>
      <c r="B640" s="98" t="str">
        <f>INDEX(Data_Assessment[],MATCH(Strong_Weakness[[#This Row],[INDEX]],Data_Assessment[INDEX],0),MATCH(Strong_Weakness[[#Headers],[NAME]],Data_Assessment[#Headers],0))</f>
        <v>M. Ramadhan Tarigan</v>
      </c>
      <c r="C640" s="98"/>
      <c r="D640" s="98"/>
    </row>
    <row r="641" spans="1:4">
      <c r="A641" s="100">
        <f>ROW(Strong_Weakness[[#This Row],[INDEX]])-ROW(Strong_Weakness[[#Headers],[INDEX]])</f>
        <v>640</v>
      </c>
      <c r="B641" s="98" t="str">
        <f>INDEX(Data_Assessment[],MATCH(Strong_Weakness[[#This Row],[INDEX]],Data_Assessment[INDEX],0),MATCH(Strong_Weakness[[#Headers],[NAME]],Data_Assessment[#Headers],0))</f>
        <v>Boyke Candi Parningotan Sianipar</v>
      </c>
      <c r="C641" s="98"/>
      <c r="D641" s="98"/>
    </row>
    <row r="642" spans="1:4">
      <c r="A642" s="100">
        <f>ROW(Strong_Weakness[[#This Row],[INDEX]])-ROW(Strong_Weakness[[#Headers],[INDEX]])</f>
        <v>641</v>
      </c>
      <c r="B642" s="98" t="str">
        <f>INDEX(Data_Assessment[],MATCH(Strong_Weakness[[#This Row],[INDEX]],Data_Assessment[INDEX],0),MATCH(Strong_Weakness[[#Headers],[NAME]],Data_Assessment[#Headers],0))</f>
        <v>Yanuar Effendi</v>
      </c>
      <c r="C642" s="98"/>
      <c r="D642" s="98"/>
    </row>
    <row r="643" spans="1:4">
      <c r="A643" s="100">
        <f>ROW(Strong_Weakness[[#This Row],[INDEX]])-ROW(Strong_Weakness[[#Headers],[INDEX]])</f>
        <v>642</v>
      </c>
      <c r="B643" s="98" t="str">
        <f>INDEX(Data_Assessment[],MATCH(Strong_Weakness[[#This Row],[INDEX]],Data_Assessment[INDEX],0),MATCH(Strong_Weakness[[#Headers],[NAME]],Data_Assessment[#Headers],0))</f>
        <v>Sulaiman</v>
      </c>
      <c r="C643" s="98"/>
      <c r="D643" s="98"/>
    </row>
    <row r="644" spans="1:4">
      <c r="A644" s="100">
        <f>ROW(Strong_Weakness[[#This Row],[INDEX]])-ROW(Strong_Weakness[[#Headers],[INDEX]])</f>
        <v>643</v>
      </c>
      <c r="B644" s="98" t="str">
        <f>INDEX(Data_Assessment[],MATCH(Strong_Weakness[[#This Row],[INDEX]],Data_Assessment[INDEX],0),MATCH(Strong_Weakness[[#Headers],[NAME]],Data_Assessment[#Headers],0))</f>
        <v>Muhammad Jamil Sp</v>
      </c>
      <c r="C644" s="98"/>
      <c r="D644" s="98"/>
    </row>
    <row r="645" spans="1:4">
      <c r="A645" s="100">
        <f>ROW(Strong_Weakness[[#This Row],[INDEX]])-ROW(Strong_Weakness[[#Headers],[INDEX]])</f>
        <v>644</v>
      </c>
      <c r="B645" s="98" t="str">
        <f>INDEX(Data_Assessment[],MATCH(Strong_Weakness[[#This Row],[INDEX]],Data_Assessment[INDEX],0),MATCH(Strong_Weakness[[#Headers],[NAME]],Data_Assessment[#Headers],0))</f>
        <v>Budi Ristanto</v>
      </c>
      <c r="C645" s="98"/>
      <c r="D645" s="98"/>
    </row>
    <row r="646" spans="1:4">
      <c r="A646" s="100">
        <f>ROW(Strong_Weakness[[#This Row],[INDEX]])-ROW(Strong_Weakness[[#Headers],[INDEX]])</f>
        <v>645</v>
      </c>
      <c r="B646" s="98" t="str">
        <f>INDEX(Data_Assessment[],MATCH(Strong_Weakness[[#This Row],[INDEX]],Data_Assessment[INDEX],0),MATCH(Strong_Weakness[[#Headers],[NAME]],Data_Assessment[#Headers],0))</f>
        <v>M. Edwin Gultom, SE</v>
      </c>
      <c r="C646" s="98"/>
      <c r="D646" s="98"/>
    </row>
    <row r="647" spans="1:4">
      <c r="A647" s="100">
        <f>ROW(Strong_Weakness[[#This Row],[INDEX]])-ROW(Strong_Weakness[[#Headers],[INDEX]])</f>
        <v>646</v>
      </c>
      <c r="B647" s="98" t="str">
        <f>INDEX(Data_Assessment[],MATCH(Strong_Weakness[[#This Row],[INDEX]],Data_Assessment[INDEX],0),MATCH(Strong_Weakness[[#Headers],[NAME]],Data_Assessment[#Headers],0))</f>
        <v>Pauji Dalimunthe</v>
      </c>
      <c r="C647" s="98"/>
      <c r="D647" s="98"/>
    </row>
    <row r="648" spans="1:4">
      <c r="A648" s="100">
        <f>ROW(Strong_Weakness[[#This Row],[INDEX]])-ROW(Strong_Weakness[[#Headers],[INDEX]])</f>
        <v>647</v>
      </c>
      <c r="B648" s="98" t="str">
        <f>INDEX(Data_Assessment[],MATCH(Strong_Weakness[[#This Row],[INDEX]],Data_Assessment[INDEX],0),MATCH(Strong_Weakness[[#Headers],[NAME]],Data_Assessment[#Headers],0))</f>
        <v>Bambang Irawan., Sp</v>
      </c>
      <c r="C648" s="98"/>
      <c r="D648" s="98"/>
    </row>
    <row r="649" spans="1:4">
      <c r="A649" s="100">
        <f>ROW(Strong_Weakness[[#This Row],[INDEX]])-ROW(Strong_Weakness[[#Headers],[INDEX]])</f>
        <v>648</v>
      </c>
      <c r="B649" s="98" t="str">
        <f>INDEX(Data_Assessment[],MATCH(Strong_Weakness[[#This Row],[INDEX]],Data_Assessment[INDEX],0),MATCH(Strong_Weakness[[#Headers],[NAME]],Data_Assessment[#Headers],0))</f>
        <v>Bahrum Damanik</v>
      </c>
      <c r="C649" s="98"/>
      <c r="D649" s="98"/>
    </row>
    <row r="650" spans="1:4">
      <c r="A650" s="100">
        <f>ROW(Strong_Weakness[[#This Row],[INDEX]])-ROW(Strong_Weakness[[#Headers],[INDEX]])</f>
        <v>649</v>
      </c>
      <c r="B650" s="98" t="str">
        <f>INDEX(Data_Assessment[],MATCH(Strong_Weakness[[#This Row],[INDEX]],Data_Assessment[INDEX],0),MATCH(Strong_Weakness[[#Headers],[NAME]],Data_Assessment[#Headers],0))</f>
        <v>Hermawan Syah</v>
      </c>
      <c r="C650" s="98"/>
      <c r="D650" s="98"/>
    </row>
    <row r="651" spans="1:4">
      <c r="A651" s="100">
        <f>ROW(Strong_Weakness[[#This Row],[INDEX]])-ROW(Strong_Weakness[[#Headers],[INDEX]])</f>
        <v>650</v>
      </c>
      <c r="B651" s="98" t="str">
        <f>INDEX(Data_Assessment[],MATCH(Strong_Weakness[[#This Row],[INDEX]],Data_Assessment[INDEX],0),MATCH(Strong_Weakness[[#Headers],[NAME]],Data_Assessment[#Headers],0))</f>
        <v>Wasino</v>
      </c>
      <c r="C651" s="98"/>
      <c r="D651" s="98"/>
    </row>
    <row r="652" spans="1:4">
      <c r="A652" s="100">
        <f>ROW(Strong_Weakness[[#This Row],[INDEX]])-ROW(Strong_Weakness[[#Headers],[INDEX]])</f>
        <v>651</v>
      </c>
      <c r="B652" s="98" t="str">
        <f>INDEX(Data_Assessment[],MATCH(Strong_Weakness[[#This Row],[INDEX]],Data_Assessment[INDEX],0),MATCH(Strong_Weakness[[#Headers],[NAME]],Data_Assessment[#Headers],0))</f>
        <v>Miftahul Anshari</v>
      </c>
      <c r="C652" s="98"/>
      <c r="D652" s="98"/>
    </row>
    <row r="653" spans="1:4">
      <c r="A653" s="100">
        <f>ROW(Strong_Weakness[[#This Row],[INDEX]])-ROW(Strong_Weakness[[#Headers],[INDEX]])</f>
        <v>652</v>
      </c>
      <c r="B653" s="98" t="str">
        <f>INDEX(Data_Assessment[],MATCH(Strong_Weakness[[#This Row],[INDEX]],Data_Assessment[INDEX],0),MATCH(Strong_Weakness[[#Headers],[NAME]],Data_Assessment[#Headers],0))</f>
        <v>Abd. Goffar</v>
      </c>
      <c r="C653" s="98"/>
      <c r="D653" s="98"/>
    </row>
    <row r="654" spans="1:4">
      <c r="A654" s="100">
        <f>ROW(Strong_Weakness[[#This Row],[INDEX]])-ROW(Strong_Weakness[[#Headers],[INDEX]])</f>
        <v>653</v>
      </c>
      <c r="B654" s="98" t="str">
        <f>INDEX(Data_Assessment[],MATCH(Strong_Weakness[[#This Row],[INDEX]],Data_Assessment[INDEX],0),MATCH(Strong_Weakness[[#Headers],[NAME]],Data_Assessment[#Headers],0))</f>
        <v>Azul Syahrul Sinaga</v>
      </c>
      <c r="C654" s="98"/>
      <c r="D654" s="98"/>
    </row>
    <row r="655" spans="1:4">
      <c r="A655" s="100">
        <f>ROW(Strong_Weakness[[#This Row],[INDEX]])-ROW(Strong_Weakness[[#Headers],[INDEX]])</f>
        <v>654</v>
      </c>
      <c r="B655" s="98" t="str">
        <f>INDEX(Data_Assessment[],MATCH(Strong_Weakness[[#This Row],[INDEX]],Data_Assessment[INDEX],0),MATCH(Strong_Weakness[[#Headers],[NAME]],Data_Assessment[#Headers],0))</f>
        <v>Zainal Arifin Tarigan</v>
      </c>
      <c r="C655" s="98"/>
      <c r="D655" s="98"/>
    </row>
    <row r="656" spans="1:4">
      <c r="A656" s="100">
        <f>ROW(Strong_Weakness[[#This Row],[INDEX]])-ROW(Strong_Weakness[[#Headers],[INDEX]])</f>
        <v>655</v>
      </c>
      <c r="B656" s="98" t="str">
        <f>INDEX(Data_Assessment[],MATCH(Strong_Weakness[[#This Row],[INDEX]],Data_Assessment[INDEX],0),MATCH(Strong_Weakness[[#Headers],[NAME]],Data_Assessment[#Headers],0))</f>
        <v>Yuliansyah</v>
      </c>
      <c r="C656" s="98"/>
      <c r="D656" s="98"/>
    </row>
    <row r="657" spans="1:4">
      <c r="A657" s="100">
        <f>ROW(Strong_Weakness[[#This Row],[INDEX]])-ROW(Strong_Weakness[[#Headers],[INDEX]])</f>
        <v>656</v>
      </c>
      <c r="B657" s="98" t="str">
        <f>INDEX(Data_Assessment[],MATCH(Strong_Weakness[[#This Row],[INDEX]],Data_Assessment[INDEX],0),MATCH(Strong_Weakness[[#Headers],[NAME]],Data_Assessment[#Headers],0))</f>
        <v>Helmar Syarif, SH</v>
      </c>
      <c r="C657" s="98"/>
      <c r="D657" s="98"/>
    </row>
    <row r="658" spans="1:4">
      <c r="A658" s="100">
        <f>ROW(Strong_Weakness[[#This Row],[INDEX]])-ROW(Strong_Weakness[[#Headers],[INDEX]])</f>
        <v>657</v>
      </c>
      <c r="B658" s="98" t="str">
        <f>INDEX(Data_Assessment[],MATCH(Strong_Weakness[[#This Row],[INDEX]],Data_Assessment[INDEX],0),MATCH(Strong_Weakness[[#Headers],[NAME]],Data_Assessment[#Headers],0))</f>
        <v>Edi Sucipto</v>
      </c>
      <c r="C658" s="98"/>
      <c r="D658" s="98"/>
    </row>
    <row r="659" spans="1:4">
      <c r="A659" s="100">
        <f>ROW(Strong_Weakness[[#This Row],[INDEX]])-ROW(Strong_Weakness[[#Headers],[INDEX]])</f>
        <v>658</v>
      </c>
      <c r="B659" s="98" t="str">
        <f>INDEX(Data_Assessment[],MATCH(Strong_Weakness[[#This Row],[INDEX]],Data_Assessment[INDEX],0),MATCH(Strong_Weakness[[#Headers],[NAME]],Data_Assessment[#Headers],0))</f>
        <v>Azrul Rusaini</v>
      </c>
      <c r="C659" s="98"/>
      <c r="D659" s="98"/>
    </row>
    <row r="660" spans="1:4">
      <c r="A660" s="100">
        <f>ROW(Strong_Weakness[[#This Row],[INDEX]])-ROW(Strong_Weakness[[#Headers],[INDEX]])</f>
        <v>659</v>
      </c>
      <c r="B660" s="98" t="str">
        <f>INDEX(Data_Assessment[],MATCH(Strong_Weakness[[#This Row],[INDEX]],Data_Assessment[INDEX],0),MATCH(Strong_Weakness[[#Headers],[NAME]],Data_Assessment[#Headers],0))</f>
        <v>Zulham</v>
      </c>
      <c r="C660" s="98"/>
      <c r="D660" s="98"/>
    </row>
    <row r="661" spans="1:4">
      <c r="A661" s="100">
        <f>ROW(Strong_Weakness[[#This Row],[INDEX]])-ROW(Strong_Weakness[[#Headers],[INDEX]])</f>
        <v>660</v>
      </c>
      <c r="B661" s="98" t="str">
        <f>INDEX(Data_Assessment[],MATCH(Strong_Weakness[[#This Row],[INDEX]],Data_Assessment[INDEX],0),MATCH(Strong_Weakness[[#Headers],[NAME]],Data_Assessment[#Headers],0))</f>
        <v>Rajamin Ginting</v>
      </c>
      <c r="C661" s="98"/>
      <c r="D661" s="98"/>
    </row>
    <row r="662" spans="1:4">
      <c r="A662" s="100">
        <f>ROW(Strong_Weakness[[#This Row],[INDEX]])-ROW(Strong_Weakness[[#Headers],[INDEX]])</f>
        <v>661</v>
      </c>
      <c r="B662" s="98" t="str">
        <f>INDEX(Data_Assessment[],MATCH(Strong_Weakness[[#This Row],[INDEX]],Data_Assessment[INDEX],0),MATCH(Strong_Weakness[[#Headers],[NAME]],Data_Assessment[#Headers],0))</f>
        <v>Roesdijono</v>
      </c>
      <c r="C662" s="98"/>
      <c r="D662" s="98"/>
    </row>
    <row r="663" spans="1:4">
      <c r="A663" s="100">
        <f>ROW(Strong_Weakness[[#This Row],[INDEX]])-ROW(Strong_Weakness[[#Headers],[INDEX]])</f>
        <v>662</v>
      </c>
      <c r="B663" s="98" t="str">
        <f>INDEX(Data_Assessment[],MATCH(Strong_Weakness[[#This Row],[INDEX]],Data_Assessment[INDEX],0),MATCH(Strong_Weakness[[#Headers],[NAME]],Data_Assessment[#Headers],0))</f>
        <v>Doddy Kurniadi Pratama Karewur</v>
      </c>
      <c r="C663" s="98"/>
      <c r="D663" s="98"/>
    </row>
    <row r="664" spans="1:4">
      <c r="A664" s="100">
        <f>ROW(Strong_Weakness[[#This Row],[INDEX]])-ROW(Strong_Weakness[[#Headers],[INDEX]])</f>
        <v>663</v>
      </c>
      <c r="B664" s="98" t="str">
        <f>INDEX(Data_Assessment[],MATCH(Strong_Weakness[[#This Row],[INDEX]],Data_Assessment[INDEX],0),MATCH(Strong_Weakness[[#Headers],[NAME]],Data_Assessment[#Headers],0))</f>
        <v>Mukhlis</v>
      </c>
      <c r="C664" s="98"/>
      <c r="D664" s="98"/>
    </row>
    <row r="665" spans="1:4">
      <c r="A665" s="100">
        <f>ROW(Strong_Weakness[[#This Row],[INDEX]])-ROW(Strong_Weakness[[#Headers],[INDEX]])</f>
        <v>664</v>
      </c>
      <c r="B665" s="98" t="str">
        <f>INDEX(Data_Assessment[],MATCH(Strong_Weakness[[#This Row],[INDEX]],Data_Assessment[INDEX],0),MATCH(Strong_Weakness[[#Headers],[NAME]],Data_Assessment[#Headers],0))</f>
        <v>Eli Budi Santoso</v>
      </c>
      <c r="C665" s="98"/>
      <c r="D665" s="98"/>
    </row>
    <row r="666" spans="1:4">
      <c r="A666" s="100">
        <f>ROW(Strong_Weakness[[#This Row],[INDEX]])-ROW(Strong_Weakness[[#Headers],[INDEX]])</f>
        <v>665</v>
      </c>
      <c r="B666" s="98" t="str">
        <f>INDEX(Data_Assessment[],MATCH(Strong_Weakness[[#This Row],[INDEX]],Data_Assessment[INDEX],0),MATCH(Strong_Weakness[[#Headers],[NAME]],Data_Assessment[#Headers],0))</f>
        <v>Joko Sunanto, Ir.</v>
      </c>
      <c r="C666" s="98"/>
      <c r="D666" s="98"/>
    </row>
    <row r="667" spans="1:4">
      <c r="A667" s="100">
        <f>ROW(Strong_Weakness[[#This Row],[INDEX]])-ROW(Strong_Weakness[[#Headers],[INDEX]])</f>
        <v>666</v>
      </c>
      <c r="B667" s="98" t="str">
        <f>INDEX(Data_Assessment[],MATCH(Strong_Weakness[[#This Row],[INDEX]],Data_Assessment[INDEX],0),MATCH(Strong_Weakness[[#Headers],[NAME]],Data_Assessment[#Headers],0))</f>
        <v>Dodi Supriawan</v>
      </c>
      <c r="C667" s="98"/>
      <c r="D667" s="98"/>
    </row>
    <row r="668" spans="1:4">
      <c r="A668" s="100">
        <f>ROW(Strong_Weakness[[#This Row],[INDEX]])-ROW(Strong_Weakness[[#Headers],[INDEX]])</f>
        <v>667</v>
      </c>
      <c r="B668" s="98" t="str">
        <f>INDEX(Data_Assessment[],MATCH(Strong_Weakness[[#This Row],[INDEX]],Data_Assessment[INDEX],0),MATCH(Strong_Weakness[[#Headers],[NAME]],Data_Assessment[#Headers],0))</f>
        <v>Ivan Adenawer Tampubolon</v>
      </c>
      <c r="C668" s="98"/>
      <c r="D668" s="98"/>
    </row>
    <row r="669" spans="1:4">
      <c r="A669" s="100">
        <f>ROW(Strong_Weakness[[#This Row],[INDEX]])-ROW(Strong_Weakness[[#Headers],[INDEX]])</f>
        <v>668</v>
      </c>
      <c r="B669" s="98" t="str">
        <f>INDEX(Data_Assessment[],MATCH(Strong_Weakness[[#This Row],[INDEX]],Data_Assessment[INDEX],0),MATCH(Strong_Weakness[[#Headers],[NAME]],Data_Assessment[#Headers],0))</f>
        <v>Indra Purnama, Ir.</v>
      </c>
      <c r="C669" s="98"/>
      <c r="D669" s="98"/>
    </row>
    <row r="670" spans="1:4">
      <c r="A670" s="100">
        <f>ROW(Strong_Weakness[[#This Row],[INDEX]])-ROW(Strong_Weakness[[#Headers],[INDEX]])</f>
        <v>669</v>
      </c>
      <c r="B670" s="98" t="str">
        <f>INDEX(Data_Assessment[],MATCH(Strong_Weakness[[#This Row],[INDEX]],Data_Assessment[INDEX],0),MATCH(Strong_Weakness[[#Headers],[NAME]],Data_Assessment[#Headers],0))</f>
        <v>Chris Samuel Morgan Runtu</v>
      </c>
      <c r="C670" s="98"/>
      <c r="D670" s="98"/>
    </row>
    <row r="671" spans="1:4">
      <c r="A671" s="100">
        <f>ROW(Strong_Weakness[[#This Row],[INDEX]])-ROW(Strong_Weakness[[#Headers],[INDEX]])</f>
        <v>670</v>
      </c>
      <c r="B671" s="98" t="str">
        <f>INDEX(Data_Assessment[],MATCH(Strong_Weakness[[#This Row],[INDEX]],Data_Assessment[INDEX],0),MATCH(Strong_Weakness[[#Headers],[NAME]],Data_Assessment[#Headers],0))</f>
        <v>Abdul Manaf</v>
      </c>
      <c r="C671" s="98"/>
      <c r="D671" s="98"/>
    </row>
    <row r="672" spans="1:4">
      <c r="A672" s="100">
        <f>ROW(Strong_Weakness[[#This Row],[INDEX]])-ROW(Strong_Weakness[[#Headers],[INDEX]])</f>
        <v>671</v>
      </c>
      <c r="B672" s="98" t="str">
        <f>INDEX(Data_Assessment[],MATCH(Strong_Weakness[[#This Row],[INDEX]],Data_Assessment[INDEX],0),MATCH(Strong_Weakness[[#Headers],[NAME]],Data_Assessment[#Headers],0))</f>
        <v>Gocen Butar Butar</v>
      </c>
      <c r="C672" s="98"/>
      <c r="D672" s="98"/>
    </row>
    <row r="673" spans="1:4">
      <c r="A673" s="100">
        <f>ROW(Strong_Weakness[[#This Row],[INDEX]])-ROW(Strong_Weakness[[#Headers],[INDEX]])</f>
        <v>672</v>
      </c>
      <c r="B673" s="98" t="str">
        <f>INDEX(Data_Assessment[],MATCH(Strong_Weakness[[#This Row],[INDEX]],Data_Assessment[INDEX],0),MATCH(Strong_Weakness[[#Headers],[NAME]],Data_Assessment[#Headers],0))</f>
        <v>Benny Sitepu</v>
      </c>
      <c r="C673" s="98"/>
      <c r="D673" s="98"/>
    </row>
    <row r="674" spans="1:4">
      <c r="A674" s="100">
        <f>ROW(Strong_Weakness[[#This Row],[INDEX]])-ROW(Strong_Weakness[[#Headers],[INDEX]])</f>
        <v>673</v>
      </c>
      <c r="B674" s="98" t="str">
        <f>INDEX(Data_Assessment[],MATCH(Strong_Weakness[[#This Row],[INDEX]],Data_Assessment[INDEX],0),MATCH(Strong_Weakness[[#Headers],[NAME]],Data_Assessment[#Headers],0))</f>
        <v>Indra Wijaya</v>
      </c>
      <c r="C674" s="98"/>
      <c r="D674" s="98"/>
    </row>
    <row r="675" spans="1:4">
      <c r="A675" s="100">
        <f>ROW(Strong_Weakness[[#This Row],[INDEX]])-ROW(Strong_Weakness[[#Headers],[INDEX]])</f>
        <v>674</v>
      </c>
      <c r="B675" s="98" t="str">
        <f>INDEX(Data_Assessment[],MATCH(Strong_Weakness[[#This Row],[INDEX]],Data_Assessment[INDEX],0),MATCH(Strong_Weakness[[#Headers],[NAME]],Data_Assessment[#Headers],0))</f>
        <v>Hermawan Agung Gumelar</v>
      </c>
      <c r="C675" s="98"/>
      <c r="D675" s="98"/>
    </row>
    <row r="676" spans="1:4">
      <c r="A676" s="100">
        <f>ROW(Strong_Weakness[[#This Row],[INDEX]])-ROW(Strong_Weakness[[#Headers],[INDEX]])</f>
        <v>675</v>
      </c>
      <c r="B676" s="98" t="str">
        <f>INDEX(Data_Assessment[],MATCH(Strong_Weakness[[#This Row],[INDEX]],Data_Assessment[INDEX],0),MATCH(Strong_Weakness[[#Headers],[NAME]],Data_Assessment[#Headers],0))</f>
        <v>Lulu R. Dea Naura</v>
      </c>
      <c r="C676" s="98"/>
      <c r="D676" s="98"/>
    </row>
    <row r="677" spans="1:4">
      <c r="A677" s="100">
        <f>ROW(Strong_Weakness[[#This Row],[INDEX]])-ROW(Strong_Weakness[[#Headers],[INDEX]])</f>
        <v>676</v>
      </c>
      <c r="B677" s="98" t="str">
        <f>INDEX(Data_Assessment[],MATCH(Strong_Weakness[[#This Row],[INDEX]],Data_Assessment[INDEX],0),MATCH(Strong_Weakness[[#Headers],[NAME]],Data_Assessment[#Headers],0))</f>
        <v>Rizky Ade Putra</v>
      </c>
      <c r="C677" s="98"/>
      <c r="D677" s="98"/>
    </row>
    <row r="678" spans="1:4">
      <c r="A678" s="100">
        <f>ROW(Strong_Weakness[[#This Row],[INDEX]])-ROW(Strong_Weakness[[#Headers],[INDEX]])</f>
        <v>677</v>
      </c>
      <c r="B678" s="98" t="str">
        <f>INDEX(Data_Assessment[],MATCH(Strong_Weakness[[#This Row],[INDEX]],Data_Assessment[INDEX],0),MATCH(Strong_Weakness[[#Headers],[NAME]],Data_Assessment[#Headers],0))</f>
        <v>Mangantartua Eduanwar Pakpahan</v>
      </c>
      <c r="C678" s="98"/>
      <c r="D678" s="98"/>
    </row>
    <row r="679" spans="1:4">
      <c r="A679" s="100">
        <f>ROW(Strong_Weakness[[#This Row],[INDEX]])-ROW(Strong_Weakness[[#Headers],[INDEX]])</f>
        <v>678</v>
      </c>
      <c r="B679" s="98" t="str">
        <f>INDEX(Data_Assessment[],MATCH(Strong_Weakness[[#This Row],[INDEX]],Data_Assessment[INDEX],0),MATCH(Strong_Weakness[[#Headers],[NAME]],Data_Assessment[#Headers],0))</f>
        <v>Dede Wahyudi</v>
      </c>
      <c r="C679" s="98"/>
      <c r="D679" s="98"/>
    </row>
    <row r="680" spans="1:4">
      <c r="A680" s="100">
        <f>ROW(Strong_Weakness[[#This Row],[INDEX]])-ROW(Strong_Weakness[[#Headers],[INDEX]])</f>
        <v>679</v>
      </c>
      <c r="B680" s="98" t="str">
        <f>INDEX(Data_Assessment[],MATCH(Strong_Weakness[[#This Row],[INDEX]],Data_Assessment[INDEX],0),MATCH(Strong_Weakness[[#Headers],[NAME]],Data_Assessment[#Headers],0))</f>
        <v>Arif Haryanto</v>
      </c>
      <c r="C680" s="98"/>
      <c r="D680" s="98"/>
    </row>
    <row r="681" spans="1:4">
      <c r="A681" s="100">
        <f>ROW(Strong_Weakness[[#This Row],[INDEX]])-ROW(Strong_Weakness[[#Headers],[INDEX]])</f>
        <v>680</v>
      </c>
      <c r="B681" s="98" t="str">
        <f>INDEX(Data_Assessment[],MATCH(Strong_Weakness[[#This Row],[INDEX]],Data_Assessment[INDEX],0),MATCH(Strong_Weakness[[#Headers],[NAME]],Data_Assessment[#Headers],0))</f>
        <v>Ahmad Yani S.</v>
      </c>
      <c r="C681" s="98"/>
      <c r="D681" s="98"/>
    </row>
    <row r="682" spans="1:4">
      <c r="A682" s="100">
        <f>ROW(Strong_Weakness[[#This Row],[INDEX]])-ROW(Strong_Weakness[[#Headers],[INDEX]])</f>
        <v>681</v>
      </c>
      <c r="B682" s="98" t="str">
        <f>INDEX(Data_Assessment[],MATCH(Strong_Weakness[[#This Row],[INDEX]],Data_Assessment[INDEX],0),MATCH(Strong_Weakness[[#Headers],[NAME]],Data_Assessment[#Headers],0))</f>
        <v>Adi Cawarman Sitorus</v>
      </c>
      <c r="C682" s="98"/>
      <c r="D682" s="98"/>
    </row>
    <row r="683" spans="1:4">
      <c r="A683" s="100">
        <f>ROW(Strong_Weakness[[#This Row],[INDEX]])-ROW(Strong_Weakness[[#Headers],[INDEX]])</f>
        <v>682</v>
      </c>
      <c r="B683" s="98" t="str">
        <f>INDEX(Data_Assessment[],MATCH(Strong_Weakness[[#This Row],[INDEX]],Data_Assessment[INDEX],0),MATCH(Strong_Weakness[[#Headers],[NAME]],Data_Assessment[#Headers],0))</f>
        <v>Herman Amran</v>
      </c>
      <c r="C683" s="98"/>
      <c r="D683" s="98"/>
    </row>
    <row r="684" spans="1:4">
      <c r="A684" s="100">
        <f>ROW(Strong_Weakness[[#This Row],[INDEX]])-ROW(Strong_Weakness[[#Headers],[INDEX]])</f>
        <v>683</v>
      </c>
      <c r="B684" s="98" t="str">
        <f>INDEX(Data_Assessment[],MATCH(Strong_Weakness[[#This Row],[INDEX]],Data_Assessment[INDEX],0),MATCH(Strong_Weakness[[#Headers],[NAME]],Data_Assessment[#Headers],0))</f>
        <v>Azwar Sammas Huri Harahap</v>
      </c>
      <c r="C684" s="98"/>
      <c r="D684" s="98"/>
    </row>
    <row r="685" spans="1:4">
      <c r="A685" s="100">
        <f>ROW(Strong_Weakness[[#This Row],[INDEX]])-ROW(Strong_Weakness[[#Headers],[INDEX]])</f>
        <v>684</v>
      </c>
      <c r="B685" s="98" t="str">
        <f>INDEX(Data_Assessment[],MATCH(Strong_Weakness[[#This Row],[INDEX]],Data_Assessment[INDEX],0),MATCH(Strong_Weakness[[#Headers],[NAME]],Data_Assessment[#Headers],0))</f>
        <v>Fahriz Winandra Saragih</v>
      </c>
      <c r="C685" s="98"/>
      <c r="D685" s="98"/>
    </row>
    <row r="686" spans="1:4">
      <c r="A686" s="100">
        <f>ROW(Strong_Weakness[[#This Row],[INDEX]])-ROW(Strong_Weakness[[#Headers],[INDEX]])</f>
        <v>685</v>
      </c>
      <c r="B686" s="98" t="str">
        <f>INDEX(Data_Assessment[],MATCH(Strong_Weakness[[#This Row],[INDEX]],Data_Assessment[INDEX],0),MATCH(Strong_Weakness[[#Headers],[NAME]],Data_Assessment[#Headers],0))</f>
        <v>Azam Al Faroki</v>
      </c>
      <c r="C686" s="98"/>
      <c r="D686" s="98"/>
    </row>
    <row r="687" spans="1:4">
      <c r="A687" s="100">
        <f>ROW(Strong_Weakness[[#This Row],[INDEX]])-ROW(Strong_Weakness[[#Headers],[INDEX]])</f>
        <v>686</v>
      </c>
      <c r="B687" s="98" t="str">
        <f>INDEX(Data_Assessment[],MATCH(Strong_Weakness[[#This Row],[INDEX]],Data_Assessment[INDEX],0),MATCH(Strong_Weakness[[#Headers],[NAME]],Data_Assessment[#Headers],0))</f>
        <v>Khairil Anwar Ritonga</v>
      </c>
      <c r="C687" s="98"/>
      <c r="D687" s="98"/>
    </row>
    <row r="688" spans="1:4">
      <c r="A688" s="100">
        <f>ROW(Strong_Weakness[[#This Row],[INDEX]])-ROW(Strong_Weakness[[#Headers],[INDEX]])</f>
        <v>687</v>
      </c>
      <c r="B688" s="98" t="str">
        <f>INDEX(Data_Assessment[],MATCH(Strong_Weakness[[#This Row],[INDEX]],Data_Assessment[INDEX],0),MATCH(Strong_Weakness[[#Headers],[NAME]],Data_Assessment[#Headers],0))</f>
        <v>Lamhot Roy Marpaung</v>
      </c>
      <c r="C688" s="98"/>
      <c r="D688" s="98"/>
    </row>
    <row r="689" spans="1:4">
      <c r="A689" s="100">
        <f>ROW(Strong_Weakness[[#This Row],[INDEX]])-ROW(Strong_Weakness[[#Headers],[INDEX]])</f>
        <v>688</v>
      </c>
      <c r="B689" s="98" t="str">
        <f>INDEX(Data_Assessment[],MATCH(Strong_Weakness[[#This Row],[INDEX]],Data_Assessment[INDEX],0),MATCH(Strong_Weakness[[#Headers],[NAME]],Data_Assessment[#Headers],0))</f>
        <v>Syafei</v>
      </c>
      <c r="C689" s="98"/>
      <c r="D689" s="98"/>
    </row>
    <row r="690" spans="1:4">
      <c r="A690" s="100">
        <f>ROW(Strong_Weakness[[#This Row],[INDEX]])-ROW(Strong_Weakness[[#Headers],[INDEX]])</f>
        <v>689</v>
      </c>
      <c r="B690" s="98" t="str">
        <f>INDEX(Data_Assessment[],MATCH(Strong_Weakness[[#This Row],[INDEX]],Data_Assessment[INDEX],0),MATCH(Strong_Weakness[[#Headers],[NAME]],Data_Assessment[#Headers],0))</f>
        <v>Zulkarnain Nasution</v>
      </c>
      <c r="C690" s="98"/>
      <c r="D690" s="98"/>
    </row>
    <row r="691" spans="1:4">
      <c r="A691" s="100">
        <f>ROW(Strong_Weakness[[#This Row],[INDEX]])-ROW(Strong_Weakness[[#Headers],[INDEX]])</f>
        <v>690</v>
      </c>
      <c r="B691" s="98" t="str">
        <f>INDEX(Data_Assessment[],MATCH(Strong_Weakness[[#This Row],[INDEX]],Data_Assessment[INDEX],0),MATCH(Strong_Weakness[[#Headers],[NAME]],Data_Assessment[#Headers],0))</f>
        <v>Junaidi, Sp</v>
      </c>
      <c r="C691" s="98"/>
      <c r="D691" s="98"/>
    </row>
    <row r="692" spans="1:4">
      <c r="A692" s="100">
        <f>ROW(Strong_Weakness[[#This Row],[INDEX]])-ROW(Strong_Weakness[[#Headers],[INDEX]])</f>
        <v>691</v>
      </c>
      <c r="B692" s="98" t="str">
        <f>INDEX(Data_Assessment[],MATCH(Strong_Weakness[[#This Row],[INDEX]],Data_Assessment[INDEX],0),MATCH(Strong_Weakness[[#Headers],[NAME]],Data_Assessment[#Headers],0))</f>
        <v>Abizar Dasopang, SP</v>
      </c>
      <c r="C692" s="98"/>
      <c r="D692" s="98"/>
    </row>
    <row r="693" spans="1:4">
      <c r="A693" s="100">
        <f>ROW(Strong_Weakness[[#This Row],[INDEX]])-ROW(Strong_Weakness[[#Headers],[INDEX]])</f>
        <v>692</v>
      </c>
      <c r="B693" s="98" t="str">
        <f>INDEX(Data_Assessment[],MATCH(Strong_Weakness[[#This Row],[INDEX]],Data_Assessment[INDEX],0),MATCH(Strong_Weakness[[#Headers],[NAME]],Data_Assessment[#Headers],0))</f>
        <v>Ilham Ibrahim</v>
      </c>
      <c r="C693" s="98"/>
      <c r="D693" s="98"/>
    </row>
    <row r="694" spans="1:4">
      <c r="A694" s="100">
        <f>ROW(Strong_Weakness[[#This Row],[INDEX]])-ROW(Strong_Weakness[[#Headers],[INDEX]])</f>
        <v>693</v>
      </c>
      <c r="B694" s="98" t="str">
        <f>INDEX(Data_Assessment[],MATCH(Strong_Weakness[[#This Row],[INDEX]],Data_Assessment[INDEX],0),MATCH(Strong_Weakness[[#Headers],[NAME]],Data_Assessment[#Headers],0))</f>
        <v>Dwi Haryanto</v>
      </c>
      <c r="C694" s="98"/>
      <c r="D694" s="98"/>
    </row>
    <row r="695" spans="1:4">
      <c r="A695" s="100">
        <f>ROW(Strong_Weakness[[#This Row],[INDEX]])-ROW(Strong_Weakness[[#Headers],[INDEX]])</f>
        <v>694</v>
      </c>
      <c r="B695" s="98" t="str">
        <f>INDEX(Data_Assessment[],MATCH(Strong_Weakness[[#This Row],[INDEX]],Data_Assessment[INDEX],0),MATCH(Strong_Weakness[[#Headers],[NAME]],Data_Assessment[#Headers],0))</f>
        <v>Jontara Hutabalian</v>
      </c>
      <c r="C695" s="98"/>
      <c r="D695" s="98"/>
    </row>
    <row r="696" spans="1:4">
      <c r="A696" s="100">
        <f>ROW(Strong_Weakness[[#This Row],[INDEX]])-ROW(Strong_Weakness[[#Headers],[INDEX]])</f>
        <v>695</v>
      </c>
      <c r="B696" s="98" t="str">
        <f>INDEX(Data_Assessment[],MATCH(Strong_Weakness[[#This Row],[INDEX]],Data_Assessment[INDEX],0),MATCH(Strong_Weakness[[#Headers],[NAME]],Data_Assessment[#Headers],0))</f>
        <v>Nanda Satria</v>
      </c>
      <c r="C696" s="98"/>
      <c r="D696" s="98"/>
    </row>
    <row r="697" spans="1:4">
      <c r="A697" s="100">
        <f>ROW(Strong_Weakness[[#This Row],[INDEX]])-ROW(Strong_Weakness[[#Headers],[INDEX]])</f>
        <v>696</v>
      </c>
      <c r="B697" s="98" t="str">
        <f>INDEX(Data_Assessment[],MATCH(Strong_Weakness[[#This Row],[INDEX]],Data_Assessment[INDEX],0),MATCH(Strong_Weakness[[#Headers],[NAME]],Data_Assessment[#Headers],0))</f>
        <v>Bambang Hermanto, Ir.</v>
      </c>
      <c r="C697" s="98"/>
      <c r="D697" s="98"/>
    </row>
    <row r="698" spans="1:4">
      <c r="A698" s="100">
        <f>ROW(Strong_Weakness[[#This Row],[INDEX]])-ROW(Strong_Weakness[[#Headers],[INDEX]])</f>
        <v>697</v>
      </c>
      <c r="B698" s="98" t="str">
        <f>INDEX(Data_Assessment[],MATCH(Strong_Weakness[[#This Row],[INDEX]],Data_Assessment[INDEX],0),MATCH(Strong_Weakness[[#Headers],[NAME]],Data_Assessment[#Headers],0))</f>
        <v>Suhunan Sinaga, S.Sos</v>
      </c>
      <c r="C698" s="98"/>
      <c r="D698" s="98"/>
    </row>
    <row r="699" spans="1:4">
      <c r="A699" s="100">
        <f>ROW(Strong_Weakness[[#This Row],[INDEX]])-ROW(Strong_Weakness[[#Headers],[INDEX]])</f>
        <v>698</v>
      </c>
      <c r="B699" s="98" t="str">
        <f>INDEX(Data_Assessment[],MATCH(Strong_Weakness[[#This Row],[INDEX]],Data_Assessment[INDEX],0),MATCH(Strong_Weakness[[#Headers],[NAME]],Data_Assessment[#Headers],0))</f>
        <v>Bobi Chandra</v>
      </c>
      <c r="C699" s="98"/>
      <c r="D699" s="98"/>
    </row>
    <row r="700" spans="1:4">
      <c r="A700" s="100">
        <f>ROW(Strong_Weakness[[#This Row],[INDEX]])-ROW(Strong_Weakness[[#Headers],[INDEX]])</f>
        <v>699</v>
      </c>
      <c r="B700" s="98" t="str">
        <f>INDEX(Data_Assessment[],MATCH(Strong_Weakness[[#This Row],[INDEX]],Data_Assessment[INDEX],0),MATCH(Strong_Weakness[[#Headers],[NAME]],Data_Assessment[#Headers],0))</f>
        <v>Matjuri</v>
      </c>
      <c r="C700" s="98"/>
      <c r="D700" s="98"/>
    </row>
    <row r="701" spans="1:4">
      <c r="A701" s="100">
        <f>ROW(Strong_Weakness[[#This Row],[INDEX]])-ROW(Strong_Weakness[[#Headers],[INDEX]])</f>
        <v>700</v>
      </c>
      <c r="B701" s="98" t="str">
        <f>INDEX(Data_Assessment[],MATCH(Strong_Weakness[[#This Row],[INDEX]],Data_Assessment[INDEX],0),MATCH(Strong_Weakness[[#Headers],[NAME]],Data_Assessment[#Headers],0))</f>
        <v>Reinhard Situmeang</v>
      </c>
      <c r="C701" s="98"/>
      <c r="D701" s="98"/>
    </row>
    <row r="702" spans="1:4">
      <c r="A702" s="100">
        <f>ROW(Strong_Weakness[[#This Row],[INDEX]])-ROW(Strong_Weakness[[#Headers],[INDEX]])</f>
        <v>701</v>
      </c>
      <c r="B702" s="98" t="str">
        <f>INDEX(Data_Assessment[],MATCH(Strong_Weakness[[#This Row],[INDEX]],Data_Assessment[INDEX],0),MATCH(Strong_Weakness[[#Headers],[NAME]],Data_Assessment[#Headers],0))</f>
        <v>Boy Rahman</v>
      </c>
      <c r="C702" s="98"/>
      <c r="D702" s="98"/>
    </row>
    <row r="703" spans="1:4">
      <c r="A703" s="100">
        <f>ROW(Strong_Weakness[[#This Row],[INDEX]])-ROW(Strong_Weakness[[#Headers],[INDEX]])</f>
        <v>702</v>
      </c>
      <c r="B703" s="98" t="str">
        <f>INDEX(Data_Assessment[],MATCH(Strong_Weakness[[#This Row],[INDEX]],Data_Assessment[INDEX],0),MATCH(Strong_Weakness[[#Headers],[NAME]],Data_Assessment[#Headers],0))</f>
        <v>Eldo Petrik</v>
      </c>
      <c r="C703" s="98"/>
      <c r="D703" s="98"/>
    </row>
    <row r="704" spans="1:4">
      <c r="A704" s="100">
        <f>ROW(Strong_Weakness[[#This Row],[INDEX]])-ROW(Strong_Weakness[[#Headers],[INDEX]])</f>
        <v>703</v>
      </c>
      <c r="B704" s="98" t="str">
        <f>INDEX(Data_Assessment[],MATCH(Strong_Weakness[[#This Row],[INDEX]],Data_Assessment[INDEX],0),MATCH(Strong_Weakness[[#Headers],[NAME]],Data_Assessment[#Headers],0))</f>
        <v>Rihul Azhar, Ir.</v>
      </c>
      <c r="C704" s="98"/>
      <c r="D704" s="98"/>
    </row>
    <row r="705" spans="1:4">
      <c r="A705" s="100">
        <f>ROW(Strong_Weakness[[#This Row],[INDEX]])-ROW(Strong_Weakness[[#Headers],[INDEX]])</f>
        <v>704</v>
      </c>
      <c r="B705" s="98" t="str">
        <f>INDEX(Data_Assessment[],MATCH(Strong_Weakness[[#This Row],[INDEX]],Data_Assessment[INDEX],0),MATCH(Strong_Weakness[[#Headers],[NAME]],Data_Assessment[#Headers],0))</f>
        <v>Muhammad Irfan, Ir.</v>
      </c>
      <c r="C705" s="98"/>
      <c r="D705" s="98"/>
    </row>
    <row r="706" spans="1:4">
      <c r="A706" s="100">
        <f>ROW(Strong_Weakness[[#This Row],[INDEX]])-ROW(Strong_Weakness[[#Headers],[INDEX]])</f>
        <v>705</v>
      </c>
      <c r="B706" s="98" t="str">
        <f>INDEX(Data_Assessment[],MATCH(Strong_Weakness[[#This Row],[INDEX]],Data_Assessment[INDEX],0),MATCH(Strong_Weakness[[#Headers],[NAME]],Data_Assessment[#Headers],0))</f>
        <v>Mulyono</v>
      </c>
      <c r="C706" s="98"/>
      <c r="D706" s="98"/>
    </row>
    <row r="707" spans="1:4">
      <c r="A707" s="100">
        <f>ROW(Strong_Weakness[[#This Row],[INDEX]])-ROW(Strong_Weakness[[#Headers],[INDEX]])</f>
        <v>706</v>
      </c>
      <c r="B707" s="98" t="str">
        <f>INDEX(Data_Assessment[],MATCH(Strong_Weakness[[#This Row],[INDEX]],Data_Assessment[INDEX],0),MATCH(Strong_Weakness[[#Headers],[NAME]],Data_Assessment[#Headers],0))</f>
        <v>Muhammad Iqbal, Ir.</v>
      </c>
      <c r="C707" s="98"/>
      <c r="D707" s="98"/>
    </row>
    <row r="708" spans="1:4">
      <c r="A708" s="100">
        <f>ROW(Strong_Weakness[[#This Row],[INDEX]])-ROW(Strong_Weakness[[#Headers],[INDEX]])</f>
        <v>707</v>
      </c>
      <c r="B708" s="98" t="str">
        <f>INDEX(Data_Assessment[],MATCH(Strong_Weakness[[#This Row],[INDEX]],Data_Assessment[INDEX],0),MATCH(Strong_Weakness[[#Headers],[NAME]],Data_Assessment[#Headers],0))</f>
        <v>Muhammad Iqbal, Ir.</v>
      </c>
      <c r="C708" s="98"/>
      <c r="D708" s="98"/>
    </row>
    <row r="709" spans="1:4">
      <c r="A709" s="100">
        <f>ROW(Strong_Weakness[[#This Row],[INDEX]])-ROW(Strong_Weakness[[#Headers],[INDEX]])</f>
        <v>708</v>
      </c>
      <c r="B709" s="98" t="str">
        <f>INDEX(Data_Assessment[],MATCH(Strong_Weakness[[#This Row],[INDEX]],Data_Assessment[INDEX],0),MATCH(Strong_Weakness[[#Headers],[NAME]],Data_Assessment[#Headers],0))</f>
        <v>Iskandarsyah Lubis</v>
      </c>
      <c r="C709" s="98"/>
      <c r="D709" s="98"/>
    </row>
    <row r="710" spans="1:4">
      <c r="A710" s="100">
        <f>ROW(Strong_Weakness[[#This Row],[INDEX]])-ROW(Strong_Weakness[[#Headers],[INDEX]])</f>
        <v>709</v>
      </c>
      <c r="B710" s="98" t="str">
        <f>INDEX(Data_Assessment[],MATCH(Strong_Weakness[[#This Row],[INDEX]],Data_Assessment[INDEX],0),MATCH(Strong_Weakness[[#Headers],[NAME]],Data_Assessment[#Headers],0))</f>
        <v>Repada A. Damanik</v>
      </c>
      <c r="C710" s="98"/>
      <c r="D710" s="98"/>
    </row>
    <row r="711" spans="1:4">
      <c r="A711" s="100">
        <f>ROW(Strong_Weakness[[#This Row],[INDEX]])-ROW(Strong_Weakness[[#Headers],[INDEX]])</f>
        <v>710</v>
      </c>
      <c r="B711" s="98" t="str">
        <f>INDEX(Data_Assessment[],MATCH(Strong_Weakness[[#This Row],[INDEX]],Data_Assessment[INDEX],0),MATCH(Strong_Weakness[[#Headers],[NAME]],Data_Assessment[#Headers],0))</f>
        <v>Eko Wiyono</v>
      </c>
      <c r="C711" s="98"/>
      <c r="D711" s="98"/>
    </row>
    <row r="712" spans="1:4">
      <c r="A712" s="100">
        <f>ROW(Strong_Weakness[[#This Row],[INDEX]])-ROW(Strong_Weakness[[#Headers],[INDEX]])</f>
        <v>711</v>
      </c>
      <c r="B712" s="98" t="str">
        <f>INDEX(Data_Assessment[],MATCH(Strong_Weakness[[#This Row],[INDEX]],Data_Assessment[INDEX],0),MATCH(Strong_Weakness[[#Headers],[NAME]],Data_Assessment[#Headers],0))</f>
        <v>Prihatiningsih</v>
      </c>
      <c r="C712" s="98"/>
      <c r="D712" s="98"/>
    </row>
    <row r="713" spans="1:4">
      <c r="A713" s="100">
        <f>ROW(Strong_Weakness[[#This Row],[INDEX]])-ROW(Strong_Weakness[[#Headers],[INDEX]])</f>
        <v>712</v>
      </c>
      <c r="B713" s="98" t="str">
        <f>INDEX(Data_Assessment[],MATCH(Strong_Weakness[[#This Row],[INDEX]],Data_Assessment[INDEX],0),MATCH(Strong_Weakness[[#Headers],[NAME]],Data_Assessment[#Headers],0))</f>
        <v>Aris Setiadi, Ir.</v>
      </c>
      <c r="C713" s="98"/>
      <c r="D713" s="98"/>
    </row>
    <row r="714" spans="1:4">
      <c r="A714" s="100">
        <f>ROW(Strong_Weakness[[#This Row],[INDEX]])-ROW(Strong_Weakness[[#Headers],[INDEX]])</f>
        <v>713</v>
      </c>
      <c r="B714" s="98" t="str">
        <f>INDEX(Data_Assessment[],MATCH(Strong_Weakness[[#This Row],[INDEX]],Data_Assessment[INDEX],0),MATCH(Strong_Weakness[[#Headers],[NAME]],Data_Assessment[#Headers],0))</f>
        <v>Syahfan A Lubis</v>
      </c>
      <c r="C714" s="98"/>
      <c r="D714" s="98"/>
    </row>
    <row r="715" spans="1:4">
      <c r="A715" s="100">
        <f>ROW(Strong_Weakness[[#This Row],[INDEX]])-ROW(Strong_Weakness[[#Headers],[INDEX]])</f>
        <v>714</v>
      </c>
      <c r="B715" s="98" t="str">
        <f>INDEX(Data_Assessment[],MATCH(Strong_Weakness[[#This Row],[INDEX]],Data_Assessment[INDEX],0),MATCH(Strong_Weakness[[#Headers],[NAME]],Data_Assessment[#Headers],0))</f>
        <v>Artoni</v>
      </c>
      <c r="C715" s="98"/>
      <c r="D715" s="98"/>
    </row>
    <row r="716" spans="1:4">
      <c r="A716" s="100">
        <f>ROW(Strong_Weakness[[#This Row],[INDEX]])-ROW(Strong_Weakness[[#Headers],[INDEX]])</f>
        <v>715</v>
      </c>
      <c r="B716" s="98" t="str">
        <f>INDEX(Data_Assessment[],MATCH(Strong_Weakness[[#This Row],[INDEX]],Data_Assessment[INDEX],0),MATCH(Strong_Weakness[[#Headers],[NAME]],Data_Assessment[#Headers],0))</f>
        <v>Wenry Reinmar Siahaan</v>
      </c>
      <c r="C716" s="98"/>
      <c r="D716" s="98"/>
    </row>
    <row r="717" spans="1:4">
      <c r="A717" s="100">
        <f>ROW(Strong_Weakness[[#This Row],[INDEX]])-ROW(Strong_Weakness[[#Headers],[INDEX]])</f>
        <v>716</v>
      </c>
      <c r="B717" s="98" t="str">
        <f>INDEX(Data_Assessment[],MATCH(Strong_Weakness[[#This Row],[INDEX]],Data_Assessment[INDEX],0),MATCH(Strong_Weakness[[#Headers],[NAME]],Data_Assessment[#Headers],0))</f>
        <v>Coco Andi Putra</v>
      </c>
      <c r="C717" s="98"/>
      <c r="D717" s="98"/>
    </row>
    <row r="718" spans="1:4">
      <c r="A718" s="100">
        <f>ROW(Strong_Weakness[[#This Row],[INDEX]])-ROW(Strong_Weakness[[#Headers],[INDEX]])</f>
        <v>717</v>
      </c>
      <c r="B718" s="98" t="str">
        <f>INDEX(Data_Assessment[],MATCH(Strong_Weakness[[#This Row],[INDEX]],Data_Assessment[INDEX],0),MATCH(Strong_Weakness[[#Headers],[NAME]],Data_Assessment[#Headers],0))</f>
        <v>Auzai Matondang, Ir.</v>
      </c>
      <c r="C718" s="98"/>
      <c r="D718" s="98"/>
    </row>
    <row r="719" spans="1:4">
      <c r="A719" s="100">
        <f>ROW(Strong_Weakness[[#This Row],[INDEX]])-ROW(Strong_Weakness[[#Headers],[INDEX]])</f>
        <v>718</v>
      </c>
      <c r="B719" s="98" t="str">
        <f>INDEX(Data_Assessment[],MATCH(Strong_Weakness[[#This Row],[INDEX]],Data_Assessment[INDEX],0),MATCH(Strong_Weakness[[#Headers],[NAME]],Data_Assessment[#Headers],0))</f>
        <v>Roland Asmoro</v>
      </c>
      <c r="C719" s="98"/>
      <c r="D719" s="98"/>
    </row>
    <row r="720" spans="1:4">
      <c r="A720" s="100">
        <f>ROW(Strong_Weakness[[#This Row],[INDEX]])-ROW(Strong_Weakness[[#Headers],[INDEX]])</f>
        <v>719</v>
      </c>
      <c r="B720" s="98" t="str">
        <f>INDEX(Data_Assessment[],MATCH(Strong_Weakness[[#This Row],[INDEX]],Data_Assessment[INDEX],0),MATCH(Strong_Weakness[[#Headers],[NAME]],Data_Assessment[#Headers],0))</f>
        <v>Andika Rahmad</v>
      </c>
      <c r="C720" s="98"/>
      <c r="D720" s="98"/>
    </row>
    <row r="721" spans="1:4">
      <c r="A721" s="100">
        <f>ROW(Strong_Weakness[[#This Row],[INDEX]])-ROW(Strong_Weakness[[#Headers],[INDEX]])</f>
        <v>720</v>
      </c>
      <c r="B721" s="98" t="str">
        <f>INDEX(Data_Assessment[],MATCH(Strong_Weakness[[#This Row],[INDEX]],Data_Assessment[INDEX],0),MATCH(Strong_Weakness[[#Headers],[NAME]],Data_Assessment[#Headers],0))</f>
        <v>Prima Verazona Putra</v>
      </c>
      <c r="C721" s="98"/>
      <c r="D721" s="98"/>
    </row>
    <row r="722" spans="1:4">
      <c r="A722" s="100">
        <f>ROW(Strong_Weakness[[#This Row],[INDEX]])-ROW(Strong_Weakness[[#Headers],[INDEX]])</f>
        <v>721</v>
      </c>
      <c r="B722" s="98" t="str">
        <f>INDEX(Data_Assessment[],MATCH(Strong_Weakness[[#This Row],[INDEX]],Data_Assessment[INDEX],0),MATCH(Strong_Weakness[[#Headers],[NAME]],Data_Assessment[#Headers],0))</f>
        <v>Agus Wahyudi Sutrisno</v>
      </c>
      <c r="C722" s="98"/>
      <c r="D722" s="98"/>
    </row>
    <row r="723" spans="1:4">
      <c r="A723" s="100">
        <f>ROW(Strong_Weakness[[#This Row],[INDEX]])-ROW(Strong_Weakness[[#Headers],[INDEX]])</f>
        <v>722</v>
      </c>
      <c r="B723" s="98" t="str">
        <f>INDEX(Data_Assessment[],MATCH(Strong_Weakness[[#This Row],[INDEX]],Data_Assessment[INDEX],0),MATCH(Strong_Weakness[[#Headers],[NAME]],Data_Assessment[#Headers],0))</f>
        <v>Muhammad Habib Nasution</v>
      </c>
      <c r="C723" s="98"/>
      <c r="D723" s="98"/>
    </row>
    <row r="724" spans="1:4">
      <c r="A724" s="100">
        <f>ROW(Strong_Weakness[[#This Row],[INDEX]])-ROW(Strong_Weakness[[#Headers],[INDEX]])</f>
        <v>723</v>
      </c>
      <c r="B724" s="98" t="str">
        <f>INDEX(Data_Assessment[],MATCH(Strong_Weakness[[#This Row],[INDEX]],Data_Assessment[INDEX],0),MATCH(Strong_Weakness[[#Headers],[NAME]],Data_Assessment[#Headers],0))</f>
        <v>Yakobus Dualolo, Ir.</v>
      </c>
      <c r="C724" s="98"/>
      <c r="D724" s="98"/>
    </row>
    <row r="725" spans="1:4">
      <c r="A725" s="100">
        <f>ROW(Strong_Weakness[[#This Row],[INDEX]])-ROW(Strong_Weakness[[#Headers],[INDEX]])</f>
        <v>724</v>
      </c>
      <c r="B725" s="98" t="str">
        <f>INDEX(Data_Assessment[],MATCH(Strong_Weakness[[#This Row],[INDEX]],Data_Assessment[INDEX],0),MATCH(Strong_Weakness[[#Headers],[NAME]],Data_Assessment[#Headers],0))</f>
        <v>M. Anggoro Cipto</v>
      </c>
      <c r="C725" s="98"/>
      <c r="D725" s="98"/>
    </row>
    <row r="726" spans="1:4">
      <c r="A726" s="100">
        <f>ROW(Strong_Weakness[[#This Row],[INDEX]])-ROW(Strong_Weakness[[#Headers],[INDEX]])</f>
        <v>725</v>
      </c>
      <c r="B726" s="98" t="str">
        <f>INDEX(Data_Assessment[],MATCH(Strong_Weakness[[#This Row],[INDEX]],Data_Assessment[INDEX],0),MATCH(Strong_Weakness[[#Headers],[NAME]],Data_Assessment[#Headers],0))</f>
        <v>Syafaruddin, Ir.</v>
      </c>
      <c r="C726" s="98"/>
      <c r="D726" s="98"/>
    </row>
    <row r="727" spans="1:4">
      <c r="A727" s="100">
        <f>ROW(Strong_Weakness[[#This Row],[INDEX]])-ROW(Strong_Weakness[[#Headers],[INDEX]])</f>
        <v>726</v>
      </c>
      <c r="B727" s="98" t="str">
        <f>INDEX(Data_Assessment[],MATCH(Strong_Weakness[[#This Row],[INDEX]],Data_Assessment[INDEX],0),MATCH(Strong_Weakness[[#Headers],[NAME]],Data_Assessment[#Headers],0))</f>
        <v>Wawan Kristiawan</v>
      </c>
      <c r="C727" s="98"/>
      <c r="D727" s="98"/>
    </row>
    <row r="728" spans="1:4">
      <c r="A728" s="100">
        <f>ROW(Strong_Weakness[[#This Row],[INDEX]])-ROW(Strong_Weakness[[#Headers],[INDEX]])</f>
        <v>727</v>
      </c>
      <c r="B728" s="98" t="str">
        <f>INDEX(Data_Assessment[],MATCH(Strong_Weakness[[#This Row],[INDEX]],Data_Assessment[INDEX],0),MATCH(Strong_Weakness[[#Headers],[NAME]],Data_Assessment[#Headers],0))</f>
        <v>Ikbal Afriansyah</v>
      </c>
      <c r="C728" s="98"/>
      <c r="D728" s="98"/>
    </row>
    <row r="729" spans="1:4">
      <c r="A729" s="100">
        <f>ROW(Strong_Weakness[[#This Row],[INDEX]])-ROW(Strong_Weakness[[#Headers],[INDEX]])</f>
        <v>728</v>
      </c>
      <c r="B729" s="98" t="str">
        <f>INDEX(Data_Assessment[],MATCH(Strong_Weakness[[#This Row],[INDEX]],Data_Assessment[INDEX],0),MATCH(Strong_Weakness[[#Headers],[NAME]],Data_Assessment[#Headers],0))</f>
        <v>M. Karyani</v>
      </c>
      <c r="C729" s="98"/>
      <c r="D729" s="98"/>
    </row>
    <row r="730" spans="1:4">
      <c r="A730" s="100">
        <f>ROW(Strong_Weakness[[#This Row],[INDEX]])-ROW(Strong_Weakness[[#Headers],[INDEX]])</f>
        <v>729</v>
      </c>
      <c r="B730" s="98" t="str">
        <f>INDEX(Data_Assessment[],MATCH(Strong_Weakness[[#This Row],[INDEX]],Data_Assessment[INDEX],0),MATCH(Strong_Weakness[[#Headers],[NAME]],Data_Assessment[#Headers],0))</f>
        <v>Azrai Karim</v>
      </c>
      <c r="C730" s="98"/>
      <c r="D730" s="98"/>
    </row>
    <row r="731" spans="1:4">
      <c r="A731" s="100">
        <f>ROW(Strong_Weakness[[#This Row],[INDEX]])-ROW(Strong_Weakness[[#Headers],[INDEX]])</f>
        <v>730</v>
      </c>
      <c r="B731" s="98" t="str">
        <f>INDEX(Data_Assessment[],MATCH(Strong_Weakness[[#This Row],[INDEX]],Data_Assessment[INDEX],0),MATCH(Strong_Weakness[[#Headers],[NAME]],Data_Assessment[#Headers],0))</f>
        <v>Arie Munirianto</v>
      </c>
      <c r="C731" s="98"/>
      <c r="D731" s="98"/>
    </row>
    <row r="732" spans="1:4">
      <c r="A732" s="100">
        <f>ROW(Strong_Weakness[[#This Row],[INDEX]])-ROW(Strong_Weakness[[#Headers],[INDEX]])</f>
        <v>731</v>
      </c>
      <c r="B732" s="98" t="str">
        <f>INDEX(Data_Assessment[],MATCH(Strong_Weakness[[#This Row],[INDEX]],Data_Assessment[INDEX],0),MATCH(Strong_Weakness[[#Headers],[NAME]],Data_Assessment[#Headers],0))</f>
        <v>Syahri Kurnia, Ir.</v>
      </c>
      <c r="C732" s="98"/>
      <c r="D732" s="98"/>
    </row>
    <row r="733" spans="1:4">
      <c r="A733" s="100">
        <f>ROW(Strong_Weakness[[#This Row],[INDEX]])-ROW(Strong_Weakness[[#Headers],[INDEX]])</f>
        <v>732</v>
      </c>
      <c r="B733" s="98" t="str">
        <f>INDEX(Data_Assessment[],MATCH(Strong_Weakness[[#This Row],[INDEX]],Data_Assessment[INDEX],0),MATCH(Strong_Weakness[[#Headers],[NAME]],Data_Assessment[#Headers],0))</f>
        <v>Rizal Enka Pratama K.</v>
      </c>
      <c r="C733" s="98"/>
      <c r="D733" s="98"/>
    </row>
    <row r="734" spans="1:4">
      <c r="A734" s="100">
        <f>ROW(Strong_Weakness[[#This Row],[INDEX]])-ROW(Strong_Weakness[[#Headers],[INDEX]])</f>
        <v>733</v>
      </c>
      <c r="B734" s="98" t="str">
        <f>INDEX(Data_Assessment[],MATCH(Strong_Weakness[[#This Row],[INDEX]],Data_Assessment[INDEX],0),MATCH(Strong_Weakness[[#Headers],[NAME]],Data_Assessment[#Headers],0))</f>
        <v>Joni Sapri, Ir.</v>
      </c>
      <c r="C734" s="98"/>
      <c r="D734" s="98"/>
    </row>
    <row r="735" spans="1:4">
      <c r="A735" s="100">
        <f>ROW(Strong_Weakness[[#This Row],[INDEX]])-ROW(Strong_Weakness[[#Headers],[INDEX]])</f>
        <v>734</v>
      </c>
      <c r="B735" s="98" t="str">
        <f>INDEX(Data_Assessment[],MATCH(Strong_Weakness[[#This Row],[INDEX]],Data_Assessment[INDEX],0),MATCH(Strong_Weakness[[#Headers],[NAME]],Data_Assessment[#Headers],0))</f>
        <v>Bayu Syahputra</v>
      </c>
      <c r="C735" s="98"/>
      <c r="D735" s="98"/>
    </row>
    <row r="736" spans="1:4">
      <c r="A736" s="100">
        <f>ROW(Strong_Weakness[[#This Row],[INDEX]])-ROW(Strong_Weakness[[#Headers],[INDEX]])</f>
        <v>735</v>
      </c>
      <c r="B736" s="98" t="str">
        <f>INDEX(Data_Assessment[],MATCH(Strong_Weakness[[#This Row],[INDEX]],Data_Assessment[INDEX],0),MATCH(Strong_Weakness[[#Headers],[NAME]],Data_Assessment[#Headers],0))</f>
        <v>Cindy Haluana Tambunan</v>
      </c>
      <c r="C736" s="98"/>
      <c r="D736" s="98"/>
    </row>
    <row r="737" spans="1:4">
      <c r="A737" s="100">
        <f>ROW(Strong_Weakness[[#This Row],[INDEX]])-ROW(Strong_Weakness[[#Headers],[INDEX]])</f>
        <v>736</v>
      </c>
      <c r="B737" s="98" t="str">
        <f>INDEX(Data_Assessment[],MATCH(Strong_Weakness[[#This Row],[INDEX]],Data_Assessment[INDEX],0),MATCH(Strong_Weakness[[#Headers],[NAME]],Data_Assessment[#Headers],0))</f>
        <v>Defryan Lambrocius Pane</v>
      </c>
      <c r="C737" s="98"/>
      <c r="D737" s="98"/>
    </row>
    <row r="738" spans="1:4">
      <c r="A738" s="100">
        <f>ROW(Strong_Weakness[[#This Row],[INDEX]])-ROW(Strong_Weakness[[#Headers],[INDEX]])</f>
        <v>737</v>
      </c>
      <c r="B738" s="98" t="str">
        <f>INDEX(Data_Assessment[],MATCH(Strong_Weakness[[#This Row],[INDEX]],Data_Assessment[INDEX],0),MATCH(Strong_Weakness[[#Headers],[NAME]],Data_Assessment[#Headers],0))</f>
        <v>Reja Eka Putra, Ir.</v>
      </c>
      <c r="C738" s="98"/>
      <c r="D738" s="98"/>
    </row>
    <row r="739" spans="1:4">
      <c r="A739" s="100">
        <f>ROW(Strong_Weakness[[#This Row],[INDEX]])-ROW(Strong_Weakness[[#Headers],[INDEX]])</f>
        <v>738</v>
      </c>
      <c r="B739" s="98" t="str">
        <f>INDEX(Data_Assessment[],MATCH(Strong_Weakness[[#This Row],[INDEX]],Data_Assessment[INDEX],0),MATCH(Strong_Weakness[[#Headers],[NAME]],Data_Assessment[#Headers],0))</f>
        <v>Ruslyzar</v>
      </c>
      <c r="C739" s="98"/>
      <c r="D739" s="98"/>
    </row>
    <row r="740" spans="1:4">
      <c r="A740" s="100">
        <f>ROW(Strong_Weakness[[#This Row],[INDEX]])-ROW(Strong_Weakness[[#Headers],[INDEX]])</f>
        <v>739</v>
      </c>
      <c r="B740" s="98" t="str">
        <f>INDEX(Data_Assessment[],MATCH(Strong_Weakness[[#This Row],[INDEX]],Data_Assessment[INDEX],0),MATCH(Strong_Weakness[[#Headers],[NAME]],Data_Assessment[#Headers],0))</f>
        <v>Suyatno, Drs</v>
      </c>
      <c r="C740" s="98"/>
      <c r="D740" s="98"/>
    </row>
    <row r="741" spans="1:4">
      <c r="A741" s="100">
        <f>ROW(Strong_Weakness[[#This Row],[INDEX]])-ROW(Strong_Weakness[[#Headers],[INDEX]])</f>
        <v>740</v>
      </c>
      <c r="B741" s="98" t="str">
        <f>INDEX(Data_Assessment[],MATCH(Strong_Weakness[[#This Row],[INDEX]],Data_Assessment[INDEX],0),MATCH(Strong_Weakness[[#Headers],[NAME]],Data_Assessment[#Headers],0))</f>
        <v>Yulian Firdaus</v>
      </c>
      <c r="C741" s="98"/>
      <c r="D741" s="98"/>
    </row>
    <row r="742" spans="1:4">
      <c r="A742" s="100">
        <f>ROW(Strong_Weakness[[#This Row],[INDEX]])-ROW(Strong_Weakness[[#Headers],[INDEX]])</f>
        <v>741</v>
      </c>
      <c r="B742" s="98" t="str">
        <f>INDEX(Data_Assessment[],MATCH(Strong_Weakness[[#This Row],[INDEX]],Data_Assessment[INDEX],0),MATCH(Strong_Weakness[[#Headers],[NAME]],Data_Assessment[#Headers],0))</f>
        <v>Sarjana Bangun, SE</v>
      </c>
      <c r="C742" s="98"/>
      <c r="D742" s="98"/>
    </row>
    <row r="743" spans="1:4">
      <c r="A743" s="100">
        <f>ROW(Strong_Weakness[[#This Row],[INDEX]])-ROW(Strong_Weakness[[#Headers],[INDEX]])</f>
        <v>742</v>
      </c>
      <c r="B743" s="98" t="str">
        <f>INDEX(Data_Assessment[],MATCH(Strong_Weakness[[#This Row],[INDEX]],Data_Assessment[INDEX],0),MATCH(Strong_Weakness[[#Headers],[NAME]],Data_Assessment[#Headers],0))</f>
        <v>Sofyan Mukholip</v>
      </c>
      <c r="C743" s="98"/>
      <c r="D743" s="98"/>
    </row>
    <row r="744" spans="1:4">
      <c r="A744" s="100">
        <f>ROW(Strong_Weakness[[#This Row],[INDEX]])-ROW(Strong_Weakness[[#Headers],[INDEX]])</f>
        <v>743</v>
      </c>
      <c r="B744" s="98" t="str">
        <f>INDEX(Data_Assessment[],MATCH(Strong_Weakness[[#This Row],[INDEX]],Data_Assessment[INDEX],0),MATCH(Strong_Weakness[[#Headers],[NAME]],Data_Assessment[#Headers],0))</f>
        <v>Novansyah</v>
      </c>
      <c r="C744" s="98"/>
      <c r="D744" s="98"/>
    </row>
    <row r="745" spans="1:4">
      <c r="A745" s="100">
        <f>ROW(Strong_Weakness[[#This Row],[INDEX]])-ROW(Strong_Weakness[[#Headers],[INDEX]])</f>
        <v>744</v>
      </c>
      <c r="B745" s="98" t="str">
        <f>INDEX(Data_Assessment[],MATCH(Strong_Weakness[[#This Row],[INDEX]],Data_Assessment[INDEX],0),MATCH(Strong_Weakness[[#Headers],[NAME]],Data_Assessment[#Headers],0))</f>
        <v>Firmansyah</v>
      </c>
      <c r="C745" s="98"/>
      <c r="D745" s="98"/>
    </row>
    <row r="746" spans="1:4">
      <c r="A746" s="100">
        <f>ROW(Strong_Weakness[[#This Row],[INDEX]])-ROW(Strong_Weakness[[#Headers],[INDEX]])</f>
        <v>745</v>
      </c>
      <c r="B746" s="98" t="str">
        <f>INDEX(Data_Assessment[],MATCH(Strong_Weakness[[#This Row],[INDEX]],Data_Assessment[INDEX],0),MATCH(Strong_Weakness[[#Headers],[NAME]],Data_Assessment[#Headers],0))</f>
        <v>Yus Deddy Andry</v>
      </c>
      <c r="C746" s="98"/>
      <c r="D746" s="98"/>
    </row>
    <row r="747" spans="1:4">
      <c r="A747" s="100">
        <f>ROW(Strong_Weakness[[#This Row],[INDEX]])-ROW(Strong_Weakness[[#Headers],[INDEX]])</f>
        <v>746</v>
      </c>
      <c r="B747" s="98" t="str">
        <f>INDEX(Data_Assessment[],MATCH(Strong_Weakness[[#This Row],[INDEX]],Data_Assessment[INDEX],0),MATCH(Strong_Weakness[[#Headers],[NAME]],Data_Assessment[#Headers],0))</f>
        <v>Widagdya Prasetya Utama</v>
      </c>
      <c r="C747" s="98"/>
      <c r="D747" s="98"/>
    </row>
    <row r="748" spans="1:4">
      <c r="A748" s="100">
        <f>ROW(Strong_Weakness[[#This Row],[INDEX]])-ROW(Strong_Weakness[[#Headers],[INDEX]])</f>
        <v>747</v>
      </c>
      <c r="B748" s="98" t="str">
        <f>INDEX(Data_Assessment[],MATCH(Strong_Weakness[[#This Row],[INDEX]],Data_Assessment[INDEX],0),MATCH(Strong_Weakness[[#Headers],[NAME]],Data_Assessment[#Headers],0))</f>
        <v>Agung Aulia Saputra</v>
      </c>
      <c r="C748" s="98"/>
      <c r="D748" s="98"/>
    </row>
    <row r="749" spans="1:4">
      <c r="A749" s="100">
        <f>ROW(Strong_Weakness[[#This Row],[INDEX]])-ROW(Strong_Weakness[[#Headers],[INDEX]])</f>
        <v>748</v>
      </c>
      <c r="B749" s="98" t="str">
        <f>INDEX(Data_Assessment[],MATCH(Strong_Weakness[[#This Row],[INDEX]],Data_Assessment[INDEX],0),MATCH(Strong_Weakness[[#Headers],[NAME]],Data_Assessment[#Headers],0))</f>
        <v>M. Fauzi, SE</v>
      </c>
      <c r="C749" s="98"/>
      <c r="D749" s="98"/>
    </row>
    <row r="750" spans="1:4">
      <c r="A750" s="100">
        <f>ROW(Strong_Weakness[[#This Row],[INDEX]])-ROW(Strong_Weakness[[#Headers],[INDEX]])</f>
        <v>749</v>
      </c>
      <c r="B750" s="98" t="str">
        <f>INDEX(Data_Assessment[],MATCH(Strong_Weakness[[#This Row],[INDEX]],Data_Assessment[INDEX],0),MATCH(Strong_Weakness[[#Headers],[NAME]],Data_Assessment[#Headers],0))</f>
        <v>Rachmad Hidayat</v>
      </c>
      <c r="C750" s="98"/>
      <c r="D750" s="98"/>
    </row>
    <row r="751" spans="1:4">
      <c r="A751" s="100">
        <f>ROW(Strong_Weakness[[#This Row],[INDEX]])-ROW(Strong_Weakness[[#Headers],[INDEX]])</f>
        <v>750</v>
      </c>
      <c r="B751" s="98" t="str">
        <f>INDEX(Data_Assessment[],MATCH(Strong_Weakness[[#This Row],[INDEX]],Data_Assessment[INDEX],0),MATCH(Strong_Weakness[[#Headers],[NAME]],Data_Assessment[#Headers],0))</f>
        <v>Muhammad Naufal Heriza</v>
      </c>
      <c r="C751" s="98"/>
      <c r="D751" s="98"/>
    </row>
    <row r="752" spans="1:4">
      <c r="A752" s="100">
        <f>ROW(Strong_Weakness[[#This Row],[INDEX]])-ROW(Strong_Weakness[[#Headers],[INDEX]])</f>
        <v>751</v>
      </c>
      <c r="B752" s="98" t="str">
        <f>INDEX(Data_Assessment[],MATCH(Strong_Weakness[[#This Row],[INDEX]],Data_Assessment[INDEX],0),MATCH(Strong_Weakness[[#Headers],[NAME]],Data_Assessment[#Headers],0))</f>
        <v>Rita Haryati, Ir.</v>
      </c>
      <c r="C752" s="98"/>
      <c r="D752" s="98"/>
    </row>
    <row r="753" spans="1:4">
      <c r="A753" s="100">
        <f>ROW(Strong_Weakness[[#This Row],[INDEX]])-ROW(Strong_Weakness[[#Headers],[INDEX]])</f>
        <v>752</v>
      </c>
      <c r="B753" s="98" t="str">
        <f>INDEX(Data_Assessment[],MATCH(Strong_Weakness[[#This Row],[INDEX]],Data_Assessment[INDEX],0),MATCH(Strong_Weakness[[#Headers],[NAME]],Data_Assessment[#Headers],0))</f>
        <v>M. Yevri</v>
      </c>
      <c r="C753" s="98"/>
      <c r="D753" s="98"/>
    </row>
    <row r="754" spans="1:4">
      <c r="A754" s="100">
        <f>ROW(Strong_Weakness[[#This Row],[INDEX]])-ROW(Strong_Weakness[[#Headers],[INDEX]])</f>
        <v>753</v>
      </c>
      <c r="B754" s="98" t="str">
        <f>INDEX(Data_Assessment[],MATCH(Strong_Weakness[[#This Row],[INDEX]],Data_Assessment[INDEX],0),MATCH(Strong_Weakness[[#Headers],[NAME]],Data_Assessment[#Headers],0))</f>
        <v>Henry Menahen Sinaga, Ir.</v>
      </c>
      <c r="C754" s="98"/>
      <c r="D754" s="98"/>
    </row>
    <row r="755" spans="1:4">
      <c r="A755" s="100">
        <f>ROW(Strong_Weakness[[#This Row],[INDEX]])-ROW(Strong_Weakness[[#Headers],[INDEX]])</f>
        <v>754</v>
      </c>
      <c r="B755" s="98" t="str">
        <f>INDEX(Data_Assessment[],MATCH(Strong_Weakness[[#This Row],[INDEX]],Data_Assessment[INDEX],0),MATCH(Strong_Weakness[[#Headers],[NAME]],Data_Assessment[#Headers],0))</f>
        <v>Azwandi, Ir.</v>
      </c>
      <c r="C755" s="98"/>
      <c r="D755" s="98"/>
    </row>
    <row r="756" spans="1:4">
      <c r="A756" s="100">
        <f>ROW(Strong_Weakness[[#This Row],[INDEX]])-ROW(Strong_Weakness[[#Headers],[INDEX]])</f>
        <v>755</v>
      </c>
      <c r="B756" s="98" t="str">
        <f>INDEX(Data_Assessment[],MATCH(Strong_Weakness[[#This Row],[INDEX]],Data_Assessment[INDEX],0),MATCH(Strong_Weakness[[#Headers],[NAME]],Data_Assessment[#Headers],0))</f>
        <v>Rita Itriani Kaban</v>
      </c>
      <c r="C756" s="98"/>
      <c r="D756" s="98"/>
    </row>
    <row r="757" spans="1:4">
      <c r="A757" s="100">
        <f>ROW(Strong_Weakness[[#This Row],[INDEX]])-ROW(Strong_Weakness[[#Headers],[INDEX]])</f>
        <v>756</v>
      </c>
      <c r="B757" s="98" t="str">
        <f>INDEX(Data_Assessment[],MATCH(Strong_Weakness[[#This Row],[INDEX]],Data_Assessment[INDEX],0),MATCH(Strong_Weakness[[#Headers],[NAME]],Data_Assessment[#Headers],0))</f>
        <v>Mhd. Hyekal Sirait</v>
      </c>
      <c r="C757" s="98"/>
      <c r="D757" s="98"/>
    </row>
    <row r="758" spans="1:4">
      <c r="A758" s="100">
        <f>ROW(Strong_Weakness[[#This Row],[INDEX]])-ROW(Strong_Weakness[[#Headers],[INDEX]])</f>
        <v>757</v>
      </c>
      <c r="B758" s="98" t="str">
        <f>INDEX(Data_Assessment[],MATCH(Strong_Weakness[[#This Row],[INDEX]],Data_Assessment[INDEX],0),MATCH(Strong_Weakness[[#Headers],[NAME]],Data_Assessment[#Headers],0))</f>
        <v>Farida Hanum Lubis</v>
      </c>
      <c r="C758" s="98"/>
      <c r="D758" s="98"/>
    </row>
    <row r="759" spans="1:4">
      <c r="A759" s="100">
        <f>ROW(Strong_Weakness[[#This Row],[INDEX]])-ROW(Strong_Weakness[[#Headers],[INDEX]])</f>
        <v>758</v>
      </c>
      <c r="B759" s="98" t="str">
        <f>INDEX(Data_Assessment[],MATCH(Strong_Weakness[[#This Row],[INDEX]],Data_Assessment[INDEX],0),MATCH(Strong_Weakness[[#Headers],[NAME]],Data_Assessment[#Headers],0))</f>
        <v>Canggih Sastrawan</v>
      </c>
      <c r="C759" s="98"/>
      <c r="D759" s="98"/>
    </row>
    <row r="760" spans="1:4">
      <c r="A760" s="100">
        <f>ROW(Strong_Weakness[[#This Row],[INDEX]])-ROW(Strong_Weakness[[#Headers],[INDEX]])</f>
        <v>759</v>
      </c>
      <c r="B760" s="98" t="str">
        <f>INDEX(Data_Assessment[],MATCH(Strong_Weakness[[#This Row],[INDEX]],Data_Assessment[INDEX],0),MATCH(Strong_Weakness[[#Headers],[NAME]],Data_Assessment[#Headers],0))</f>
        <v>Rudi Komi Simbolon</v>
      </c>
      <c r="C760" s="98"/>
      <c r="D760" s="98"/>
    </row>
    <row r="761" spans="1:4">
      <c r="A761" s="100">
        <f>ROW(Strong_Weakness[[#This Row],[INDEX]])-ROW(Strong_Weakness[[#Headers],[INDEX]])</f>
        <v>760</v>
      </c>
      <c r="B761" s="98" t="str">
        <f>INDEX(Data_Assessment[],MATCH(Strong_Weakness[[#This Row],[INDEX]],Data_Assessment[INDEX],0),MATCH(Strong_Weakness[[#Headers],[NAME]],Data_Assessment[#Headers],0))</f>
        <v>Muhamamd Ikhsan Nasution</v>
      </c>
      <c r="C761" s="98"/>
      <c r="D761" s="98"/>
    </row>
    <row r="762" spans="1:4">
      <c r="A762" s="100">
        <f>ROW(Strong_Weakness[[#This Row],[INDEX]])-ROW(Strong_Weakness[[#Headers],[INDEX]])</f>
        <v>761</v>
      </c>
      <c r="B762" s="98" t="str">
        <f>INDEX(Data_Assessment[],MATCH(Strong_Weakness[[#This Row],[INDEX]],Data_Assessment[INDEX],0),MATCH(Strong_Weakness[[#Headers],[NAME]],Data_Assessment[#Headers],0))</f>
        <v>Elvian Adi Wandra Nasution</v>
      </c>
      <c r="C762" s="98"/>
      <c r="D762" s="98"/>
    </row>
    <row r="763" spans="1:4">
      <c r="A763" s="100">
        <f>ROW(Strong_Weakness[[#This Row],[INDEX]])-ROW(Strong_Weakness[[#Headers],[INDEX]])</f>
        <v>762</v>
      </c>
      <c r="B763" s="98" t="str">
        <f>INDEX(Data_Assessment[],MATCH(Strong_Weakness[[#This Row],[INDEX]],Data_Assessment[INDEX],0),MATCH(Strong_Weakness[[#Headers],[NAME]],Data_Assessment[#Headers],0))</f>
        <v>Obinton Mikhael Butar Butar</v>
      </c>
      <c r="C763" s="98"/>
      <c r="D763" s="98"/>
    </row>
    <row r="764" spans="1:4">
      <c r="A764" s="100">
        <f>ROW(Strong_Weakness[[#This Row],[INDEX]])-ROW(Strong_Weakness[[#Headers],[INDEX]])</f>
        <v>763</v>
      </c>
      <c r="B764" s="98" t="str">
        <f>INDEX(Data_Assessment[],MATCH(Strong_Weakness[[#This Row],[INDEX]],Data_Assessment[INDEX],0),MATCH(Strong_Weakness[[#Headers],[NAME]],Data_Assessment[#Headers],0))</f>
        <v>Joko Purnomo</v>
      </c>
      <c r="C764" s="98"/>
      <c r="D764" s="98"/>
    </row>
    <row r="765" spans="1:4">
      <c r="A765" s="100">
        <f>ROW(Strong_Weakness[[#This Row],[INDEX]])-ROW(Strong_Weakness[[#Headers],[INDEX]])</f>
        <v>764</v>
      </c>
      <c r="B765" s="98" t="str">
        <f>INDEX(Data_Assessment[],MATCH(Strong_Weakness[[#This Row],[INDEX]],Data_Assessment[INDEX],0),MATCH(Strong_Weakness[[#Headers],[NAME]],Data_Assessment[#Headers],0))</f>
        <v>Nofriferdiansyah Soriton</v>
      </c>
      <c r="C765" s="98"/>
      <c r="D765" s="98"/>
    </row>
    <row r="766" spans="1:4">
      <c r="A766" s="100">
        <f>ROW(Strong_Weakness[[#This Row],[INDEX]])-ROW(Strong_Weakness[[#Headers],[INDEX]])</f>
        <v>765</v>
      </c>
      <c r="B766" s="98" t="str">
        <f>INDEX(Data_Assessment[],MATCH(Strong_Weakness[[#This Row],[INDEX]],Data_Assessment[INDEX],0),MATCH(Strong_Weakness[[#Headers],[NAME]],Data_Assessment[#Headers],0))</f>
        <v>Syahrial</v>
      </c>
      <c r="C766" s="98"/>
      <c r="D766" s="98"/>
    </row>
    <row r="767" spans="1:4">
      <c r="A767" s="100">
        <f>ROW(Strong_Weakness[[#This Row],[INDEX]])-ROW(Strong_Weakness[[#Headers],[INDEX]])</f>
        <v>766</v>
      </c>
      <c r="B767" s="98" t="str">
        <f>INDEX(Data_Assessment[],MATCH(Strong_Weakness[[#This Row],[INDEX]],Data_Assessment[INDEX],0),MATCH(Strong_Weakness[[#Headers],[NAME]],Data_Assessment[#Headers],0))</f>
        <v>Syahbirin Koto, Ir.</v>
      </c>
      <c r="C767" s="98"/>
      <c r="D767" s="98"/>
    </row>
    <row r="768" spans="1:4">
      <c r="A768" s="100">
        <f>ROW(Strong_Weakness[[#This Row],[INDEX]])-ROW(Strong_Weakness[[#Headers],[INDEX]])</f>
        <v>767</v>
      </c>
      <c r="B768" s="98" t="str">
        <f>INDEX(Data_Assessment[],MATCH(Strong_Weakness[[#This Row],[INDEX]],Data_Assessment[INDEX],0),MATCH(Strong_Weakness[[#Headers],[NAME]],Data_Assessment[#Headers],0))</f>
        <v>Erwin R.W. Hasibuan</v>
      </c>
      <c r="C768" s="98"/>
      <c r="D768" s="98"/>
    </row>
    <row r="769" spans="1:4">
      <c r="A769" s="100">
        <f>ROW(Strong_Weakness[[#This Row],[INDEX]])-ROW(Strong_Weakness[[#Headers],[INDEX]])</f>
        <v>768</v>
      </c>
      <c r="B769" s="98" t="str">
        <f>INDEX(Data_Assessment[],MATCH(Strong_Weakness[[#This Row],[INDEX]],Data_Assessment[INDEX],0),MATCH(Strong_Weakness[[#Headers],[NAME]],Data_Assessment[#Headers],0))</f>
        <v>Diana Ovianti</v>
      </c>
      <c r="C769" s="98"/>
      <c r="D769" s="98"/>
    </row>
    <row r="770" spans="1:4">
      <c r="A770" s="100">
        <f>ROW(Strong_Weakness[[#This Row],[INDEX]])-ROW(Strong_Weakness[[#Headers],[INDEX]])</f>
        <v>769</v>
      </c>
      <c r="B770" s="98" t="str">
        <f>INDEX(Data_Assessment[],MATCH(Strong_Weakness[[#This Row],[INDEX]],Data_Assessment[INDEX],0),MATCH(Strong_Weakness[[#Headers],[NAME]],Data_Assessment[#Headers],0))</f>
        <v>Edi Alamsyah</v>
      </c>
      <c r="C770" s="98"/>
      <c r="D770" s="98"/>
    </row>
    <row r="771" spans="1:4">
      <c r="A771" s="100">
        <f>ROW(Strong_Weakness[[#This Row],[INDEX]])-ROW(Strong_Weakness[[#Headers],[INDEX]])</f>
        <v>770</v>
      </c>
      <c r="B771" s="98" t="str">
        <f>INDEX(Data_Assessment[],MATCH(Strong_Weakness[[#This Row],[INDEX]],Data_Assessment[INDEX],0),MATCH(Strong_Weakness[[#Headers],[NAME]],Data_Assessment[#Headers],0))</f>
        <v>Sahat Tunggul Sihotang</v>
      </c>
      <c r="C771" s="98"/>
      <c r="D771" s="98"/>
    </row>
    <row r="772" spans="1:4">
      <c r="A772" s="100">
        <f>ROW(Strong_Weakness[[#This Row],[INDEX]])-ROW(Strong_Weakness[[#Headers],[INDEX]])</f>
        <v>771</v>
      </c>
      <c r="B772" s="98" t="str">
        <f>INDEX(Data_Assessment[],MATCH(Strong_Weakness[[#This Row],[INDEX]],Data_Assessment[INDEX],0),MATCH(Strong_Weakness[[#Headers],[NAME]],Data_Assessment[#Headers],0))</f>
        <v>Misdianto</v>
      </c>
      <c r="C772" s="98"/>
      <c r="D772" s="98"/>
    </row>
    <row r="773" spans="1:4">
      <c r="A773" s="100">
        <f>ROW(Strong_Weakness[[#This Row],[INDEX]])-ROW(Strong_Weakness[[#Headers],[INDEX]])</f>
        <v>772</v>
      </c>
      <c r="B773" s="98" t="str">
        <f>INDEX(Data_Assessment[],MATCH(Strong_Weakness[[#This Row],[INDEX]],Data_Assessment[INDEX],0),MATCH(Strong_Weakness[[#Headers],[NAME]],Data_Assessment[#Headers],0))</f>
        <v>Khoirumansyah</v>
      </c>
      <c r="C773" s="98"/>
      <c r="D773" s="98"/>
    </row>
    <row r="774" spans="1:4">
      <c r="A774" s="100">
        <f>ROW(Strong_Weakness[[#This Row],[INDEX]])-ROW(Strong_Weakness[[#Headers],[INDEX]])</f>
        <v>773</v>
      </c>
      <c r="B774" s="98" t="str">
        <f>INDEX(Data_Assessment[],MATCH(Strong_Weakness[[#This Row],[INDEX]],Data_Assessment[INDEX],0),MATCH(Strong_Weakness[[#Headers],[NAME]],Data_Assessment[#Headers],0))</f>
        <v>Daud Harrys Pardamean Sirait</v>
      </c>
      <c r="C774" s="98"/>
      <c r="D774" s="98"/>
    </row>
    <row r="775" spans="1:4">
      <c r="A775" s="100">
        <f>ROW(Strong_Weakness[[#This Row],[INDEX]])-ROW(Strong_Weakness[[#Headers],[INDEX]])</f>
        <v>774</v>
      </c>
      <c r="B775" s="98" t="str">
        <f>INDEX(Data_Assessment[],MATCH(Strong_Weakness[[#This Row],[INDEX]],Data_Assessment[INDEX],0),MATCH(Strong_Weakness[[#Headers],[NAME]],Data_Assessment[#Headers],0))</f>
        <v>Junedo Gandani Dongoran</v>
      </c>
      <c r="C775" s="98"/>
      <c r="D775" s="98"/>
    </row>
    <row r="776" spans="1:4">
      <c r="A776" s="100">
        <f>ROW(Strong_Weakness[[#This Row],[INDEX]])-ROW(Strong_Weakness[[#Headers],[INDEX]])</f>
        <v>775</v>
      </c>
      <c r="B776" s="98" t="str">
        <f>INDEX(Data_Assessment[],MATCH(Strong_Weakness[[#This Row],[INDEX]],Data_Assessment[INDEX],0),MATCH(Strong_Weakness[[#Headers],[NAME]],Data_Assessment[#Headers],0))</f>
        <v>Firman Sitompul</v>
      </c>
      <c r="C776" s="98"/>
      <c r="D776" s="98"/>
    </row>
    <row r="777" spans="1:4">
      <c r="A777" s="100">
        <f>ROW(Strong_Weakness[[#This Row],[INDEX]])-ROW(Strong_Weakness[[#Headers],[INDEX]])</f>
        <v>776</v>
      </c>
      <c r="B777" s="98" t="str">
        <f>INDEX(Data_Assessment[],MATCH(Strong_Weakness[[#This Row],[INDEX]],Data_Assessment[INDEX],0),MATCH(Strong_Weakness[[#Headers],[NAME]],Data_Assessment[#Headers],0))</f>
        <v>Ahmad Riyadi</v>
      </c>
      <c r="C777" s="98"/>
      <c r="D777" s="98"/>
    </row>
    <row r="778" spans="1:4">
      <c r="A778" s="100">
        <f>ROW(Strong_Weakness[[#This Row],[INDEX]])-ROW(Strong_Weakness[[#Headers],[INDEX]])</f>
        <v>777</v>
      </c>
      <c r="B778" s="98" t="str">
        <f>INDEX(Data_Assessment[],MATCH(Strong_Weakness[[#This Row],[INDEX]],Data_Assessment[INDEX],0),MATCH(Strong_Weakness[[#Headers],[NAME]],Data_Assessment[#Headers],0))</f>
        <v>Rahmat Hidayat</v>
      </c>
      <c r="C778" s="98"/>
      <c r="D778" s="98"/>
    </row>
    <row r="779" spans="1:4">
      <c r="A779" s="100">
        <f>ROW(Strong_Weakness[[#This Row],[INDEX]])-ROW(Strong_Weakness[[#Headers],[INDEX]])</f>
        <v>778</v>
      </c>
      <c r="B779" s="98" t="str">
        <f>INDEX(Data_Assessment[],MATCH(Strong_Weakness[[#This Row],[INDEX]],Data_Assessment[INDEX],0),MATCH(Strong_Weakness[[#Headers],[NAME]],Data_Assessment[#Headers],0))</f>
        <v>Yanti Kusmiati</v>
      </c>
      <c r="C779" s="98"/>
      <c r="D779" s="98"/>
    </row>
    <row r="780" spans="1:4">
      <c r="A780" s="100">
        <f>ROW(Strong_Weakness[[#This Row],[INDEX]])-ROW(Strong_Weakness[[#Headers],[INDEX]])</f>
        <v>779</v>
      </c>
      <c r="B780" s="98" t="str">
        <f>INDEX(Data_Assessment[],MATCH(Strong_Weakness[[#This Row],[INDEX]],Data_Assessment[INDEX],0),MATCH(Strong_Weakness[[#Headers],[NAME]],Data_Assessment[#Headers],0))</f>
        <v>Muhammad Ihsyan Manulang</v>
      </c>
      <c r="C780" s="98"/>
      <c r="D780" s="98"/>
    </row>
    <row r="781" spans="1:4">
      <c r="A781" s="100">
        <f>ROW(Strong_Weakness[[#This Row],[INDEX]])-ROW(Strong_Weakness[[#Headers],[INDEX]])</f>
        <v>780</v>
      </c>
      <c r="B781" s="98" t="str">
        <f>INDEX(Data_Assessment[],MATCH(Strong_Weakness[[#This Row],[INDEX]],Data_Assessment[INDEX],0),MATCH(Strong_Weakness[[#Headers],[NAME]],Data_Assessment[#Headers],0))</f>
        <v>Abrar Nur Syahputra</v>
      </c>
      <c r="C781" s="98"/>
      <c r="D781" s="98"/>
    </row>
    <row r="782" spans="1:4">
      <c r="A782" s="100">
        <f>ROW(Strong_Weakness[[#This Row],[INDEX]])-ROW(Strong_Weakness[[#Headers],[INDEX]])</f>
        <v>781</v>
      </c>
      <c r="B782" s="98" t="str">
        <f>INDEX(Data_Assessment[],MATCH(Strong_Weakness[[#This Row],[INDEX]],Data_Assessment[INDEX],0),MATCH(Strong_Weakness[[#Headers],[NAME]],Data_Assessment[#Headers],0))</f>
        <v>Roy Franc James Simanjuntak</v>
      </c>
      <c r="C782" s="98"/>
      <c r="D782" s="98"/>
    </row>
    <row r="783" spans="1:4">
      <c r="A783" s="100">
        <f>ROW(Strong_Weakness[[#This Row],[INDEX]])-ROW(Strong_Weakness[[#Headers],[INDEX]])</f>
        <v>782</v>
      </c>
      <c r="B783" s="98" t="str">
        <f>INDEX(Data_Assessment[],MATCH(Strong_Weakness[[#This Row],[INDEX]],Data_Assessment[INDEX],0),MATCH(Strong_Weakness[[#Headers],[NAME]],Data_Assessment[#Headers],0))</f>
        <v>Suprapto</v>
      </c>
      <c r="C783" s="98"/>
      <c r="D783" s="98"/>
    </row>
    <row r="784" spans="1:4">
      <c r="A784" s="100">
        <f>ROW(Strong_Weakness[[#This Row],[INDEX]])-ROW(Strong_Weakness[[#Headers],[INDEX]])</f>
        <v>783</v>
      </c>
      <c r="B784" s="98" t="str">
        <f>INDEX(Data_Assessment[],MATCH(Strong_Weakness[[#This Row],[INDEX]],Data_Assessment[INDEX],0),MATCH(Strong_Weakness[[#Headers],[NAME]],Data_Assessment[#Headers],0))</f>
        <v>Abdul Wahid</v>
      </c>
      <c r="C784" s="98"/>
      <c r="D784" s="98"/>
    </row>
    <row r="785" spans="1:4">
      <c r="A785" s="100">
        <f>ROW(Strong_Weakness[[#This Row],[INDEX]])-ROW(Strong_Weakness[[#Headers],[INDEX]])</f>
        <v>784</v>
      </c>
      <c r="B785" s="98" t="str">
        <f>INDEX(Data_Assessment[],MATCH(Strong_Weakness[[#This Row],[INDEX]],Data_Assessment[INDEX],0),MATCH(Strong_Weakness[[#Headers],[NAME]],Data_Assessment[#Headers],0))</f>
        <v>Kurnia Aprialdy Milala</v>
      </c>
      <c r="C785" s="98"/>
      <c r="D785" s="98"/>
    </row>
    <row r="786" spans="1:4">
      <c r="A786" s="100">
        <f>ROW(Strong_Weakness[[#This Row],[INDEX]])-ROW(Strong_Weakness[[#Headers],[INDEX]])</f>
        <v>785</v>
      </c>
      <c r="B786" s="98" t="str">
        <f>INDEX(Data_Assessment[],MATCH(Strong_Weakness[[#This Row],[INDEX]],Data_Assessment[INDEX],0),MATCH(Strong_Weakness[[#Headers],[NAME]],Data_Assessment[#Headers],0))</f>
        <v>Nursianto</v>
      </c>
      <c r="C786" s="98"/>
      <c r="D786" s="98"/>
    </row>
    <row r="787" spans="1:4">
      <c r="A787" s="100">
        <f>ROW(Strong_Weakness[[#This Row],[INDEX]])-ROW(Strong_Weakness[[#Headers],[INDEX]])</f>
        <v>786</v>
      </c>
      <c r="B787" s="98" t="str">
        <f>INDEX(Data_Assessment[],MATCH(Strong_Weakness[[#This Row],[INDEX]],Data_Assessment[INDEX],0),MATCH(Strong_Weakness[[#Headers],[NAME]],Data_Assessment[#Headers],0))</f>
        <v>Mahyudin</v>
      </c>
      <c r="C787" s="98"/>
      <c r="D787" s="98"/>
    </row>
    <row r="788" spans="1:4">
      <c r="A788" s="100">
        <f>ROW(Strong_Weakness[[#This Row],[INDEX]])-ROW(Strong_Weakness[[#Headers],[INDEX]])</f>
        <v>787</v>
      </c>
      <c r="B788" s="98" t="str">
        <f>INDEX(Data_Assessment[],MATCH(Strong_Weakness[[#This Row],[INDEX]],Data_Assessment[INDEX],0),MATCH(Strong_Weakness[[#Headers],[NAME]],Data_Assessment[#Headers],0))</f>
        <v>Muhammad Fauzan Amiruddin</v>
      </c>
      <c r="C788" s="98"/>
      <c r="D788" s="98"/>
    </row>
    <row r="789" spans="1:4">
      <c r="A789" s="100">
        <f>ROW(Strong_Weakness[[#This Row],[INDEX]])-ROW(Strong_Weakness[[#Headers],[INDEX]])</f>
        <v>788</v>
      </c>
      <c r="B789" s="98" t="str">
        <f>INDEX(Data_Assessment[],MATCH(Strong_Weakness[[#This Row],[INDEX]],Data_Assessment[INDEX],0),MATCH(Strong_Weakness[[#Headers],[NAME]],Data_Assessment[#Headers],0))</f>
        <v>Oktaviyanus, ST</v>
      </c>
      <c r="C789" s="98"/>
      <c r="D789" s="98"/>
    </row>
    <row r="790" spans="1:4">
      <c r="A790" s="100">
        <f>ROW(Strong_Weakness[[#This Row],[INDEX]])-ROW(Strong_Weakness[[#Headers],[INDEX]])</f>
        <v>789</v>
      </c>
      <c r="B790" s="98" t="str">
        <f>INDEX(Data_Assessment[],MATCH(Strong_Weakness[[#This Row],[INDEX]],Data_Assessment[INDEX],0),MATCH(Strong_Weakness[[#Headers],[NAME]],Data_Assessment[#Headers],0))</f>
        <v>Hendrik Sahrul Saputra</v>
      </c>
      <c r="C790" s="98"/>
      <c r="D790" s="98"/>
    </row>
    <row r="791" spans="1:4">
      <c r="A791" s="100">
        <f>ROW(Strong_Weakness[[#This Row],[INDEX]])-ROW(Strong_Weakness[[#Headers],[INDEX]])</f>
        <v>790</v>
      </c>
      <c r="B791" s="98" t="str">
        <f>INDEX(Data_Assessment[],MATCH(Strong_Weakness[[#This Row],[INDEX]],Data_Assessment[INDEX],0),MATCH(Strong_Weakness[[#Headers],[NAME]],Data_Assessment[#Headers],0))</f>
        <v>Muhammad Yusuf Almy</v>
      </c>
      <c r="C791" s="98"/>
      <c r="D791" s="98"/>
    </row>
    <row r="792" spans="1:4">
      <c r="A792" s="100">
        <f>ROW(Strong_Weakness[[#This Row],[INDEX]])-ROW(Strong_Weakness[[#Headers],[INDEX]])</f>
        <v>791</v>
      </c>
      <c r="B792" s="98" t="str">
        <f>INDEX(Data_Assessment[],MATCH(Strong_Weakness[[#This Row],[INDEX]],Data_Assessment[INDEX],0),MATCH(Strong_Weakness[[#Headers],[NAME]],Data_Assessment[#Headers],0))</f>
        <v>Zefania Mangiring Silaen</v>
      </c>
      <c r="C792" s="98"/>
      <c r="D792" s="98"/>
    </row>
    <row r="793" spans="1:4">
      <c r="A793" s="100">
        <f>ROW(Strong_Weakness[[#This Row],[INDEX]])-ROW(Strong_Weakness[[#Headers],[INDEX]])</f>
        <v>792</v>
      </c>
      <c r="B793" s="98" t="str">
        <f>INDEX(Data_Assessment[],MATCH(Strong_Weakness[[#This Row],[INDEX]],Data_Assessment[INDEX],0),MATCH(Strong_Weakness[[#Headers],[NAME]],Data_Assessment[#Headers],0))</f>
        <v>Taufik Kurniawan</v>
      </c>
      <c r="C793" s="98"/>
      <c r="D793" s="98"/>
    </row>
    <row r="794" spans="1:4">
      <c r="A794" s="100">
        <f>ROW(Strong_Weakness[[#This Row],[INDEX]])-ROW(Strong_Weakness[[#Headers],[INDEX]])</f>
        <v>793</v>
      </c>
      <c r="B794" s="98" t="str">
        <f>INDEX(Data_Assessment[],MATCH(Strong_Weakness[[#This Row],[INDEX]],Data_Assessment[INDEX],0),MATCH(Strong_Weakness[[#Headers],[NAME]],Data_Assessment[#Headers],0))</f>
        <v>Rosalina Musna</v>
      </c>
      <c r="C794" s="98"/>
      <c r="D794" s="98"/>
    </row>
    <row r="795" spans="1:4">
      <c r="A795" s="100">
        <f>ROW(Strong_Weakness[[#This Row],[INDEX]])-ROW(Strong_Weakness[[#Headers],[INDEX]])</f>
        <v>794</v>
      </c>
      <c r="B795" s="98" t="str">
        <f>INDEX(Data_Assessment[],MATCH(Strong_Weakness[[#This Row],[INDEX]],Data_Assessment[INDEX],0),MATCH(Strong_Weakness[[#Headers],[NAME]],Data_Assessment[#Headers],0))</f>
        <v>Hary Naldo Harahap</v>
      </c>
      <c r="C795" s="98"/>
      <c r="D795" s="98"/>
    </row>
    <row r="796" spans="1:4">
      <c r="A796" s="100">
        <f>ROW(Strong_Weakness[[#This Row],[INDEX]])-ROW(Strong_Weakness[[#Headers],[INDEX]])</f>
        <v>795</v>
      </c>
      <c r="B796" s="98" t="str">
        <f>INDEX(Data_Assessment[],MATCH(Strong_Weakness[[#This Row],[INDEX]],Data_Assessment[INDEX],0),MATCH(Strong_Weakness[[#Headers],[NAME]],Data_Assessment[#Headers],0))</f>
        <v>Uus Pramana</v>
      </c>
      <c r="C796" s="98"/>
      <c r="D796" s="98"/>
    </row>
    <row r="797" spans="1:4">
      <c r="A797" s="100">
        <f>ROW(Strong_Weakness[[#This Row],[INDEX]])-ROW(Strong_Weakness[[#Headers],[INDEX]])</f>
        <v>796</v>
      </c>
      <c r="B797" s="98" t="str">
        <f>INDEX(Data_Assessment[],MATCH(Strong_Weakness[[#This Row],[INDEX]],Data_Assessment[INDEX],0),MATCH(Strong_Weakness[[#Headers],[NAME]],Data_Assessment[#Headers],0))</f>
        <v>Dharma Suciadi, Ir.</v>
      </c>
      <c r="C797" s="98"/>
      <c r="D797" s="98"/>
    </row>
    <row r="798" spans="1:4">
      <c r="A798" s="100">
        <f>ROW(Strong_Weakness[[#This Row],[INDEX]])-ROW(Strong_Weakness[[#Headers],[INDEX]])</f>
        <v>797</v>
      </c>
      <c r="B798" s="98" t="str">
        <f>INDEX(Data_Assessment[],MATCH(Strong_Weakness[[#This Row],[INDEX]],Data_Assessment[INDEX],0),MATCH(Strong_Weakness[[#Headers],[NAME]],Data_Assessment[#Headers],0))</f>
        <v>Michael Alexander Perangin-angin</v>
      </c>
      <c r="C798" s="98"/>
      <c r="D798" s="98"/>
    </row>
    <row r="799" spans="1:4">
      <c r="A799" s="100">
        <f>ROW(Strong_Weakness[[#This Row],[INDEX]])-ROW(Strong_Weakness[[#Headers],[INDEX]])</f>
        <v>798</v>
      </c>
      <c r="B799" s="98" t="str">
        <f>INDEX(Data_Assessment[],MATCH(Strong_Weakness[[#This Row],[INDEX]],Data_Assessment[INDEX],0),MATCH(Strong_Weakness[[#Headers],[NAME]],Data_Assessment[#Headers],0))</f>
        <v>Hendra Arjuna</v>
      </c>
      <c r="C799" s="98"/>
      <c r="D799" s="98"/>
    </row>
    <row r="800" spans="1:4">
      <c r="A800" s="100">
        <f>ROW(Strong_Weakness[[#This Row],[INDEX]])-ROW(Strong_Weakness[[#Headers],[INDEX]])</f>
        <v>799</v>
      </c>
      <c r="B800" s="98" t="str">
        <f>INDEX(Data_Assessment[],MATCH(Strong_Weakness[[#This Row],[INDEX]],Data_Assessment[INDEX],0),MATCH(Strong_Weakness[[#Headers],[NAME]],Data_Assessment[#Headers],0))</f>
        <v>Abdul Azis, Ir.</v>
      </c>
      <c r="C800" s="98"/>
      <c r="D800" s="98"/>
    </row>
    <row r="801" spans="1:4">
      <c r="A801" s="100">
        <f>ROW(Strong_Weakness[[#This Row],[INDEX]])-ROW(Strong_Weakness[[#Headers],[INDEX]])</f>
        <v>800</v>
      </c>
      <c r="B801" s="98" t="str">
        <f>INDEX(Data_Assessment[],MATCH(Strong_Weakness[[#This Row],[INDEX]],Data_Assessment[INDEX],0),MATCH(Strong_Weakness[[#Headers],[NAME]],Data_Assessment[#Headers],0))</f>
        <v>Arnol Jefri Panjaitan</v>
      </c>
      <c r="C801" s="98"/>
      <c r="D801" s="98"/>
    </row>
    <row r="802" spans="1:4">
      <c r="A802" s="100">
        <f>ROW(Strong_Weakness[[#This Row],[INDEX]])-ROW(Strong_Weakness[[#Headers],[INDEX]])</f>
        <v>801</v>
      </c>
      <c r="B802" s="98" t="str">
        <f>INDEX(Data_Assessment[],MATCH(Strong_Weakness[[#This Row],[INDEX]],Data_Assessment[INDEX],0),MATCH(Strong_Weakness[[#Headers],[NAME]],Data_Assessment[#Headers],0))</f>
        <v>Jajan Djuhjana, Ir.</v>
      </c>
      <c r="C802" s="98"/>
      <c r="D802" s="98"/>
    </row>
    <row r="803" spans="1:4">
      <c r="A803" s="100">
        <f>ROW(Strong_Weakness[[#This Row],[INDEX]])-ROW(Strong_Weakness[[#Headers],[INDEX]])</f>
        <v>802</v>
      </c>
      <c r="B803" s="98" t="str">
        <f>INDEX(Data_Assessment[],MATCH(Strong_Weakness[[#This Row],[INDEX]],Data_Assessment[INDEX],0),MATCH(Strong_Weakness[[#Headers],[NAME]],Data_Assessment[#Headers],0))</f>
        <v>Probo Rahardianto S.ST</v>
      </c>
      <c r="C803" s="98"/>
      <c r="D803" s="98"/>
    </row>
    <row r="804" spans="1:4">
      <c r="A804" s="100">
        <f>ROW(Strong_Weakness[[#This Row],[INDEX]])-ROW(Strong_Weakness[[#Headers],[INDEX]])</f>
        <v>803</v>
      </c>
      <c r="B804" s="98" t="str">
        <f>INDEX(Data_Assessment[],MATCH(Strong_Weakness[[#This Row],[INDEX]],Data_Assessment[INDEX],0),MATCH(Strong_Weakness[[#Headers],[NAME]],Data_Assessment[#Headers],0))</f>
        <v>Hadian</v>
      </c>
      <c r="C804" s="98"/>
      <c r="D804" s="98"/>
    </row>
    <row r="805" spans="1:4">
      <c r="A805" s="100">
        <f>ROW(Strong_Weakness[[#This Row],[INDEX]])-ROW(Strong_Weakness[[#Headers],[INDEX]])</f>
        <v>804</v>
      </c>
      <c r="B805" s="98" t="str">
        <f>INDEX(Data_Assessment[],MATCH(Strong_Weakness[[#This Row],[INDEX]],Data_Assessment[INDEX],0),MATCH(Strong_Weakness[[#Headers],[NAME]],Data_Assessment[#Headers],0))</f>
        <v>Wahyu Aulia Savendra</v>
      </c>
      <c r="C805" s="98"/>
      <c r="D805" s="98"/>
    </row>
    <row r="806" spans="1:4">
      <c r="A806" s="100">
        <f>ROW(Strong_Weakness[[#This Row],[INDEX]])-ROW(Strong_Weakness[[#Headers],[INDEX]])</f>
        <v>805</v>
      </c>
      <c r="B806" s="98" t="str">
        <f>INDEX(Data_Assessment[],MATCH(Strong_Weakness[[#This Row],[INDEX]],Data_Assessment[INDEX],0),MATCH(Strong_Weakness[[#Headers],[NAME]],Data_Assessment[#Headers],0))</f>
        <v>Dwi Surya Asih</v>
      </c>
      <c r="C806" s="98"/>
      <c r="D806" s="98"/>
    </row>
    <row r="807" spans="1:4">
      <c r="A807" s="100">
        <f>ROW(Strong_Weakness[[#This Row],[INDEX]])-ROW(Strong_Weakness[[#Headers],[INDEX]])</f>
        <v>806</v>
      </c>
      <c r="B807" s="98" t="str">
        <f>INDEX(Data_Assessment[],MATCH(Strong_Weakness[[#This Row],[INDEX]],Data_Assessment[INDEX],0),MATCH(Strong_Weakness[[#Headers],[NAME]],Data_Assessment[#Headers],0))</f>
        <v>Efni Eliza, Ir.</v>
      </c>
      <c r="C807" s="98"/>
      <c r="D807" s="98"/>
    </row>
    <row r="808" spans="1:4">
      <c r="A808" s="100">
        <f>ROW(Strong_Weakness[[#This Row],[INDEX]])-ROW(Strong_Weakness[[#Headers],[INDEX]])</f>
        <v>807</v>
      </c>
      <c r="B808" s="98" t="str">
        <f>INDEX(Data_Assessment[],MATCH(Strong_Weakness[[#This Row],[INDEX]],Data_Assessment[INDEX],0),MATCH(Strong_Weakness[[#Headers],[NAME]],Data_Assessment[#Headers],0))</f>
        <v>Ahmad Faisal, SP</v>
      </c>
      <c r="C808" s="98"/>
      <c r="D808" s="98"/>
    </row>
    <row r="809" spans="1:4">
      <c r="A809" s="100">
        <f>ROW(Strong_Weakness[[#This Row],[INDEX]])-ROW(Strong_Weakness[[#Headers],[INDEX]])</f>
        <v>808</v>
      </c>
      <c r="B809" s="98" t="str">
        <f>INDEX(Data_Assessment[],MATCH(Strong_Weakness[[#This Row],[INDEX]],Data_Assessment[INDEX],0),MATCH(Strong_Weakness[[#Headers],[NAME]],Data_Assessment[#Headers],0))</f>
        <v>Muhammad Husaini, Ir.</v>
      </c>
      <c r="C809" s="98"/>
      <c r="D809" s="98"/>
    </row>
    <row r="810" spans="1:4">
      <c r="A810" s="100">
        <f>ROW(Strong_Weakness[[#This Row],[INDEX]])-ROW(Strong_Weakness[[#Headers],[INDEX]])</f>
        <v>809</v>
      </c>
      <c r="B810" s="98" t="str">
        <f>INDEX(Data_Assessment[],MATCH(Strong_Weakness[[#This Row],[INDEX]],Data_Assessment[INDEX],0),MATCH(Strong_Weakness[[#Headers],[NAME]],Data_Assessment[#Headers],0))</f>
        <v>Banda Ardiansyah Nasution</v>
      </c>
      <c r="C810" s="98"/>
      <c r="D810" s="98"/>
    </row>
    <row r="811" spans="1:4">
      <c r="A811" s="100">
        <f>ROW(Strong_Weakness[[#This Row],[INDEX]])-ROW(Strong_Weakness[[#Headers],[INDEX]])</f>
        <v>810</v>
      </c>
      <c r="B811" s="98" t="str">
        <f>INDEX(Data_Assessment[],MATCH(Strong_Weakness[[#This Row],[INDEX]],Data_Assessment[INDEX],0),MATCH(Strong_Weakness[[#Headers],[NAME]],Data_Assessment[#Headers],0))</f>
        <v>Abu Hanifah Pohan, SP</v>
      </c>
      <c r="C811" s="98"/>
      <c r="D811" s="98"/>
    </row>
    <row r="812" spans="1:4">
      <c r="A812" s="100">
        <f>ROW(Strong_Weakness[[#This Row],[INDEX]])-ROW(Strong_Weakness[[#Headers],[INDEX]])</f>
        <v>811</v>
      </c>
      <c r="B812" s="98" t="str">
        <f>INDEX(Data_Assessment[],MATCH(Strong_Weakness[[#This Row],[INDEX]],Data_Assessment[INDEX],0),MATCH(Strong_Weakness[[#Headers],[NAME]],Data_Assessment[#Headers],0))</f>
        <v>Bayu Irawan</v>
      </c>
      <c r="C812" s="98"/>
      <c r="D812" s="98"/>
    </row>
    <row r="813" spans="1:4">
      <c r="A813" s="100">
        <f>ROW(Strong_Weakness[[#This Row],[INDEX]])-ROW(Strong_Weakness[[#Headers],[INDEX]])</f>
        <v>812</v>
      </c>
      <c r="B813" s="98" t="str">
        <f>INDEX(Data_Assessment[],MATCH(Strong_Weakness[[#This Row],[INDEX]],Data_Assessment[INDEX],0),MATCH(Strong_Weakness[[#Headers],[NAME]],Data_Assessment[#Headers],0))</f>
        <v>Muhammad Annas Suanda</v>
      </c>
      <c r="C813" s="98"/>
      <c r="D813" s="98"/>
    </row>
    <row r="814" spans="1:4">
      <c r="A814" s="100">
        <f>ROW(Strong_Weakness[[#This Row],[INDEX]])-ROW(Strong_Weakness[[#Headers],[INDEX]])</f>
        <v>813</v>
      </c>
      <c r="B814" s="98" t="str">
        <f>INDEX(Data_Assessment[],MATCH(Strong_Weakness[[#This Row],[INDEX]],Data_Assessment[INDEX],0),MATCH(Strong_Weakness[[#Headers],[NAME]],Data_Assessment[#Headers],0))</f>
        <v>Zulhafani MS</v>
      </c>
      <c r="C814" s="98"/>
      <c r="D814" s="98"/>
    </row>
    <row r="815" spans="1:4">
      <c r="A815" s="100">
        <f>ROW(Strong_Weakness[[#This Row],[INDEX]])-ROW(Strong_Weakness[[#Headers],[INDEX]])</f>
        <v>814</v>
      </c>
      <c r="B815" s="98" t="str">
        <f>INDEX(Data_Assessment[],MATCH(Strong_Weakness[[#This Row],[INDEX]],Data_Assessment[INDEX],0),MATCH(Strong_Weakness[[#Headers],[NAME]],Data_Assessment[#Headers],0))</f>
        <v>Ikayana Putra, SE</v>
      </c>
      <c r="C815" s="98"/>
      <c r="D815" s="98"/>
    </row>
    <row r="816" spans="1:4">
      <c r="A816" s="100">
        <f>ROW(Strong_Weakness[[#This Row],[INDEX]])-ROW(Strong_Weakness[[#Headers],[INDEX]])</f>
        <v>815</v>
      </c>
      <c r="B816" s="98" t="str">
        <f>INDEX(Data_Assessment[],MATCH(Strong_Weakness[[#This Row],[INDEX]],Data_Assessment[INDEX],0),MATCH(Strong_Weakness[[#Headers],[NAME]],Data_Assessment[#Headers],0))</f>
        <v>Indra, Ir.</v>
      </c>
      <c r="C816" s="98"/>
      <c r="D816" s="98"/>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sheetPr>
  <dimension ref="A1:AM25"/>
  <sheetViews>
    <sheetView showGridLines="0" zoomScale="90" zoomScaleNormal="90" zoomScaleSheetLayoutView="100" workbookViewId="0">
      <pane xSplit="2" ySplit="1" topLeftCell="C2" activePane="bottomRight" state="frozen"/>
      <selection pane="topRight" activeCell="C1" sqref="C1"/>
      <selection pane="bottomLeft" activeCell="A3" sqref="A3"/>
      <selection pane="bottomRight" activeCell="P8" sqref="P8"/>
    </sheetView>
  </sheetViews>
  <sheetFormatPr defaultRowHeight="15" outlineLevelCol="1"/>
  <cols>
    <col min="1" max="1" width="21.28515625" style="203" bestFit="1" customWidth="1"/>
    <col min="2" max="2" width="21.85546875" style="203" bestFit="1" customWidth="1"/>
    <col min="3" max="3" width="15.7109375" style="203" customWidth="1"/>
    <col min="4" max="15" width="15.7109375" style="203" hidden="1" customWidth="1" outlineLevel="1"/>
    <col min="16" max="16" width="15.7109375" style="213" customWidth="1" collapsed="1"/>
    <col min="17" max="25" width="15.7109375" style="213" customWidth="1" outlineLevel="1"/>
    <col min="26" max="26" width="25.42578125" style="213" bestFit="1" customWidth="1" outlineLevel="1"/>
    <col min="27" max="27" width="20.7109375" style="213" bestFit="1" customWidth="1" outlineLevel="1"/>
    <col min="28" max="30" width="15.7109375" style="213" customWidth="1" outlineLevel="1"/>
    <col min="31" max="31" width="16.140625" style="203" bestFit="1" customWidth="1"/>
    <col min="32" max="16384" width="9.140625" style="203"/>
  </cols>
  <sheetData>
    <row r="1" spans="1:39" ht="60">
      <c r="A1" s="199" t="s">
        <v>1620</v>
      </c>
      <c r="B1" s="199" t="s">
        <v>1621</v>
      </c>
      <c r="C1" s="200" t="s">
        <v>1605</v>
      </c>
      <c r="D1" s="200" t="s">
        <v>1606</v>
      </c>
      <c r="E1" s="200" t="s">
        <v>1607</v>
      </c>
      <c r="F1" s="200" t="s">
        <v>1608</v>
      </c>
      <c r="G1" s="200" t="s">
        <v>1609</v>
      </c>
      <c r="H1" s="200" t="s">
        <v>1610</v>
      </c>
      <c r="I1" s="200" t="s">
        <v>1611</v>
      </c>
      <c r="J1" s="200" t="s">
        <v>1612</v>
      </c>
      <c r="K1" s="200" t="s">
        <v>1613</v>
      </c>
      <c r="L1" s="200" t="s">
        <v>1614</v>
      </c>
      <c r="M1" s="200" t="s">
        <v>1615</v>
      </c>
      <c r="N1" s="200" t="s">
        <v>1616</v>
      </c>
      <c r="O1" s="200" t="s">
        <v>1617</v>
      </c>
      <c r="P1" s="201" t="s">
        <v>1670</v>
      </c>
      <c r="Q1" s="201" t="s">
        <v>1671</v>
      </c>
      <c r="R1" s="201" t="s">
        <v>1672</v>
      </c>
      <c r="S1" s="201" t="s">
        <v>1673</v>
      </c>
      <c r="T1" s="201" t="s">
        <v>1674</v>
      </c>
      <c r="U1" s="201" t="s">
        <v>1675</v>
      </c>
      <c r="V1" s="201" t="s">
        <v>1676</v>
      </c>
      <c r="W1" s="201" t="s">
        <v>1665</v>
      </c>
      <c r="X1" s="201" t="s">
        <v>1677</v>
      </c>
      <c r="Y1" s="201" t="s">
        <v>1678</v>
      </c>
      <c r="Z1" s="201" t="s">
        <v>1679</v>
      </c>
      <c r="AA1" s="201" t="s">
        <v>1680</v>
      </c>
      <c r="AB1" s="201" t="s">
        <v>1681</v>
      </c>
      <c r="AC1" s="201" t="s">
        <v>1682</v>
      </c>
      <c r="AD1" s="201" t="s">
        <v>1683</v>
      </c>
      <c r="AE1" s="202" t="s">
        <v>1684</v>
      </c>
    </row>
    <row r="2" spans="1:39">
      <c r="A2" s="204">
        <v>1</v>
      </c>
      <c r="B2" s="205" t="s">
        <v>49</v>
      </c>
      <c r="C2" s="206">
        <v>5</v>
      </c>
      <c r="D2" s="206">
        <v>5</v>
      </c>
      <c r="E2" s="206">
        <v>5</v>
      </c>
      <c r="F2" s="206">
        <v>5</v>
      </c>
      <c r="G2" s="206">
        <v>5</v>
      </c>
      <c r="H2" s="206">
        <v>5</v>
      </c>
      <c r="I2" s="206">
        <v>5</v>
      </c>
      <c r="J2" s="206">
        <v>6</v>
      </c>
      <c r="K2" s="206">
        <v>7</v>
      </c>
      <c r="L2" s="206">
        <v>6</v>
      </c>
      <c r="M2" s="206">
        <v>6</v>
      </c>
      <c r="N2" s="206">
        <v>7</v>
      </c>
      <c r="O2" s="206">
        <v>6</v>
      </c>
      <c r="P2" s="207"/>
      <c r="Q2" s="207">
        <v>3</v>
      </c>
      <c r="R2" s="207">
        <v>3</v>
      </c>
      <c r="S2" s="207"/>
      <c r="T2" s="207">
        <v>3</v>
      </c>
      <c r="U2" s="207">
        <v>2</v>
      </c>
      <c r="V2" s="207"/>
      <c r="W2" s="207"/>
      <c r="X2" s="207"/>
      <c r="Y2" s="207"/>
      <c r="Z2" s="207"/>
      <c r="AA2" s="207"/>
      <c r="AB2" s="207"/>
      <c r="AC2" s="207"/>
      <c r="AD2" s="207"/>
      <c r="AE2" s="207"/>
      <c r="AK2" s="203" t="str" cm="1">
        <f t="array" ref="AK2">IFERROR(_xlfn.AGGREGATE(15,3,($P2:$AD2&lt;&gt;"")/($P2:$AD2&lt;&gt;"")*COLUMN($P2:$AD2)-COLUMN($O3),COLUMNS(#REF!)),"")</f>
        <v/>
      </c>
    </row>
    <row r="3" spans="1:39">
      <c r="A3" s="204">
        <v>2</v>
      </c>
      <c r="B3" s="205" t="s">
        <v>50</v>
      </c>
      <c r="C3" s="206">
        <v>6</v>
      </c>
      <c r="D3" s="206">
        <v>5</v>
      </c>
      <c r="E3" s="206">
        <v>6</v>
      </c>
      <c r="F3" s="206">
        <v>5</v>
      </c>
      <c r="G3" s="206">
        <v>6</v>
      </c>
      <c r="H3" s="206">
        <v>5</v>
      </c>
      <c r="I3" s="206">
        <v>6</v>
      </c>
      <c r="J3" s="206">
        <v>6</v>
      </c>
      <c r="K3" s="206">
        <v>7</v>
      </c>
      <c r="L3" s="206">
        <v>6</v>
      </c>
      <c r="M3" s="206">
        <v>7</v>
      </c>
      <c r="N3" s="206">
        <v>7</v>
      </c>
      <c r="O3" s="206">
        <v>6</v>
      </c>
      <c r="P3" s="207">
        <v>3</v>
      </c>
      <c r="Q3" s="207"/>
      <c r="R3" s="207"/>
      <c r="S3" s="207"/>
      <c r="T3" s="207"/>
      <c r="U3" s="207"/>
      <c r="V3" s="207"/>
      <c r="W3" s="207">
        <v>3</v>
      </c>
      <c r="X3" s="207">
        <v>2</v>
      </c>
      <c r="Y3" s="207">
        <v>2</v>
      </c>
      <c r="Z3" s="207"/>
      <c r="AA3" s="207">
        <v>3</v>
      </c>
      <c r="AB3" s="207"/>
      <c r="AC3" s="207"/>
      <c r="AD3" s="207"/>
      <c r="AE3" s="207"/>
      <c r="AK3" s="203" t="str" cm="1">
        <f t="array" ref="AK3">IFERROR(_xlfn.AGGREGATE(15,3,($P3:$AD3&lt;&gt;"")/($P3:$AD3&lt;&gt;"")*COLUMN($P3:$AD3)-COLUMN($O4),COLUMNS($A$1:F1)),"")</f>
        <v/>
      </c>
    </row>
    <row r="4" spans="1:39">
      <c r="A4" s="204">
        <v>3</v>
      </c>
      <c r="B4" s="205" t="s">
        <v>51</v>
      </c>
      <c r="C4" s="208">
        <v>3</v>
      </c>
      <c r="D4" s="208">
        <v>3</v>
      </c>
      <c r="E4" s="208">
        <v>3</v>
      </c>
      <c r="F4" s="208">
        <v>3</v>
      </c>
      <c r="G4" s="208">
        <v>3</v>
      </c>
      <c r="H4" s="208">
        <v>3</v>
      </c>
      <c r="I4" s="208">
        <v>3</v>
      </c>
      <c r="J4" s="208">
        <v>3</v>
      </c>
      <c r="K4" s="208">
        <v>3</v>
      </c>
      <c r="L4" s="208">
        <v>3</v>
      </c>
      <c r="M4" s="208">
        <v>3</v>
      </c>
      <c r="N4" s="208">
        <v>3</v>
      </c>
      <c r="O4" s="208">
        <v>3</v>
      </c>
      <c r="P4" s="207"/>
      <c r="Q4" s="207"/>
      <c r="R4" s="207"/>
      <c r="S4" s="207"/>
      <c r="T4" s="207"/>
      <c r="U4" s="207"/>
      <c r="V4" s="207"/>
      <c r="W4" s="207">
        <v>3</v>
      </c>
      <c r="X4" s="207">
        <v>2</v>
      </c>
      <c r="Y4" s="207"/>
      <c r="Z4" s="207">
        <v>3</v>
      </c>
      <c r="AA4" s="207"/>
      <c r="AB4" s="207">
        <v>3</v>
      </c>
      <c r="AC4" s="207"/>
      <c r="AD4" s="207"/>
      <c r="AE4" s="207"/>
      <c r="AM4" s="203" t="str" cm="1">
        <f t="array" aca="1" ref="AM4" ca="1">IFERROR(INDEX(Standar[#Headers],1,TRANSPOSE(_xlfn.AGGREGATE(15,3,(OFFSET($P$2,MATCH(#REF!,Standar[NAMA JABATAN],0),0,1,15)&lt;&gt;"")/(OFFSET($P$2,MATCH(#REF!,Standar[NAMA JABATAN],0),0,1,15)&lt;&gt;"")*COLUMN(OFFSET($P$2,MATCH(#REF!,Standar[NAMA JABATAN],0),0,1,15)),COLUMN(#REF!)))),"")</f>
        <v/>
      </c>
    </row>
    <row r="5" spans="1:39">
      <c r="A5" s="204">
        <v>4</v>
      </c>
      <c r="B5" s="205" t="s">
        <v>60</v>
      </c>
      <c r="C5" s="208">
        <v>4</v>
      </c>
      <c r="D5" s="208">
        <v>4</v>
      </c>
      <c r="E5" s="208">
        <v>4</v>
      </c>
      <c r="F5" s="208">
        <v>4</v>
      </c>
      <c r="G5" s="208">
        <v>4</v>
      </c>
      <c r="H5" s="208">
        <v>4</v>
      </c>
      <c r="I5" s="208">
        <v>4</v>
      </c>
      <c r="J5" s="208">
        <v>4</v>
      </c>
      <c r="K5" s="208">
        <v>4</v>
      </c>
      <c r="L5" s="208">
        <v>4</v>
      </c>
      <c r="M5" s="208">
        <v>4</v>
      </c>
      <c r="N5" s="208">
        <v>4</v>
      </c>
      <c r="O5" s="208">
        <v>4</v>
      </c>
      <c r="P5" s="207"/>
      <c r="Q5" s="207"/>
      <c r="R5" s="207"/>
      <c r="S5" s="207"/>
      <c r="T5" s="207"/>
      <c r="U5" s="207"/>
      <c r="V5" s="207">
        <v>3</v>
      </c>
      <c r="W5" s="207"/>
      <c r="X5" s="207"/>
      <c r="Y5" s="207"/>
      <c r="Z5" s="207"/>
      <c r="AA5" s="207"/>
      <c r="AB5" s="207"/>
      <c r="AC5" s="207">
        <v>4</v>
      </c>
      <c r="AD5" s="207">
        <v>3</v>
      </c>
      <c r="AE5" s="207"/>
    </row>
    <row r="6" spans="1:39">
      <c r="A6" s="204">
        <v>5</v>
      </c>
      <c r="B6" s="205" t="s">
        <v>62</v>
      </c>
      <c r="C6" s="208">
        <v>1</v>
      </c>
      <c r="D6" s="208">
        <v>1</v>
      </c>
      <c r="E6" s="208">
        <v>2</v>
      </c>
      <c r="F6" s="208">
        <v>3</v>
      </c>
      <c r="G6" s="208">
        <v>4</v>
      </c>
      <c r="H6" s="208">
        <v>2</v>
      </c>
      <c r="I6" s="208">
        <v>1</v>
      </c>
      <c r="J6" s="208">
        <v>2</v>
      </c>
      <c r="K6" s="208">
        <v>1</v>
      </c>
      <c r="L6" s="208">
        <v>2</v>
      </c>
      <c r="M6" s="208">
        <v>3</v>
      </c>
      <c r="N6" s="208">
        <v>2</v>
      </c>
      <c r="O6" s="208">
        <v>1</v>
      </c>
      <c r="P6" s="207"/>
      <c r="Q6" s="207"/>
      <c r="R6" s="207"/>
      <c r="S6" s="207"/>
      <c r="T6" s="207"/>
      <c r="U6" s="207"/>
      <c r="V6" s="207"/>
      <c r="W6" s="207"/>
      <c r="X6" s="207"/>
      <c r="Y6" s="207"/>
      <c r="Z6" s="207"/>
      <c r="AA6" s="207"/>
      <c r="AB6" s="207"/>
      <c r="AC6" s="207">
        <v>4</v>
      </c>
      <c r="AD6" s="207">
        <v>4</v>
      </c>
      <c r="AE6" s="207"/>
    </row>
    <row r="7" spans="1:39">
      <c r="A7" s="204">
        <v>6</v>
      </c>
      <c r="B7" s="205" t="s">
        <v>64</v>
      </c>
      <c r="C7" s="208">
        <v>3</v>
      </c>
      <c r="D7" s="208">
        <v>3</v>
      </c>
      <c r="E7" s="208">
        <v>3</v>
      </c>
      <c r="F7" s="208">
        <v>3</v>
      </c>
      <c r="G7" s="208">
        <v>3</v>
      </c>
      <c r="H7" s="208">
        <v>3</v>
      </c>
      <c r="I7" s="208">
        <v>3</v>
      </c>
      <c r="J7" s="208">
        <v>3</v>
      </c>
      <c r="K7" s="208">
        <v>3</v>
      </c>
      <c r="L7" s="208">
        <v>3</v>
      </c>
      <c r="M7" s="208">
        <v>3</v>
      </c>
      <c r="N7" s="208">
        <v>3</v>
      </c>
      <c r="O7" s="208">
        <v>3</v>
      </c>
      <c r="P7" s="207"/>
      <c r="Q7" s="207">
        <v>3</v>
      </c>
      <c r="R7" s="207">
        <v>3</v>
      </c>
      <c r="S7" s="207"/>
      <c r="T7" s="207">
        <v>3</v>
      </c>
      <c r="U7" s="207">
        <v>2</v>
      </c>
      <c r="V7" s="207"/>
      <c r="W7" s="207"/>
      <c r="X7" s="207"/>
      <c r="Y7" s="207"/>
      <c r="Z7" s="207"/>
      <c r="AA7" s="207"/>
      <c r="AB7" s="207"/>
      <c r="AC7" s="207"/>
      <c r="AD7" s="207"/>
      <c r="AE7" s="207"/>
    </row>
    <row r="8" spans="1:39">
      <c r="A8" s="204">
        <v>7</v>
      </c>
      <c r="B8" s="205" t="s">
        <v>68</v>
      </c>
      <c r="C8" s="208">
        <v>2</v>
      </c>
      <c r="D8" s="208">
        <v>2</v>
      </c>
      <c r="E8" s="208">
        <v>2</v>
      </c>
      <c r="F8" s="208">
        <v>2</v>
      </c>
      <c r="G8" s="208">
        <v>2</v>
      </c>
      <c r="H8" s="208">
        <v>2</v>
      </c>
      <c r="I8" s="208">
        <v>2</v>
      </c>
      <c r="J8" s="208">
        <v>2</v>
      </c>
      <c r="K8" s="208">
        <v>2</v>
      </c>
      <c r="L8" s="208">
        <v>2</v>
      </c>
      <c r="M8" s="208">
        <v>2</v>
      </c>
      <c r="N8" s="208">
        <v>2</v>
      </c>
      <c r="O8" s="208">
        <v>2</v>
      </c>
      <c r="P8" s="207">
        <v>3</v>
      </c>
      <c r="Q8" s="207"/>
      <c r="R8" s="207"/>
      <c r="S8" s="207"/>
      <c r="T8" s="207"/>
      <c r="U8" s="207"/>
      <c r="V8" s="207"/>
      <c r="W8" s="207">
        <v>3</v>
      </c>
      <c r="X8" s="207">
        <v>2</v>
      </c>
      <c r="Y8" s="207">
        <v>2</v>
      </c>
      <c r="Z8" s="207"/>
      <c r="AA8" s="207">
        <v>3</v>
      </c>
      <c r="AB8" s="207"/>
      <c r="AC8" s="207"/>
      <c r="AD8" s="207"/>
      <c r="AE8" s="207"/>
    </row>
    <row r="9" spans="1:39">
      <c r="A9" s="204">
        <v>8</v>
      </c>
      <c r="B9" s="205" t="s">
        <v>65</v>
      </c>
      <c r="C9" s="208">
        <v>3</v>
      </c>
      <c r="D9" s="208">
        <v>3</v>
      </c>
      <c r="E9" s="208">
        <v>3</v>
      </c>
      <c r="F9" s="208">
        <v>3</v>
      </c>
      <c r="G9" s="208">
        <v>3</v>
      </c>
      <c r="H9" s="208">
        <v>3</v>
      </c>
      <c r="I9" s="208">
        <v>3</v>
      </c>
      <c r="J9" s="208">
        <v>3</v>
      </c>
      <c r="K9" s="208">
        <v>3</v>
      </c>
      <c r="L9" s="208">
        <v>3</v>
      </c>
      <c r="M9" s="208">
        <v>3</v>
      </c>
      <c r="N9" s="208">
        <v>3</v>
      </c>
      <c r="O9" s="208">
        <v>3</v>
      </c>
      <c r="P9" s="207"/>
      <c r="Q9" s="207"/>
      <c r="R9" s="207"/>
      <c r="S9" s="207"/>
      <c r="T9" s="207"/>
      <c r="U9" s="207"/>
      <c r="V9" s="207"/>
      <c r="W9" s="207">
        <v>3</v>
      </c>
      <c r="X9" s="207">
        <v>2</v>
      </c>
      <c r="Y9" s="207"/>
      <c r="Z9" s="207">
        <v>3</v>
      </c>
      <c r="AA9" s="207"/>
      <c r="AB9" s="207">
        <v>3</v>
      </c>
      <c r="AC9" s="207"/>
      <c r="AD9" s="207"/>
      <c r="AE9" s="207"/>
    </row>
    <row r="10" spans="1:39">
      <c r="A10" s="204">
        <v>9</v>
      </c>
      <c r="B10" s="205" t="s">
        <v>66</v>
      </c>
      <c r="C10" s="208">
        <v>4</v>
      </c>
      <c r="D10" s="208">
        <v>4</v>
      </c>
      <c r="E10" s="208">
        <v>4</v>
      </c>
      <c r="F10" s="208">
        <v>4</v>
      </c>
      <c r="G10" s="208">
        <v>4</v>
      </c>
      <c r="H10" s="208">
        <v>4</v>
      </c>
      <c r="I10" s="208">
        <v>4</v>
      </c>
      <c r="J10" s="208">
        <v>4</v>
      </c>
      <c r="K10" s="208">
        <v>4</v>
      </c>
      <c r="L10" s="208">
        <v>4</v>
      </c>
      <c r="M10" s="208">
        <v>4</v>
      </c>
      <c r="N10" s="208">
        <v>4</v>
      </c>
      <c r="O10" s="208">
        <v>4</v>
      </c>
      <c r="P10" s="207"/>
      <c r="Q10" s="207"/>
      <c r="R10" s="207"/>
      <c r="S10" s="207"/>
      <c r="T10" s="207"/>
      <c r="U10" s="207"/>
      <c r="V10" s="207">
        <v>3</v>
      </c>
      <c r="W10" s="207"/>
      <c r="X10" s="207"/>
      <c r="Y10" s="207"/>
      <c r="Z10" s="207"/>
      <c r="AA10" s="207"/>
      <c r="AB10" s="207"/>
      <c r="AC10" s="207">
        <v>4</v>
      </c>
      <c r="AD10" s="207">
        <v>3</v>
      </c>
      <c r="AE10" s="207"/>
    </row>
    <row r="11" spans="1:39">
      <c r="A11" s="204">
        <v>10</v>
      </c>
      <c r="B11" s="209" t="s">
        <v>67</v>
      </c>
      <c r="C11" s="208">
        <v>3</v>
      </c>
      <c r="D11" s="208">
        <v>3</v>
      </c>
      <c r="E11" s="208">
        <v>3</v>
      </c>
      <c r="F11" s="208">
        <v>3</v>
      </c>
      <c r="G11" s="208">
        <v>3</v>
      </c>
      <c r="H11" s="208">
        <v>3</v>
      </c>
      <c r="I11" s="208">
        <v>3</v>
      </c>
      <c r="J11" s="208">
        <v>3</v>
      </c>
      <c r="K11" s="208">
        <v>3</v>
      </c>
      <c r="L11" s="208">
        <v>3</v>
      </c>
      <c r="M11" s="208">
        <v>3</v>
      </c>
      <c r="N11" s="208">
        <v>3</v>
      </c>
      <c r="O11" s="208">
        <v>3</v>
      </c>
      <c r="P11" s="207"/>
      <c r="Q11" s="207"/>
      <c r="R11" s="207"/>
      <c r="S11" s="207"/>
      <c r="T11" s="207"/>
      <c r="U11" s="207"/>
      <c r="V11" s="207"/>
      <c r="W11" s="207"/>
      <c r="X11" s="207"/>
      <c r="Y11" s="207"/>
      <c r="Z11" s="207"/>
      <c r="AA11" s="207"/>
      <c r="AB11" s="207"/>
      <c r="AC11" s="207">
        <v>4</v>
      </c>
      <c r="AD11" s="207">
        <v>4</v>
      </c>
      <c r="AE11" s="207"/>
    </row>
    <row r="12" spans="1:39">
      <c r="A12" s="204">
        <v>11</v>
      </c>
      <c r="B12" s="205" t="s">
        <v>52</v>
      </c>
      <c r="C12" s="208">
        <v>5</v>
      </c>
      <c r="D12" s="206">
        <v>5</v>
      </c>
      <c r="E12" s="206">
        <v>5</v>
      </c>
      <c r="F12" s="206">
        <v>5</v>
      </c>
      <c r="G12" s="206">
        <v>5</v>
      </c>
      <c r="H12" s="206">
        <v>5</v>
      </c>
      <c r="I12" s="206">
        <v>5</v>
      </c>
      <c r="J12" s="206">
        <v>6</v>
      </c>
      <c r="K12" s="206">
        <v>7</v>
      </c>
      <c r="L12" s="206">
        <v>6</v>
      </c>
      <c r="M12" s="206">
        <v>6</v>
      </c>
      <c r="N12" s="206">
        <v>7</v>
      </c>
      <c r="O12" s="206">
        <v>6</v>
      </c>
      <c r="P12" s="207"/>
      <c r="Q12" s="207">
        <v>2</v>
      </c>
      <c r="R12" s="207">
        <v>2</v>
      </c>
      <c r="S12" s="207"/>
      <c r="T12" s="207">
        <v>3</v>
      </c>
      <c r="U12" s="207">
        <v>2</v>
      </c>
      <c r="V12" s="207"/>
      <c r="W12" s="207"/>
      <c r="X12" s="207"/>
      <c r="Y12" s="207"/>
      <c r="Z12" s="207"/>
      <c r="AA12" s="207"/>
      <c r="AB12" s="207"/>
      <c r="AC12" s="207"/>
      <c r="AD12" s="207"/>
      <c r="AE12" s="207"/>
    </row>
    <row r="13" spans="1:39">
      <c r="A13" s="204">
        <v>12</v>
      </c>
      <c r="B13" s="205" t="s">
        <v>53</v>
      </c>
      <c r="C13" s="208">
        <v>6</v>
      </c>
      <c r="D13" s="206">
        <v>5</v>
      </c>
      <c r="E13" s="206">
        <v>6</v>
      </c>
      <c r="F13" s="206">
        <v>5</v>
      </c>
      <c r="G13" s="206">
        <v>6</v>
      </c>
      <c r="H13" s="206">
        <v>5</v>
      </c>
      <c r="I13" s="206">
        <v>6</v>
      </c>
      <c r="J13" s="206">
        <v>6</v>
      </c>
      <c r="K13" s="206">
        <v>7</v>
      </c>
      <c r="L13" s="206">
        <v>6</v>
      </c>
      <c r="M13" s="206">
        <v>7</v>
      </c>
      <c r="N13" s="206">
        <v>7</v>
      </c>
      <c r="O13" s="206">
        <v>6</v>
      </c>
      <c r="P13" s="207">
        <v>3</v>
      </c>
      <c r="Q13" s="207"/>
      <c r="R13" s="207"/>
      <c r="S13" s="207"/>
      <c r="T13" s="207"/>
      <c r="U13" s="207"/>
      <c r="V13" s="207"/>
      <c r="W13" s="207">
        <v>2</v>
      </c>
      <c r="X13" s="207">
        <v>3</v>
      </c>
      <c r="Y13" s="207">
        <v>3</v>
      </c>
      <c r="Z13" s="207"/>
      <c r="AA13" s="207">
        <v>3</v>
      </c>
      <c r="AB13" s="207"/>
      <c r="AC13" s="207"/>
      <c r="AD13" s="207"/>
      <c r="AE13" s="207"/>
    </row>
    <row r="14" spans="1:39">
      <c r="A14" s="204">
        <v>13</v>
      </c>
      <c r="B14" s="205" t="s">
        <v>54</v>
      </c>
      <c r="C14" s="208">
        <v>2</v>
      </c>
      <c r="D14" s="208">
        <v>2</v>
      </c>
      <c r="E14" s="208">
        <v>2</v>
      </c>
      <c r="F14" s="208">
        <v>2</v>
      </c>
      <c r="G14" s="208">
        <v>2</v>
      </c>
      <c r="H14" s="208">
        <v>2</v>
      </c>
      <c r="I14" s="208">
        <v>2</v>
      </c>
      <c r="J14" s="208">
        <v>2</v>
      </c>
      <c r="K14" s="208">
        <v>2</v>
      </c>
      <c r="L14" s="208">
        <v>2</v>
      </c>
      <c r="M14" s="208">
        <v>2</v>
      </c>
      <c r="N14" s="208">
        <v>2</v>
      </c>
      <c r="O14" s="208">
        <v>2</v>
      </c>
      <c r="P14" s="207"/>
      <c r="Q14" s="207"/>
      <c r="R14" s="207"/>
      <c r="S14" s="207"/>
      <c r="T14" s="207"/>
      <c r="U14" s="207"/>
      <c r="V14" s="207"/>
      <c r="W14" s="207">
        <v>2</v>
      </c>
      <c r="X14" s="207">
        <v>3</v>
      </c>
      <c r="Y14" s="207"/>
      <c r="Z14" s="207">
        <v>3</v>
      </c>
      <c r="AA14" s="207"/>
      <c r="AB14" s="207">
        <v>3</v>
      </c>
      <c r="AC14" s="207"/>
      <c r="AD14" s="207"/>
      <c r="AE14" s="207"/>
    </row>
    <row r="15" spans="1:39">
      <c r="A15" s="204">
        <v>14</v>
      </c>
      <c r="B15" s="205" t="s">
        <v>61</v>
      </c>
      <c r="C15" s="208">
        <f>C5</f>
        <v>4</v>
      </c>
      <c r="D15" s="208">
        <f t="shared" ref="D15:O15" si="0">D5</f>
        <v>4</v>
      </c>
      <c r="E15" s="208">
        <f t="shared" si="0"/>
        <v>4</v>
      </c>
      <c r="F15" s="208">
        <f t="shared" si="0"/>
        <v>4</v>
      </c>
      <c r="G15" s="208">
        <f t="shared" si="0"/>
        <v>4</v>
      </c>
      <c r="H15" s="208">
        <f t="shared" si="0"/>
        <v>4</v>
      </c>
      <c r="I15" s="208">
        <f t="shared" si="0"/>
        <v>4</v>
      </c>
      <c r="J15" s="208">
        <f t="shared" si="0"/>
        <v>4</v>
      </c>
      <c r="K15" s="208">
        <f t="shared" si="0"/>
        <v>4</v>
      </c>
      <c r="L15" s="208">
        <f t="shared" si="0"/>
        <v>4</v>
      </c>
      <c r="M15" s="208">
        <f t="shared" si="0"/>
        <v>4</v>
      </c>
      <c r="N15" s="208">
        <f t="shared" si="0"/>
        <v>4</v>
      </c>
      <c r="O15" s="208">
        <f t="shared" si="0"/>
        <v>4</v>
      </c>
      <c r="P15" s="207"/>
      <c r="Q15" s="207"/>
      <c r="R15" s="207"/>
      <c r="S15" s="207"/>
      <c r="T15" s="207"/>
      <c r="U15" s="207"/>
      <c r="V15" s="207">
        <v>4</v>
      </c>
      <c r="W15" s="207"/>
      <c r="X15" s="207"/>
      <c r="Y15" s="207"/>
      <c r="Z15" s="207"/>
      <c r="AA15" s="207"/>
      <c r="AB15" s="207"/>
      <c r="AC15" s="207">
        <v>4</v>
      </c>
      <c r="AD15" s="207">
        <v>4</v>
      </c>
      <c r="AE15" s="207"/>
    </row>
    <row r="16" spans="1:39">
      <c r="A16" s="204">
        <v>15</v>
      </c>
      <c r="B16" s="205" t="s">
        <v>63</v>
      </c>
      <c r="C16" s="208">
        <f>C6</f>
        <v>1</v>
      </c>
      <c r="D16" s="208">
        <f t="shared" ref="D16:O16" si="1">D6</f>
        <v>1</v>
      </c>
      <c r="E16" s="208">
        <f t="shared" si="1"/>
        <v>2</v>
      </c>
      <c r="F16" s="208">
        <f t="shared" si="1"/>
        <v>3</v>
      </c>
      <c r="G16" s="208">
        <f t="shared" si="1"/>
        <v>4</v>
      </c>
      <c r="H16" s="208">
        <f t="shared" si="1"/>
        <v>2</v>
      </c>
      <c r="I16" s="208">
        <f t="shared" si="1"/>
        <v>1</v>
      </c>
      <c r="J16" s="208">
        <f t="shared" si="1"/>
        <v>2</v>
      </c>
      <c r="K16" s="208">
        <f t="shared" si="1"/>
        <v>1</v>
      </c>
      <c r="L16" s="208">
        <f t="shared" si="1"/>
        <v>2</v>
      </c>
      <c r="M16" s="208">
        <f t="shared" si="1"/>
        <v>3</v>
      </c>
      <c r="N16" s="208">
        <f t="shared" si="1"/>
        <v>2</v>
      </c>
      <c r="O16" s="208">
        <f t="shared" si="1"/>
        <v>1</v>
      </c>
      <c r="P16" s="207"/>
      <c r="Q16" s="207"/>
      <c r="R16" s="207"/>
      <c r="S16" s="207"/>
      <c r="T16" s="207"/>
      <c r="U16" s="207"/>
      <c r="V16" s="207"/>
      <c r="W16" s="207"/>
      <c r="X16" s="207"/>
      <c r="Y16" s="207"/>
      <c r="Z16" s="207"/>
      <c r="AA16" s="207"/>
      <c r="AB16" s="207"/>
      <c r="AC16" s="207">
        <v>4</v>
      </c>
      <c r="AD16" s="207">
        <v>3</v>
      </c>
      <c r="AE16" s="207"/>
    </row>
    <row r="17" spans="1:31">
      <c r="A17" s="204">
        <v>16</v>
      </c>
      <c r="B17" s="205" t="s">
        <v>69</v>
      </c>
      <c r="C17" s="208">
        <f>C7</f>
        <v>3</v>
      </c>
      <c r="D17" s="208">
        <f t="shared" ref="D17:O17" si="2">D7</f>
        <v>3</v>
      </c>
      <c r="E17" s="208">
        <f t="shared" si="2"/>
        <v>3</v>
      </c>
      <c r="F17" s="208">
        <f t="shared" si="2"/>
        <v>3</v>
      </c>
      <c r="G17" s="208">
        <f t="shared" si="2"/>
        <v>3</v>
      </c>
      <c r="H17" s="208">
        <f t="shared" si="2"/>
        <v>3</v>
      </c>
      <c r="I17" s="208">
        <f t="shared" si="2"/>
        <v>3</v>
      </c>
      <c r="J17" s="208">
        <f t="shared" si="2"/>
        <v>3</v>
      </c>
      <c r="K17" s="208">
        <f t="shared" si="2"/>
        <v>3</v>
      </c>
      <c r="L17" s="208">
        <f t="shared" si="2"/>
        <v>3</v>
      </c>
      <c r="M17" s="208">
        <f t="shared" si="2"/>
        <v>3</v>
      </c>
      <c r="N17" s="208">
        <f t="shared" si="2"/>
        <v>3</v>
      </c>
      <c r="O17" s="208">
        <f t="shared" si="2"/>
        <v>3</v>
      </c>
      <c r="P17" s="207"/>
      <c r="Q17" s="207">
        <v>2</v>
      </c>
      <c r="R17" s="207">
        <v>2</v>
      </c>
      <c r="S17" s="207"/>
      <c r="T17" s="207">
        <v>3</v>
      </c>
      <c r="U17" s="207">
        <v>2</v>
      </c>
      <c r="V17" s="207"/>
      <c r="W17" s="207"/>
      <c r="X17" s="207"/>
      <c r="Y17" s="207"/>
      <c r="Z17" s="207"/>
      <c r="AA17" s="207"/>
      <c r="AB17" s="207"/>
      <c r="AC17" s="207"/>
      <c r="AD17" s="207"/>
      <c r="AE17" s="207"/>
    </row>
    <row r="18" spans="1:31">
      <c r="A18" s="204">
        <v>17</v>
      </c>
      <c r="B18" s="205" t="s">
        <v>70</v>
      </c>
      <c r="C18" s="208">
        <f>C8</f>
        <v>2</v>
      </c>
      <c r="D18" s="208">
        <f t="shared" ref="D18:O22" si="3">D8</f>
        <v>2</v>
      </c>
      <c r="E18" s="208">
        <f t="shared" si="3"/>
        <v>2</v>
      </c>
      <c r="F18" s="208">
        <f t="shared" si="3"/>
        <v>2</v>
      </c>
      <c r="G18" s="208">
        <f t="shared" si="3"/>
        <v>2</v>
      </c>
      <c r="H18" s="208">
        <f t="shared" si="3"/>
        <v>2</v>
      </c>
      <c r="I18" s="208">
        <f t="shared" si="3"/>
        <v>2</v>
      </c>
      <c r="J18" s="208">
        <f t="shared" si="3"/>
        <v>2</v>
      </c>
      <c r="K18" s="208">
        <f t="shared" si="3"/>
        <v>2</v>
      </c>
      <c r="L18" s="208">
        <f t="shared" si="3"/>
        <v>2</v>
      </c>
      <c r="M18" s="208">
        <f t="shared" si="3"/>
        <v>2</v>
      </c>
      <c r="N18" s="208">
        <f t="shared" si="3"/>
        <v>2</v>
      </c>
      <c r="O18" s="208">
        <f t="shared" si="3"/>
        <v>2</v>
      </c>
      <c r="P18" s="207">
        <v>3</v>
      </c>
      <c r="Q18" s="207"/>
      <c r="R18" s="207"/>
      <c r="S18" s="207"/>
      <c r="T18" s="207"/>
      <c r="U18" s="207"/>
      <c r="V18" s="207"/>
      <c r="W18" s="207">
        <v>2</v>
      </c>
      <c r="X18" s="207">
        <v>3</v>
      </c>
      <c r="Y18" s="207">
        <v>3</v>
      </c>
      <c r="Z18" s="207"/>
      <c r="AA18" s="207">
        <v>3</v>
      </c>
      <c r="AB18" s="207"/>
      <c r="AC18" s="207"/>
      <c r="AD18" s="207"/>
      <c r="AE18" s="207"/>
    </row>
    <row r="19" spans="1:31">
      <c r="A19" s="204">
        <v>18</v>
      </c>
      <c r="B19" s="205" t="s">
        <v>71</v>
      </c>
      <c r="C19" s="208">
        <f t="shared" ref="C19:O21" si="4">C9</f>
        <v>3</v>
      </c>
      <c r="D19" s="208">
        <f t="shared" si="4"/>
        <v>3</v>
      </c>
      <c r="E19" s="208">
        <f t="shared" si="4"/>
        <v>3</v>
      </c>
      <c r="F19" s="208">
        <f t="shared" si="4"/>
        <v>3</v>
      </c>
      <c r="G19" s="208">
        <f t="shared" si="4"/>
        <v>3</v>
      </c>
      <c r="H19" s="208">
        <f t="shared" si="4"/>
        <v>3</v>
      </c>
      <c r="I19" s="208">
        <f t="shared" si="4"/>
        <v>3</v>
      </c>
      <c r="J19" s="208">
        <f t="shared" si="4"/>
        <v>3</v>
      </c>
      <c r="K19" s="208">
        <f t="shared" si="4"/>
        <v>3</v>
      </c>
      <c r="L19" s="208">
        <f t="shared" si="4"/>
        <v>3</v>
      </c>
      <c r="M19" s="208">
        <f t="shared" si="4"/>
        <v>3</v>
      </c>
      <c r="N19" s="208">
        <f t="shared" si="4"/>
        <v>3</v>
      </c>
      <c r="O19" s="208">
        <f t="shared" si="4"/>
        <v>3</v>
      </c>
      <c r="P19" s="207"/>
      <c r="Q19" s="207"/>
      <c r="R19" s="207"/>
      <c r="S19" s="207"/>
      <c r="T19" s="207"/>
      <c r="U19" s="207"/>
      <c r="V19" s="207"/>
      <c r="W19" s="207">
        <v>2</v>
      </c>
      <c r="X19" s="207">
        <v>3</v>
      </c>
      <c r="Y19" s="207"/>
      <c r="Z19" s="207">
        <v>3</v>
      </c>
      <c r="AA19" s="207"/>
      <c r="AB19" s="207">
        <v>3</v>
      </c>
      <c r="AC19" s="207"/>
      <c r="AD19" s="207"/>
      <c r="AE19" s="207"/>
    </row>
    <row r="20" spans="1:31">
      <c r="A20" s="204">
        <v>19</v>
      </c>
      <c r="B20" s="205" t="s">
        <v>72</v>
      </c>
      <c r="C20" s="208">
        <f t="shared" si="4"/>
        <v>4</v>
      </c>
      <c r="D20" s="208">
        <f t="shared" si="3"/>
        <v>4</v>
      </c>
      <c r="E20" s="208">
        <f t="shared" si="3"/>
        <v>4</v>
      </c>
      <c r="F20" s="208">
        <f t="shared" si="3"/>
        <v>4</v>
      </c>
      <c r="G20" s="208">
        <f t="shared" si="3"/>
        <v>4</v>
      </c>
      <c r="H20" s="208">
        <f t="shared" si="3"/>
        <v>4</v>
      </c>
      <c r="I20" s="208">
        <f t="shared" si="3"/>
        <v>4</v>
      </c>
      <c r="J20" s="208">
        <f t="shared" si="3"/>
        <v>4</v>
      </c>
      <c r="K20" s="208">
        <f t="shared" si="3"/>
        <v>4</v>
      </c>
      <c r="L20" s="208">
        <f t="shared" si="3"/>
        <v>4</v>
      </c>
      <c r="M20" s="208">
        <f t="shared" si="3"/>
        <v>4</v>
      </c>
      <c r="N20" s="208">
        <f t="shared" si="3"/>
        <v>4</v>
      </c>
      <c r="O20" s="208">
        <f t="shared" si="3"/>
        <v>4</v>
      </c>
      <c r="P20" s="207"/>
      <c r="Q20" s="207"/>
      <c r="R20" s="207"/>
      <c r="S20" s="207"/>
      <c r="T20" s="207"/>
      <c r="U20" s="207"/>
      <c r="V20" s="207">
        <v>4</v>
      </c>
      <c r="W20" s="207"/>
      <c r="X20" s="207"/>
      <c r="Y20" s="207"/>
      <c r="Z20" s="207"/>
      <c r="AA20" s="207"/>
      <c r="AB20" s="207"/>
      <c r="AC20" s="207">
        <v>4</v>
      </c>
      <c r="AD20" s="207">
        <v>4</v>
      </c>
      <c r="AE20" s="207"/>
    </row>
    <row r="21" spans="1:31">
      <c r="A21" s="204">
        <v>20</v>
      </c>
      <c r="B21" s="209" t="s">
        <v>73</v>
      </c>
      <c r="C21" s="208">
        <f t="shared" si="4"/>
        <v>3</v>
      </c>
      <c r="D21" s="208">
        <f t="shared" si="3"/>
        <v>3</v>
      </c>
      <c r="E21" s="208">
        <f t="shared" si="3"/>
        <v>3</v>
      </c>
      <c r="F21" s="208">
        <f t="shared" si="3"/>
        <v>3</v>
      </c>
      <c r="G21" s="208">
        <f t="shared" si="3"/>
        <v>3</v>
      </c>
      <c r="H21" s="208">
        <f t="shared" si="3"/>
        <v>3</v>
      </c>
      <c r="I21" s="208">
        <f t="shared" si="3"/>
        <v>3</v>
      </c>
      <c r="J21" s="208">
        <f t="shared" si="3"/>
        <v>3</v>
      </c>
      <c r="K21" s="208">
        <f t="shared" si="3"/>
        <v>3</v>
      </c>
      <c r="L21" s="208">
        <f t="shared" si="3"/>
        <v>3</v>
      </c>
      <c r="M21" s="208">
        <f t="shared" si="3"/>
        <v>3</v>
      </c>
      <c r="N21" s="208">
        <f t="shared" si="3"/>
        <v>3</v>
      </c>
      <c r="O21" s="208">
        <f t="shared" si="3"/>
        <v>3</v>
      </c>
      <c r="P21" s="207"/>
      <c r="Q21" s="207"/>
      <c r="R21" s="207"/>
      <c r="S21" s="207"/>
      <c r="T21" s="207"/>
      <c r="U21" s="207"/>
      <c r="V21" s="207"/>
      <c r="W21" s="207"/>
      <c r="X21" s="207"/>
      <c r="Y21" s="207"/>
      <c r="Z21" s="207"/>
      <c r="AA21" s="207"/>
      <c r="AB21" s="207"/>
      <c r="AC21" s="207">
        <v>4</v>
      </c>
      <c r="AD21" s="207">
        <v>3</v>
      </c>
      <c r="AE21" s="207"/>
    </row>
    <row r="22" spans="1:31">
      <c r="A22" s="204"/>
      <c r="B22" s="210" t="s">
        <v>1630</v>
      </c>
      <c r="C22" s="208">
        <v>3</v>
      </c>
      <c r="D22" s="208">
        <v>5</v>
      </c>
      <c r="E22" s="208">
        <v>3</v>
      </c>
      <c r="F22" s="208">
        <v>3</v>
      </c>
      <c r="G22" s="208">
        <v>3</v>
      </c>
      <c r="H22" s="208">
        <v>4</v>
      </c>
      <c r="I22" s="208">
        <f t="shared" si="3"/>
        <v>5</v>
      </c>
      <c r="J22" s="208">
        <f t="shared" si="3"/>
        <v>6</v>
      </c>
      <c r="K22" s="208">
        <f t="shared" si="3"/>
        <v>7</v>
      </c>
      <c r="L22" s="208">
        <f t="shared" si="3"/>
        <v>6</v>
      </c>
      <c r="M22" s="208">
        <f t="shared" si="3"/>
        <v>6</v>
      </c>
      <c r="N22" s="208">
        <f t="shared" si="3"/>
        <v>7</v>
      </c>
      <c r="O22" s="208">
        <f t="shared" si="3"/>
        <v>6</v>
      </c>
      <c r="P22" s="211"/>
      <c r="Q22" s="211"/>
      <c r="R22" s="211"/>
      <c r="S22" s="211"/>
      <c r="T22" s="211"/>
      <c r="U22" s="211"/>
      <c r="V22" s="211"/>
      <c r="W22" s="211"/>
      <c r="X22" s="211"/>
      <c r="Y22" s="211"/>
      <c r="Z22" s="211"/>
      <c r="AA22" s="211"/>
      <c r="AB22" s="211"/>
      <c r="AC22" s="211">
        <v>4</v>
      </c>
      <c r="AD22" s="211">
        <v>4</v>
      </c>
      <c r="AE22" s="208"/>
    </row>
    <row r="23" spans="1:31">
      <c r="A23" s="204"/>
      <c r="B23" s="210" t="s">
        <v>1631</v>
      </c>
      <c r="C23" s="208">
        <v>5</v>
      </c>
      <c r="D23" s="206">
        <v>5</v>
      </c>
      <c r="E23" s="206">
        <v>5</v>
      </c>
      <c r="F23" s="206">
        <v>5</v>
      </c>
      <c r="G23" s="206">
        <v>5</v>
      </c>
      <c r="H23" s="206">
        <v>5</v>
      </c>
      <c r="I23" s="206">
        <v>5</v>
      </c>
      <c r="J23" s="206">
        <v>6</v>
      </c>
      <c r="K23" s="206">
        <v>7</v>
      </c>
      <c r="L23" s="206">
        <v>6</v>
      </c>
      <c r="M23" s="206">
        <v>6</v>
      </c>
      <c r="N23" s="206">
        <v>7</v>
      </c>
      <c r="O23" s="206">
        <v>6</v>
      </c>
      <c r="P23" s="211"/>
      <c r="Q23" s="211">
        <v>3</v>
      </c>
      <c r="R23" s="211">
        <v>2</v>
      </c>
      <c r="S23" s="211"/>
      <c r="T23" s="211">
        <v>2</v>
      </c>
      <c r="U23" s="211">
        <v>3</v>
      </c>
      <c r="V23" s="211"/>
      <c r="W23" s="211"/>
      <c r="X23" s="211"/>
      <c r="Y23" s="211"/>
      <c r="Z23" s="211"/>
      <c r="AA23" s="211"/>
      <c r="AB23" s="211"/>
      <c r="AC23" s="211"/>
      <c r="AD23" s="211"/>
      <c r="AE23" s="208"/>
    </row>
    <row r="24" spans="1:31">
      <c r="A24" s="204"/>
      <c r="B24" s="210" t="s">
        <v>1632</v>
      </c>
      <c r="C24" s="208"/>
      <c r="D24" s="208"/>
      <c r="E24" s="208"/>
      <c r="F24" s="208"/>
      <c r="G24" s="208"/>
      <c r="H24" s="208"/>
      <c r="I24" s="208"/>
      <c r="J24" s="208"/>
      <c r="K24" s="208"/>
      <c r="L24" s="208"/>
      <c r="M24" s="208"/>
      <c r="N24" s="208"/>
      <c r="O24" s="208"/>
      <c r="P24" s="211"/>
      <c r="Q24" s="211"/>
      <c r="R24" s="211"/>
      <c r="S24" s="211"/>
      <c r="T24" s="211"/>
      <c r="U24" s="211"/>
      <c r="V24" s="211"/>
      <c r="W24" s="212"/>
      <c r="X24" s="212"/>
      <c r="Y24" s="211"/>
      <c r="Z24" s="211"/>
      <c r="AA24" s="211"/>
      <c r="AB24" s="211"/>
      <c r="AC24" s="212"/>
      <c r="AD24" s="212"/>
      <c r="AE24" s="208"/>
    </row>
    <row r="25" spans="1:31">
      <c r="A25" s="204"/>
      <c r="B25" s="210" t="s">
        <v>1633</v>
      </c>
      <c r="C25" s="208"/>
      <c r="D25" s="208"/>
      <c r="E25" s="208"/>
      <c r="F25" s="208"/>
      <c r="G25" s="208"/>
      <c r="H25" s="208"/>
      <c r="I25" s="208"/>
      <c r="J25" s="208"/>
      <c r="K25" s="208"/>
      <c r="L25" s="208"/>
      <c r="M25" s="208"/>
      <c r="N25" s="208"/>
      <c r="O25" s="208"/>
      <c r="P25" s="211"/>
      <c r="Q25" s="211"/>
      <c r="R25" s="211"/>
      <c r="S25" s="211"/>
      <c r="T25" s="211"/>
      <c r="U25" s="211"/>
      <c r="V25" s="211"/>
      <c r="W25" s="212"/>
      <c r="X25" s="212"/>
      <c r="Y25" s="211"/>
      <c r="Z25" s="211"/>
      <c r="AA25" s="211"/>
      <c r="AB25" s="211"/>
      <c r="AC25" s="212"/>
      <c r="AD25" s="212"/>
      <c r="AE25" s="208"/>
    </row>
  </sheetData>
  <sheetProtection selectLockedCells="1" selectUnlockedCells="1"/>
  <phoneticPr fontId="47" type="noConversion"/>
  <pageMargins left="0.7" right="0.7" top="0.75" bottom="0.75" header="0.51180555555555551" footer="0.51180555555555551"/>
  <pageSetup scale="92" firstPageNumber="0" orientation="portrait" horizontalDpi="300" verticalDpi="300"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A5D3-B782-43F3-AD9C-B91C63AA5B9C}">
  <sheetPr>
    <tabColor theme="0"/>
  </sheetPr>
  <dimension ref="A1:W17"/>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cols>
    <col min="1" max="1" width="16.85546875" style="191" customWidth="1"/>
    <col min="2" max="2" width="18.7109375" style="191" customWidth="1"/>
    <col min="3" max="3" width="54.28515625" style="192" customWidth="1"/>
    <col min="4" max="4" width="7.85546875" style="193" bestFit="1" customWidth="1"/>
    <col min="5" max="5" width="8.140625" style="193" bestFit="1" customWidth="1"/>
    <col min="6" max="6" width="8.42578125" style="193" bestFit="1" customWidth="1"/>
    <col min="7" max="7" width="9.7109375" style="193" bestFit="1" customWidth="1"/>
    <col min="8" max="8" width="9.28515625" style="193" bestFit="1" customWidth="1"/>
    <col min="9" max="9" width="7.7109375" style="193" bestFit="1" customWidth="1"/>
    <col min="10" max="10" width="8.42578125" style="193" bestFit="1" customWidth="1"/>
    <col min="11" max="11" width="17.28515625" style="193" bestFit="1" customWidth="1"/>
    <col min="12" max="12" width="9.7109375" style="193" bestFit="1" customWidth="1"/>
    <col min="13" max="13" width="9.28515625" style="193" bestFit="1" customWidth="1"/>
    <col min="14" max="14" width="8.28515625" style="193" bestFit="1" customWidth="1"/>
    <col min="15" max="15" width="8.5703125" style="193" bestFit="1" customWidth="1"/>
    <col min="16" max="16" width="8.85546875" style="193" bestFit="1" customWidth="1"/>
    <col min="17" max="17" width="10.140625" style="193" bestFit="1" customWidth="1"/>
    <col min="18" max="18" width="9.7109375" style="193" bestFit="1" customWidth="1"/>
    <col min="19" max="19" width="8.140625" style="193" bestFit="1" customWidth="1"/>
    <col min="20" max="20" width="8.85546875" style="193" bestFit="1" customWidth="1"/>
    <col min="21" max="21" width="17.7109375" style="193" bestFit="1" customWidth="1"/>
    <col min="22" max="22" width="10.140625" style="193" bestFit="1" customWidth="1"/>
    <col min="23" max="23" width="9.7109375" style="193" bestFit="1" customWidth="1"/>
    <col min="24" max="16384" width="9.140625" style="193"/>
  </cols>
  <sheetData>
    <row r="1" spans="1:23" s="192" customFormat="1" ht="30">
      <c r="A1" s="194" t="s">
        <v>1666</v>
      </c>
      <c r="B1" s="194" t="s">
        <v>1664</v>
      </c>
      <c r="C1" s="192" t="s">
        <v>1686</v>
      </c>
      <c r="D1" s="196" t="s">
        <v>49</v>
      </c>
      <c r="E1" s="196" t="s">
        <v>50</v>
      </c>
      <c r="F1" s="196" t="s">
        <v>51</v>
      </c>
      <c r="G1" s="196" t="s">
        <v>60</v>
      </c>
      <c r="H1" s="196" t="s">
        <v>62</v>
      </c>
      <c r="I1" s="196" t="s">
        <v>64</v>
      </c>
      <c r="J1" s="196" t="s">
        <v>68</v>
      </c>
      <c r="K1" s="196" t="s">
        <v>65</v>
      </c>
      <c r="L1" s="197" t="s">
        <v>66</v>
      </c>
      <c r="M1" s="197" t="s">
        <v>67</v>
      </c>
      <c r="N1" s="196" t="s">
        <v>52</v>
      </c>
      <c r="O1" s="196" t="s">
        <v>53</v>
      </c>
      <c r="P1" s="196" t="s">
        <v>54</v>
      </c>
      <c r="Q1" s="196" t="s">
        <v>61</v>
      </c>
      <c r="R1" s="196" t="s">
        <v>63</v>
      </c>
      <c r="S1" s="196" t="s">
        <v>69</v>
      </c>
      <c r="T1" s="196" t="s">
        <v>70</v>
      </c>
      <c r="U1" s="196" t="s">
        <v>71</v>
      </c>
      <c r="V1" s="197" t="s">
        <v>72</v>
      </c>
      <c r="W1" s="197" t="s">
        <v>73</v>
      </c>
    </row>
    <row r="2" spans="1:23" ht="60">
      <c r="A2" s="191" t="s">
        <v>1667</v>
      </c>
      <c r="B2" s="191" t="s">
        <v>1670</v>
      </c>
      <c r="C2" s="194" t="s">
        <v>1687</v>
      </c>
      <c r="D2" s="195"/>
      <c r="E2" s="195">
        <v>3</v>
      </c>
      <c r="F2" s="195"/>
      <c r="G2" s="195"/>
      <c r="H2" s="195"/>
      <c r="I2" s="195"/>
      <c r="J2" s="195">
        <v>3</v>
      </c>
      <c r="K2" s="195"/>
      <c r="L2" s="195"/>
      <c r="M2" s="195"/>
      <c r="N2" s="195"/>
      <c r="O2" s="195">
        <v>3</v>
      </c>
      <c r="P2" s="195"/>
      <c r="Q2" s="195"/>
      <c r="R2" s="195"/>
      <c r="S2" s="195"/>
      <c r="T2" s="195">
        <v>3</v>
      </c>
      <c r="U2" s="195"/>
      <c r="V2" s="195"/>
      <c r="W2" s="195"/>
    </row>
    <row r="3" spans="1:23" ht="60">
      <c r="B3" s="191" t="s">
        <v>1671</v>
      </c>
      <c r="C3" s="194" t="s">
        <v>1688</v>
      </c>
      <c r="D3" s="195">
        <v>3</v>
      </c>
      <c r="E3" s="195"/>
      <c r="F3" s="195"/>
      <c r="G3" s="195"/>
      <c r="H3" s="195"/>
      <c r="I3" s="195">
        <v>3</v>
      </c>
      <c r="J3" s="195"/>
      <c r="K3" s="195"/>
      <c r="L3" s="195"/>
      <c r="M3" s="195"/>
      <c r="N3" s="195">
        <v>2</v>
      </c>
      <c r="O3" s="195"/>
      <c r="P3" s="195"/>
      <c r="Q3" s="195"/>
      <c r="R3" s="195"/>
      <c r="S3" s="195">
        <v>2</v>
      </c>
      <c r="T3" s="195"/>
      <c r="U3" s="195"/>
      <c r="V3" s="195"/>
      <c r="W3" s="195"/>
    </row>
    <row r="4" spans="1:23" ht="45">
      <c r="B4" s="191" t="s">
        <v>1672</v>
      </c>
      <c r="C4" s="194" t="s">
        <v>1689</v>
      </c>
      <c r="D4" s="195">
        <v>3</v>
      </c>
      <c r="E4" s="195"/>
      <c r="F4" s="195"/>
      <c r="G4" s="195"/>
      <c r="H4" s="195"/>
      <c r="I4" s="195">
        <v>3</v>
      </c>
      <c r="J4" s="195"/>
      <c r="K4" s="195"/>
      <c r="L4" s="195"/>
      <c r="M4" s="195"/>
      <c r="N4" s="195">
        <v>2</v>
      </c>
      <c r="O4" s="195"/>
      <c r="P4" s="195"/>
      <c r="Q4" s="195"/>
      <c r="R4" s="195"/>
      <c r="S4" s="195">
        <v>2</v>
      </c>
      <c r="T4" s="195"/>
      <c r="U4" s="195"/>
      <c r="V4" s="195"/>
      <c r="W4" s="195"/>
    </row>
    <row r="5" spans="1:23" ht="30">
      <c r="B5" s="191" t="s">
        <v>1673</v>
      </c>
      <c r="C5" s="194" t="s">
        <v>1690</v>
      </c>
      <c r="D5" s="195"/>
      <c r="E5" s="195"/>
      <c r="F5" s="195"/>
      <c r="G5" s="195"/>
      <c r="H5" s="195"/>
      <c r="I5" s="195"/>
      <c r="J5" s="195"/>
      <c r="K5" s="195"/>
      <c r="L5" s="195"/>
      <c r="M5" s="195"/>
      <c r="N5" s="195"/>
      <c r="O5" s="195"/>
      <c r="P5" s="195"/>
      <c r="Q5" s="195"/>
      <c r="R5" s="195"/>
      <c r="S5" s="195"/>
      <c r="T5" s="195"/>
      <c r="U5" s="195"/>
      <c r="V5" s="195"/>
      <c r="W5" s="195"/>
    </row>
    <row r="6" spans="1:23" ht="75">
      <c r="B6" s="191" t="s">
        <v>1674</v>
      </c>
      <c r="C6" s="194" t="s">
        <v>1691</v>
      </c>
      <c r="D6" s="195">
        <v>3</v>
      </c>
      <c r="E6" s="195"/>
      <c r="F6" s="195"/>
      <c r="G6" s="195"/>
      <c r="H6" s="195"/>
      <c r="I6" s="195">
        <v>3</v>
      </c>
      <c r="J6" s="195"/>
      <c r="K6" s="195"/>
      <c r="L6" s="195"/>
      <c r="M6" s="195"/>
      <c r="N6" s="195">
        <v>3</v>
      </c>
      <c r="O6" s="195"/>
      <c r="P6" s="195"/>
      <c r="Q6" s="195"/>
      <c r="R6" s="195"/>
      <c r="S6" s="195">
        <v>3</v>
      </c>
      <c r="T6" s="195"/>
      <c r="U6" s="195"/>
      <c r="V6" s="195"/>
      <c r="W6" s="195"/>
    </row>
    <row r="7" spans="1:23" ht="30">
      <c r="B7" s="191" t="s">
        <v>1675</v>
      </c>
      <c r="C7" s="194" t="s">
        <v>1692</v>
      </c>
      <c r="D7" s="195">
        <v>2</v>
      </c>
      <c r="E7" s="195"/>
      <c r="F7" s="195"/>
      <c r="G7" s="195"/>
      <c r="H7" s="195"/>
      <c r="I7" s="195">
        <v>2</v>
      </c>
      <c r="J7" s="195"/>
      <c r="K7" s="195"/>
      <c r="L7" s="195"/>
      <c r="M7" s="195"/>
      <c r="N7" s="195">
        <v>2</v>
      </c>
      <c r="O7" s="195"/>
      <c r="P7" s="195"/>
      <c r="Q7" s="195"/>
      <c r="R7" s="195"/>
      <c r="S7" s="195">
        <v>2</v>
      </c>
      <c r="T7" s="195"/>
      <c r="U7" s="195"/>
      <c r="V7" s="195"/>
      <c r="W7" s="195"/>
    </row>
    <row r="8" spans="1:23" ht="60">
      <c r="A8" s="191" t="s">
        <v>1668</v>
      </c>
      <c r="B8" s="191" t="s">
        <v>1676</v>
      </c>
      <c r="C8" s="194" t="s">
        <v>1693</v>
      </c>
      <c r="D8" s="195"/>
      <c r="E8" s="195"/>
      <c r="F8" s="195"/>
      <c r="G8" s="195">
        <v>3</v>
      </c>
      <c r="H8" s="195"/>
      <c r="I8" s="195"/>
      <c r="J8" s="195"/>
      <c r="K8" s="195"/>
      <c r="L8" s="195">
        <v>3</v>
      </c>
      <c r="M8" s="195"/>
      <c r="N8" s="195"/>
      <c r="O8" s="195"/>
      <c r="P8" s="195"/>
      <c r="Q8" s="195">
        <v>4</v>
      </c>
      <c r="R8" s="195"/>
      <c r="S8" s="195"/>
      <c r="T8" s="195"/>
      <c r="U8" s="195"/>
      <c r="V8" s="195">
        <v>4</v>
      </c>
      <c r="W8" s="195"/>
    </row>
    <row r="9" spans="1:23" ht="45">
      <c r="B9" s="191" t="s">
        <v>1665</v>
      </c>
      <c r="C9" s="194" t="s">
        <v>1694</v>
      </c>
      <c r="D9" s="195"/>
      <c r="E9" s="195">
        <v>3</v>
      </c>
      <c r="F9" s="195">
        <v>3</v>
      </c>
      <c r="G9" s="195"/>
      <c r="H9" s="195"/>
      <c r="I9" s="195"/>
      <c r="J9" s="195">
        <v>3</v>
      </c>
      <c r="K9" s="195">
        <v>3</v>
      </c>
      <c r="L9" s="195"/>
      <c r="M9" s="195"/>
      <c r="N9" s="195"/>
      <c r="O9" s="195">
        <v>2</v>
      </c>
      <c r="P9" s="195">
        <v>2</v>
      </c>
      <c r="Q9" s="195"/>
      <c r="R9" s="195"/>
      <c r="S9" s="195"/>
      <c r="T9" s="195">
        <v>2</v>
      </c>
      <c r="U9" s="195">
        <v>2</v>
      </c>
      <c r="V9" s="195"/>
      <c r="W9" s="195"/>
    </row>
    <row r="10" spans="1:23" ht="45">
      <c r="B10" s="191" t="s">
        <v>1677</v>
      </c>
      <c r="C10" s="194" t="s">
        <v>1695</v>
      </c>
      <c r="D10" s="195"/>
      <c r="E10" s="195">
        <v>2</v>
      </c>
      <c r="F10" s="195">
        <v>2</v>
      </c>
      <c r="G10" s="195"/>
      <c r="H10" s="195"/>
      <c r="I10" s="195"/>
      <c r="J10" s="195">
        <v>2</v>
      </c>
      <c r="K10" s="195">
        <v>2</v>
      </c>
      <c r="L10" s="195"/>
      <c r="M10" s="195"/>
      <c r="N10" s="195"/>
      <c r="O10" s="195">
        <v>3</v>
      </c>
      <c r="P10" s="195">
        <v>3</v>
      </c>
      <c r="Q10" s="195"/>
      <c r="R10" s="195"/>
      <c r="S10" s="195"/>
      <c r="T10" s="195">
        <v>3</v>
      </c>
      <c r="U10" s="195">
        <v>3</v>
      </c>
      <c r="V10" s="195"/>
      <c r="W10" s="195"/>
    </row>
    <row r="11" spans="1:23" ht="75">
      <c r="A11" s="191" t="s">
        <v>1669</v>
      </c>
      <c r="B11" s="191" t="s">
        <v>1678</v>
      </c>
      <c r="C11" s="194" t="s">
        <v>1696</v>
      </c>
      <c r="D11" s="195"/>
      <c r="E11" s="195">
        <v>2</v>
      </c>
      <c r="F11" s="195"/>
      <c r="G11" s="195"/>
      <c r="H11" s="195"/>
      <c r="I11" s="195"/>
      <c r="J11" s="195">
        <v>2</v>
      </c>
      <c r="K11" s="195"/>
      <c r="L11" s="195"/>
      <c r="M11" s="195"/>
      <c r="N11" s="195"/>
      <c r="O11" s="195">
        <v>3</v>
      </c>
      <c r="P11" s="195"/>
      <c r="Q11" s="195"/>
      <c r="R11" s="195"/>
      <c r="S11" s="195"/>
      <c r="T11" s="195">
        <v>3</v>
      </c>
      <c r="U11" s="195"/>
      <c r="V11" s="195"/>
      <c r="W11" s="195"/>
    </row>
    <row r="12" spans="1:23" ht="75">
      <c r="B12" s="191" t="s">
        <v>1679</v>
      </c>
      <c r="C12" s="194" t="s">
        <v>1697</v>
      </c>
      <c r="D12" s="195"/>
      <c r="E12" s="195"/>
      <c r="F12" s="195">
        <v>3</v>
      </c>
      <c r="G12" s="195"/>
      <c r="H12" s="195"/>
      <c r="I12" s="195"/>
      <c r="J12" s="195"/>
      <c r="K12" s="195">
        <v>3</v>
      </c>
      <c r="L12" s="195"/>
      <c r="M12" s="195"/>
      <c r="N12" s="195"/>
      <c r="O12" s="195"/>
      <c r="P12" s="195">
        <v>3</v>
      </c>
      <c r="Q12" s="195"/>
      <c r="R12" s="195"/>
      <c r="S12" s="195"/>
      <c r="T12" s="195"/>
      <c r="U12" s="195">
        <v>3</v>
      </c>
      <c r="V12" s="195"/>
      <c r="W12" s="195"/>
    </row>
    <row r="13" spans="1:23" ht="60">
      <c r="B13" s="191" t="s">
        <v>1680</v>
      </c>
      <c r="C13" s="194" t="s">
        <v>1698</v>
      </c>
      <c r="D13" s="195"/>
      <c r="E13" s="195">
        <v>3</v>
      </c>
      <c r="F13" s="195"/>
      <c r="G13" s="195"/>
      <c r="H13" s="195"/>
      <c r="I13" s="195"/>
      <c r="J13" s="195">
        <v>3</v>
      </c>
      <c r="K13" s="195"/>
      <c r="L13" s="195"/>
      <c r="M13" s="195"/>
      <c r="N13" s="195"/>
      <c r="O13" s="195">
        <v>3</v>
      </c>
      <c r="P13" s="195"/>
      <c r="Q13" s="195"/>
      <c r="R13" s="195"/>
      <c r="S13" s="195"/>
      <c r="T13" s="195">
        <v>3</v>
      </c>
      <c r="U13" s="195"/>
      <c r="V13" s="195"/>
      <c r="W13" s="195"/>
    </row>
    <row r="14" spans="1:23" ht="60">
      <c r="B14" s="191" t="s">
        <v>1681</v>
      </c>
      <c r="C14" s="194" t="s">
        <v>1699</v>
      </c>
      <c r="D14" s="195"/>
      <c r="E14" s="195"/>
      <c r="F14" s="195">
        <v>3</v>
      </c>
      <c r="G14" s="195"/>
      <c r="H14" s="195"/>
      <c r="I14" s="195"/>
      <c r="J14" s="195"/>
      <c r="K14" s="195">
        <v>3</v>
      </c>
      <c r="L14" s="195"/>
      <c r="M14" s="195"/>
      <c r="N14" s="195"/>
      <c r="O14" s="195"/>
      <c r="P14" s="195">
        <v>3</v>
      </c>
      <c r="Q14" s="195"/>
      <c r="R14" s="195"/>
      <c r="S14" s="195"/>
      <c r="T14" s="195"/>
      <c r="U14" s="195">
        <v>3</v>
      </c>
      <c r="V14" s="195"/>
      <c r="W14" s="195"/>
    </row>
    <row r="15" spans="1:23" ht="75">
      <c r="A15" s="191" t="s">
        <v>1685</v>
      </c>
      <c r="B15" s="191" t="s">
        <v>1682</v>
      </c>
      <c r="C15" s="194" t="s">
        <v>1700</v>
      </c>
      <c r="D15" s="195"/>
      <c r="E15" s="195"/>
      <c r="F15" s="195"/>
      <c r="G15" s="195">
        <v>4</v>
      </c>
      <c r="H15" s="195">
        <v>4</v>
      </c>
      <c r="I15" s="195"/>
      <c r="J15" s="195"/>
      <c r="K15" s="195"/>
      <c r="L15" s="195">
        <v>4</v>
      </c>
      <c r="M15" s="195">
        <v>4</v>
      </c>
      <c r="N15" s="195"/>
      <c r="O15" s="195"/>
      <c r="P15" s="195"/>
      <c r="Q15" s="195">
        <v>4</v>
      </c>
      <c r="R15" s="195">
        <v>4</v>
      </c>
      <c r="S15" s="195"/>
      <c r="T15" s="195"/>
      <c r="U15" s="195"/>
      <c r="V15" s="195">
        <v>4</v>
      </c>
      <c r="W15" s="195">
        <v>4</v>
      </c>
    </row>
    <row r="16" spans="1:23" ht="45">
      <c r="B16" s="191" t="s">
        <v>1683</v>
      </c>
      <c r="C16" s="194" t="s">
        <v>1701</v>
      </c>
      <c r="D16" s="195"/>
      <c r="E16" s="195"/>
      <c r="F16" s="195"/>
      <c r="G16" s="195">
        <v>3</v>
      </c>
      <c r="H16" s="195">
        <v>4</v>
      </c>
      <c r="I16" s="195"/>
      <c r="J16" s="195"/>
      <c r="K16" s="195"/>
      <c r="L16" s="195">
        <v>3</v>
      </c>
      <c r="M16" s="195">
        <v>4</v>
      </c>
      <c r="N16" s="195"/>
      <c r="O16" s="195"/>
      <c r="P16" s="195"/>
      <c r="Q16" s="195">
        <v>4</v>
      </c>
      <c r="R16" s="195">
        <v>3</v>
      </c>
      <c r="S16" s="195"/>
      <c r="T16" s="195"/>
      <c r="U16" s="195"/>
      <c r="V16" s="195">
        <v>4</v>
      </c>
      <c r="W16" s="195">
        <v>3</v>
      </c>
    </row>
    <row r="17" spans="2:23" ht="30">
      <c r="B17" s="191" t="s">
        <v>1684</v>
      </c>
      <c r="D17" s="195"/>
      <c r="E17" s="195"/>
      <c r="F17" s="195"/>
      <c r="G17" s="195"/>
      <c r="H17" s="195"/>
      <c r="I17" s="195"/>
      <c r="J17" s="195"/>
      <c r="K17" s="195"/>
      <c r="L17" s="195"/>
      <c r="M17" s="195"/>
      <c r="N17" s="195"/>
      <c r="O17" s="195"/>
      <c r="P17" s="195"/>
      <c r="Q17" s="195"/>
      <c r="R17" s="195"/>
      <c r="S17" s="195"/>
      <c r="T17" s="195"/>
      <c r="U17" s="195"/>
      <c r="V17" s="195"/>
      <c r="W17" s="19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sheetPr>
  <dimension ref="A1:F8"/>
  <sheetViews>
    <sheetView showGridLines="0" workbookViewId="0">
      <selection activeCell="C4" sqref="C4"/>
    </sheetView>
  </sheetViews>
  <sheetFormatPr defaultColWidth="9.140625" defaultRowHeight="12.75"/>
  <cols>
    <col min="1" max="1" width="3.85546875" style="1" bestFit="1" customWidth="1"/>
    <col min="2" max="2" width="25.5703125" style="1" bestFit="1" customWidth="1"/>
    <col min="3" max="3" width="13.140625" style="1" bestFit="1" customWidth="1"/>
    <col min="4" max="5" width="33.28515625" style="1" bestFit="1" customWidth="1"/>
    <col min="6" max="6" width="34" style="1" bestFit="1" customWidth="1"/>
    <col min="7" max="7" width="9.140625" style="1"/>
    <col min="8" max="8" width="4.85546875" style="1" bestFit="1" customWidth="1"/>
    <col min="9" max="9" width="4.42578125" style="1" bestFit="1" customWidth="1"/>
    <col min="10" max="16384" width="9.140625" style="1"/>
  </cols>
  <sheetData>
    <row r="1" spans="1:6" ht="14.25">
      <c r="A1" s="260" t="s">
        <v>28</v>
      </c>
      <c r="B1" s="261" t="s">
        <v>1645</v>
      </c>
      <c r="C1" s="261"/>
      <c r="D1" s="261"/>
      <c r="E1" s="261"/>
      <c r="F1" s="261"/>
    </row>
    <row r="2" spans="1:6" ht="14.25">
      <c r="A2" s="260"/>
      <c r="B2" s="262"/>
      <c r="C2" s="56"/>
      <c r="D2" s="44" t="s">
        <v>1647</v>
      </c>
      <c r="E2" s="44" t="s">
        <v>1648</v>
      </c>
      <c r="F2" s="44" t="s">
        <v>1649</v>
      </c>
    </row>
    <row r="3" spans="1:6" ht="14.25">
      <c r="A3" s="260"/>
      <c r="B3" s="262"/>
      <c r="C3" s="56"/>
      <c r="D3" s="190" t="s">
        <v>1662</v>
      </c>
      <c r="E3" s="190" t="s">
        <v>1661</v>
      </c>
      <c r="F3" s="190" t="s">
        <v>1663</v>
      </c>
    </row>
    <row r="4" spans="1:6" ht="28.5">
      <c r="A4" s="260"/>
      <c r="B4" s="44" t="s">
        <v>29</v>
      </c>
      <c r="C4" s="44" t="s">
        <v>30</v>
      </c>
      <c r="D4" s="45" t="s">
        <v>1652</v>
      </c>
      <c r="E4" s="46" t="s">
        <v>1658</v>
      </c>
      <c r="F4" s="47" t="s">
        <v>1657</v>
      </c>
    </row>
    <row r="5" spans="1:6" ht="28.5">
      <c r="A5" s="260"/>
      <c r="B5" s="44" t="s">
        <v>31</v>
      </c>
      <c r="C5" s="44" t="s">
        <v>32</v>
      </c>
      <c r="D5" s="46" t="s">
        <v>1660</v>
      </c>
      <c r="E5" s="48" t="s">
        <v>1659</v>
      </c>
      <c r="F5" s="48" t="s">
        <v>1656</v>
      </c>
    </row>
    <row r="6" spans="1:6" ht="28.5">
      <c r="A6" s="260"/>
      <c r="B6" s="44" t="s">
        <v>33</v>
      </c>
      <c r="C6" s="44" t="s">
        <v>34</v>
      </c>
      <c r="D6" s="47" t="s">
        <v>1653</v>
      </c>
      <c r="E6" s="48" t="s">
        <v>1654</v>
      </c>
      <c r="F6" s="49" t="s">
        <v>1655</v>
      </c>
    </row>
    <row r="7" spans="1:6" ht="23.25">
      <c r="B7" s="50"/>
      <c r="C7" s="50"/>
      <c r="D7" s="51"/>
      <c r="E7" s="51"/>
      <c r="F7" s="51"/>
    </row>
    <row r="8" spans="1:6" ht="14.25">
      <c r="B8" s="52" t="s">
        <v>35</v>
      </c>
      <c r="C8" s="57"/>
      <c r="D8" s="53" t="s">
        <v>36</v>
      </c>
      <c r="E8" s="54" t="s">
        <v>1646</v>
      </c>
      <c r="F8" s="55" t="s">
        <v>37</v>
      </c>
    </row>
  </sheetData>
  <mergeCells count="3">
    <mergeCell ref="A1:A6"/>
    <mergeCell ref="B1:F1"/>
    <mergeCell ref="B2:B3"/>
  </mergeCells>
  <pageMargins left="0.7" right="0.7" top="0.75" bottom="0.75" header="0.3" footer="0.3"/>
  <pageSetup paperSize="9" orientation="portrait" horizontalDpi="4294967295" verticalDpi="4294967295"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E03B436B-E686-4FBA-B142-64677C2D600D}">
  <ds:schemaRefs/>
</ds:datastoreItem>
</file>

<file path=customXml/itemProps2.xml><?xml version="1.0" encoding="utf-8"?>
<ds:datastoreItem xmlns:ds="http://schemas.openxmlformats.org/officeDocument/2006/customXml" ds:itemID="{DDD509CB-5CE1-4FD2-A4F7-215CD264352C}">
  <ds:schemaRefs/>
</ds:datastoreItem>
</file>

<file path=customXml/itemProps3.xml><?xml version="1.0" encoding="utf-8"?>
<ds:datastoreItem xmlns:ds="http://schemas.openxmlformats.org/officeDocument/2006/customXml" ds:itemID="{161B7D5F-A51B-4998-BAE2-EFD5C6775107}">
  <ds:schemaRefs/>
</ds:datastoreItem>
</file>

<file path=customXml/itemProps4.xml><?xml version="1.0" encoding="utf-8"?>
<ds:datastoreItem xmlns:ds="http://schemas.openxmlformats.org/officeDocument/2006/customXml" ds:itemID="{CFF580CD-1679-4ECF-BC34-A5285C956D16}">
  <ds:schemaRefs/>
</ds:datastoreItem>
</file>

<file path=customXml/itemProps5.xml><?xml version="1.0" encoding="utf-8"?>
<ds:datastoreItem xmlns:ds="http://schemas.openxmlformats.org/officeDocument/2006/customXml" ds:itemID="{BF3FA1C1-B622-4C4C-BB0F-3421AA648E78}">
  <ds:schemaRefs/>
</ds:datastoreItem>
</file>

<file path=customXml/itemProps6.xml><?xml version="1.0" encoding="utf-8"?>
<ds:datastoreItem xmlns:ds="http://schemas.openxmlformats.org/officeDocument/2006/customXml" ds:itemID="{D7145659-3DBA-4FBC-B3C5-B790FBD32E97}">
  <ds:schemaRefs/>
</ds:datastoreItem>
</file>

<file path=customXml/itemProps7.xml><?xml version="1.0" encoding="utf-8"?>
<ds:datastoreItem xmlns:ds="http://schemas.openxmlformats.org/officeDocument/2006/customXml" ds:itemID="{D500D33E-B1AD-4FF2-AEAC-3CE7F90F1C66}">
  <ds:schemaRefs/>
</ds:datastoreItem>
</file>

<file path=customXml/itemProps8.xml><?xml version="1.0" encoding="utf-8"?>
<ds:datastoreItem xmlns:ds="http://schemas.openxmlformats.org/officeDocument/2006/customXml" ds:itemID="{1FB5E34E-387E-4BCE-A2CB-B69E8332B4A9}">
  <ds:schemaRefs/>
</ds:datastoreItem>
</file>

<file path=customXml/itemProps9.xml><?xml version="1.0" encoding="utf-8"?>
<ds:datastoreItem xmlns:ds="http://schemas.openxmlformats.org/officeDocument/2006/customXml" ds:itemID="{203D618B-214C-4B73-B936-1111C98B814D}">
  <ds:schemaRefs/>
</ds:datastoreItem>
</file>

<file path=customXml/itemProps10.xml><?xml version="1.0" encoding="utf-8"?>
<ds:datastoreItem xmlns:ds="http://schemas.openxmlformats.org/officeDocument/2006/customXml" ds:itemID="{1F77ED8A-A2B3-4AAA-914A-0E76C77EE817}">
  <ds:schemaRefs/>
</ds:datastoreItem>
</file>

<file path=customXml/itemProps11.xml><?xml version="1.0" encoding="utf-8"?>
<ds:datastoreItem xmlns:ds="http://schemas.openxmlformats.org/officeDocument/2006/customXml" ds:itemID="{889324EF-676E-4A31-B5AE-5592E9EBC06E}">
  <ds:schemaRefs/>
</ds:datastoreItem>
</file>

<file path=customXml/itemProps12.xml><?xml version="1.0" encoding="utf-8"?>
<ds:datastoreItem xmlns:ds="http://schemas.openxmlformats.org/officeDocument/2006/customXml" ds:itemID="{26C26A42-8028-4BF0-9B6A-E2E7BC236498}">
  <ds:schemaRefs/>
</ds:datastoreItem>
</file>

<file path=customXml/itemProps13.xml><?xml version="1.0" encoding="utf-8"?>
<ds:datastoreItem xmlns:ds="http://schemas.openxmlformats.org/officeDocument/2006/customXml" ds:itemID="{25B86F6D-9D4F-4E81-8B84-0D8876C44752}">
  <ds:schemaRefs/>
</ds:datastoreItem>
</file>

<file path=customXml/itemProps14.xml><?xml version="1.0" encoding="utf-8"?>
<ds:datastoreItem xmlns:ds="http://schemas.openxmlformats.org/officeDocument/2006/customXml" ds:itemID="{0383BAB1-B019-4DD2-B052-FABA25EE22C2}">
  <ds:schemaRefs>
    <ds:schemaRef ds:uri="http://schemas.microsoft.com/DataMashup"/>
  </ds:schemaRefs>
</ds:datastoreItem>
</file>

<file path=customXml/itemProps15.xml><?xml version="1.0" encoding="utf-8"?>
<ds:datastoreItem xmlns:ds="http://schemas.openxmlformats.org/officeDocument/2006/customXml" ds:itemID="{F979284E-08C0-45A5-9FD4-D4065506D3F4}">
  <ds:schemaRefs/>
</ds:datastoreItem>
</file>

<file path=customXml/itemProps16.xml><?xml version="1.0" encoding="utf-8"?>
<ds:datastoreItem xmlns:ds="http://schemas.openxmlformats.org/officeDocument/2006/customXml" ds:itemID="{5FC230D0-DF78-470C-9C0D-A5C1E59F32BD}">
  <ds:schemaRefs/>
</ds:datastoreItem>
</file>

<file path=customXml/itemProps17.xml><?xml version="1.0" encoding="utf-8"?>
<ds:datastoreItem xmlns:ds="http://schemas.openxmlformats.org/officeDocument/2006/customXml" ds:itemID="{841A6557-F111-4F29-9610-88E1446F562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Dashboard</vt:lpstr>
      <vt:lpstr>Rekomendasi HAV</vt:lpstr>
      <vt:lpstr>Analysis</vt:lpstr>
      <vt:lpstr>Data Assessment</vt:lpstr>
      <vt:lpstr>SW</vt:lpstr>
      <vt:lpstr>Standar</vt:lpstr>
      <vt:lpstr>Kompetensi</vt:lpstr>
      <vt:lpstr>9 Grid</vt:lpstr>
      <vt:lpstr>Dashboard!Print_Area</vt:lpstr>
      <vt:lpstr>'Data Assessment'!Print_Area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dkz</dc:creator>
  <cp:lastModifiedBy>Wahyu Dewo</cp:lastModifiedBy>
  <cp:lastPrinted>2022-03-19T01:52:11Z</cp:lastPrinted>
  <dcterms:created xsi:type="dcterms:W3CDTF">2019-06-25T07:36:49Z</dcterms:created>
  <dcterms:modified xsi:type="dcterms:W3CDTF">2022-03-21T08:01:57Z</dcterms:modified>
</cp:coreProperties>
</file>